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91230463-2D95-463B-A5C4-3C685876C60C}" xr6:coauthVersionLast="47" xr6:coauthVersionMax="47" xr10:uidLastSave="{00000000-0000-0000-0000-000000000000}"/>
  <bookViews>
    <workbookView xWindow="-120" yWindow="-120" windowWidth="29040" windowHeight="15720" xr2:uid="{57DEA323-E204-44E7-AD7B-E92EB4E4853D}"/>
  </bookViews>
  <sheets>
    <sheet name="Statements" sheetId="1" r:id="rId1"/>
    <sheet name="Analysis" sheetId="2" r:id="rId2"/>
    <sheet name="Note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9" i="1" l="1"/>
  <c r="T49" i="1"/>
  <c r="S49" i="1"/>
  <c r="R49" i="1"/>
  <c r="Q49" i="1"/>
  <c r="P49" i="1"/>
  <c r="O49" i="1"/>
  <c r="D8" i="3"/>
  <c r="D11" i="3"/>
  <c r="D10" i="3"/>
  <c r="D9" i="3"/>
  <c r="D7" i="3"/>
  <c r="D6" i="3"/>
  <c r="D5" i="3"/>
  <c r="X49" i="1"/>
  <c r="W49" i="1"/>
  <c r="V49" i="1"/>
  <c r="X48" i="1"/>
  <c r="W48" i="1"/>
  <c r="V48" i="1"/>
  <c r="X47" i="1"/>
  <c r="W47" i="1"/>
  <c r="V47" i="1"/>
  <c r="X46" i="1"/>
  <c r="W46" i="1"/>
  <c r="V46" i="1"/>
  <c r="X45" i="1"/>
  <c r="W45" i="1"/>
  <c r="V45" i="1"/>
  <c r="X44" i="1"/>
  <c r="W44" i="1"/>
  <c r="V44" i="1"/>
  <c r="X43" i="1"/>
  <c r="W43" i="1"/>
  <c r="V43" i="1"/>
  <c r="X42" i="1"/>
  <c r="W42" i="1"/>
  <c r="V42" i="1"/>
  <c r="X41" i="1"/>
  <c r="W41" i="1"/>
  <c r="V41" i="1"/>
  <c r="X40" i="1"/>
  <c r="W40" i="1"/>
  <c r="V40" i="1"/>
  <c r="X39" i="1"/>
  <c r="W39" i="1"/>
  <c r="V39" i="1"/>
  <c r="X38" i="1"/>
  <c r="W38" i="1"/>
  <c r="V38" i="1"/>
  <c r="X36" i="1"/>
  <c r="W36" i="1"/>
  <c r="V36" i="1"/>
  <c r="X35" i="1"/>
  <c r="W35" i="1"/>
  <c r="V35" i="1"/>
  <c r="X34" i="1"/>
  <c r="W34" i="1"/>
  <c r="V34" i="1"/>
  <c r="X33" i="1"/>
  <c r="W33" i="1"/>
  <c r="V33" i="1"/>
  <c r="X32" i="1"/>
  <c r="W32" i="1"/>
  <c r="V32" i="1"/>
  <c r="X31" i="1"/>
  <c r="W31" i="1"/>
  <c r="V31" i="1"/>
  <c r="X30" i="1"/>
  <c r="W30" i="1"/>
  <c r="V30" i="1"/>
  <c r="X29" i="1"/>
  <c r="W29" i="1"/>
  <c r="V29" i="1"/>
  <c r="X28" i="1"/>
  <c r="W28" i="1"/>
  <c r="V28" i="1"/>
  <c r="X27" i="1"/>
  <c r="W27" i="1"/>
  <c r="V27" i="1"/>
  <c r="X23" i="1"/>
  <c r="W23" i="1"/>
  <c r="V23" i="1"/>
  <c r="X22" i="1"/>
  <c r="W22" i="1"/>
  <c r="V22" i="1"/>
  <c r="X21" i="1"/>
  <c r="W21" i="1"/>
  <c r="V21" i="1"/>
  <c r="X20" i="1"/>
  <c r="W20" i="1"/>
  <c r="V20" i="1"/>
  <c r="X19" i="1"/>
  <c r="W19" i="1"/>
  <c r="V19" i="1"/>
  <c r="X18" i="1"/>
  <c r="W18" i="1"/>
  <c r="V18" i="1"/>
  <c r="X17" i="1"/>
  <c r="W17" i="1"/>
  <c r="V17" i="1"/>
  <c r="X16" i="1"/>
  <c r="W16" i="1"/>
  <c r="V16" i="1"/>
  <c r="X15" i="1"/>
  <c r="W15" i="1"/>
  <c r="V15" i="1"/>
  <c r="X14" i="1"/>
  <c r="W14" i="1"/>
  <c r="V14" i="1"/>
  <c r="X13" i="1"/>
  <c r="W13" i="1"/>
  <c r="V13" i="1"/>
  <c r="X12" i="1"/>
  <c r="W12" i="1"/>
  <c r="V12" i="1"/>
  <c r="X11" i="1"/>
  <c r="W11" i="1"/>
  <c r="V11" i="1"/>
  <c r="I35" i="1"/>
  <c r="I34" i="1"/>
  <c r="I33" i="1"/>
  <c r="I32" i="1"/>
  <c r="I31" i="1"/>
  <c r="U47" i="1"/>
  <c r="U48" i="1" s="1"/>
  <c r="U44" i="1"/>
  <c r="U43" i="1"/>
  <c r="U42" i="1"/>
  <c r="U40" i="1"/>
  <c r="U39" i="1"/>
  <c r="U41" i="1" s="1"/>
  <c r="U38" i="1"/>
  <c r="U36" i="1"/>
  <c r="U32" i="1"/>
  <c r="U23" i="1"/>
  <c r="U16" i="1"/>
  <c r="L35" i="1"/>
  <c r="K35" i="1"/>
  <c r="J35" i="1"/>
  <c r="L34" i="1"/>
  <c r="K34" i="1"/>
  <c r="J34" i="1"/>
  <c r="L33" i="1"/>
  <c r="K33" i="1"/>
  <c r="J33" i="1"/>
  <c r="L32" i="1"/>
  <c r="K32" i="1"/>
  <c r="J32" i="1"/>
  <c r="L31" i="1"/>
  <c r="K31" i="1"/>
  <c r="J31" i="1"/>
  <c r="L30" i="1"/>
  <c r="K30" i="1"/>
  <c r="J30" i="1"/>
  <c r="L29" i="1"/>
  <c r="K29" i="1"/>
  <c r="J29" i="1"/>
  <c r="L28" i="1"/>
  <c r="K28" i="1"/>
  <c r="J28" i="1"/>
  <c r="L27" i="1"/>
  <c r="K27" i="1"/>
  <c r="J27" i="1"/>
  <c r="L25" i="1"/>
  <c r="K25" i="1"/>
  <c r="J25" i="1"/>
  <c r="L24" i="1"/>
  <c r="K24" i="1"/>
  <c r="J24" i="1"/>
  <c r="L23" i="1"/>
  <c r="K23" i="1"/>
  <c r="J23" i="1"/>
  <c r="L22" i="1"/>
  <c r="K22" i="1"/>
  <c r="J22" i="1"/>
  <c r="L21" i="1"/>
  <c r="K21" i="1"/>
  <c r="J21" i="1"/>
  <c r="L19" i="1"/>
  <c r="K19" i="1"/>
  <c r="J19" i="1"/>
  <c r="L18" i="1"/>
  <c r="K18" i="1"/>
  <c r="J18" i="1"/>
  <c r="L17" i="1"/>
  <c r="K17" i="1"/>
  <c r="J17" i="1"/>
  <c r="L14" i="1"/>
  <c r="K14" i="1"/>
  <c r="J14" i="1"/>
  <c r="L13" i="1"/>
  <c r="K13" i="1"/>
  <c r="J13" i="1"/>
  <c r="L12" i="1"/>
  <c r="K12" i="1"/>
  <c r="J12" i="1"/>
  <c r="L11" i="1"/>
  <c r="K11" i="1"/>
  <c r="J11" i="1"/>
  <c r="L10" i="1"/>
  <c r="K10" i="1"/>
  <c r="J10" i="1"/>
  <c r="I30" i="1"/>
  <c r="I28" i="1"/>
  <c r="I25" i="1"/>
  <c r="I23" i="1"/>
  <c r="I21" i="1"/>
  <c r="I19" i="1"/>
  <c r="I14" i="1"/>
  <c r="I12" i="1"/>
  <c r="N6" i="2" a="1"/>
  <c r="M6" i="2" a="1"/>
  <c r="H30" i="1"/>
  <c r="G30" i="1"/>
  <c r="F30" i="1"/>
  <c r="E30" i="1"/>
  <c r="D30" i="1"/>
  <c r="T40" i="1"/>
  <c r="S40" i="1"/>
  <c r="R40" i="1"/>
  <c r="Q40" i="1"/>
  <c r="P40" i="1"/>
  <c r="O40" i="1"/>
  <c r="T39" i="1"/>
  <c r="S39" i="1"/>
  <c r="R39" i="1"/>
  <c r="Q39" i="1"/>
  <c r="P39" i="1"/>
  <c r="O39" i="1"/>
  <c r="C27" i="1"/>
  <c r="D22" i="1"/>
  <c r="E22" i="1"/>
  <c r="E17" i="1"/>
  <c r="E19" i="1" s="1"/>
  <c r="E18" i="1"/>
  <c r="S32" i="1"/>
  <c r="S36" i="1" s="1"/>
  <c r="R32" i="1"/>
  <c r="R36" i="1" s="1"/>
  <c r="Q32" i="1"/>
  <c r="Q36" i="1" s="1"/>
  <c r="P32" i="1"/>
  <c r="P36" i="1" s="1"/>
  <c r="O32" i="1"/>
  <c r="O36" i="1" s="1"/>
  <c r="T32" i="1"/>
  <c r="S16" i="1"/>
  <c r="S23" i="1" s="1"/>
  <c r="R16" i="1"/>
  <c r="R23" i="1" s="1"/>
  <c r="Q16" i="1"/>
  <c r="Q23" i="1" s="1"/>
  <c r="P16" i="1"/>
  <c r="P23" i="1" s="1"/>
  <c r="O16" i="1"/>
  <c r="O23" i="1" s="1"/>
  <c r="T16" i="1"/>
  <c r="G19" i="1"/>
  <c r="F19" i="1"/>
  <c r="D19" i="1"/>
  <c r="C19" i="1"/>
  <c r="H19" i="1"/>
  <c r="G12" i="1"/>
  <c r="S47" i="1" s="1"/>
  <c r="S48" i="1" s="1"/>
  <c r="F12" i="1"/>
  <c r="R47" i="1" s="1"/>
  <c r="R48" i="1" s="1"/>
  <c r="E12" i="1"/>
  <c r="Q47" i="1" s="1"/>
  <c r="Q48" i="1" s="1"/>
  <c r="D12" i="1"/>
  <c r="P47" i="1" s="1"/>
  <c r="P48" i="1" s="1"/>
  <c r="C12" i="1"/>
  <c r="H12" i="1"/>
  <c r="E9" i="2"/>
  <c r="E8" i="2"/>
  <c r="E7" i="2"/>
  <c r="E6" i="2"/>
  <c r="E5" i="2"/>
  <c r="E10" i="2"/>
  <c r="C4" i="1" a="1"/>
  <c r="U45" i="1" l="1"/>
  <c r="U46" i="1"/>
  <c r="P41" i="1"/>
  <c r="S41" i="1"/>
  <c r="R41" i="1"/>
  <c r="Q41" i="1"/>
  <c r="T41" i="1"/>
  <c r="C30" i="1"/>
  <c r="T36" i="1"/>
  <c r="S38" i="1"/>
  <c r="S43" i="1" s="1"/>
  <c r="T23" i="1"/>
  <c r="T42" i="1" s="1"/>
  <c r="S42" i="1"/>
  <c r="G35" i="1"/>
  <c r="G14" i="1"/>
  <c r="G34" i="1"/>
  <c r="F34" i="1"/>
  <c r="R42" i="1"/>
  <c r="F35" i="1"/>
  <c r="F14" i="1"/>
  <c r="E14" i="1"/>
  <c r="E34" i="1"/>
  <c r="Q42" i="1"/>
  <c r="E35" i="1"/>
  <c r="D14" i="1"/>
  <c r="D35" i="1"/>
  <c r="P42" i="1"/>
  <c r="D34" i="1"/>
  <c r="C14" i="1"/>
  <c r="C35" i="1"/>
  <c r="O42" i="1"/>
  <c r="C34" i="1"/>
  <c r="O47" i="1"/>
  <c r="O48" i="1" s="1"/>
  <c r="H14" i="1"/>
  <c r="H34" i="1"/>
  <c r="H35" i="1"/>
  <c r="T47" i="1"/>
  <c r="O38" i="1"/>
  <c r="O43" i="1" s="1"/>
  <c r="P38" i="1"/>
  <c r="P43" i="1" s="1"/>
  <c r="Q38" i="1"/>
  <c r="Q43" i="1" s="1"/>
  <c r="R38" i="1"/>
  <c r="R43" i="1" s="1"/>
  <c r="C6" i="1"/>
  <c r="C31" i="1" l="1"/>
  <c r="C21" i="1"/>
  <c r="E21" i="1"/>
  <c r="E31" i="1"/>
  <c r="D21" i="1"/>
  <c r="D31" i="1"/>
  <c r="H21" i="1"/>
  <c r="H31" i="1"/>
  <c r="P45" i="1"/>
  <c r="D32" i="1"/>
  <c r="P46" i="1"/>
  <c r="D23" i="1"/>
  <c r="D25" i="1" s="1"/>
  <c r="T46" i="1"/>
  <c r="T45" i="1"/>
  <c r="T38" i="1"/>
  <c r="T43" i="1" s="1"/>
  <c r="G31" i="1"/>
  <c r="G21" i="1"/>
  <c r="F31" i="1"/>
  <c r="F21" i="1"/>
  <c r="T48" i="1"/>
  <c r="O41" i="1"/>
  <c r="O46" i="1" s="1"/>
  <c r="C32" i="1"/>
  <c r="E23" i="1"/>
  <c r="E25" i="1" s="1"/>
  <c r="E32" i="1"/>
  <c r="Q46" i="1"/>
  <c r="Q45" i="1"/>
  <c r="C23" i="1"/>
  <c r="H32" i="1" l="1"/>
  <c r="H23" i="1"/>
  <c r="H25" i="1" s="1"/>
  <c r="O45" i="1"/>
  <c r="C25" i="1"/>
  <c r="D33" i="1"/>
  <c r="P44" i="1" s="1"/>
  <c r="D28" i="1"/>
  <c r="S45" i="1"/>
  <c r="G32" i="1"/>
  <c r="S46" i="1"/>
  <c r="G23" i="1"/>
  <c r="R45" i="1"/>
  <c r="F32" i="1"/>
  <c r="R46" i="1"/>
  <c r="F23" i="1"/>
  <c r="E33" i="1"/>
  <c r="Q44" i="1" s="1"/>
  <c r="E28" i="1"/>
  <c r="C28" i="1"/>
  <c r="C33" i="1"/>
  <c r="H28" i="1" l="1"/>
  <c r="H33" i="1"/>
  <c r="T44" i="1" s="1"/>
  <c r="G25" i="1"/>
  <c r="F25" i="1"/>
  <c r="O44" i="1"/>
  <c r="G33" i="1" l="1"/>
  <c r="G28" i="1"/>
  <c r="F33" i="1"/>
  <c r="F28" i="1"/>
  <c r="S44" i="1" l="1"/>
  <c r="C26" i="2" a="1"/>
  <c r="R4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<sst xmlns="http://schemas.openxmlformats.org/spreadsheetml/2006/main" count="112" uniqueCount="87">
  <si>
    <t>Price</t>
  </si>
  <si>
    <t>Shares outstanding</t>
  </si>
  <si>
    <t>Mkt cap</t>
  </si>
  <si>
    <t>Revenues</t>
  </si>
  <si>
    <t>1Y</t>
  </si>
  <si>
    <t>2Y</t>
  </si>
  <si>
    <t>Assets</t>
  </si>
  <si>
    <t>Current</t>
  </si>
  <si>
    <t>2019</t>
  </si>
  <si>
    <t>2020</t>
  </si>
  <si>
    <t>2021</t>
  </si>
  <si>
    <t>2022</t>
  </si>
  <si>
    <t>2023</t>
  </si>
  <si>
    <t>2024</t>
  </si>
  <si>
    <t>.</t>
  </si>
  <si>
    <t>Dexcom Notes</t>
  </si>
  <si>
    <t>US</t>
  </si>
  <si>
    <t>International</t>
  </si>
  <si>
    <t>Total</t>
  </si>
  <si>
    <t>Distributor</t>
  </si>
  <si>
    <t>Direct</t>
  </si>
  <si>
    <t>Total Revenue</t>
  </si>
  <si>
    <t>Cost of Sales</t>
  </si>
  <si>
    <t>Gross Profit</t>
  </si>
  <si>
    <t>Operating Expenses</t>
  </si>
  <si>
    <t>R&amp;D</t>
  </si>
  <si>
    <t>SG&amp;A</t>
  </si>
  <si>
    <t>Total Operating Expense</t>
  </si>
  <si>
    <t>EBITDA</t>
  </si>
  <si>
    <t>Other income (expense)</t>
  </si>
  <si>
    <t>EBT</t>
  </si>
  <si>
    <t>Taxes</t>
  </si>
  <si>
    <t>Net income</t>
  </si>
  <si>
    <t>EPS</t>
  </si>
  <si>
    <t>Cash</t>
  </si>
  <si>
    <t>ST marketable securities</t>
  </si>
  <si>
    <t>AR</t>
  </si>
  <si>
    <t>Inventory</t>
  </si>
  <si>
    <t>Prepaids</t>
  </si>
  <si>
    <t>Total Current</t>
  </si>
  <si>
    <t>PPE, net</t>
  </si>
  <si>
    <t>Leases</t>
  </si>
  <si>
    <t>Goodwill</t>
  </si>
  <si>
    <t>Intangibles</t>
  </si>
  <si>
    <t>Defer tax assets</t>
  </si>
  <si>
    <t>Other</t>
  </si>
  <si>
    <t>Total Assets</t>
  </si>
  <si>
    <t>Liabilities</t>
  </si>
  <si>
    <t>AP &amp; accr</t>
  </si>
  <si>
    <t>Accr payroll</t>
  </si>
  <si>
    <t>LT convertible notes, current</t>
  </si>
  <si>
    <t>ST leases</t>
  </si>
  <si>
    <t>LT leases</t>
  </si>
  <si>
    <t>LT senior convertible notes</t>
  </si>
  <si>
    <t>Total Liabilities</t>
  </si>
  <si>
    <t>Equity</t>
  </si>
  <si>
    <t>Defer revenue</t>
  </si>
  <si>
    <t>Debt</t>
  </si>
  <si>
    <t>EV</t>
  </si>
  <si>
    <t>Gross margin</t>
  </si>
  <si>
    <t>Operating margin</t>
  </si>
  <si>
    <t>Net margin</t>
  </si>
  <si>
    <t>Distributor to Rev</t>
  </si>
  <si>
    <t>Direct to Rev</t>
  </si>
  <si>
    <t>Rev turnover</t>
  </si>
  <si>
    <t>EM</t>
  </si>
  <si>
    <t>ROE</t>
  </si>
  <si>
    <t>EV / EBITDA</t>
  </si>
  <si>
    <t>EBITDA / EV</t>
  </si>
  <si>
    <t>Inventory turnover</t>
  </si>
  <si>
    <t>Yearly turnover (days)</t>
  </si>
  <si>
    <t>Cost of Sales screwed them in 2024, ruining their gross margin, operating margin, and net margin.</t>
  </si>
  <si>
    <t>International to Total Revenue shows continued growth as they gain more % of total revenue from US Revenue.</t>
  </si>
  <si>
    <t>EV / EBITDA continues to lower as EBITDA reaches close to their EV.</t>
  </si>
  <si>
    <t>2025</t>
  </si>
  <si>
    <t>6Y</t>
  </si>
  <si>
    <t>Screening Score</t>
  </si>
  <si>
    <t>Column1</t>
  </si>
  <si>
    <t>Revenue (CAGR)</t>
  </si>
  <si>
    <t>EBITDA Margin</t>
  </si>
  <si>
    <t>ROIC</t>
  </si>
  <si>
    <t>Debt-to-EBITDA</t>
  </si>
  <si>
    <t>EPS σ</t>
  </si>
  <si>
    <t>EV-to-EBITDA</t>
  </si>
  <si>
    <t>Industry</t>
  </si>
  <si>
    <t>IC</t>
  </si>
  <si>
    <t>Medical Devices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</si>
</sst>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_([$$-409]* #,##0.00_);_([$$-409]* \(#,##0.00\);_([$$-409]* &quot;-&quot;??_);_(@_)"/>
    <numFmt numFmtId="165" formatCode="_(* #,##0.0_);_(* \(#,##0.0\);_(* &quot;-&quot;??_);_(@_)"/>
    <numFmt numFmtId="166" formatCode="_(* #,##0_);_(* \(#,##0\);_(* &quot;-&quot;??_);_(@_)"/>
    <numFmt numFmtId="167" formatCode="_(* #,##0.000_);_(* \(#,##0.000\);_(* &quot;-&quot;??_);_(@_)"/>
    <numFmt numFmtId="168" formatCode="0.0%"/>
    <numFmt numFmtId="169" formatCode="0.000"/>
  </numFmts>
  <fonts count="22" x14ac:knownFonts="1">
    <font>
      <sz val="11"/>
      <color theme="1"/>
      <name val="Aptos Narrow"/>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Aptos Narrow"/>
      <family val="2"/>
      <scheme val="minor"/>
    </font>
    <font>
      <sz val="10"/>
      <color theme="1"/>
      <name val="Arial"/>
      <family val="2"/>
    </font>
    <font>
      <b/>
      <sz val="10"/>
      <color theme="1"/>
      <name val="Arial"/>
      <family val="2"/>
    </font>
    <font>
      <sz val="10"/>
      <color theme="4"/>
      <name val="Arial"/>
      <family val="2"/>
    </font>
    <font>
      <b/>
      <sz val="10"/>
      <color theme="0"/>
      <name val="Arial"/>
      <family val="2"/>
    </font>
    <font>
      <sz val="12"/>
      <color theme="1"/>
      <name val="Arial"/>
      <family val="2"/>
    </font>
    <font>
      <b/>
      <sz val="16"/>
      <color theme="1"/>
      <name val="Arial"/>
      <family val="2"/>
    </font>
    <font>
      <sz val="10"/>
      <name val="Arial"/>
      <family val="2"/>
    </font>
    <font>
      <b/>
      <sz val="10"/>
      <name val="Arial"/>
      <family val="2"/>
    </font>
    <font>
      <b/>
      <sz val="12"/>
      <color theme="1"/>
      <name val="Arial"/>
      <family val="2"/>
    </font>
    <font>
      <sz val="12"/>
      <color theme="4"/>
      <name val="Arial"/>
      <family val="2"/>
    </font>
    <font>
      <sz val="12"/>
      <color theme="0"/>
      <name val="Arial"/>
      <family val="2"/>
    </font>
  </fonts>
  <fills count="6">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FF0000"/>
        <bgColor indexed="64"/>
      </patternFill>
    </fill>
  </fills>
  <borders count="6">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s>
  <cellStyleXfs count="4">
    <xf numFmtId="0" fontId="0" fillId="0" borderId="0"/>
    <xf numFmtId="43" fontId="10" fillId="0" borderId="0" applyFont="0" applyFill="0" applyBorder="0" applyAlignment="0" applyProtection="0"/>
    <xf numFmtId="44" fontId="10" fillId="0" borderId="0" applyFont="0" applyFill="0" applyBorder="0" applyAlignment="0" applyProtection="0"/>
    <xf numFmtId="9" fontId="10" fillId="0" borderId="0" applyFont="0" applyFill="0" applyBorder="0" applyAlignment="0" applyProtection="0"/>
  </cellStyleXfs>
  <cellXfs count="72">
    <xf numFmtId="0" fontId="0" fillId="0" borderId="0" xfId="0"/>
    <xf numFmtId="0" fontId="11" fillId="0" borderId="0" xfId="0" applyFont="1"/>
    <xf numFmtId="164" fontId="11" fillId="0" borderId="0" xfId="0" applyNumberFormat="1" applyFont="1"/>
    <xf numFmtId="165" fontId="11" fillId="0" borderId="0" xfId="1" applyNumberFormat="1" applyFont="1"/>
    <xf numFmtId="0" fontId="12" fillId="0" borderId="1" xfId="0" applyFont="1" applyBorder="1"/>
    <xf numFmtId="0" fontId="12" fillId="0" borderId="2" xfId="0" applyFont="1" applyBorder="1"/>
    <xf numFmtId="0" fontId="11" fillId="0" borderId="2" xfId="0" applyFont="1" applyBorder="1"/>
    <xf numFmtId="165" fontId="0" fillId="0" borderId="0" xfId="1" applyNumberFormat="1" applyFont="1"/>
    <xf numFmtId="0" fontId="12" fillId="0" borderId="2" xfId="0" applyFont="1" applyBorder="1" applyAlignment="1">
      <alignment horizontal="left"/>
    </xf>
    <xf numFmtId="0" fontId="12" fillId="2" borderId="1" xfId="0" applyFont="1" applyFill="1" applyBorder="1" applyAlignment="1">
      <alignment horizontal="center"/>
    </xf>
    <xf numFmtId="0" fontId="12" fillId="3" borderId="1" xfId="0" applyFont="1" applyFill="1" applyBorder="1" applyAlignment="1">
      <alignment horizontal="center"/>
    </xf>
    <xf numFmtId="0" fontId="12" fillId="4" borderId="1" xfId="0" applyFont="1" applyFill="1" applyBorder="1" applyAlignment="1">
      <alignment horizontal="center"/>
    </xf>
    <xf numFmtId="0" fontId="13" fillId="0" borderId="3" xfId="0" applyFont="1" applyBorder="1"/>
    <xf numFmtId="0" fontId="9" fillId="0" borderId="2" xfId="0" applyFont="1" applyBorder="1"/>
    <xf numFmtId="165" fontId="11" fillId="0" borderId="0" xfId="1" applyNumberFormat="1" applyFont="1" applyBorder="1"/>
    <xf numFmtId="165" fontId="12" fillId="0" borderId="0" xfId="1" applyNumberFormat="1" applyFont="1" applyBorder="1"/>
    <xf numFmtId="165" fontId="9" fillId="0" borderId="0" xfId="1" applyNumberFormat="1" applyFont="1" applyBorder="1"/>
    <xf numFmtId="165" fontId="8" fillId="0" borderId="0" xfId="1" applyNumberFormat="1" applyFont="1" applyBorder="1"/>
    <xf numFmtId="0" fontId="12" fillId="0" borderId="2" xfId="0" applyFont="1" applyBorder="1" applyAlignment="1">
      <alignment horizontal="left" indent="2"/>
    </xf>
    <xf numFmtId="0" fontId="7" fillId="0" borderId="0" xfId="0" applyFont="1"/>
    <xf numFmtId="0" fontId="15" fillId="0" borderId="0" xfId="0" applyFont="1"/>
    <xf numFmtId="0" fontId="16" fillId="0" borderId="0" xfId="0" applyFont="1"/>
    <xf numFmtId="0" fontId="17" fillId="2" borderId="0" xfId="0" applyFont="1" applyFill="1"/>
    <xf numFmtId="0" fontId="17" fillId="3" borderId="0" xfId="0" applyFont="1" applyFill="1"/>
    <xf numFmtId="0" fontId="17" fillId="4" borderId="0" xfId="0" applyFont="1" applyFill="1"/>
    <xf numFmtId="0" fontId="17" fillId="0" borderId="0" xfId="0" applyFont="1"/>
    <xf numFmtId="0" fontId="18" fillId="0" borderId="0" xfId="0" applyFont="1"/>
    <xf numFmtId="165" fontId="7" fillId="0" borderId="0" xfId="1" applyNumberFormat="1" applyFont="1"/>
    <xf numFmtId="0" fontId="7" fillId="0" borderId="2" xfId="0" applyFont="1" applyBorder="1"/>
    <xf numFmtId="165" fontId="12" fillId="0" borderId="4" xfId="1" applyNumberFormat="1" applyFont="1" applyBorder="1"/>
    <xf numFmtId="0" fontId="12" fillId="0" borderId="5" xfId="0" applyFont="1" applyBorder="1" applyAlignment="1">
      <alignment horizontal="left" indent="1"/>
    </xf>
    <xf numFmtId="0" fontId="7" fillId="0" borderId="2" xfId="0" applyFont="1" applyBorder="1" applyAlignment="1">
      <alignment horizontal="left" indent="1"/>
    </xf>
    <xf numFmtId="0" fontId="12" fillId="0" borderId="5" xfId="0" applyFont="1" applyBorder="1" applyAlignment="1">
      <alignment horizontal="left" indent="2"/>
    </xf>
    <xf numFmtId="165" fontId="7" fillId="0" borderId="0" xfId="1" applyNumberFormat="1" applyFont="1" applyBorder="1"/>
    <xf numFmtId="44" fontId="7" fillId="0" borderId="0" xfId="2" applyFont="1" applyBorder="1"/>
    <xf numFmtId="166" fontId="7" fillId="0" borderId="0" xfId="1" applyNumberFormat="1" applyFont="1" applyBorder="1"/>
    <xf numFmtId="9" fontId="7" fillId="0" borderId="0" xfId="3" applyFont="1" applyBorder="1"/>
    <xf numFmtId="167" fontId="7" fillId="0" borderId="0" xfId="1" applyNumberFormat="1" applyFont="1" applyBorder="1"/>
    <xf numFmtId="165" fontId="7" fillId="0" borderId="0" xfId="1" applyNumberFormat="1" applyFont="1" applyBorder="1" applyAlignment="1">
      <alignment horizontal="left" indent="1"/>
    </xf>
    <xf numFmtId="0" fontId="7" fillId="0" borderId="2" xfId="0" applyFont="1" applyBorder="1" applyAlignment="1">
      <alignment horizontal="left"/>
    </xf>
    <xf numFmtId="9" fontId="17" fillId="0" borderId="0" xfId="3" applyFont="1" applyFill="1" applyBorder="1"/>
    <xf numFmtId="168" fontId="7" fillId="0" borderId="0" xfId="3" applyNumberFormat="1" applyFont="1" applyBorder="1"/>
    <xf numFmtId="0" fontId="6" fillId="0" borderId="0" xfId="0" applyFont="1"/>
    <xf numFmtId="0" fontId="5" fillId="0" borderId="0" xfId="0" applyFont="1"/>
    <xf numFmtId="165" fontId="4" fillId="0" borderId="0" xfId="1" applyNumberFormat="1" applyFont="1"/>
    <xf numFmtId="9" fontId="7" fillId="0" borderId="0" xfId="3" applyFont="1"/>
    <xf numFmtId="165" fontId="3" fillId="0" borderId="0" xfId="1" applyNumberFormat="1" applyFont="1" applyBorder="1"/>
    <xf numFmtId="0" fontId="2" fillId="0" borderId="2" xfId="0" applyFont="1" applyBorder="1"/>
    <xf numFmtId="168" fontId="7" fillId="0" borderId="0" xfId="3" applyNumberFormat="1" applyFont="1"/>
    <xf numFmtId="165" fontId="1" fillId="0" borderId="0" xfId="1" applyNumberFormat="1" applyFont="1"/>
    <xf numFmtId="165" fontId="1" fillId="0" borderId="0" xfId="1" applyNumberFormat="1" applyFont="1" applyBorder="1"/>
    <xf numFmtId="165" fontId="1" fillId="0" borderId="0" xfId="1" applyNumberFormat="1" applyFont="1" applyBorder="1" applyAlignment="1">
      <alignment horizontal="left" indent="1"/>
    </xf>
    <xf numFmtId="168" fontId="17" fillId="2" borderId="0" xfId="3" applyNumberFormat="1" applyFont="1" applyFill="1"/>
    <xf numFmtId="168" fontId="17" fillId="3" borderId="0" xfId="3" applyNumberFormat="1" applyFont="1" applyFill="1"/>
    <xf numFmtId="168" fontId="17" fillId="4" borderId="0" xfId="3" applyNumberFormat="1" applyFont="1" applyFill="1"/>
    <xf numFmtId="168" fontId="18" fillId="2" borderId="0" xfId="3" applyNumberFormat="1" applyFont="1" applyFill="1"/>
    <xf numFmtId="168" fontId="18" fillId="3" borderId="0" xfId="3" applyNumberFormat="1" applyFont="1" applyFill="1"/>
    <xf numFmtId="168" fontId="18" fillId="4" borderId="0" xfId="3" applyNumberFormat="1" applyFont="1" applyFill="1"/>
    <xf numFmtId="168" fontId="18" fillId="2" borderId="4" xfId="3" applyNumberFormat="1" applyFont="1" applyFill="1" applyBorder="1"/>
    <xf numFmtId="168" fontId="18" fillId="3" borderId="4" xfId="3" applyNumberFormat="1" applyFont="1" applyFill="1" applyBorder="1"/>
    <xf numFmtId="168" fontId="18" fillId="4" borderId="4" xfId="3" applyNumberFormat="1" applyFont="1" applyFill="1" applyBorder="1"/>
    <xf numFmtId="0" fontId="19" fillId="0" borderId="0" xfId="0" applyFont="1"/>
    <xf numFmtId="0" fontId="20" fillId="0" borderId="0" xfId="0" applyFont="1"/>
    <xf numFmtId="0" fontId="21" fillId="0" borderId="0" xfId="0" applyFont="1" applyAlignment="1">
      <alignment horizontal="right"/>
    </xf>
    <xf numFmtId="10" fontId="15" fillId="0" borderId="0" xfId="3" applyNumberFormat="1" applyFont="1"/>
    <xf numFmtId="169" fontId="15" fillId="0" borderId="0" xfId="0" applyNumberFormat="1" applyFont="1"/>
    <xf numFmtId="2" fontId="15" fillId="0" borderId="0" xfId="0" applyNumberFormat="1" applyFont="1"/>
    <xf numFmtId="0" fontId="15" fillId="0" borderId="0" xfId="0" applyFont="1" applyAlignment="1">
      <alignment horizontal="right"/>
    </xf>
    <xf numFmtId="168" fontId="14" fillId="5" borderId="4" xfId="3" applyNumberFormat="1" applyFont="1" applyFill="1" applyBorder="1"/>
    <xf numFmtId="168" fontId="14" fillId="5" borderId="0" xfId="3" applyNumberFormat="1" applyFont="1" applyFill="1"/>
    <xf numFmtId="0" fontId="1" fillId="0" borderId="2" xfId="0" applyFont="1" applyBorder="1"/>
    <xf numFmtId="168" fontId="17" fillId="0" borderId="0" xfId="3" applyNumberFormat="1" applyFont="1" applyFill="1"/>
  </cellXfs>
  <cellStyles count="4">
    <cellStyle name="Comma" xfId="1" builtinId="3"/>
    <cellStyle name="Currency" xfId="2" builtinId="4"/>
    <cellStyle name="Normal" xfId="0" builtinId="0"/>
    <cellStyle name="Percent" xfId="3" builtinId="5"/>
  </cellStyles>
  <dxfs count="26">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s>
  <tableStyles count="0" defaultTableStyle="TableStyleMedium2" defaultPivotStyle="PivotStyleLight16"/>
  <colors>
    <mruColors>
      <color rgb="FFB5E6A2"/>
      <color rgb="FFB5E600"/>
      <color rgb="FF94DCF8"/>
      <color rgb="FF94D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ustomXml" Target="../customXml/item1.xml"/><Relationship Id="rId10" Type="http://schemas.microsoft.com/office/2017/06/relationships/richStyles" Target="richData/richStyles.xml"/><Relationship Id="rId19" Type="http://schemas.microsoft.com/office/2006/relationships/vbaProject" Target="vbaProject.bin"/><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Rev Breakdown</a:t>
            </a:r>
            <a:r>
              <a:rPr lang="en-US" baseline="0"/>
              <a:t> by Geography</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Analysis!$C$4</c:f>
              <c:strCache>
                <c:ptCount val="1"/>
                <c:pt idx="0">
                  <c:v>US</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Analysis!$B$5:$B$10</c:f>
              <c:numCache>
                <c:formatCode>General</c:formatCode>
                <c:ptCount val="6"/>
                <c:pt idx="0">
                  <c:v>2019</c:v>
                </c:pt>
                <c:pt idx="1">
                  <c:v>2020</c:v>
                </c:pt>
                <c:pt idx="2">
                  <c:v>2021</c:v>
                </c:pt>
                <c:pt idx="3">
                  <c:v>2022</c:v>
                </c:pt>
                <c:pt idx="4">
                  <c:v>2023</c:v>
                </c:pt>
                <c:pt idx="5">
                  <c:v>2024</c:v>
                </c:pt>
              </c:numCache>
            </c:numRef>
          </c:cat>
          <c:val>
            <c:numRef>
              <c:f>Analysis!$C$5:$C$10</c:f>
              <c:numCache>
                <c:formatCode>_(* #,##0.0_);_(* \(#,##0.0\);_(* "-"??_);_(@_)</c:formatCode>
                <c:ptCount val="6"/>
                <c:pt idx="0">
                  <c:v>1161.5</c:v>
                </c:pt>
                <c:pt idx="1">
                  <c:v>1509.5</c:v>
                </c:pt>
                <c:pt idx="2">
                  <c:v>1849.4</c:v>
                </c:pt>
                <c:pt idx="3">
                  <c:v>2142</c:v>
                </c:pt>
                <c:pt idx="4">
                  <c:v>2625.3</c:v>
                </c:pt>
                <c:pt idx="5">
                  <c:v>2889.8</c:v>
                </c:pt>
              </c:numCache>
            </c:numRef>
          </c:val>
          <c:smooth val="0"/>
          <c:extLst>
            <c:ext xmlns:c16="http://schemas.microsoft.com/office/drawing/2014/chart" uri="{C3380CC4-5D6E-409C-BE32-E72D297353CC}">
              <c16:uniqueId val="{00000000-508B-4EA8-A861-0F5641A5A3AE}"/>
            </c:ext>
          </c:extLst>
        </c:ser>
        <c:ser>
          <c:idx val="1"/>
          <c:order val="1"/>
          <c:tx>
            <c:strRef>
              <c:f>Analysis!$D$4</c:f>
              <c:strCache>
                <c:ptCount val="1"/>
                <c:pt idx="0">
                  <c:v>International</c:v>
                </c:pt>
              </c:strCache>
            </c:strRef>
          </c:tx>
          <c:spPr>
            <a:ln w="28575" cap="rnd">
              <a:solidFill>
                <a:srgbClr val="156082">
                  <a:lumMod val="60000"/>
                  <a:lumOff val="40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Analysis!$B$5:$B$10</c:f>
              <c:numCache>
                <c:formatCode>General</c:formatCode>
                <c:ptCount val="6"/>
                <c:pt idx="0">
                  <c:v>2019</c:v>
                </c:pt>
                <c:pt idx="1">
                  <c:v>2020</c:v>
                </c:pt>
                <c:pt idx="2">
                  <c:v>2021</c:v>
                </c:pt>
                <c:pt idx="3">
                  <c:v>2022</c:v>
                </c:pt>
                <c:pt idx="4">
                  <c:v>2023</c:v>
                </c:pt>
                <c:pt idx="5">
                  <c:v>2024</c:v>
                </c:pt>
              </c:numCache>
            </c:numRef>
          </c:cat>
          <c:val>
            <c:numRef>
              <c:f>Analysis!$D$5:$D$10</c:f>
              <c:numCache>
                <c:formatCode>_(* #,##0.0_);_(* \(#,##0.0\);_(* "-"??_);_(@_)</c:formatCode>
                <c:ptCount val="6"/>
                <c:pt idx="0">
                  <c:v>314.5</c:v>
                </c:pt>
                <c:pt idx="1">
                  <c:v>417.2</c:v>
                </c:pt>
                <c:pt idx="2">
                  <c:v>599.1</c:v>
                </c:pt>
                <c:pt idx="3">
                  <c:v>767.8</c:v>
                </c:pt>
                <c:pt idx="4">
                  <c:v>997</c:v>
                </c:pt>
                <c:pt idx="5">
                  <c:v>1143.2</c:v>
                </c:pt>
              </c:numCache>
            </c:numRef>
          </c:val>
          <c:smooth val="0"/>
          <c:extLst>
            <c:ext xmlns:c16="http://schemas.microsoft.com/office/drawing/2014/chart" uri="{C3380CC4-5D6E-409C-BE32-E72D297353CC}">
              <c16:uniqueId val="{00000001-508B-4EA8-A861-0F5641A5A3AE}"/>
            </c:ext>
          </c:extLst>
        </c:ser>
        <c:dLbls>
          <c:dLblPos val="t"/>
          <c:showLegendKey val="0"/>
          <c:showVal val="1"/>
          <c:showCatName val="0"/>
          <c:showSerName val="0"/>
          <c:showPercent val="0"/>
          <c:showBubbleSize val="0"/>
        </c:dLbls>
        <c:smooth val="0"/>
        <c:axId val="1503623167"/>
        <c:axId val="1503625087"/>
      </c:lineChart>
      <c:catAx>
        <c:axId val="1503623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25087"/>
        <c:crosses val="autoZero"/>
        <c:auto val="1"/>
        <c:lblAlgn val="ctr"/>
        <c:lblOffset val="100"/>
        <c:noMultiLvlLbl val="0"/>
      </c:catAx>
      <c:valAx>
        <c:axId val="1503625087"/>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23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Rev</a:t>
            </a:r>
            <a:r>
              <a:rPr lang="en-US" baseline="0"/>
              <a:t> Breakdown by Streams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Analysis!$M$5</c:f>
              <c:strCache>
                <c:ptCount val="1"/>
                <c:pt idx="0">
                  <c:v>Distributor</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Analysis!$L$6:$L$11</c:f>
              <c:numCache>
                <c:formatCode>General</c:formatCode>
                <c:ptCount val="6"/>
                <c:pt idx="0">
                  <c:v>2019</c:v>
                </c:pt>
                <c:pt idx="1">
                  <c:v>2020</c:v>
                </c:pt>
                <c:pt idx="2">
                  <c:v>2021</c:v>
                </c:pt>
                <c:pt idx="3">
                  <c:v>2022</c:v>
                </c:pt>
                <c:pt idx="4">
                  <c:v>2023</c:v>
                </c:pt>
                <c:pt idx="5">
                  <c:v>2024</c:v>
                </c:pt>
              </c:numCache>
            </c:numRef>
          </c:cat>
          <c:val>
            <c:numRef>
              <c:f>Analysis!$M$6:$M$11</c:f>
              <c:numCache>
                <c:formatCode>_(* #,##0.0_);_(* \(#,##0.0\);_(* "-"??_);_(@_)</c:formatCode>
                <c:ptCount val="6"/>
                <c:pt idx="0">
                  <c:v>1161.5</c:v>
                </c:pt>
                <c:pt idx="1">
                  <c:v>1437.6</c:v>
                </c:pt>
                <c:pt idx="2">
                  <c:v>2024.3</c:v>
                </c:pt>
                <c:pt idx="3">
                  <c:v>2470.8000000000002</c:v>
                </c:pt>
                <c:pt idx="4">
                  <c:v>3095.6</c:v>
                </c:pt>
                <c:pt idx="5">
                  <c:v>3430.1</c:v>
                </c:pt>
              </c:numCache>
            </c:numRef>
          </c:val>
          <c:smooth val="0"/>
          <c:extLst>
            <c:ext xmlns:c16="http://schemas.microsoft.com/office/drawing/2014/chart" uri="{C3380CC4-5D6E-409C-BE32-E72D297353CC}">
              <c16:uniqueId val="{00000000-508B-4EA8-A861-0F5641A5A3AE}"/>
            </c:ext>
          </c:extLst>
        </c:ser>
        <c:ser>
          <c:idx val="1"/>
          <c:order val="1"/>
          <c:tx>
            <c:strRef>
              <c:f>Analysis!$N$5</c:f>
              <c:strCache>
                <c:ptCount val="1"/>
                <c:pt idx="0">
                  <c:v>Direct</c:v>
                </c:pt>
              </c:strCache>
            </c:strRef>
          </c:tx>
          <c:spPr>
            <a:ln w="28575" cap="rnd">
              <a:solidFill>
                <a:srgbClr val="156082">
                  <a:lumMod val="60000"/>
                  <a:lumOff val="40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Analysis!$L$6:$L$11</c:f>
              <c:numCache>
                <c:formatCode>General</c:formatCode>
                <c:ptCount val="6"/>
                <c:pt idx="0">
                  <c:v>2019</c:v>
                </c:pt>
                <c:pt idx="1">
                  <c:v>2020</c:v>
                </c:pt>
                <c:pt idx="2">
                  <c:v>2021</c:v>
                </c:pt>
                <c:pt idx="3">
                  <c:v>2022</c:v>
                </c:pt>
                <c:pt idx="4">
                  <c:v>2023</c:v>
                </c:pt>
                <c:pt idx="5">
                  <c:v>2024</c:v>
                </c:pt>
              </c:numCache>
            </c:numRef>
          </c:cat>
          <c:val>
            <c:numRef>
              <c:f>Analysis!$N$6:$N$11</c:f>
              <c:numCache>
                <c:formatCode>_(* #,##0.0_);_(* \(#,##0.0\);_(* "-"??_);_(@_)</c:formatCode>
                <c:ptCount val="6"/>
                <c:pt idx="0">
                  <c:v>314.5</c:v>
                </c:pt>
                <c:pt idx="1">
                  <c:v>489.1</c:v>
                </c:pt>
                <c:pt idx="2">
                  <c:v>424.2</c:v>
                </c:pt>
                <c:pt idx="3">
                  <c:v>439</c:v>
                </c:pt>
                <c:pt idx="4">
                  <c:v>526.70000000000005</c:v>
                </c:pt>
                <c:pt idx="5">
                  <c:v>602.9</c:v>
                </c:pt>
              </c:numCache>
            </c:numRef>
          </c:val>
          <c:smooth val="0"/>
          <c:extLst>
            <c:ext xmlns:c16="http://schemas.microsoft.com/office/drawing/2014/chart" uri="{C3380CC4-5D6E-409C-BE32-E72D297353CC}">
              <c16:uniqueId val="{00000001-508B-4EA8-A861-0F5641A5A3AE}"/>
            </c:ext>
          </c:extLst>
        </c:ser>
        <c:dLbls>
          <c:dLblPos val="t"/>
          <c:showLegendKey val="0"/>
          <c:showVal val="1"/>
          <c:showCatName val="0"/>
          <c:showSerName val="0"/>
          <c:showPercent val="0"/>
          <c:showBubbleSize val="0"/>
        </c:dLbls>
        <c:smooth val="0"/>
        <c:axId val="1503623167"/>
        <c:axId val="1503625087"/>
      </c:lineChart>
      <c:catAx>
        <c:axId val="1503623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25087"/>
        <c:crosses val="autoZero"/>
        <c:auto val="1"/>
        <c:lblAlgn val="ctr"/>
        <c:lblOffset val="100"/>
        <c:noMultiLvlLbl val="0"/>
      </c:catAx>
      <c:valAx>
        <c:axId val="1503625087"/>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23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a:t>Margin Funnel</a:t>
            </a:r>
            <a:r>
              <a:rPr lang="en-US" baseline="0"/>
              <a:t> Visualization</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areaChart>
        <c:grouping val="standard"/>
        <c:varyColors val="0"/>
        <c:ser>
          <c:idx val="0"/>
          <c:order val="0"/>
          <c:tx>
            <c:strRef>
              <c:f>Analysis!$C$25</c:f>
              <c:strCache>
                <c:ptCount val="1"/>
                <c:pt idx="0">
                  <c:v> Gross margin </c:v>
                </c:pt>
              </c:strCache>
            </c:strRef>
          </c:tx>
          <c:spPr>
            <a:solidFill>
              <a:schemeClr val="accent6">
                <a:lumMod val="50000"/>
              </a:schemeClr>
            </a:solidFill>
            <a:ln>
              <a:noFill/>
            </a:ln>
            <a:effectLst/>
          </c:spPr>
          <c:cat>
            <c:numRef>
              <c:f>Analysis!$B$26:$B$31</c:f>
              <c:numCache>
                <c:formatCode>General</c:formatCode>
                <c:ptCount val="6"/>
                <c:pt idx="0">
                  <c:v>2019</c:v>
                </c:pt>
                <c:pt idx="1">
                  <c:v>2020</c:v>
                </c:pt>
                <c:pt idx="2">
                  <c:v>2021</c:v>
                </c:pt>
                <c:pt idx="3">
                  <c:v>2022</c:v>
                </c:pt>
                <c:pt idx="4">
                  <c:v>2023</c:v>
                </c:pt>
                <c:pt idx="5">
                  <c:v>2024</c:v>
                </c:pt>
              </c:numCache>
            </c:numRef>
          </c:cat>
          <c:val>
            <c:numRef>
              <c:f>Analysis!$C$26:$C$31</c:f>
              <c:numCache>
                <c:formatCode>0%</c:formatCode>
                <c:ptCount val="6"/>
                <c:pt idx="0">
                  <c:v>0.63109756097560976</c:v>
                </c:pt>
                <c:pt idx="1">
                  <c:v>0.66440026989152434</c:v>
                </c:pt>
                <c:pt idx="2">
                  <c:v>0.68633857463753323</c:v>
                </c:pt>
                <c:pt idx="3">
                  <c:v>0.64715788026668497</c:v>
                </c:pt>
                <c:pt idx="4">
                  <c:v>0.63189133975650824</c:v>
                </c:pt>
                <c:pt idx="5">
                  <c:v>0.60456236052566326</c:v>
                </c:pt>
              </c:numCache>
            </c:numRef>
          </c:val>
          <c:extLst>
            <c:ext xmlns:c16="http://schemas.microsoft.com/office/drawing/2014/chart" uri="{C3380CC4-5D6E-409C-BE32-E72D297353CC}">
              <c16:uniqueId val="{00000000-AA30-43F2-A5E5-ECE761EA24AF}"/>
            </c:ext>
          </c:extLst>
        </c:ser>
        <c:ser>
          <c:idx val="1"/>
          <c:order val="1"/>
          <c:tx>
            <c:strRef>
              <c:f>Analysis!$D$25</c:f>
              <c:strCache>
                <c:ptCount val="1"/>
                <c:pt idx="0">
                  <c:v> Operating margin </c:v>
                </c:pt>
              </c:strCache>
            </c:strRef>
          </c:tx>
          <c:spPr>
            <a:solidFill>
              <a:srgbClr val="FFC000"/>
            </a:solidFill>
            <a:ln>
              <a:noFill/>
            </a:ln>
            <a:effectLst/>
          </c:spPr>
          <c:cat>
            <c:numRef>
              <c:f>Analysis!$B$26:$B$31</c:f>
              <c:numCache>
                <c:formatCode>General</c:formatCode>
                <c:ptCount val="6"/>
                <c:pt idx="0">
                  <c:v>2019</c:v>
                </c:pt>
                <c:pt idx="1">
                  <c:v>2020</c:v>
                </c:pt>
                <c:pt idx="2">
                  <c:v>2021</c:v>
                </c:pt>
                <c:pt idx="3">
                  <c:v>2022</c:v>
                </c:pt>
                <c:pt idx="4">
                  <c:v>2023</c:v>
                </c:pt>
                <c:pt idx="5">
                  <c:v>2024</c:v>
                </c:pt>
              </c:numCache>
            </c:numRef>
          </c:cat>
          <c:val>
            <c:numRef>
              <c:f>Analysis!$D$26:$D$31</c:f>
              <c:numCache>
                <c:formatCode>0%</c:formatCode>
                <c:ptCount val="6"/>
                <c:pt idx="0">
                  <c:v>9.6409214092140885E-2</c:v>
                </c:pt>
                <c:pt idx="1">
                  <c:v>0.15544713759277518</c:v>
                </c:pt>
                <c:pt idx="2">
                  <c:v>0.10855625893404124</c:v>
                </c:pt>
                <c:pt idx="3">
                  <c:v>0.13444222970650904</c:v>
                </c:pt>
                <c:pt idx="4">
                  <c:v>0.16500565938768186</c:v>
                </c:pt>
                <c:pt idx="5">
                  <c:v>0.14877262583684603</c:v>
                </c:pt>
              </c:numCache>
            </c:numRef>
          </c:val>
          <c:extLst>
            <c:ext xmlns:c16="http://schemas.microsoft.com/office/drawing/2014/chart" uri="{C3380CC4-5D6E-409C-BE32-E72D297353CC}">
              <c16:uniqueId val="{00000001-AA30-43F2-A5E5-ECE761EA24AF}"/>
            </c:ext>
          </c:extLst>
        </c:ser>
        <c:ser>
          <c:idx val="2"/>
          <c:order val="2"/>
          <c:tx>
            <c:strRef>
              <c:f>Analysis!$E$25</c:f>
              <c:strCache>
                <c:ptCount val="1"/>
                <c:pt idx="0">
                  <c:v> Net margin </c:v>
                </c:pt>
              </c:strCache>
            </c:strRef>
          </c:tx>
          <c:spPr>
            <a:solidFill>
              <a:schemeClr val="accent3">
                <a:lumMod val="60000"/>
                <a:lumOff val="40000"/>
              </a:schemeClr>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Analysis!$B$26:$B$31</c:f>
              <c:numCache>
                <c:formatCode>General</c:formatCode>
                <c:ptCount val="6"/>
                <c:pt idx="0">
                  <c:v>2019</c:v>
                </c:pt>
                <c:pt idx="1">
                  <c:v>2020</c:v>
                </c:pt>
                <c:pt idx="2">
                  <c:v>2021</c:v>
                </c:pt>
                <c:pt idx="3">
                  <c:v>2022</c:v>
                </c:pt>
                <c:pt idx="4">
                  <c:v>2023</c:v>
                </c:pt>
                <c:pt idx="5">
                  <c:v>2024</c:v>
                </c:pt>
              </c:numCache>
            </c:numRef>
          </c:cat>
          <c:val>
            <c:numRef>
              <c:f>Analysis!$E$26:$E$31</c:f>
              <c:numCache>
                <c:formatCode>0%</c:formatCode>
                <c:ptCount val="6"/>
                <c:pt idx="0">
                  <c:v>6.8495934959349566E-2</c:v>
                </c:pt>
                <c:pt idx="1">
                  <c:v>0.28530648258680641</c:v>
                </c:pt>
                <c:pt idx="2">
                  <c:v>8.8584847866040414E-2</c:v>
                </c:pt>
                <c:pt idx="3">
                  <c:v>0.1172589181387037</c:v>
                </c:pt>
                <c:pt idx="4">
                  <c:v>0.14949065510863266</c:v>
                </c:pt>
                <c:pt idx="5">
                  <c:v>0.14287131167865114</c:v>
                </c:pt>
              </c:numCache>
            </c:numRef>
          </c:val>
          <c:extLst>
            <c:ext xmlns:c16="http://schemas.microsoft.com/office/drawing/2014/chart" uri="{C3380CC4-5D6E-409C-BE32-E72D297353CC}">
              <c16:uniqueId val="{00000002-AA30-43F2-A5E5-ECE761EA24AF}"/>
            </c:ext>
          </c:extLst>
        </c:ser>
        <c:dLbls>
          <c:showLegendKey val="0"/>
          <c:showVal val="0"/>
          <c:showCatName val="0"/>
          <c:showSerName val="0"/>
          <c:showPercent val="0"/>
          <c:showBubbleSize val="0"/>
        </c:dLbls>
        <c:axId val="1036008752"/>
        <c:axId val="1035997232"/>
      </c:areaChart>
      <c:catAx>
        <c:axId val="10360087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997232"/>
        <c:crosses val="autoZero"/>
        <c:auto val="1"/>
        <c:lblAlgn val="ctr"/>
        <c:lblOffset val="100"/>
        <c:noMultiLvlLbl val="0"/>
      </c:catAx>
      <c:valAx>
        <c:axId val="10359972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008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xdr:col>
      <xdr:colOff>704849</xdr:colOff>
      <xdr:row>1</xdr:row>
      <xdr:rowOff>133350</xdr:rowOff>
    </xdr:from>
    <xdr:to>
      <xdr:col>9</xdr:col>
      <xdr:colOff>319623</xdr:colOff>
      <xdr:row>6</xdr:row>
      <xdr:rowOff>85726</xdr:rowOff>
    </xdr:to>
    <xdr:pic>
      <xdr:nvPicPr>
        <xdr:cNvPr id="3" name="Picture 2" descr="Dexcom Media Kit | Dexcom">
          <a:extLst>
            <a:ext uri="{FF2B5EF4-FFF2-40B4-BE49-F238E27FC236}">
              <a16:creationId xmlns:a16="http://schemas.microsoft.com/office/drawing/2014/main" id="{7DAAD9B9-ACA2-B260-91C0-72DDB19A78C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404" t="37725" r="14161" b="35329"/>
        <a:stretch>
          <a:fillRect/>
        </a:stretch>
      </xdr:blipFill>
      <xdr:spPr bwMode="auto">
        <a:xfrm>
          <a:off x="3962399" y="295275"/>
          <a:ext cx="3843874" cy="762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704850</xdr:colOff>
      <xdr:row>2</xdr:row>
      <xdr:rowOff>142875</xdr:rowOff>
    </xdr:from>
    <xdr:to>
      <xdr:col>10</xdr:col>
      <xdr:colOff>704850</xdr:colOff>
      <xdr:row>22</xdr:row>
      <xdr:rowOff>142875</xdr:rowOff>
    </xdr:to>
    <xdr:graphicFrame macro="">
      <xdr:nvGraphicFramePr>
        <xdr:cNvPr id="2" name="Chart 1">
          <a:extLst>
            <a:ext uri="{FF2B5EF4-FFF2-40B4-BE49-F238E27FC236}">
              <a16:creationId xmlns:a16="http://schemas.microsoft.com/office/drawing/2014/main" id="{07B405D8-1F60-CDE2-9FF7-D3C73174FC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xdr:colOff>
      <xdr:row>2</xdr:row>
      <xdr:rowOff>161924</xdr:rowOff>
    </xdr:from>
    <xdr:to>
      <xdr:col>21</xdr:col>
      <xdr:colOff>9525</xdr:colOff>
      <xdr:row>22</xdr:row>
      <xdr:rowOff>152399</xdr:rowOff>
    </xdr:to>
    <xdr:graphicFrame macro="">
      <xdr:nvGraphicFramePr>
        <xdr:cNvPr id="3" name="Chart 2">
          <a:extLst>
            <a:ext uri="{FF2B5EF4-FFF2-40B4-BE49-F238E27FC236}">
              <a16:creationId xmlns:a16="http://schemas.microsoft.com/office/drawing/2014/main" id="{AFA14787-8ED0-EE69-E7E8-96B19A7C33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714374</xdr:colOff>
      <xdr:row>23</xdr:row>
      <xdr:rowOff>0</xdr:rowOff>
    </xdr:from>
    <xdr:to>
      <xdr:col>10</xdr:col>
      <xdr:colOff>704849</xdr:colOff>
      <xdr:row>43</xdr:row>
      <xdr:rowOff>152400</xdr:rowOff>
    </xdr:to>
    <xdr:graphicFrame macro="">
      <xdr:nvGraphicFramePr>
        <xdr:cNvPr id="4" name="Chart 3">
          <a:extLst>
            <a:ext uri="{FF2B5EF4-FFF2-40B4-BE49-F238E27FC236}">
              <a16:creationId xmlns:a16="http://schemas.microsoft.com/office/drawing/2014/main" id="{F3FC5554-6F62-ECF6-CA97-3150851A06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https://www.bing.com/financeapi/forcetrigger?t=a1rgxm&amp;q=XNAS%3aDXCM&amp;form=skydnc</v>
    <v>Learn more on Bing</v>
  </rv>
  <rv s="1">
    <v>en-US</v>
    <v>a1rgxm</v>
    <v>268435456</v>
    <v>1</v>
    <v>Powered by Refinitiv</v>
    <v>0</v>
    <v>DEXCOM, INC. (XNAS:DXCM)</v>
    <v>2</v>
    <v>3</v>
    <v>Finance</v>
    <v>4</v>
    <v>89.98</v>
    <v>54.11</v>
    <v>1.4406000000000001</v>
    <v>-0.16</v>
    <v>7.4310000000000001E-3</v>
    <v>-2.281E-3</v>
    <v>0.52</v>
    <v>USD</v>
    <v>DexCom, Inc. is a medical device company. The Company is primarily focused on the design, development, and commercialization of continuous glucose monitoring (CGM), systems for the management of diabetes and metabolic health by patients, caregivers, and clinicians. It enables people to take control of health through innovative biosensing technology. The G7 is an integrated continuous glucose monitoring system. Stelo is designed specifically for people with type II diabetes who do not use insulin as the first over-the-counter glucose biosensor in the United States. The Dexcom Share remote monitoring system, offered for use with any Dexcom system, uses an app on the patient’s compatible mobile device. Its Dexcom G7 is for adults and children (2+ years) living with type I or type II diabetes who are on any insulin or medications, at risk of hypoglycemia, and those with gestational diabetes. The G7 and G7 15 Day includes finger stick elimination, continuous glucose readings and others.</v>
    <v>11000</v>
    <v>Nasdaq Stock Market</v>
    <v>XNAS</v>
    <v>XNAS</v>
    <v>6340 Sequence Drive, SAN DIEGO, CA, 92121 US</v>
    <v>71.06</v>
    <v>Healthcare Equipment &amp; Supplies</v>
    <v>Stock</v>
    <v>46202.902622001566</v>
    <v>0</v>
    <v>69.459999999999994</v>
    <v>27003392540</v>
    <v>DEXCOM, INC.</v>
    <v>DEXCOM, INC.</v>
    <v>69.67</v>
    <v>30.188500000000001</v>
    <v>70.14</v>
    <v>69.98</v>
    <v>70.5</v>
    <v>385873000</v>
    <v>DXCM</v>
    <v>DEXCOM, INC. (XNAS:DXCM)</v>
    <v>3978720</v>
    <v>5785554</v>
    <v>1999</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836D17-CF5B-4D77-8F3B-A3DD174F8D54}" name="Table1" displayName="Table1" ref="B8:I35" totalsRowShown="0" headerRowDxfId="20" dataDxfId="18" headerRowBorderDxfId="19" dataCellStyle="Comma">
  <autoFilter ref="B8:I35" xr:uid="{23836D17-CF5B-4D77-8F3B-A3DD174F8D54}"/>
  <tableColumns count="8">
    <tableColumn id="1" xr3:uid="{C56CB535-0884-4EB6-8247-BC7076E0F9ED}" name="." dataDxfId="17"/>
    <tableColumn id="2" xr3:uid="{5CB05335-81A4-4F9E-91AE-D7275C95F89C}" name="2019" dataDxfId="16" dataCellStyle="Comma"/>
    <tableColumn id="3" xr3:uid="{A67758F4-C8A9-49AB-B402-3C6C6623F38E}" name="2020" dataDxfId="15" dataCellStyle="Comma"/>
    <tableColumn id="4" xr3:uid="{D2EB0291-4E53-45C5-9A55-496776298FCF}" name="2021" dataDxfId="14" dataCellStyle="Comma"/>
    <tableColumn id="5" xr3:uid="{8BBF933F-D97B-42BA-9EF9-C011F65930FC}" name="2022" dataDxfId="13" dataCellStyle="Comma"/>
    <tableColumn id="6" xr3:uid="{5B24A045-0943-4881-8988-3CC50E6754BD}" name="2023" dataDxfId="12" dataCellStyle="Comma"/>
    <tableColumn id="7" xr3:uid="{0F4D0575-18E6-42CA-A6D9-2FCC3DD18D8B}" name="2024" dataDxfId="11" dataCellStyle="Comma"/>
    <tableColumn id="8" xr3:uid="{AF1DF1CE-9402-4D1D-84A7-9FFB5041FB02}" name="2025" dataDxfId="10"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0BF547-D843-4B46-A130-6CFC2B9CD1F8}" name="Table2" displayName="Table2" ref="N8:U49" totalsRowShown="0" headerRowDxfId="9" dataDxfId="7" headerRowBorderDxfId="8" dataCellStyle="Comma">
  <autoFilter ref="N8:U49" xr:uid="{120BF547-D843-4B46-A130-6CFC2B9CD1F8}"/>
  <tableColumns count="8">
    <tableColumn id="1" xr3:uid="{DB29C79D-FAB6-484C-9815-A2E8E1E77194}" name="."/>
    <tableColumn id="2" xr3:uid="{3C41FD2C-CF3B-45B9-83D3-DF70DA3F9D5A}" name="2019" dataDxfId="6" dataCellStyle="Comma"/>
    <tableColumn id="3" xr3:uid="{2DFCE98E-C0C8-42EE-BB58-7255714974F0}" name="2020" dataDxfId="5" dataCellStyle="Comma"/>
    <tableColumn id="4" xr3:uid="{44C5D0A9-3EFA-4FEC-93F4-6F50F976863F}" name="2021" dataDxfId="4" dataCellStyle="Comma"/>
    <tableColumn id="5" xr3:uid="{4743886E-940B-4EE9-A1FC-1D090FB5B393}" name="2022" dataDxfId="3" dataCellStyle="Comma"/>
    <tableColumn id="6" xr3:uid="{64A6DC66-AB43-4E0F-8986-3CD831887B8C}" name="2023" dataDxfId="2" dataCellStyle="Comma"/>
    <tableColumn id="7" xr3:uid="{3B18363B-4162-4DCB-B417-6622816301E4}" name="2024" dataDxfId="1" dataCellStyle="Comma"/>
    <tableColumn id="8" xr3:uid="{BC7F9B89-707F-4118-9C55-ECB084C291C6}" name="2025" dataDxfId="0"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C19DB97-580D-4C76-BFE4-145D59A23DBF}" name="Table810" displayName="Table810" ref="B4:D12" totalsRowShown="0" headerRowDxfId="25" dataDxfId="24">
  <autoFilter ref="B4:D12" xr:uid="{EC19DB97-580D-4C76-BFE4-145D59A23DBF}">
    <filterColumn colId="0" hiddenButton="1"/>
    <filterColumn colId="1" hiddenButton="1"/>
    <filterColumn colId="2" hiddenButton="1"/>
  </autoFilter>
  <tableColumns count="3">
    <tableColumn id="1" xr3:uid="{DD94633F-B90C-4BC0-B3FB-A4B0C19101FE}" name="Screening Score" dataDxfId="23"/>
    <tableColumn id="2" xr3:uid="{B089A170-11B3-4424-A553-7C5C7F80974B}" name="Column1" dataDxfId="22"/>
    <tableColumn id="3" xr3:uid="{3AE056BD-CBF2-4E18-BEEB-29B92B71ECD6}" name="2025" dataDxfId="2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32568-5640-4B84-AC29-1C6BDB0C1A0A}">
  <sheetPr>
    <pageSetUpPr fitToPage="1"/>
  </sheetPr>
  <dimension ref="A1:Y49"/>
  <sheetViews>
    <sheetView tabSelected="1" topLeftCell="F1" zoomScale="115" zoomScaleNormal="115" workbookViewId="0">
      <selection activeCell="O49" sqref="O49:U49"/>
    </sheetView>
  </sheetViews>
  <sheetFormatPr defaultColWidth="10.5703125" defaultRowHeight="12.75" x14ac:dyDescent="0.2"/>
  <cols>
    <col min="1" max="1" width="10.5703125" style="1"/>
    <col min="2" max="2" width="27.7109375" style="1" customWidth="1"/>
    <col min="3" max="3" width="10.5703125" style="14" customWidth="1"/>
    <col min="4" max="9" width="10.5703125" style="14"/>
    <col min="10" max="12" width="10.5703125" style="25"/>
    <col min="13" max="13" width="5.5703125" style="1" customWidth="1"/>
    <col min="14" max="14" width="25.5703125" style="1" customWidth="1"/>
    <col min="15" max="21" width="10.5703125" style="14"/>
    <col min="22" max="16384" width="10.5703125" style="25"/>
  </cols>
  <sheetData>
    <row r="1" spans="2:24" s="1" customFormat="1" x14ac:dyDescent="0.2"/>
    <row r="2" spans="2:24" s="1" customFormat="1" x14ac:dyDescent="0.2"/>
    <row r="3" spans="2:24" s="1" customFormat="1" x14ac:dyDescent="0.2">
      <c r="B3" s="19" t="e" vm="1">
        <v>#VALUE!</v>
      </c>
    </row>
    <row r="4" spans="2:24" s="1" customFormat="1" x14ac:dyDescent="0.2">
      <c r="B4" s="1" t="s">
        <v>0</v>
      </c>
      <c r="C4" s="2" cm="1">
        <f t="array" aca="1" ref="C4" ca="1">_FV(B3,"Price")</f>
        <v>69.98</v>
      </c>
    </row>
    <row r="5" spans="2:24" s="1" customFormat="1" x14ac:dyDescent="0.2">
      <c r="B5" s="1" t="s">
        <v>1</v>
      </c>
      <c r="C5" s="3">
        <v>392.1</v>
      </c>
    </row>
    <row r="6" spans="2:24" s="1" customFormat="1" x14ac:dyDescent="0.2">
      <c r="B6" s="1" t="s">
        <v>2</v>
      </c>
      <c r="C6" s="3">
        <f ca="1">C4*C5</f>
        <v>27439.158000000003</v>
      </c>
    </row>
    <row r="7" spans="2:24" s="1" customFormat="1" x14ac:dyDescent="0.2"/>
    <row r="8" spans="2:24" s="1" customFormat="1" x14ac:dyDescent="0.2">
      <c r="B8" s="12" t="s">
        <v>14</v>
      </c>
      <c r="C8" s="4" t="s">
        <v>8</v>
      </c>
      <c r="D8" s="4" t="s">
        <v>9</v>
      </c>
      <c r="E8" s="4" t="s">
        <v>10</v>
      </c>
      <c r="F8" s="4" t="s">
        <v>11</v>
      </c>
      <c r="G8" s="4" t="s">
        <v>12</v>
      </c>
      <c r="H8" s="4" t="s">
        <v>13</v>
      </c>
      <c r="I8" s="4" t="s">
        <v>74</v>
      </c>
      <c r="J8" s="9" t="s">
        <v>4</v>
      </c>
      <c r="K8" s="10" t="s">
        <v>5</v>
      </c>
      <c r="L8" s="11" t="s">
        <v>75</v>
      </c>
      <c r="N8" s="12" t="s">
        <v>14</v>
      </c>
      <c r="O8" s="4" t="s">
        <v>8</v>
      </c>
      <c r="P8" s="4" t="s">
        <v>9</v>
      </c>
      <c r="Q8" s="4" t="s">
        <v>10</v>
      </c>
      <c r="R8" s="4" t="s">
        <v>11</v>
      </c>
      <c r="S8" s="4" t="s">
        <v>12</v>
      </c>
      <c r="T8" s="4" t="s">
        <v>13</v>
      </c>
      <c r="U8" s="4" t="s">
        <v>74</v>
      </c>
      <c r="V8" s="9" t="s">
        <v>4</v>
      </c>
      <c r="W8" s="10" t="s">
        <v>5</v>
      </c>
      <c r="X8" s="11" t="s">
        <v>75</v>
      </c>
    </row>
    <row r="9" spans="2:24" ht="15" x14ac:dyDescent="0.25">
      <c r="B9" s="8" t="s">
        <v>3</v>
      </c>
      <c r="C9" s="3"/>
      <c r="D9" s="7"/>
      <c r="E9" s="3"/>
      <c r="F9" s="3"/>
      <c r="G9" s="3"/>
      <c r="H9" s="3"/>
      <c r="I9" s="49"/>
      <c r="J9" s="22"/>
      <c r="K9" s="23"/>
      <c r="L9" s="24"/>
      <c r="N9" s="8" t="s">
        <v>6</v>
      </c>
      <c r="O9" s="3"/>
      <c r="P9" s="7"/>
      <c r="Q9" s="3"/>
      <c r="R9" s="3"/>
      <c r="S9" s="3"/>
      <c r="T9" s="3"/>
      <c r="U9" s="49"/>
      <c r="V9" s="22"/>
      <c r="W9" s="23"/>
      <c r="X9" s="24"/>
    </row>
    <row r="10" spans="2:24" x14ac:dyDescent="0.2">
      <c r="B10" s="31" t="s">
        <v>19</v>
      </c>
      <c r="C10" s="27">
        <v>1161.5</v>
      </c>
      <c r="D10" s="14">
        <v>1437.6</v>
      </c>
      <c r="E10" s="14">
        <v>2024.3</v>
      </c>
      <c r="F10" s="14">
        <v>2470.8000000000002</v>
      </c>
      <c r="G10" s="14">
        <v>3095.6</v>
      </c>
      <c r="H10" s="14">
        <v>3430.1</v>
      </c>
      <c r="I10" s="50">
        <v>3959</v>
      </c>
      <c r="J10" s="69">
        <f>LN(Table1[[#This Row],[2025]]/Table1[[#This Row],[2024]])</f>
        <v>0.14340205285217941</v>
      </c>
      <c r="K10" s="53">
        <f>LN(Table1[[#This Row],[2025]]/Table1[[#This Row],[2023]])</f>
        <v>0.24600971970982655</v>
      </c>
      <c r="L10" s="69">
        <f>LN(Table1[[#This Row],[2025]]/Table1[[#This Row],[2019]])</f>
        <v>1.2262791948956668</v>
      </c>
      <c r="N10" s="5" t="s">
        <v>7</v>
      </c>
      <c r="O10" s="3"/>
      <c r="P10" s="3"/>
      <c r="Q10" s="3"/>
      <c r="R10" s="3"/>
      <c r="S10" s="3"/>
      <c r="T10" s="3"/>
      <c r="U10" s="49"/>
      <c r="V10" s="22"/>
      <c r="W10" s="23"/>
      <c r="X10" s="24"/>
    </row>
    <row r="11" spans="2:24" x14ac:dyDescent="0.2">
      <c r="B11" s="31" t="s">
        <v>20</v>
      </c>
      <c r="C11" s="33">
        <v>314.5</v>
      </c>
      <c r="D11" s="14">
        <v>489.1</v>
      </c>
      <c r="E11" s="14">
        <v>424.2</v>
      </c>
      <c r="F11" s="14">
        <v>439</v>
      </c>
      <c r="G11" s="14">
        <v>526.70000000000005</v>
      </c>
      <c r="H11" s="14">
        <v>602.9</v>
      </c>
      <c r="I11" s="50">
        <v>703</v>
      </c>
      <c r="J11" s="69">
        <f>LN(Table1[[#This Row],[2025]]/Table1[[#This Row],[2024]])</f>
        <v>0.15360554631530512</v>
      </c>
      <c r="K11" s="53">
        <f>LN(Table1[[#This Row],[2025]]/Table1[[#This Row],[2023]])</f>
        <v>0.28872576532132116</v>
      </c>
      <c r="L11" s="54">
        <f>LN(Table1[[#This Row],[2025]]/Table1[[#This Row],[2019]])</f>
        <v>0.80437281567016972</v>
      </c>
      <c r="N11" s="31" t="s">
        <v>34</v>
      </c>
      <c r="O11" s="14">
        <v>446.2</v>
      </c>
      <c r="P11" s="14">
        <v>817.6</v>
      </c>
      <c r="Q11" s="14">
        <v>1052.5999999999999</v>
      </c>
      <c r="R11" s="14">
        <v>642.29999999999995</v>
      </c>
      <c r="S11" s="14">
        <v>566.29999999999995</v>
      </c>
      <c r="T11" s="14">
        <v>606.1</v>
      </c>
      <c r="U11" s="50">
        <v>917.7</v>
      </c>
      <c r="V11" s="69">
        <f>LN(Table2[[#This Row],[2025]]/Table2[[#This Row],[2024]])</f>
        <v>0.41482555086772815</v>
      </c>
      <c r="W11" s="53">
        <f>LN(Table2[[#This Row],[2025]]/Table2[[#This Row],[2023]])</f>
        <v>0.48274656670520821</v>
      </c>
      <c r="X11" s="54">
        <f>LN(Table2[[#This Row],[2025]]/Table2[[#This Row],[2019]])</f>
        <v>0.72110325782653539</v>
      </c>
    </row>
    <row r="12" spans="2:24" ht="13.5" thickBot="1" x14ac:dyDescent="0.25">
      <c r="B12" s="32" t="s">
        <v>21</v>
      </c>
      <c r="C12" s="29">
        <f t="shared" ref="C12:G12" si="0">SUM(C10:C11)</f>
        <v>1476</v>
      </c>
      <c r="D12" s="29">
        <f t="shared" si="0"/>
        <v>1926.6999999999998</v>
      </c>
      <c r="E12" s="29">
        <f t="shared" si="0"/>
        <v>2448.5</v>
      </c>
      <c r="F12" s="29">
        <f t="shared" si="0"/>
        <v>2909.8</v>
      </c>
      <c r="G12" s="29">
        <f t="shared" si="0"/>
        <v>3622.3</v>
      </c>
      <c r="H12" s="29">
        <f>SUM(H10:H11)</f>
        <v>4033</v>
      </c>
      <c r="I12" s="29">
        <f>SUM(I10:I11)</f>
        <v>4662</v>
      </c>
      <c r="J12" s="68">
        <f>LN(Table1[[#This Row],[2025]]/Table1[[#This Row],[2024]])</f>
        <v>0.14493402472233424</v>
      </c>
      <c r="K12" s="59">
        <f>LN(Table1[[#This Row],[2025]]/Table1[[#This Row],[2023]])</f>
        <v>0.25233535741501328</v>
      </c>
      <c r="L12" s="68">
        <f>LN(Table1[[#This Row],[2025]]/Table1[[#This Row],[2019]])</f>
        <v>1.1501088144352847</v>
      </c>
      <c r="N12" s="31" t="s">
        <v>35</v>
      </c>
      <c r="O12" s="14">
        <v>1087.0999999999999</v>
      </c>
      <c r="P12" s="14">
        <v>1890.1</v>
      </c>
      <c r="Q12" s="14">
        <v>1678.6</v>
      </c>
      <c r="R12" s="14">
        <v>1813.9</v>
      </c>
      <c r="S12" s="14">
        <v>2157.8000000000002</v>
      </c>
      <c r="T12" s="14">
        <v>1973.3</v>
      </c>
      <c r="U12" s="50">
        <v>1081</v>
      </c>
      <c r="V12" s="69">
        <f>LN(Table2[[#This Row],[2025]]/Table2[[#This Row],[2024]])</f>
        <v>-0.60182072953617194</v>
      </c>
      <c r="W12" s="53">
        <f>LN(Table2[[#This Row],[2025]]/Table2[[#This Row],[2023]])</f>
        <v>-0.69120264547803145</v>
      </c>
      <c r="X12" s="54">
        <f>LN(Table2[[#This Row],[2025]]/Table2[[#This Row],[2019]])</f>
        <v>-5.6270615707463192E-3</v>
      </c>
    </row>
    <row r="13" spans="2:24" x14ac:dyDescent="0.2">
      <c r="B13" s="18" t="s">
        <v>22</v>
      </c>
      <c r="C13" s="15">
        <v>544.5</v>
      </c>
      <c r="D13" s="15">
        <v>646.6</v>
      </c>
      <c r="E13" s="15">
        <v>768</v>
      </c>
      <c r="F13" s="15">
        <v>1026.7</v>
      </c>
      <c r="G13" s="15">
        <v>1333.4</v>
      </c>
      <c r="H13" s="15">
        <v>1594.8</v>
      </c>
      <c r="I13" s="15">
        <v>1860.1</v>
      </c>
      <c r="J13" s="55">
        <f>LN(Table1[[#This Row],[2025]]/Table1[[#This Row],[2024]])</f>
        <v>0.1538819131957051</v>
      </c>
      <c r="K13" s="56">
        <f>LN(Table1[[#This Row],[2025]]/Table1[[#This Row],[2023]])</f>
        <v>0.33289817851894538</v>
      </c>
      <c r="L13" s="57">
        <f>LN(Table1[[#This Row],[2025]]/Table1[[#This Row],[2019]])</f>
        <v>1.2285175863298901</v>
      </c>
      <c r="N13" s="31" t="s">
        <v>36</v>
      </c>
      <c r="O13" s="14">
        <v>286.3</v>
      </c>
      <c r="P13" s="14">
        <v>428.5</v>
      </c>
      <c r="Q13" s="14">
        <v>514.29999999999995</v>
      </c>
      <c r="R13" s="14">
        <v>713.3</v>
      </c>
      <c r="S13" s="14">
        <v>973.9</v>
      </c>
      <c r="T13" s="14">
        <v>1005.7</v>
      </c>
      <c r="U13" s="50">
        <v>1216.0999999999999</v>
      </c>
      <c r="V13" s="52">
        <f>LN(Table2[[#This Row],[2025]]/Table2[[#This Row],[2024]])</f>
        <v>0.18996520053651897</v>
      </c>
      <c r="W13" s="53">
        <f>LN(Table2[[#This Row],[2025]]/Table2[[#This Row],[2023]])</f>
        <v>0.22209566701980027</v>
      </c>
      <c r="X13" s="54">
        <f>LN(Table2[[#This Row],[2025]]/Table2[[#This Row],[2019]])</f>
        <v>1.4463640838828844</v>
      </c>
    </row>
    <row r="14" spans="2:24" ht="13.5" thickBot="1" x14ac:dyDescent="0.25">
      <c r="B14" s="32" t="s">
        <v>23</v>
      </c>
      <c r="C14" s="29">
        <f t="shared" ref="C14:G14" si="1">C12-C13</f>
        <v>931.5</v>
      </c>
      <c r="D14" s="29">
        <f t="shared" si="1"/>
        <v>1280.0999999999999</v>
      </c>
      <c r="E14" s="29">
        <f t="shared" si="1"/>
        <v>1680.5</v>
      </c>
      <c r="F14" s="29">
        <f t="shared" si="1"/>
        <v>1883.1000000000001</v>
      </c>
      <c r="G14" s="29">
        <f t="shared" si="1"/>
        <v>2288.9</v>
      </c>
      <c r="H14" s="29">
        <f>H12-H13</f>
        <v>2438.1999999999998</v>
      </c>
      <c r="I14" s="29">
        <f>I12-I13</f>
        <v>2801.9</v>
      </c>
      <c r="J14" s="68">
        <f>LN(Table1[[#This Row],[2025]]/Table1[[#This Row],[2024]])</f>
        <v>0.13903769633532767</v>
      </c>
      <c r="K14" s="59">
        <f>LN(Table1[[#This Row],[2025]]/Table1[[#This Row],[2023]])</f>
        <v>0.20222640566777078</v>
      </c>
      <c r="L14" s="68">
        <f>LN(Table1[[#This Row],[2025]]/Table1[[#This Row],[2019]])</f>
        <v>1.1012568474247302</v>
      </c>
      <c r="N14" s="31" t="s">
        <v>37</v>
      </c>
      <c r="O14" s="14">
        <v>119.8</v>
      </c>
      <c r="P14" s="14">
        <v>234.7</v>
      </c>
      <c r="Q14" s="14">
        <v>357.3</v>
      </c>
      <c r="R14" s="14">
        <v>306.7</v>
      </c>
      <c r="S14" s="14">
        <v>559.6</v>
      </c>
      <c r="T14" s="14">
        <v>542.6</v>
      </c>
      <c r="U14" s="50">
        <v>629.1</v>
      </c>
      <c r="V14" s="69">
        <f>LN(Table2[[#This Row],[2025]]/Table2[[#This Row],[2024]])</f>
        <v>0.14791782635115255</v>
      </c>
      <c r="W14" s="53">
        <f>LN(Table2[[#This Row],[2025]]/Table2[[#This Row],[2023]])</f>
        <v>0.1170679837846578</v>
      </c>
      <c r="X14" s="54">
        <f>LN(Table2[[#This Row],[2025]]/Table2[[#This Row],[2019]])</f>
        <v>1.6584665408946351</v>
      </c>
    </row>
    <row r="15" spans="2:24" x14ac:dyDescent="0.2">
      <c r="B15" s="6"/>
      <c r="I15" s="50"/>
      <c r="J15" s="22"/>
      <c r="K15" s="23"/>
      <c r="L15" s="24"/>
      <c r="N15" s="31" t="s">
        <v>38</v>
      </c>
      <c r="O15" s="33">
        <v>30</v>
      </c>
      <c r="P15" s="33">
        <v>53.9</v>
      </c>
      <c r="Q15" s="33">
        <v>81.599999999999994</v>
      </c>
      <c r="R15" s="33">
        <v>192.6</v>
      </c>
      <c r="S15" s="33">
        <v>168.3</v>
      </c>
      <c r="T15" s="33">
        <v>173.7</v>
      </c>
      <c r="U15" s="50">
        <v>189.4</v>
      </c>
      <c r="V15" s="52">
        <f>LN(Table2[[#This Row],[2025]]/Table2[[#This Row],[2024]])</f>
        <v>8.6531507504918795E-2</v>
      </c>
      <c r="W15" s="53">
        <f>LN(Table2[[#This Row],[2025]]/Table2[[#This Row],[2023]])</f>
        <v>0.11811307955521751</v>
      </c>
      <c r="X15" s="54">
        <f>LN(Table2[[#This Row],[2025]]/Table2[[#This Row],[2019]])</f>
        <v>1.8426637990898225</v>
      </c>
    </row>
    <row r="16" spans="2:24" ht="13.5" thickBot="1" x14ac:dyDescent="0.25">
      <c r="B16" s="5" t="s">
        <v>24</v>
      </c>
      <c r="I16" s="50"/>
      <c r="J16" s="22"/>
      <c r="K16" s="23"/>
      <c r="L16" s="24"/>
      <c r="N16" s="32" t="s">
        <v>39</v>
      </c>
      <c r="O16" s="29">
        <f t="shared" ref="O16:S16" si="2">SUM(O11:O15)</f>
        <v>1969.3999999999999</v>
      </c>
      <c r="P16" s="29">
        <f t="shared" si="2"/>
        <v>3424.7999999999997</v>
      </c>
      <c r="Q16" s="29">
        <f t="shared" si="2"/>
        <v>3684.4</v>
      </c>
      <c r="R16" s="29">
        <f t="shared" si="2"/>
        <v>3668.7999999999997</v>
      </c>
      <c r="S16" s="29">
        <f t="shared" si="2"/>
        <v>4425.9000000000005</v>
      </c>
      <c r="T16" s="29">
        <f>SUM(T11:T15)</f>
        <v>4301.4000000000005</v>
      </c>
      <c r="U16" s="29">
        <f>SUM(U11:U15)</f>
        <v>4033.3</v>
      </c>
      <c r="V16" s="68">
        <f>LN(Table2[[#This Row],[2025]]/Table2[[#This Row],[2024]])</f>
        <v>-6.4355651667119693E-2</v>
      </c>
      <c r="W16" s="68">
        <f>LN(Table2[[#This Row],[2025]]/Table2[[#This Row],[2023]])</f>
        <v>-9.2888748171869082E-2</v>
      </c>
      <c r="X16" s="60">
        <f>LN(Table2[[#This Row],[2025]]/Table2[[#This Row],[2019]])</f>
        <v>0.7168559716060604</v>
      </c>
    </row>
    <row r="17" spans="1:25" x14ac:dyDescent="0.2">
      <c r="B17" s="31" t="s">
        <v>25</v>
      </c>
      <c r="C17" s="33">
        <v>273.5</v>
      </c>
      <c r="D17" s="33">
        <v>359.9</v>
      </c>
      <c r="E17" s="33">
        <f>517.1+87.1</f>
        <v>604.20000000000005</v>
      </c>
      <c r="F17" s="33">
        <v>484.2</v>
      </c>
      <c r="G17" s="33">
        <v>505.8</v>
      </c>
      <c r="H17" s="33">
        <v>552.4</v>
      </c>
      <c r="I17" s="50">
        <v>599.1</v>
      </c>
      <c r="J17" s="69">
        <f>LN(Table1[[#This Row],[2025]]/Table1[[#This Row],[2024]])</f>
        <v>8.1156107554742285E-2</v>
      </c>
      <c r="K17" s="69">
        <f>LN(Table1[[#This Row],[2025]]/Table1[[#This Row],[2023]])</f>
        <v>0.16928719485401456</v>
      </c>
      <c r="L17" s="69">
        <f>LN(Table1[[#This Row],[2025]]/Table1[[#This Row],[2019]])</f>
        <v>0.78412690722784339</v>
      </c>
      <c r="N17" s="39" t="s">
        <v>40</v>
      </c>
      <c r="O17" s="14">
        <v>321.3</v>
      </c>
      <c r="P17" s="14">
        <v>515.29999999999995</v>
      </c>
      <c r="Q17" s="14">
        <v>801.8</v>
      </c>
      <c r="R17" s="14">
        <v>1055.5999999999999</v>
      </c>
      <c r="S17" s="14">
        <v>1113.0999999999999</v>
      </c>
      <c r="T17" s="14">
        <v>1339.9</v>
      </c>
      <c r="U17" s="50">
        <v>1559.9</v>
      </c>
      <c r="V17" s="52">
        <f>LN(Table2[[#This Row],[2025]]/Table2[[#This Row],[2024]])</f>
        <v>0.15202673233026065</v>
      </c>
      <c r="W17" s="53">
        <f>LN(Table2[[#This Row],[2025]]/Table2[[#This Row],[2023]])</f>
        <v>0.33747280112564304</v>
      </c>
      <c r="X17" s="54">
        <f>LN(Table2[[#This Row],[2025]]/Table2[[#This Row],[2019]])</f>
        <v>1.5800017295030102</v>
      </c>
    </row>
    <row r="18" spans="1:25" x14ac:dyDescent="0.2">
      <c r="B18" s="31" t="s">
        <v>26</v>
      </c>
      <c r="C18" s="14">
        <v>515.70000000000005</v>
      </c>
      <c r="D18" s="14">
        <v>620.70000000000005</v>
      </c>
      <c r="E18" s="14">
        <f>3.7+806.8</f>
        <v>810.5</v>
      </c>
      <c r="F18" s="14">
        <v>1007.7</v>
      </c>
      <c r="G18" s="14">
        <v>1185.4000000000001</v>
      </c>
      <c r="H18" s="33">
        <v>1285.8</v>
      </c>
      <c r="I18" s="50">
        <v>1291</v>
      </c>
      <c r="J18" s="52">
        <f>LN(Table1[[#This Row],[2025]]/Table1[[#This Row],[2024]])</f>
        <v>4.0360191390563108E-3</v>
      </c>
      <c r="K18" s="53">
        <f>LN(Table1[[#This Row],[2025]]/Table1[[#This Row],[2023]])</f>
        <v>8.533684149290463E-2</v>
      </c>
      <c r="L18" s="54">
        <f>LN(Table1[[#This Row],[2025]]/Table1[[#This Row],[2019]])</f>
        <v>0.91764718978972915</v>
      </c>
      <c r="N18" s="39" t="s">
        <v>41</v>
      </c>
      <c r="O18" s="14">
        <v>71.5</v>
      </c>
      <c r="P18" s="14">
        <v>93.3</v>
      </c>
      <c r="Q18" s="14">
        <v>88.1</v>
      </c>
      <c r="R18" s="14">
        <v>80</v>
      </c>
      <c r="S18" s="14">
        <v>71.400000000000006</v>
      </c>
      <c r="T18" s="14">
        <v>62.8</v>
      </c>
      <c r="U18" s="50">
        <v>77.400000000000006</v>
      </c>
      <c r="V18" s="52">
        <f>LN(Table2[[#This Row],[2025]]/Table2[[#This Row],[2024]])</f>
        <v>0.20903170712152849</v>
      </c>
      <c r="W18" s="53">
        <f>LN(Table2[[#This Row],[2025]]/Table2[[#This Row],[2023]])</f>
        <v>8.0688911250142659E-2</v>
      </c>
      <c r="X18" s="54">
        <f>LN(Table2[[#This Row],[2025]]/Table2[[#This Row],[2019]])</f>
        <v>7.9289330895719531E-2</v>
      </c>
    </row>
    <row r="19" spans="1:25" ht="13.5" thickBot="1" x14ac:dyDescent="0.25">
      <c r="B19" s="32" t="s">
        <v>27</v>
      </c>
      <c r="C19" s="29">
        <f t="shared" ref="C19:G19" si="3">SUM(C17:C18)</f>
        <v>789.2</v>
      </c>
      <c r="D19" s="29">
        <f t="shared" si="3"/>
        <v>980.6</v>
      </c>
      <c r="E19" s="29">
        <f t="shared" si="3"/>
        <v>1414.7</v>
      </c>
      <c r="F19" s="29">
        <f t="shared" si="3"/>
        <v>1491.9</v>
      </c>
      <c r="G19" s="29">
        <f t="shared" si="3"/>
        <v>1691.2</v>
      </c>
      <c r="H19" s="29">
        <f>SUM(H17:H18)</f>
        <v>1838.1999999999998</v>
      </c>
      <c r="I19" s="29">
        <f>SUM(I17:I18)</f>
        <v>1890.1</v>
      </c>
      <c r="J19" s="58">
        <f>LN(Table1[[#This Row],[2025]]/Table1[[#This Row],[2024]])</f>
        <v>2.7842905782901609E-2</v>
      </c>
      <c r="K19" s="59">
        <f>LN(Table1[[#This Row],[2025]]/Table1[[#This Row],[2023]])</f>
        <v>0.11119140159093743</v>
      </c>
      <c r="L19" s="60">
        <f>LN(Table1[[#This Row],[2025]]/Table1[[#This Row],[2019]])</f>
        <v>0.87336524255845027</v>
      </c>
      <c r="N19" s="39" t="s">
        <v>42</v>
      </c>
      <c r="O19" s="14">
        <v>18.600000000000001</v>
      </c>
      <c r="P19" s="14">
        <v>19.3</v>
      </c>
      <c r="Q19" s="14">
        <v>26.5</v>
      </c>
      <c r="R19" s="14">
        <v>25.7</v>
      </c>
      <c r="S19" s="14">
        <v>25.2</v>
      </c>
      <c r="T19" s="14">
        <v>22.8</v>
      </c>
      <c r="U19" s="50">
        <v>24.2</v>
      </c>
      <c r="V19" s="52">
        <f>LN(Table2[[#This Row],[2025]]/Table2[[#This Row],[2024]])</f>
        <v>5.9592097202245599E-2</v>
      </c>
      <c r="W19" s="53">
        <f>LN(Table2[[#This Row],[2025]]/Table2[[#This Row],[2023]])</f>
        <v>-4.0491361354736875E-2</v>
      </c>
      <c r="X19" s="54">
        <f>LN(Table2[[#This Row],[2025]]/Table2[[#This Row],[2019]])</f>
        <v>0.26319105244348512</v>
      </c>
    </row>
    <row r="20" spans="1:25" s="26" customFormat="1" x14ac:dyDescent="0.2">
      <c r="A20" s="1"/>
      <c r="B20" s="6"/>
      <c r="C20" s="14"/>
      <c r="D20" s="14"/>
      <c r="E20" s="14"/>
      <c r="F20" s="14"/>
      <c r="G20" s="14"/>
      <c r="H20" s="14"/>
      <c r="I20" s="50"/>
      <c r="J20" s="22"/>
      <c r="K20" s="23"/>
      <c r="L20" s="24"/>
      <c r="M20" s="1"/>
      <c r="N20" s="39" t="s">
        <v>43</v>
      </c>
      <c r="O20" s="14">
        <v>0</v>
      </c>
      <c r="P20" s="14">
        <v>0</v>
      </c>
      <c r="Q20" s="14">
        <v>31.5</v>
      </c>
      <c r="R20" s="14">
        <v>173.3</v>
      </c>
      <c r="S20" s="14">
        <v>134.5</v>
      </c>
      <c r="T20" s="14">
        <v>103.4</v>
      </c>
      <c r="U20" s="50">
        <v>70.8</v>
      </c>
      <c r="V20" s="69">
        <f>LN(Table2[[#This Row],[2025]]/Table2[[#This Row],[2024]])</f>
        <v>-0.37874596137465472</v>
      </c>
      <c r="W20" s="53">
        <f>LN(Table2[[#This Row],[2025]]/Table2[[#This Row],[2023]])</f>
        <v>-0.64170519834221973</v>
      </c>
      <c r="X20" s="54" t="e">
        <f>LN(Table2[[#This Row],[2025]]/Table2[[#This Row],[2019]])</f>
        <v>#DIV/0!</v>
      </c>
    </row>
    <row r="21" spans="1:25" x14ac:dyDescent="0.2">
      <c r="B21" s="5" t="s">
        <v>28</v>
      </c>
      <c r="C21" s="15">
        <f t="shared" ref="C21:G21" si="4">C14-C19</f>
        <v>142.29999999999995</v>
      </c>
      <c r="D21" s="15">
        <f t="shared" si="4"/>
        <v>299.49999999999989</v>
      </c>
      <c r="E21" s="15">
        <f t="shared" si="4"/>
        <v>265.79999999999995</v>
      </c>
      <c r="F21" s="15">
        <f t="shared" si="4"/>
        <v>391.20000000000005</v>
      </c>
      <c r="G21" s="15">
        <f t="shared" si="4"/>
        <v>597.70000000000005</v>
      </c>
      <c r="H21" s="15">
        <f>H14-H19</f>
        <v>600</v>
      </c>
      <c r="I21" s="15">
        <f>I14-I19</f>
        <v>911.80000000000018</v>
      </c>
      <c r="J21" s="69">
        <f>LN(Table1[[#This Row],[2025]]/Table1[[#This Row],[2024]])</f>
        <v>0.41849101256319488</v>
      </c>
      <c r="K21" s="56">
        <f>LN(Table1[[#This Row],[2025]]/Table1[[#This Row],[2023]])</f>
        <v>0.42233171194913272</v>
      </c>
      <c r="L21" s="69">
        <f>LN(Table1[[#This Row],[2025]]/Table1[[#This Row],[2019]])</f>
        <v>1.8574831626835349</v>
      </c>
      <c r="N21" s="39" t="s">
        <v>44</v>
      </c>
      <c r="O21" s="38">
        <v>0</v>
      </c>
      <c r="P21" s="14">
        <v>216.4</v>
      </c>
      <c r="Q21" s="38">
        <v>290.5</v>
      </c>
      <c r="R21" s="38">
        <v>341.2</v>
      </c>
      <c r="S21" s="38">
        <v>419.4</v>
      </c>
      <c r="T21" s="38">
        <v>481.2</v>
      </c>
      <c r="U21" s="51">
        <v>295.60000000000002</v>
      </c>
      <c r="V21" s="69">
        <f>LN(Table2[[#This Row],[2025]]/Table2[[#This Row],[2024]])</f>
        <v>-0.48727579502647689</v>
      </c>
      <c r="W21" s="53">
        <f>LN(Table2[[#This Row],[2025]]/Table2[[#This Row],[2023]])</f>
        <v>-0.34981792939377271</v>
      </c>
      <c r="X21" s="54" t="e">
        <f>LN(Table2[[#This Row],[2025]]/Table2[[#This Row],[2019]])</f>
        <v>#DIV/0!</v>
      </c>
    </row>
    <row r="22" spans="1:25" x14ac:dyDescent="0.2">
      <c r="B22" s="28" t="s">
        <v>29</v>
      </c>
      <c r="C22" s="14">
        <v>-38.1</v>
      </c>
      <c r="D22" s="14">
        <f>-17.7+16.1</f>
        <v>-1.5999999999999979</v>
      </c>
      <c r="E22" s="14">
        <f>-18.8-0.1+11.6-1.7</f>
        <v>-9.0000000000000018</v>
      </c>
      <c r="F22" s="14">
        <v>-0.4</v>
      </c>
      <c r="G22" s="14">
        <v>112.7</v>
      </c>
      <c r="H22" s="14">
        <v>109</v>
      </c>
      <c r="I22" s="50">
        <v>176.6</v>
      </c>
      <c r="J22" s="52">
        <f>LN(Table1[[#This Row],[2025]]/Table1[[#This Row],[2024]])</f>
        <v>0.48253940594071587</v>
      </c>
      <c r="K22" s="53">
        <f>LN(Table1[[#This Row],[2025]]/Table1[[#This Row],[2023]])</f>
        <v>0.44915786712412897</v>
      </c>
      <c r="L22" s="54" t="e">
        <f>LN(Table1[[#This Row],[2025]]/Table1[[#This Row],[2019]])</f>
        <v>#NUM!</v>
      </c>
      <c r="N22" s="39" t="s">
        <v>45</v>
      </c>
      <c r="O22" s="14">
        <v>14.2</v>
      </c>
      <c r="P22" s="14">
        <v>21.4</v>
      </c>
      <c r="Q22" s="14">
        <v>10.5</v>
      </c>
      <c r="R22" s="14">
        <v>47.1</v>
      </c>
      <c r="S22" s="14">
        <v>75</v>
      </c>
      <c r="T22" s="14">
        <v>173</v>
      </c>
      <c r="U22" s="50">
        <v>278.7</v>
      </c>
      <c r="V22" s="52">
        <f>LN(Table2[[#This Row],[2025]]/Table2[[#This Row],[2024]])</f>
        <v>0.47684433999012354</v>
      </c>
      <c r="W22" s="53">
        <f>LN(Table2[[#This Row],[2025]]/Table2[[#This Row],[2023]])</f>
        <v>1.3126478209515919</v>
      </c>
      <c r="X22" s="54">
        <f>LN(Table2[[#This Row],[2025]]/Table2[[#This Row],[2019]])</f>
        <v>2.9768939698806873</v>
      </c>
    </row>
    <row r="23" spans="1:25" ht="13.5" thickBot="1" x14ac:dyDescent="0.25">
      <c r="B23" s="30" t="s">
        <v>30</v>
      </c>
      <c r="C23" s="29">
        <f t="shared" ref="C23:G23" si="5">SUM(C21:C22)</f>
        <v>104.19999999999996</v>
      </c>
      <c r="D23" s="29">
        <f t="shared" si="5"/>
        <v>297.89999999999986</v>
      </c>
      <c r="E23" s="29">
        <f t="shared" si="5"/>
        <v>256.79999999999995</v>
      </c>
      <c r="F23" s="29">
        <f t="shared" si="5"/>
        <v>390.80000000000007</v>
      </c>
      <c r="G23" s="29">
        <f t="shared" si="5"/>
        <v>710.40000000000009</v>
      </c>
      <c r="H23" s="29">
        <f>SUM(H21:H22)</f>
        <v>709</v>
      </c>
      <c r="I23" s="29">
        <f>SUM(I21:I22)</f>
        <v>1088.4000000000001</v>
      </c>
      <c r="J23" s="68">
        <f>LN(Table1[[#This Row],[2025]]/Table1[[#This Row],[2024]])</f>
        <v>0.42860848037696386</v>
      </c>
      <c r="K23" s="59">
        <f>LN(Table1[[#This Row],[2025]]/Table1[[#This Row],[2023]])</f>
        <v>0.42663581523113087</v>
      </c>
      <c r="L23" s="68">
        <f>LN(Table1[[#This Row],[2025]]/Table1[[#This Row],[2019]])</f>
        <v>2.3461518775898251</v>
      </c>
      <c r="N23" s="32" t="s">
        <v>46</v>
      </c>
      <c r="O23" s="29">
        <f t="shared" ref="O23:S23" si="6">SUM(O16:O22)</f>
        <v>2394.9999999999995</v>
      </c>
      <c r="P23" s="29">
        <f t="shared" si="6"/>
        <v>4290.4999999999991</v>
      </c>
      <c r="Q23" s="29">
        <f t="shared" si="6"/>
        <v>4933.3</v>
      </c>
      <c r="R23" s="29">
        <f t="shared" si="6"/>
        <v>5391.7</v>
      </c>
      <c r="S23" s="29">
        <f t="shared" si="6"/>
        <v>6264.4999999999991</v>
      </c>
      <c r="T23" s="29">
        <f>SUM(T16:T22)</f>
        <v>6484.5000000000009</v>
      </c>
      <c r="U23" s="29">
        <f>SUM(U16:U22)</f>
        <v>6339.9000000000005</v>
      </c>
      <c r="V23" s="58">
        <f>LN(Table2[[#This Row],[2025]]/Table2[[#This Row],[2024]])</f>
        <v>-2.2551718339580105E-2</v>
      </c>
      <c r="W23" s="59">
        <f>LN(Table2[[#This Row],[2025]]/Table2[[#This Row],[2023]])</f>
        <v>1.196421875060907E-2</v>
      </c>
      <c r="X23" s="60">
        <f>LN(Table2[[#This Row],[2025]]/Table2[[#This Row],[2019]])</f>
        <v>0.97347976459120078</v>
      </c>
      <c r="Y23" s="26"/>
    </row>
    <row r="24" spans="1:25" x14ac:dyDescent="0.2">
      <c r="B24" s="31" t="s">
        <v>31</v>
      </c>
      <c r="C24" s="14">
        <v>3.1</v>
      </c>
      <c r="D24" s="14">
        <v>-251.8</v>
      </c>
      <c r="E24" s="14">
        <v>39.9</v>
      </c>
      <c r="F24" s="14">
        <v>49.6</v>
      </c>
      <c r="G24" s="14">
        <v>168.9</v>
      </c>
      <c r="H24" s="14">
        <v>132.80000000000001</v>
      </c>
      <c r="I24" s="50">
        <v>252.1</v>
      </c>
      <c r="J24" s="52">
        <f>LN(Table1[[#This Row],[2025]]/Table1[[#This Row],[2024]])</f>
        <v>0.64098159715154057</v>
      </c>
      <c r="K24" s="53">
        <f>LN(Table1[[#This Row],[2025]]/Table1[[#This Row],[2023]])</f>
        <v>0.40051901038011978</v>
      </c>
      <c r="L24" s="54">
        <f>LN(Table1[[#This Row],[2025]]/Table1[[#This Row],[2019]])</f>
        <v>4.3984237227027734</v>
      </c>
      <c r="N24" s="5"/>
      <c r="U24" s="50"/>
      <c r="V24" s="52"/>
      <c r="W24" s="53"/>
      <c r="X24" s="54"/>
    </row>
    <row r="25" spans="1:25" ht="13.5" thickBot="1" x14ac:dyDescent="0.25">
      <c r="B25" s="32" t="s">
        <v>32</v>
      </c>
      <c r="C25" s="29">
        <f t="shared" ref="C25:G25" si="7">C23-C24</f>
        <v>101.09999999999997</v>
      </c>
      <c r="D25" s="29">
        <f t="shared" si="7"/>
        <v>549.69999999999982</v>
      </c>
      <c r="E25" s="29">
        <f t="shared" si="7"/>
        <v>216.89999999999995</v>
      </c>
      <c r="F25" s="29">
        <f t="shared" si="7"/>
        <v>341.20000000000005</v>
      </c>
      <c r="G25" s="29">
        <f t="shared" si="7"/>
        <v>541.50000000000011</v>
      </c>
      <c r="H25" s="29">
        <f>H23-H24</f>
        <v>576.20000000000005</v>
      </c>
      <c r="I25" s="29">
        <f>I23-I24</f>
        <v>836.30000000000007</v>
      </c>
      <c r="J25" s="68">
        <f>LN(Table1[[#This Row],[2025]]/Table1[[#This Row],[2024]])</f>
        <v>0.37253257773705195</v>
      </c>
      <c r="K25" s="59">
        <f>LN(Table1[[#This Row],[2025]]/Table1[[#This Row],[2023]])</f>
        <v>0.43464433394643465</v>
      </c>
      <c r="L25" s="60">
        <f>LN(Table1[[#This Row],[2025]]/Table1[[#This Row],[2019]])</f>
        <v>2.1128772743610549</v>
      </c>
      <c r="N25" s="8" t="s">
        <v>47</v>
      </c>
      <c r="U25" s="50"/>
      <c r="V25" s="52"/>
      <c r="W25" s="53"/>
      <c r="X25" s="54"/>
    </row>
    <row r="26" spans="1:25" x14ac:dyDescent="0.2">
      <c r="B26" s="6"/>
      <c r="I26" s="50"/>
      <c r="J26" s="22"/>
      <c r="K26" s="23"/>
      <c r="L26" s="24"/>
      <c r="N26" s="8" t="s">
        <v>7</v>
      </c>
      <c r="U26" s="50"/>
      <c r="V26" s="52"/>
      <c r="W26" s="53"/>
      <c r="X26" s="54"/>
    </row>
    <row r="27" spans="1:25" s="26" customFormat="1" x14ac:dyDescent="0.2">
      <c r="A27" s="1"/>
      <c r="B27" s="28" t="s">
        <v>1</v>
      </c>
      <c r="C27" s="33">
        <f>92.3*4.3</f>
        <v>396.89</v>
      </c>
      <c r="D27" s="33">
        <v>420.4</v>
      </c>
      <c r="E27" s="33">
        <v>428.8</v>
      </c>
      <c r="F27" s="33">
        <v>427.5</v>
      </c>
      <c r="G27" s="33">
        <v>425.5</v>
      </c>
      <c r="H27" s="33">
        <v>412.7</v>
      </c>
      <c r="I27" s="33">
        <v>405.5</v>
      </c>
      <c r="J27" s="52">
        <f>LN(Table1[[#This Row],[2025]]/Table1[[#This Row],[2024]])</f>
        <v>-1.7600063203068467E-2</v>
      </c>
      <c r="K27" s="53">
        <f>LN(Table1[[#This Row],[2025]]/Table1[[#This Row],[2023]])</f>
        <v>-4.8144074457961157E-2</v>
      </c>
      <c r="L27" s="54">
        <f>LN(Table1[[#This Row],[2025]]/Table1[[#This Row],[2019]])</f>
        <v>2.146170934714443E-2</v>
      </c>
      <c r="M27" s="1"/>
      <c r="N27" s="31" t="s">
        <v>48</v>
      </c>
      <c r="O27" s="14">
        <v>256.39999999999998</v>
      </c>
      <c r="P27" s="14">
        <v>481.1</v>
      </c>
      <c r="Q27" s="14">
        <v>573</v>
      </c>
      <c r="R27" s="14">
        <v>901.8</v>
      </c>
      <c r="S27" s="14">
        <v>1345.5</v>
      </c>
      <c r="T27" s="14">
        <v>1585.1</v>
      </c>
      <c r="U27" s="50">
        <v>1944</v>
      </c>
      <c r="V27" s="69">
        <f>LN(Table2[[#This Row],[2025]]/Table2[[#This Row],[2024]])</f>
        <v>0.20410020921653757</v>
      </c>
      <c r="W27" s="69">
        <f>LN(Table2[[#This Row],[2025]]/Table2[[#This Row],[2023]])</f>
        <v>0.36798201485342386</v>
      </c>
      <c r="X27" s="54">
        <f>LN(Table2[[#This Row],[2025]]/Table2[[#This Row],[2019]])</f>
        <v>2.0257642599738697</v>
      </c>
    </row>
    <row r="28" spans="1:25" x14ac:dyDescent="0.2">
      <c r="B28" s="28" t="s">
        <v>33</v>
      </c>
      <c r="C28" s="34">
        <f t="shared" ref="C28:G28" si="8">C25/C27</f>
        <v>0.25473052986973715</v>
      </c>
      <c r="D28" s="34">
        <f t="shared" si="8"/>
        <v>1.3075642245480492</v>
      </c>
      <c r="E28" s="34">
        <f t="shared" si="8"/>
        <v>0.50583022388059684</v>
      </c>
      <c r="F28" s="34">
        <f t="shared" si="8"/>
        <v>0.79812865497076035</v>
      </c>
      <c r="G28" s="34">
        <f t="shared" si="8"/>
        <v>1.2726204465334903</v>
      </c>
      <c r="H28" s="34">
        <f>H25/H27</f>
        <v>1.3961715531863341</v>
      </c>
      <c r="I28" s="34">
        <f>I25/I27</f>
        <v>2.062392108508015</v>
      </c>
      <c r="J28" s="69">
        <f>LN(Table1[[#This Row],[2025]]/Table1[[#This Row],[2024]])</f>
        <v>0.3901326409401204</v>
      </c>
      <c r="K28" s="53">
        <f>LN(Table1[[#This Row],[2025]]/Table1[[#This Row],[2023]])</f>
        <v>0.48278840840439591</v>
      </c>
      <c r="L28" s="54">
        <f>LN(Table1[[#This Row],[2025]]/Table1[[#This Row],[2019]])</f>
        <v>2.0914155650139103</v>
      </c>
      <c r="N28" s="31" t="s">
        <v>49</v>
      </c>
      <c r="O28" s="33">
        <v>88.5</v>
      </c>
      <c r="P28" s="33">
        <v>114.3</v>
      </c>
      <c r="Q28" s="33">
        <v>125.2</v>
      </c>
      <c r="R28" s="33">
        <v>134.30000000000001</v>
      </c>
      <c r="S28" s="33">
        <v>171</v>
      </c>
      <c r="T28" s="33">
        <v>112</v>
      </c>
      <c r="U28" s="50">
        <v>169.2</v>
      </c>
      <c r="V28" s="52">
        <f>LN(Table2[[#This Row],[2025]]/Table2[[#This Row],[2024]])</f>
        <v>0.41258257587702835</v>
      </c>
      <c r="W28" s="53">
        <f>LN(Table2[[#This Row],[2025]]/Table2[[#This Row],[2023]])</f>
        <v>-1.0582109330536972E-2</v>
      </c>
      <c r="X28" s="54">
        <f>LN(Table2[[#This Row],[2025]]/Table2[[#This Row],[2019]])</f>
        <v>0.64807889515823902</v>
      </c>
    </row>
    <row r="29" spans="1:25" x14ac:dyDescent="0.2">
      <c r="B29" s="28" t="s">
        <v>0</v>
      </c>
      <c r="C29" s="34">
        <v>54.69</v>
      </c>
      <c r="D29" s="34">
        <v>92.43</v>
      </c>
      <c r="E29" s="34">
        <v>134.24</v>
      </c>
      <c r="F29" s="34">
        <v>113.25</v>
      </c>
      <c r="G29" s="34">
        <v>124.09</v>
      </c>
      <c r="H29" s="34">
        <v>77.7</v>
      </c>
      <c r="I29" s="50">
        <v>73.040000000000006</v>
      </c>
      <c r="J29" s="52">
        <f>LN(Table1[[#This Row],[2025]]/Table1[[#This Row],[2024]])</f>
        <v>-6.1848021086888735E-2</v>
      </c>
      <c r="K29" s="53">
        <f>LN(Table1[[#This Row],[2025]]/Table1[[#This Row],[2023]])</f>
        <v>-0.52999987249981517</v>
      </c>
      <c r="L29" s="54">
        <f>LN(Table1[[#This Row],[2025]]/Table1[[#This Row],[2019]])</f>
        <v>0.28932635892803182</v>
      </c>
      <c r="N29" s="31" t="s">
        <v>50</v>
      </c>
      <c r="O29" s="14">
        <v>0</v>
      </c>
      <c r="P29" s="14">
        <v>0</v>
      </c>
      <c r="Q29" s="14">
        <v>0</v>
      </c>
      <c r="R29" s="14">
        <v>772.6</v>
      </c>
      <c r="S29" s="14">
        <v>0</v>
      </c>
      <c r="T29" s="14">
        <v>1204.4000000000001</v>
      </c>
      <c r="U29" s="50">
        <v>0</v>
      </c>
      <c r="V29" s="52" t="e">
        <f>LN(Table2[[#This Row],[2025]]/Table2[[#This Row],[2024]])</f>
        <v>#NUM!</v>
      </c>
      <c r="W29" s="53" t="e">
        <f>LN(Table2[[#This Row],[2025]]/Table2[[#This Row],[2023]])</f>
        <v>#DIV/0!</v>
      </c>
      <c r="X29" s="54" t="e">
        <f>LN(Table2[[#This Row],[2025]]/Table2[[#This Row],[2019]])</f>
        <v>#DIV/0!</v>
      </c>
    </row>
    <row r="30" spans="1:25" x14ac:dyDescent="0.2">
      <c r="B30" s="28" t="s">
        <v>2</v>
      </c>
      <c r="C30" s="35">
        <f>C27*C29</f>
        <v>21705.914099999998</v>
      </c>
      <c r="D30" s="35">
        <f t="shared" ref="D30:I30" si="9">D27*D29</f>
        <v>38857.572</v>
      </c>
      <c r="E30" s="35">
        <f t="shared" si="9"/>
        <v>57562.112000000008</v>
      </c>
      <c r="F30" s="35">
        <f t="shared" si="9"/>
        <v>48414.375</v>
      </c>
      <c r="G30" s="35">
        <f t="shared" si="9"/>
        <v>52800.294999999998</v>
      </c>
      <c r="H30" s="35">
        <f t="shared" si="9"/>
        <v>32066.79</v>
      </c>
      <c r="I30" s="35">
        <f t="shared" si="9"/>
        <v>29617.72</v>
      </c>
      <c r="J30" s="69">
        <f>LN(Table1[[#This Row],[2025]]/Table1[[#This Row],[2024]])</f>
        <v>-7.9448084289957185E-2</v>
      </c>
      <c r="K30" s="69">
        <f>LN(Table1[[#This Row],[2025]]/Table1[[#This Row],[2023]])</f>
        <v>-0.57814394695777638</v>
      </c>
      <c r="L30" s="54">
        <f>LN(Table1[[#This Row],[2025]]/Table1[[#This Row],[2019]])</f>
        <v>0.31078806827517613</v>
      </c>
      <c r="N30" s="31" t="s">
        <v>51</v>
      </c>
      <c r="O30" s="14">
        <v>13.6</v>
      </c>
      <c r="P30" s="14">
        <v>16.5</v>
      </c>
      <c r="Q30" s="14">
        <v>20.5</v>
      </c>
      <c r="R30" s="14">
        <v>20.5</v>
      </c>
      <c r="S30" s="14">
        <v>21.1</v>
      </c>
      <c r="T30" s="14">
        <v>22.5</v>
      </c>
      <c r="U30" s="50">
        <v>21.6</v>
      </c>
      <c r="V30" s="52">
        <f>LN(Table2[[#This Row],[2025]]/Table2[[#This Row],[2024]])</f>
        <v>-4.0821994520255048E-2</v>
      </c>
      <c r="W30" s="53">
        <f>LN(Table2[[#This Row],[2025]]/Table2[[#This Row],[2023]])</f>
        <v>2.3420274208098422E-2</v>
      </c>
      <c r="X30" s="54">
        <f>LN(Table2[[#This Row],[2025]]/Table2[[#This Row],[2019]])</f>
        <v>0.46262352194811307</v>
      </c>
    </row>
    <row r="31" spans="1:25" x14ac:dyDescent="0.2">
      <c r="B31" s="28" t="s">
        <v>59</v>
      </c>
      <c r="C31" s="36">
        <f>C14/C12</f>
        <v>0.63109756097560976</v>
      </c>
      <c r="D31" s="36">
        <f t="shared" ref="D31:H31" si="10">D14/D12</f>
        <v>0.66440026989152434</v>
      </c>
      <c r="E31" s="36">
        <f t="shared" si="10"/>
        <v>0.68633857463753323</v>
      </c>
      <c r="F31" s="36">
        <f t="shared" si="10"/>
        <v>0.64715788026668497</v>
      </c>
      <c r="G31" s="36">
        <f t="shared" si="10"/>
        <v>0.63189133975650824</v>
      </c>
      <c r="H31" s="36">
        <f t="shared" si="10"/>
        <v>0.60456236052566326</v>
      </c>
      <c r="I31" s="36">
        <f t="shared" ref="I31" si="11">I14/I12</f>
        <v>0.60100815100815108</v>
      </c>
      <c r="J31" s="52">
        <f>LN(Table1[[#This Row],[2025]]/Table1[[#This Row],[2024]])</f>
        <v>-5.8963283870066335E-3</v>
      </c>
      <c r="K31" s="53">
        <f>LN(Table1[[#This Row],[2025]]/Table1[[#This Row],[2023]])</f>
        <v>-5.0108951747242399E-2</v>
      </c>
      <c r="L31" s="54">
        <f>LN(Table1[[#This Row],[2025]]/Table1[[#This Row],[2019]])</f>
        <v>-4.8851967010554297E-2</v>
      </c>
      <c r="N31" s="31" t="s">
        <v>56</v>
      </c>
      <c r="O31" s="33">
        <v>1.7</v>
      </c>
      <c r="P31" s="14">
        <v>2.2000000000000002</v>
      </c>
      <c r="Q31" s="33">
        <v>2.1</v>
      </c>
      <c r="R31" s="33">
        <v>10.1</v>
      </c>
      <c r="S31" s="33">
        <v>18.399999999999999</v>
      </c>
      <c r="T31" s="33">
        <v>8</v>
      </c>
      <c r="U31" s="50">
        <v>7.7</v>
      </c>
      <c r="V31" s="52">
        <f>LN(Table2[[#This Row],[2025]]/Table2[[#This Row],[2024]])</f>
        <v>-3.8221212820197741E-2</v>
      </c>
      <c r="W31" s="53">
        <f>LN(Table2[[#This Row],[2025]]/Table2[[#This Row],[2023]])</f>
        <v>-0.87113033575530174</v>
      </c>
      <c r="X31" s="54">
        <f>LN(Table2[[#This Row],[2025]]/Table2[[#This Row],[2019]])</f>
        <v>1.5105920777974677</v>
      </c>
    </row>
    <row r="32" spans="1:25" ht="13.5" thickBot="1" x14ac:dyDescent="0.25">
      <c r="B32" s="39" t="s">
        <v>60</v>
      </c>
      <c r="C32" s="36">
        <f>C21/C12</f>
        <v>9.6409214092140885E-2</v>
      </c>
      <c r="D32" s="36">
        <f t="shared" ref="D32:H32" si="12">D21/D12</f>
        <v>0.15544713759277518</v>
      </c>
      <c r="E32" s="36">
        <f t="shared" si="12"/>
        <v>0.10855625893404124</v>
      </c>
      <c r="F32" s="36">
        <f t="shared" si="12"/>
        <v>0.13444222970650904</v>
      </c>
      <c r="G32" s="36">
        <f t="shared" si="12"/>
        <v>0.16500565938768186</v>
      </c>
      <c r="H32" s="36">
        <f t="shared" si="12"/>
        <v>0.14877262583684603</v>
      </c>
      <c r="I32" s="36">
        <f t="shared" ref="I32" si="13">I21/I12</f>
        <v>0.19558129558129561</v>
      </c>
      <c r="J32" s="69">
        <f>LN(Table1[[#This Row],[2025]]/Table1[[#This Row],[2024]])</f>
        <v>0.27355698784086041</v>
      </c>
      <c r="K32" s="53">
        <f>LN(Table1[[#This Row],[2025]]/Table1[[#This Row],[2023]])</f>
        <v>0.16999635453411932</v>
      </c>
      <c r="L32" s="54">
        <f>LN(Table1[[#This Row],[2025]]/Table1[[#This Row],[2019]])</f>
        <v>0.7073743482482503</v>
      </c>
      <c r="N32" s="32" t="s">
        <v>39</v>
      </c>
      <c r="O32" s="29">
        <f t="shared" ref="O32:S32" si="14">SUM(O27:O31)</f>
        <v>360.2</v>
      </c>
      <c r="P32" s="29">
        <f t="shared" si="14"/>
        <v>614.1</v>
      </c>
      <c r="Q32" s="29">
        <f t="shared" si="14"/>
        <v>720.80000000000007</v>
      </c>
      <c r="R32" s="29">
        <f t="shared" si="14"/>
        <v>1839.2999999999997</v>
      </c>
      <c r="S32" s="29">
        <f t="shared" si="14"/>
        <v>1556</v>
      </c>
      <c r="T32" s="29">
        <f>SUM(T27:T31)</f>
        <v>2932</v>
      </c>
      <c r="U32" s="29">
        <f>SUM(U27:U31)</f>
        <v>2142.4999999999995</v>
      </c>
      <c r="V32" s="68">
        <f>LN(Table2[[#This Row],[2025]]/Table2[[#This Row],[2024]])</f>
        <v>-0.31371141253460749</v>
      </c>
      <c r="W32" s="59">
        <f>LN(Table2[[#This Row],[2025]]/Table2[[#This Row],[2023]])</f>
        <v>0.31985494573359763</v>
      </c>
      <c r="X32" s="60">
        <f>LN(Table2[[#This Row],[2025]]/Table2[[#This Row],[2019]])</f>
        <v>1.7830692177300789</v>
      </c>
    </row>
    <row r="33" spans="1:24" s="26" customFormat="1" x14ac:dyDescent="0.2">
      <c r="A33" s="1"/>
      <c r="B33" s="39" t="s">
        <v>61</v>
      </c>
      <c r="C33" s="36">
        <f>C25/C12</f>
        <v>6.8495934959349566E-2</v>
      </c>
      <c r="D33" s="36">
        <f t="shared" ref="D33:H33" si="15">D25/D12</f>
        <v>0.28530648258680641</v>
      </c>
      <c r="E33" s="36">
        <f t="shared" si="15"/>
        <v>8.8584847866040414E-2</v>
      </c>
      <c r="F33" s="36">
        <f t="shared" si="15"/>
        <v>0.1172589181387037</v>
      </c>
      <c r="G33" s="36">
        <f t="shared" si="15"/>
        <v>0.14949065510863266</v>
      </c>
      <c r="H33" s="36">
        <f t="shared" si="15"/>
        <v>0.14287131167865114</v>
      </c>
      <c r="I33" s="36">
        <f t="shared" ref="I33" si="16">I25/I12</f>
        <v>0.17938652938652941</v>
      </c>
      <c r="J33" s="69">
        <f>LN(Table1[[#This Row],[2025]]/Table1[[#This Row],[2024]])</f>
        <v>0.22759855301471779</v>
      </c>
      <c r="K33" s="53">
        <f>LN(Table1[[#This Row],[2025]]/Table1[[#This Row],[2023]])</f>
        <v>0.18230897653142139</v>
      </c>
      <c r="L33" s="54">
        <f>LN(Table1[[#This Row],[2025]]/Table1[[#This Row],[2019]])</f>
        <v>0.9627684599257702</v>
      </c>
      <c r="M33" s="1"/>
      <c r="N33" s="39" t="s">
        <v>53</v>
      </c>
      <c r="O33" s="33">
        <v>1059.7</v>
      </c>
      <c r="P33" s="33">
        <v>1667.2</v>
      </c>
      <c r="Q33" s="33">
        <v>1981.8</v>
      </c>
      <c r="R33" s="33">
        <v>1197.7</v>
      </c>
      <c r="S33" s="33">
        <v>2434.1999999999998</v>
      </c>
      <c r="T33" s="33">
        <v>1237</v>
      </c>
      <c r="U33" s="50">
        <v>1240.9000000000001</v>
      </c>
      <c r="V33" s="52">
        <f>LN(Table2[[#This Row],[2025]]/Table2[[#This Row],[2024]])</f>
        <v>3.1478293880860169E-3</v>
      </c>
      <c r="W33" s="53">
        <f>LN(Table2[[#This Row],[2025]]/Table2[[#This Row],[2023]])</f>
        <v>-0.6737812376598824</v>
      </c>
      <c r="X33" s="54">
        <f>LN(Table2[[#This Row],[2025]]/Table2[[#This Row],[2019]])</f>
        <v>0.15785107359978362</v>
      </c>
    </row>
    <row r="34" spans="1:24" x14ac:dyDescent="0.2">
      <c r="B34" s="39" t="s">
        <v>62</v>
      </c>
      <c r="C34" s="36">
        <f>C10/C12</f>
        <v>0.78692411924119243</v>
      </c>
      <c r="D34" s="36">
        <f t="shared" ref="D34:H34" si="17">D10/D12</f>
        <v>0.74614626044532106</v>
      </c>
      <c r="E34" s="36">
        <f t="shared" si="17"/>
        <v>0.82675107208494991</v>
      </c>
      <c r="F34" s="36">
        <f t="shared" si="17"/>
        <v>0.84913052443466908</v>
      </c>
      <c r="G34" s="36">
        <f t="shared" si="17"/>
        <v>0.85459514672997816</v>
      </c>
      <c r="H34" s="36">
        <f t="shared" si="17"/>
        <v>0.85050830647160924</v>
      </c>
      <c r="I34" s="36">
        <f t="shared" ref="I34" si="18">I10/I12</f>
        <v>0.84920634920634919</v>
      </c>
      <c r="J34" s="52">
        <f>LN(Table1[[#This Row],[2025]]/Table1[[#This Row],[2024]])</f>
        <v>-1.5319718701549973E-3</v>
      </c>
      <c r="K34" s="53">
        <f>LN(Table1[[#This Row],[2025]]/Table1[[#This Row],[2023]])</f>
        <v>-6.3256377051867721E-3</v>
      </c>
      <c r="L34" s="54">
        <f>LN(Table1[[#This Row],[2025]]/Table1[[#This Row],[2019]])</f>
        <v>7.61703804603822E-2</v>
      </c>
      <c r="N34" s="28" t="s">
        <v>52</v>
      </c>
      <c r="O34" s="14">
        <v>72.400000000000006</v>
      </c>
      <c r="P34" s="14">
        <v>101.8</v>
      </c>
      <c r="Q34" s="14">
        <v>98.6</v>
      </c>
      <c r="R34" s="14">
        <v>94.6</v>
      </c>
      <c r="S34" s="14">
        <v>80.099999999999994</v>
      </c>
      <c r="T34" s="14">
        <v>65</v>
      </c>
      <c r="U34" s="50">
        <v>73.400000000000006</v>
      </c>
      <c r="V34" s="52">
        <f>LN(Table2[[#This Row],[2025]]/Table2[[#This Row],[2024]])</f>
        <v>0.12153666572483281</v>
      </c>
      <c r="W34" s="53">
        <f>LN(Table2[[#This Row],[2025]]/Table2[[#This Row],[2023]])</f>
        <v>-8.7351918453843505E-2</v>
      </c>
      <c r="X34" s="54">
        <f>LN(Table2[[#This Row],[2025]]/Table2[[#This Row],[2019]])</f>
        <v>1.3717636228799126E-2</v>
      </c>
    </row>
    <row r="35" spans="1:24" x14ac:dyDescent="0.2">
      <c r="B35" s="28" t="s">
        <v>63</v>
      </c>
      <c r="C35" s="36">
        <f>C11/C12</f>
        <v>0.2130758807588076</v>
      </c>
      <c r="D35" s="36">
        <f t="shared" ref="D35:H35" si="19">D11/D12</f>
        <v>0.25385373955467905</v>
      </c>
      <c r="E35" s="36">
        <f t="shared" si="19"/>
        <v>0.17324892791505003</v>
      </c>
      <c r="F35" s="36">
        <f t="shared" si="19"/>
        <v>0.15086947556533095</v>
      </c>
      <c r="G35" s="36">
        <f t="shared" si="19"/>
        <v>0.14540485327002181</v>
      </c>
      <c r="H35" s="36">
        <f t="shared" si="19"/>
        <v>0.14949169352839076</v>
      </c>
      <c r="I35" s="36">
        <f t="shared" ref="I35" si="20">I11/I12</f>
        <v>0.15079365079365079</v>
      </c>
      <c r="J35" s="52">
        <f>LN(Table1[[#This Row],[2025]]/Table1[[#This Row],[2024]])</f>
        <v>8.6715215929707608E-3</v>
      </c>
      <c r="K35" s="53">
        <f>LN(Table1[[#This Row],[2025]]/Table1[[#This Row],[2023]])</f>
        <v>3.6390407906307889E-2</v>
      </c>
      <c r="L35" s="54">
        <f>LN(Table1[[#This Row],[2025]]/Table1[[#This Row],[2019]])</f>
        <v>-0.34573599876511502</v>
      </c>
      <c r="N35" s="28" t="s">
        <v>45</v>
      </c>
      <c r="O35" s="33">
        <v>20.100000000000001</v>
      </c>
      <c r="P35" s="33">
        <v>80.900000000000006</v>
      </c>
      <c r="Q35" s="33">
        <v>90</v>
      </c>
      <c r="R35" s="33">
        <v>128.30000000000001</v>
      </c>
      <c r="S35" s="33">
        <v>125.6</v>
      </c>
      <c r="T35" s="33">
        <v>147.9</v>
      </c>
      <c r="U35" s="50">
        <v>137.1</v>
      </c>
      <c r="V35" s="52">
        <f>LN(Table2[[#This Row],[2025]]/Table2[[#This Row],[2024]])</f>
        <v>-7.5825783148485468E-2</v>
      </c>
      <c r="W35" s="53">
        <f>LN(Table2[[#This Row],[2025]]/Table2[[#This Row],[2023]])</f>
        <v>8.7608332534170358E-2</v>
      </c>
      <c r="X35" s="54">
        <f>LN(Table2[[#This Row],[2025]]/Table2[[#This Row],[2019]])</f>
        <v>1.9199907715032385</v>
      </c>
    </row>
    <row r="36" spans="1:24" ht="13.5" thickBot="1" x14ac:dyDescent="0.25">
      <c r="B36" s="47"/>
      <c r="C36" s="48"/>
      <c r="D36" s="48"/>
      <c r="E36" s="48"/>
      <c r="F36" s="48"/>
      <c r="G36" s="48"/>
      <c r="H36" s="48"/>
      <c r="I36" s="48"/>
      <c r="J36" s="71"/>
      <c r="K36" s="71"/>
      <c r="L36" s="71"/>
      <c r="N36" s="32" t="s">
        <v>54</v>
      </c>
      <c r="O36" s="29">
        <f t="shared" ref="O36:S36" si="21">SUM(O32:O35)</f>
        <v>1512.4</v>
      </c>
      <c r="P36" s="29">
        <f t="shared" si="21"/>
        <v>2464.0000000000005</v>
      </c>
      <c r="Q36" s="29">
        <f t="shared" si="21"/>
        <v>2891.2</v>
      </c>
      <c r="R36" s="29">
        <f t="shared" si="21"/>
        <v>3259.9</v>
      </c>
      <c r="S36" s="29">
        <f t="shared" si="21"/>
        <v>4195.8999999999996</v>
      </c>
      <c r="T36" s="29">
        <f>SUM(T32:T35)</f>
        <v>4381.8999999999996</v>
      </c>
      <c r="U36" s="29">
        <f>SUM(U32:U35)</f>
        <v>3593.8999999999996</v>
      </c>
      <c r="V36" s="68">
        <f>LN(Table2[[#This Row],[2025]]/Table2[[#This Row],[2024]])</f>
        <v>-0.19824445646012581</v>
      </c>
      <c r="W36" s="59">
        <f>LN(Table2[[#This Row],[2025]]/Table2[[#This Row],[2023]])</f>
        <v>-0.15486989420599084</v>
      </c>
      <c r="X36" s="60">
        <f>LN(Table2[[#This Row],[2025]]/Table2[[#This Row],[2019]])</f>
        <v>0.86554017078826417</v>
      </c>
    </row>
    <row r="37" spans="1:24" x14ac:dyDescent="0.2">
      <c r="B37" s="47"/>
      <c r="C37" s="48"/>
      <c r="D37" s="48"/>
      <c r="E37" s="48"/>
      <c r="F37" s="48"/>
      <c r="G37" s="48"/>
      <c r="H37" s="48"/>
      <c r="I37" s="48"/>
      <c r="J37" s="71"/>
      <c r="K37" s="71"/>
      <c r="L37" s="71"/>
      <c r="N37" s="13"/>
      <c r="O37" s="16"/>
      <c r="P37" s="16"/>
      <c r="Q37" s="16"/>
      <c r="R37" s="16"/>
      <c r="S37" s="16"/>
      <c r="T37" s="16"/>
      <c r="U37" s="50"/>
      <c r="V37" s="52"/>
      <c r="W37" s="53"/>
      <c r="X37" s="54"/>
    </row>
    <row r="38" spans="1:24" x14ac:dyDescent="0.2">
      <c r="B38" s="19"/>
      <c r="C38" s="35"/>
      <c r="D38" s="35"/>
      <c r="E38" s="35"/>
      <c r="F38" s="35"/>
      <c r="G38" s="35"/>
      <c r="H38" s="35"/>
      <c r="I38" s="35"/>
      <c r="J38" s="40"/>
      <c r="K38" s="40"/>
      <c r="L38" s="40"/>
      <c r="N38" s="5" t="s">
        <v>55</v>
      </c>
      <c r="O38" s="15">
        <f t="shared" ref="O38:S38" si="22">O23-O36</f>
        <v>882.59999999999945</v>
      </c>
      <c r="P38" s="15">
        <f t="shared" si="22"/>
        <v>1826.4999999999986</v>
      </c>
      <c r="Q38" s="15">
        <f t="shared" si="22"/>
        <v>2042.1000000000004</v>
      </c>
      <c r="R38" s="15">
        <f t="shared" si="22"/>
        <v>2131.7999999999997</v>
      </c>
      <c r="S38" s="15">
        <f t="shared" si="22"/>
        <v>2068.5999999999995</v>
      </c>
      <c r="T38" s="15">
        <f>T23-T36</f>
        <v>2102.6000000000013</v>
      </c>
      <c r="U38" s="15">
        <f>U23-U36</f>
        <v>2746.0000000000009</v>
      </c>
      <c r="V38" s="69">
        <f>LN(Table2[[#This Row],[2025]]/Table2[[#This Row],[2024]])</f>
        <v>0.26697063318618547</v>
      </c>
      <c r="W38" s="56">
        <f>LN(Table2[[#This Row],[2025]]/Table2[[#This Row],[2023]])</f>
        <v>0.28327325738421366</v>
      </c>
      <c r="X38" s="69">
        <f>LN(Table2[[#This Row],[2025]]/Table2[[#This Row],[2019]])</f>
        <v>1.1350284894924705</v>
      </c>
    </row>
    <row r="39" spans="1:24" x14ac:dyDescent="0.2">
      <c r="B39" s="19"/>
      <c r="C39" s="27"/>
      <c r="D39" s="34"/>
      <c r="E39" s="34"/>
      <c r="F39" s="34"/>
      <c r="G39" s="34"/>
      <c r="H39" s="34"/>
      <c r="I39" s="34"/>
      <c r="J39" s="40"/>
      <c r="K39" s="40"/>
      <c r="L39" s="40"/>
      <c r="N39" s="28" t="s">
        <v>34</v>
      </c>
      <c r="O39" s="17">
        <f>O11+O12</f>
        <v>1533.3</v>
      </c>
      <c r="P39" s="17">
        <f t="shared" ref="P39:T39" si="23">P11+P12</f>
        <v>2707.7</v>
      </c>
      <c r="Q39" s="17">
        <f t="shared" si="23"/>
        <v>2731.2</v>
      </c>
      <c r="R39" s="17">
        <f t="shared" si="23"/>
        <v>2456.1999999999998</v>
      </c>
      <c r="S39" s="17">
        <f t="shared" si="23"/>
        <v>2724.1000000000004</v>
      </c>
      <c r="T39" s="17">
        <f t="shared" si="23"/>
        <v>2579.4</v>
      </c>
      <c r="U39" s="17">
        <f t="shared" ref="U39" si="24">U11+U12</f>
        <v>1998.7</v>
      </c>
      <c r="V39" s="52">
        <f>LN(Table2[[#This Row],[2025]]/Table2[[#This Row],[2024]])</f>
        <v>-0.25505984452979485</v>
      </c>
      <c r="W39" s="53">
        <f>LN(Table2[[#This Row],[2025]]/Table2[[#This Row],[2023]])</f>
        <v>-0.30964112911461517</v>
      </c>
      <c r="X39" s="54">
        <f>LN(Table2[[#This Row],[2025]]/Table2[[#This Row],[2019]])</f>
        <v>0.26507469375815246</v>
      </c>
    </row>
    <row r="40" spans="1:24" x14ac:dyDescent="0.2">
      <c r="C40" s="27"/>
      <c r="N40" s="28" t="s">
        <v>57</v>
      </c>
      <c r="O40" s="33">
        <f>O29+O33</f>
        <v>1059.7</v>
      </c>
      <c r="P40" s="33">
        <f t="shared" ref="P40:T40" si="25">P29+P33</f>
        <v>1667.2</v>
      </c>
      <c r="Q40" s="33">
        <f t="shared" si="25"/>
        <v>1981.8</v>
      </c>
      <c r="R40" s="33">
        <f t="shared" si="25"/>
        <v>1970.3000000000002</v>
      </c>
      <c r="S40" s="33">
        <f t="shared" si="25"/>
        <v>2434.1999999999998</v>
      </c>
      <c r="T40" s="33">
        <f t="shared" si="25"/>
        <v>2441.4</v>
      </c>
      <c r="U40" s="33">
        <f t="shared" ref="U40" si="26">U29+U33</f>
        <v>1240.9000000000001</v>
      </c>
      <c r="V40" s="69">
        <f>LN(Table2[[#This Row],[2025]]/Table2[[#This Row],[2024]])</f>
        <v>-0.67673472245512534</v>
      </c>
      <c r="W40" s="53">
        <f>LN(Table2[[#This Row],[2025]]/Table2[[#This Row],[2023]])</f>
        <v>-0.6737812376598824</v>
      </c>
      <c r="X40" s="54">
        <f>LN(Table2[[#This Row],[2025]]/Table2[[#This Row],[2019]])</f>
        <v>0.15785107359978362</v>
      </c>
    </row>
    <row r="41" spans="1:24" x14ac:dyDescent="0.2">
      <c r="C41" s="27"/>
      <c r="N41" s="28" t="s">
        <v>58</v>
      </c>
      <c r="O41" s="35">
        <f t="shared" ref="O41:T41" si="27">C30-O39+O40</f>
        <v>21232.3141</v>
      </c>
      <c r="P41" s="35">
        <f t="shared" si="27"/>
        <v>37817.072</v>
      </c>
      <c r="Q41" s="35">
        <f t="shared" si="27"/>
        <v>56812.712000000014</v>
      </c>
      <c r="R41" s="35">
        <f t="shared" si="27"/>
        <v>47928.475000000006</v>
      </c>
      <c r="S41" s="35">
        <f t="shared" si="27"/>
        <v>52510.394999999997</v>
      </c>
      <c r="T41" s="35">
        <f t="shared" si="27"/>
        <v>31928.79</v>
      </c>
      <c r="U41" s="35">
        <f t="shared" ref="U41" si="28">I30-U39+U40</f>
        <v>28859.920000000002</v>
      </c>
      <c r="V41" s="52">
        <f>LN(Table2[[#This Row],[2025]]/Table2[[#This Row],[2024]])</f>
        <v>-0.10105432927335199</v>
      </c>
      <c r="W41" s="53">
        <f>LN(Table2[[#This Row],[2025]]/Table2[[#This Row],[2023]])</f>
        <v>-0.59855736865905418</v>
      </c>
      <c r="X41" s="54">
        <f>LN(Table2[[#This Row],[2025]]/Table2[[#This Row],[2019]])</f>
        <v>0.30692951015107384</v>
      </c>
    </row>
    <row r="42" spans="1:24" x14ac:dyDescent="0.2">
      <c r="C42" s="27"/>
      <c r="N42" s="28" t="s">
        <v>64</v>
      </c>
      <c r="O42" s="37">
        <f t="shared" ref="O42:T42" si="29">C12/O23</f>
        <v>0.61628392484342387</v>
      </c>
      <c r="P42" s="37">
        <f t="shared" si="29"/>
        <v>0.44906188089966209</v>
      </c>
      <c r="Q42" s="37">
        <f t="shared" si="29"/>
        <v>0.49632092108730463</v>
      </c>
      <c r="R42" s="37">
        <f t="shared" si="29"/>
        <v>0.5396813620935883</v>
      </c>
      <c r="S42" s="37">
        <f t="shared" si="29"/>
        <v>0.57822651448639173</v>
      </c>
      <c r="T42" s="37">
        <f t="shared" si="29"/>
        <v>0.6219446372118127</v>
      </c>
      <c r="U42" s="37">
        <f t="shared" ref="U42" si="30">I12/U23</f>
        <v>0.73534282875124202</v>
      </c>
      <c r="V42" s="52">
        <f>LN(Table2[[#This Row],[2025]]/Table2[[#This Row],[2024]])</f>
        <v>0.16748574306191441</v>
      </c>
      <c r="W42" s="53">
        <f>LN(Table2[[#This Row],[2025]]/Table2[[#This Row],[2023]])</f>
        <v>0.24037113866440407</v>
      </c>
      <c r="X42" s="54">
        <f>LN(Table2[[#This Row],[2025]]/Table2[[#This Row],[2019]])</f>
        <v>0.17662904984408392</v>
      </c>
    </row>
    <row r="43" spans="1:24" x14ac:dyDescent="0.2">
      <c r="C43" s="27"/>
      <c r="N43" s="28" t="s">
        <v>65</v>
      </c>
      <c r="O43" s="37">
        <f>O23/O38</f>
        <v>2.7135735327441664</v>
      </c>
      <c r="P43" s="37">
        <f t="shared" ref="P43:T43" si="31">P23/P38</f>
        <v>2.3490281960032862</v>
      </c>
      <c r="Q43" s="37">
        <f t="shared" si="31"/>
        <v>2.4157974633955237</v>
      </c>
      <c r="R43" s="37">
        <f t="shared" si="31"/>
        <v>2.5291772211276857</v>
      </c>
      <c r="S43" s="37">
        <f t="shared" si="31"/>
        <v>3.0283766798801124</v>
      </c>
      <c r="T43" s="37">
        <f t="shared" si="31"/>
        <v>3.084038809093502</v>
      </c>
      <c r="U43" s="37">
        <f t="shared" ref="U43" si="32">U23/U38</f>
        <v>2.3087764020393293</v>
      </c>
      <c r="V43" s="69">
        <f>LN(Table2[[#This Row],[2025]]/Table2[[#This Row],[2024]])</f>
        <v>-0.28952235152576578</v>
      </c>
      <c r="W43" s="53">
        <f>LN(Table2[[#This Row],[2025]]/Table2[[#This Row],[2023]])</f>
        <v>-0.27130903863360467</v>
      </c>
      <c r="X43" s="54">
        <f>LN(Table2[[#This Row],[2025]]/Table2[[#This Row],[2019]])</f>
        <v>-0.16154872490126979</v>
      </c>
    </row>
    <row r="44" spans="1:24" x14ac:dyDescent="0.2">
      <c r="C44" s="27"/>
      <c r="N44" s="28" t="s">
        <v>66</v>
      </c>
      <c r="O44" s="36">
        <f t="shared" ref="O44:T44" si="33">C33*O42*O43</f>
        <v>0.11454792658055749</v>
      </c>
      <c r="P44" s="36">
        <f t="shared" si="33"/>
        <v>0.30095811661647975</v>
      </c>
      <c r="Q44" s="36">
        <f t="shared" si="33"/>
        <v>0.10621419127368879</v>
      </c>
      <c r="R44" s="36">
        <f t="shared" si="33"/>
        <v>0.16005253776151612</v>
      </c>
      <c r="S44" s="36">
        <f t="shared" si="33"/>
        <v>0.2617712462535049</v>
      </c>
      <c r="T44" s="36">
        <f t="shared" si="33"/>
        <v>0.27404166270331959</v>
      </c>
      <c r="U44" s="36">
        <f t="shared" ref="U44" si="34">I33*U42*U43</f>
        <v>0.30455207574654036</v>
      </c>
      <c r="V44" s="52">
        <f>LN(Table2[[#This Row],[2025]]/Table2[[#This Row],[2024]])</f>
        <v>0.10556194455086644</v>
      </c>
      <c r="W44" s="53">
        <f>LN(Table2[[#This Row],[2025]]/Table2[[#This Row],[2023]])</f>
        <v>0.15137107656222099</v>
      </c>
      <c r="X44" s="54">
        <f>LN(Table2[[#This Row],[2025]]/Table2[[#This Row],[2019]])</f>
        <v>0.97784878486858418</v>
      </c>
    </row>
    <row r="45" spans="1:24" x14ac:dyDescent="0.2">
      <c r="N45" s="28" t="s">
        <v>67</v>
      </c>
      <c r="O45" s="33">
        <f t="shared" ref="O45:T45" si="35">O41/C21</f>
        <v>149.20811033028818</v>
      </c>
      <c r="P45" s="33">
        <f t="shared" si="35"/>
        <v>126.26735225375631</v>
      </c>
      <c r="Q45" s="33">
        <f t="shared" si="35"/>
        <v>213.74233258088796</v>
      </c>
      <c r="R45" s="33">
        <f t="shared" si="35"/>
        <v>122.51655163599182</v>
      </c>
      <c r="S45" s="33">
        <f t="shared" si="35"/>
        <v>87.854099046344302</v>
      </c>
      <c r="T45" s="33">
        <f t="shared" si="35"/>
        <v>53.214649999999999</v>
      </c>
      <c r="U45" s="33">
        <f t="shared" ref="U45" si="36">U41/I21</f>
        <v>31.65159026102215</v>
      </c>
      <c r="V45" s="69">
        <f>LN(Table2[[#This Row],[2025]]/Table2[[#This Row],[2024]])</f>
        <v>-0.51954534183654677</v>
      </c>
      <c r="W45" s="53">
        <f>LN(Table2[[#This Row],[2025]]/Table2[[#This Row],[2023]])</f>
        <v>-1.0208890806081867</v>
      </c>
      <c r="X45" s="54">
        <f>LN(Table2[[#This Row],[2025]]/Table2[[#This Row],[2019]])</f>
        <v>-1.550553652532461</v>
      </c>
    </row>
    <row r="46" spans="1:24" x14ac:dyDescent="0.2">
      <c r="N46" s="28" t="s">
        <v>68</v>
      </c>
      <c r="O46" s="41">
        <f t="shared" ref="O46:T46" si="37">C21/O41</f>
        <v>6.7020485534358193E-3</v>
      </c>
      <c r="P46" s="41">
        <f t="shared" si="37"/>
        <v>7.9197035666854348E-3</v>
      </c>
      <c r="Q46" s="41">
        <f t="shared" si="37"/>
        <v>4.6785303965070331E-3</v>
      </c>
      <c r="R46" s="41">
        <f t="shared" si="37"/>
        <v>8.1621624723089981E-3</v>
      </c>
      <c r="S46" s="41">
        <f t="shared" si="37"/>
        <v>1.1382508168144614E-2</v>
      </c>
      <c r="T46" s="41">
        <f t="shared" si="37"/>
        <v>1.8791817666751542E-2</v>
      </c>
      <c r="U46" s="41">
        <f t="shared" ref="U46" si="38">I21/U41</f>
        <v>3.1593989172527162E-2</v>
      </c>
      <c r="V46" s="69">
        <f>LN(Table2[[#This Row],[2025]]/Table2[[#This Row],[2024]])</f>
        <v>0.51954534183654688</v>
      </c>
      <c r="W46" s="53">
        <f>LN(Table2[[#This Row],[2025]]/Table2[[#This Row],[2023]])</f>
        <v>1.0208890806081867</v>
      </c>
      <c r="X46" s="54">
        <f>LN(Table2[[#This Row],[2025]]/Table2[[#This Row],[2019]])</f>
        <v>1.550553652532461</v>
      </c>
    </row>
    <row r="47" spans="1:24" x14ac:dyDescent="0.2">
      <c r="N47" s="28" t="s">
        <v>69</v>
      </c>
      <c r="O47" s="33">
        <f>C12/((O14+70.7)/2)</f>
        <v>15.496062992125983</v>
      </c>
      <c r="P47" s="33">
        <f>D12/((P14+O14)/2)</f>
        <v>10.869957686882932</v>
      </c>
      <c r="Q47" s="33">
        <f>E12/((Q14+P14)/2)</f>
        <v>8.2719594594594597</v>
      </c>
      <c r="R47" s="33">
        <f>F12/((R14+Q14)/2)</f>
        <v>8.7644578313253021</v>
      </c>
      <c r="S47" s="33">
        <f>G12/((S14+R14)/2)</f>
        <v>8.3626919081149733</v>
      </c>
      <c r="T47" s="33">
        <f>H12/((T14+S14)/2)</f>
        <v>7.3180910905461802</v>
      </c>
      <c r="U47" s="33">
        <f t="shared" ref="U47" si="39">I12/((U14+T14)/2)</f>
        <v>7.9576683451395409</v>
      </c>
      <c r="V47" s="52">
        <f>LN(Table2[[#This Row],[2025]]/Table2[[#This Row],[2024]])</f>
        <v>8.3786521497359392E-2</v>
      </c>
      <c r="W47" s="53">
        <f>LN(Table2[[#This Row],[2025]]/Table2[[#This Row],[2023]])</f>
        <v>-4.9644338363002152E-2</v>
      </c>
      <c r="X47" s="54">
        <f>LN(Table2[[#This Row],[2025]]/Table2[[#This Row],[2019]])</f>
        <v>-0.66644995567206944</v>
      </c>
    </row>
    <row r="48" spans="1:24" x14ac:dyDescent="0.2">
      <c r="N48" s="31" t="s">
        <v>70</v>
      </c>
      <c r="O48" s="46">
        <f t="shared" ref="O48:S48" si="40">365/O47</f>
        <v>23.554369918699187</v>
      </c>
      <c r="P48" s="46">
        <f t="shared" si="40"/>
        <v>33.578787564228996</v>
      </c>
      <c r="Q48" s="46">
        <f t="shared" si="40"/>
        <v>44.124974474167857</v>
      </c>
      <c r="R48" s="46">
        <f t="shared" si="40"/>
        <v>41.645473915733035</v>
      </c>
      <c r="S48" s="46">
        <f t="shared" si="40"/>
        <v>43.646233056345409</v>
      </c>
      <c r="T48" s="46">
        <f>365/T47</f>
        <v>49.876394743367221</v>
      </c>
      <c r="U48" s="46">
        <f t="shared" ref="U48" si="41">365/U47</f>
        <v>45.867706992706992</v>
      </c>
      <c r="V48" s="52">
        <f>LN(Table2[[#This Row],[2025]]/Table2[[#This Row],[2024]])</f>
        <v>-8.3786521497359448E-2</v>
      </c>
      <c r="W48" s="53">
        <f>LN(Table2[[#This Row],[2025]]/Table2[[#This Row],[2023]])</f>
        <v>4.9644338363002131E-2</v>
      </c>
      <c r="X48" s="54">
        <f>LN(Table2[[#This Row],[2025]]/Table2[[#This Row],[2019]])</f>
        <v>0.66644995567206955</v>
      </c>
    </row>
    <row r="49" spans="14:24" x14ac:dyDescent="0.2">
      <c r="N49" s="70" t="s">
        <v>85</v>
      </c>
      <c r="O49" s="50">
        <f>O16-O32+O17+O19</f>
        <v>1949.0999999999997</v>
      </c>
      <c r="P49" s="50">
        <f t="shared" ref="P49:U49" si="42">P16-P32+P17+P19</f>
        <v>3345.3</v>
      </c>
      <c r="Q49" s="50">
        <f t="shared" si="42"/>
        <v>3791.8999999999996</v>
      </c>
      <c r="R49" s="50">
        <f t="shared" si="42"/>
        <v>2910.7999999999997</v>
      </c>
      <c r="S49" s="50">
        <f t="shared" si="42"/>
        <v>4008.2000000000003</v>
      </c>
      <c r="T49" s="50">
        <f t="shared" si="42"/>
        <v>2732.1000000000008</v>
      </c>
      <c r="U49" s="50">
        <f t="shared" si="42"/>
        <v>3474.9000000000005</v>
      </c>
      <c r="V49" s="69">
        <f>LN(Table2[[#This Row],[2025]]/Table2[[#This Row],[2024]])</f>
        <v>0.2404951573645274</v>
      </c>
      <c r="W49" s="53">
        <f>LN(Table2[[#This Row],[2025]]/Table2[[#This Row],[2023]])</f>
        <v>-0.14277656111291789</v>
      </c>
      <c r="X49" s="54">
        <f>LN(Table2[[#This Row],[2025]]/Table2[[#This Row],[2019]])</f>
        <v>0.5781979740518155</v>
      </c>
    </row>
  </sheetData>
  <pageMargins left="0.25" right="0.25" top="0.75" bottom="0.75" header="0.3" footer="0.3"/>
  <pageSetup scale="47"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623E2-3CE4-4191-89D2-8F814CC10DD0}">
  <dimension ref="B1:N31"/>
  <sheetViews>
    <sheetView workbookViewId="0">
      <selection activeCell="O30" sqref="O30"/>
    </sheetView>
  </sheetViews>
  <sheetFormatPr defaultColWidth="10.7109375" defaultRowHeight="12.75" x14ac:dyDescent="0.2"/>
  <cols>
    <col min="1" max="2" width="10.7109375" style="19"/>
    <col min="3" max="7" width="10.7109375" style="27"/>
    <col min="8" max="16384" width="10.7109375" style="19"/>
  </cols>
  <sheetData>
    <row r="1" spans="2:14" x14ac:dyDescent="0.2">
      <c r="C1" s="19"/>
      <c r="D1" s="19"/>
      <c r="E1" s="19"/>
      <c r="F1" s="19"/>
      <c r="G1" s="19"/>
    </row>
    <row r="2" spans="2:14" x14ac:dyDescent="0.2">
      <c r="C2" s="19"/>
      <c r="D2" s="19"/>
      <c r="E2" s="19"/>
      <c r="F2" s="19"/>
      <c r="G2" s="19"/>
    </row>
    <row r="3" spans="2:14" x14ac:dyDescent="0.2">
      <c r="C3" s="19"/>
      <c r="D3" s="19"/>
      <c r="E3" s="19"/>
      <c r="F3" s="19"/>
      <c r="G3" s="19"/>
    </row>
    <row r="4" spans="2:14" x14ac:dyDescent="0.2">
      <c r="C4" s="19" t="s">
        <v>16</v>
      </c>
      <c r="D4" s="19" t="s">
        <v>17</v>
      </c>
      <c r="E4" s="19" t="s">
        <v>18</v>
      </c>
      <c r="F4" s="19"/>
      <c r="G4" s="19"/>
    </row>
    <row r="5" spans="2:14" x14ac:dyDescent="0.2">
      <c r="B5" s="19">
        <v>2019</v>
      </c>
      <c r="C5" s="27">
        <v>1161.5</v>
      </c>
      <c r="D5" s="27">
        <v>314.5</v>
      </c>
      <c r="E5" s="27">
        <f t="shared" ref="E5:E9" si="0">SUM(C5:D5)</f>
        <v>1476</v>
      </c>
      <c r="M5" s="42" t="s">
        <v>19</v>
      </c>
      <c r="N5" s="42" t="s">
        <v>20</v>
      </c>
    </row>
    <row r="6" spans="2:14" x14ac:dyDescent="0.2">
      <c r="B6" s="19">
        <v>2020</v>
      </c>
      <c r="C6" s="27">
        <v>1509.5</v>
      </c>
      <c r="D6" s="27">
        <v>417.2</v>
      </c>
      <c r="E6" s="27">
        <f t="shared" si="0"/>
        <v>1926.7</v>
      </c>
      <c r="L6" s="19">
        <v>2019</v>
      </c>
      <c r="M6" s="27" cm="1">
        <f t="array" ref="M6:M11">TRANSPOSE(Statements!C10:H10)</f>
        <v>1161.5</v>
      </c>
      <c r="N6" s="27" cm="1">
        <f t="array" ref="N6:N11">TRANSPOSE(Statements!C11:H11)</f>
        <v>314.5</v>
      </c>
    </row>
    <row r="7" spans="2:14" x14ac:dyDescent="0.2">
      <c r="B7" s="19">
        <v>2021</v>
      </c>
      <c r="C7" s="27">
        <v>1849.4</v>
      </c>
      <c r="D7" s="27">
        <v>599.1</v>
      </c>
      <c r="E7" s="27">
        <f t="shared" si="0"/>
        <v>2448.5</v>
      </c>
      <c r="L7" s="19">
        <v>2020</v>
      </c>
      <c r="M7" s="27">
        <v>1437.6</v>
      </c>
      <c r="N7" s="27">
        <v>489.1</v>
      </c>
    </row>
    <row r="8" spans="2:14" x14ac:dyDescent="0.2">
      <c r="B8" s="19">
        <v>2022</v>
      </c>
      <c r="C8" s="27">
        <v>2142</v>
      </c>
      <c r="D8" s="27">
        <v>767.8</v>
      </c>
      <c r="E8" s="27">
        <f t="shared" si="0"/>
        <v>2909.8</v>
      </c>
      <c r="L8" s="19">
        <v>2021</v>
      </c>
      <c r="M8" s="27">
        <v>2024.3</v>
      </c>
      <c r="N8" s="27">
        <v>424.2</v>
      </c>
    </row>
    <row r="9" spans="2:14" x14ac:dyDescent="0.2">
      <c r="B9" s="19">
        <v>2023</v>
      </c>
      <c r="C9" s="27">
        <v>2625.3</v>
      </c>
      <c r="D9" s="27">
        <v>997</v>
      </c>
      <c r="E9" s="27">
        <f t="shared" si="0"/>
        <v>3622.3</v>
      </c>
      <c r="L9" s="19">
        <v>2022</v>
      </c>
      <c r="M9" s="27">
        <v>2470.8000000000002</v>
      </c>
      <c r="N9" s="27">
        <v>439</v>
      </c>
    </row>
    <row r="10" spans="2:14" x14ac:dyDescent="0.2">
      <c r="B10" s="19">
        <v>2024</v>
      </c>
      <c r="C10" s="27">
        <v>2889.8</v>
      </c>
      <c r="D10" s="27">
        <v>1143.2</v>
      </c>
      <c r="E10" s="27">
        <f>SUM(C10:D10)</f>
        <v>4033</v>
      </c>
      <c r="L10" s="19">
        <v>2023</v>
      </c>
      <c r="M10" s="27">
        <v>3095.6</v>
      </c>
      <c r="N10" s="27">
        <v>526.70000000000005</v>
      </c>
    </row>
    <row r="11" spans="2:14" x14ac:dyDescent="0.2">
      <c r="L11" s="19">
        <v>2024</v>
      </c>
      <c r="M11" s="27">
        <v>3430.1</v>
      </c>
      <c r="N11" s="27">
        <v>602.9</v>
      </c>
    </row>
    <row r="25" spans="2:13" x14ac:dyDescent="0.2">
      <c r="C25" s="44" t="s">
        <v>59</v>
      </c>
      <c r="D25" s="44" t="s">
        <v>60</v>
      </c>
      <c r="E25" s="44" t="s">
        <v>61</v>
      </c>
    </row>
    <row r="26" spans="2:13" x14ac:dyDescent="0.2">
      <c r="B26" s="19">
        <v>2019</v>
      </c>
      <c r="C26" s="45" cm="1">
        <f t="array" ref="C26:E31">TRANSPOSE(Statements!C31:H33)</f>
        <v>0.63109756097560976</v>
      </c>
      <c r="D26" s="45">
        <v>9.6409214092140885E-2</v>
      </c>
      <c r="E26" s="45">
        <v>6.8495934959349566E-2</v>
      </c>
      <c r="M26" s="43"/>
    </row>
    <row r="27" spans="2:13" x14ac:dyDescent="0.2">
      <c r="B27" s="19">
        <v>2020</v>
      </c>
      <c r="C27" s="45">
        <v>0.66440026989152434</v>
      </c>
      <c r="D27" s="45">
        <v>0.15544713759277518</v>
      </c>
      <c r="E27" s="45">
        <v>0.28530648258680641</v>
      </c>
    </row>
    <row r="28" spans="2:13" x14ac:dyDescent="0.2">
      <c r="B28" s="19">
        <v>2021</v>
      </c>
      <c r="C28" s="45">
        <v>0.68633857463753323</v>
      </c>
      <c r="D28" s="45">
        <v>0.10855625893404124</v>
      </c>
      <c r="E28" s="45">
        <v>8.8584847866040414E-2</v>
      </c>
    </row>
    <row r="29" spans="2:13" x14ac:dyDescent="0.2">
      <c r="B29" s="19">
        <v>2022</v>
      </c>
      <c r="C29" s="45">
        <v>0.64715788026668497</v>
      </c>
      <c r="D29" s="45">
        <v>0.13444222970650904</v>
      </c>
      <c r="E29" s="45">
        <v>0.1172589181387037</v>
      </c>
    </row>
    <row r="30" spans="2:13" x14ac:dyDescent="0.2">
      <c r="B30" s="19">
        <v>2023</v>
      </c>
      <c r="C30" s="45">
        <v>0.63189133975650824</v>
      </c>
      <c r="D30" s="45">
        <v>0.16500565938768186</v>
      </c>
      <c r="E30" s="45">
        <v>0.14949065510863266</v>
      </c>
    </row>
    <row r="31" spans="2:13" x14ac:dyDescent="0.2">
      <c r="B31" s="19">
        <v>2024</v>
      </c>
      <c r="C31" s="45">
        <v>0.60456236052566326</v>
      </c>
      <c r="D31" s="45">
        <v>0.14877262583684603</v>
      </c>
      <c r="E31" s="45">
        <v>0.14287131167865114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7AA08-1A27-4A70-8883-D6D0EDE88A60}">
  <dimension ref="B4:F12"/>
  <sheetViews>
    <sheetView showGridLines="0" showRowColHeaders="0" zoomScale="140" zoomScaleNormal="140" workbookViewId="0">
      <selection activeCell="D24" sqref="D23:D24"/>
    </sheetView>
  </sheetViews>
  <sheetFormatPr defaultColWidth="10.7109375" defaultRowHeight="15" x14ac:dyDescent="0.2"/>
  <cols>
    <col min="1" max="1" width="10.7109375" style="20"/>
    <col min="2" max="2" width="18.42578125" style="20" customWidth="1"/>
    <col min="3" max="3" width="11.42578125" style="20" customWidth="1"/>
    <col min="4" max="16384" width="10.7109375" style="20"/>
  </cols>
  <sheetData>
    <row r="4" spans="2:6" ht="20.25" x14ac:dyDescent="0.3">
      <c r="B4" s="61" t="s">
        <v>76</v>
      </c>
      <c r="C4" s="62" t="s">
        <v>77</v>
      </c>
      <c r="D4" s="63" t="s">
        <v>74</v>
      </c>
      <c r="F4" s="21" t="s">
        <v>15</v>
      </c>
    </row>
    <row r="5" spans="2:6" x14ac:dyDescent="0.2">
      <c r="B5" s="20" t="s">
        <v>78</v>
      </c>
      <c r="D5" s="64">
        <f>((Statements!I12/Statements!C12)^(1/7))-1</f>
        <v>0.17856931647168617</v>
      </c>
    </row>
    <row r="6" spans="2:6" x14ac:dyDescent="0.2">
      <c r="B6" s="20" t="s">
        <v>79</v>
      </c>
      <c r="D6" s="64">
        <f>Statements!I21/Statements!I12</f>
        <v>0.19558129558129561</v>
      </c>
      <c r="F6" s="20" t="s">
        <v>71</v>
      </c>
    </row>
    <row r="7" spans="2:6" x14ac:dyDescent="0.2">
      <c r="B7" s="20" t="s">
        <v>66</v>
      </c>
      <c r="D7" s="64">
        <f>Statements!I25/Statements!U38</f>
        <v>0.30455207574654036</v>
      </c>
    </row>
    <row r="8" spans="2:6" x14ac:dyDescent="0.2">
      <c r="B8" s="20" t="s">
        <v>80</v>
      </c>
      <c r="D8" s="64">
        <f>(Statements!I21*(1-(Statements!I24/Statements!I23)))/Statements!U49</f>
        <v>0.20161871407328555</v>
      </c>
      <c r="F8" s="20" t="s">
        <v>72</v>
      </c>
    </row>
    <row r="9" spans="2:6" x14ac:dyDescent="0.2">
      <c r="B9" s="20" t="s">
        <v>81</v>
      </c>
      <c r="D9" s="65">
        <f>Statements!U40/Statements!I21</f>
        <v>1.3609344154419827</v>
      </c>
    </row>
    <row r="10" spans="2:6" x14ac:dyDescent="0.2">
      <c r="B10" s="20" t="s">
        <v>82</v>
      </c>
      <c r="D10" s="66">
        <f>_xlfn.STDEV.S(Statements!C28:I28)</f>
        <v>0.61154703792256726</v>
      </c>
      <c r="F10" s="20" t="s">
        <v>73</v>
      </c>
    </row>
    <row r="11" spans="2:6" x14ac:dyDescent="0.2">
      <c r="B11" s="20" t="s">
        <v>83</v>
      </c>
      <c r="D11" s="66">
        <f>Statements!U45</f>
        <v>31.65159026102215</v>
      </c>
    </row>
    <row r="12" spans="2:6" x14ac:dyDescent="0.2">
      <c r="B12" s="20" t="s">
        <v>84</v>
      </c>
      <c r="D12" s="67" t="s">
        <v>86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scriptIds xmlns="http://schemas.microsoft.com/office/extensibility/maker/v1.0" id="script-ids-node-id">
  <scriptId id="ms-officescript%3A%2F%2Fonedrive_business_itemlink%2F015GZNGIFWWM75CB5U5JDIZ463SE5DI453:ms-officescript%3A%2F%2Fonedrive_business_sharinglink%2Fu!aHR0cHM6Ly9zamVjY2QtbXkuc2hhcmVwb2ludC5jb20vOnU6L2cvcGVyc29uYWwvYWJnbzY0NzZfc3R1X2V2Y19lZHUvRWJhelA5RUh0T3BHalBQYmtUbzBjN3NCcFR0RHZRTGdlNjlZOWVEaWtxVDAydw"/>
</scriptIds>
</file>

<file path=customXml/item4.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9CA9D73-4B12-4830-B86F-A2C93BFFF30D}">
  <ds:schemaRefs>
    <ds:schemaRef ds:uri="http://schemas.microsoft.com/sharepoint/v3/contenttype/forms"/>
  </ds:schemaRefs>
</ds:datastoreItem>
</file>

<file path=customXml/itemProps2.xml><?xml version="1.0" encoding="utf-8"?>
<ds:datastoreItem xmlns:ds="http://schemas.openxmlformats.org/officeDocument/2006/customXml" ds:itemID="{80F213C5-F071-4E9E-9963-FC20199506E0}">
  <ds:schemaRefs>
    <ds:schemaRef ds:uri="http://schemas.microsoft.com/office/2006/documentManagement/types"/>
    <ds:schemaRef ds:uri="http://purl.org/dc/elements/1.1/"/>
    <ds:schemaRef ds:uri="http://schemas.microsoft.com/office/infopath/2007/PartnerControls"/>
    <ds:schemaRef ds:uri="36567613-e428-4167-ab55-a4f66cede826"/>
    <ds:schemaRef ds:uri="http://purl.org/dc/terms/"/>
    <ds:schemaRef ds:uri="http://www.w3.org/XML/1998/namespace"/>
    <ds:schemaRef ds:uri="http://schemas.openxmlformats.org/package/2006/metadata/core-properti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09CC3DFF-8066-43A7-80F7-D82830EC8647}">
  <ds:schemaRefs>
    <ds:schemaRef ds:uri="http://schemas.microsoft.com/office/extensibility/maker/v1.0"/>
  </ds:schemaRefs>
</ds:datastoreItem>
</file>

<file path=customXml/itemProps4.xml><?xml version="1.0" encoding="utf-8"?>
<ds:datastoreItem xmlns:ds="http://schemas.openxmlformats.org/officeDocument/2006/customXml" ds:itemID="{F17312E7-BDAF-44C5-9DBF-26FD12E4B8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Statements</vt:lpstr>
      <vt:lpstr>Analysis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cp:lastPrinted>2026-05-28T05:01:45Z</cp:lastPrinted>
  <dcterms:created xsi:type="dcterms:W3CDTF">2025-02-19T20:24:26Z</dcterms:created>
  <dcterms:modified xsi:type="dcterms:W3CDTF">2026-06-29T22:00:53Z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y fmtid="{D5CDD505-2E9C-101B-9397-08002B2CF9AE}" pid="3" name="MSIP_Label_bc50c7b0-9e53-455f-9b3f-deab1aa8a41e_Enabled">
    <vt:lpwstr>true</vt:lpwstr>
  </property>
  <property fmtid="{D5CDD505-2E9C-101B-9397-08002B2CF9AE}" pid="4" name="MSIP_Label_bc50c7b0-9e53-455f-9b3f-deab1aa8a41e_SetDate">
    <vt:lpwstr>2025-06-20T18:35:59Z</vt:lpwstr>
  </property>
  <property fmtid="{D5CDD505-2E9C-101B-9397-08002B2CF9AE}" pid="5" name="MSIP_Label_bc50c7b0-9e53-455f-9b3f-deab1aa8a41e_Method">
    <vt:lpwstr>Standard</vt:lpwstr>
  </property>
  <property fmtid="{D5CDD505-2E9C-101B-9397-08002B2CF9AE}" pid="6" name="MSIP_Label_bc50c7b0-9e53-455f-9b3f-deab1aa8a41e_Name">
    <vt:lpwstr>defa4170-0d19-0005-0004-bc88714345d2</vt:lpwstr>
  </property>
  <property fmtid="{D5CDD505-2E9C-101B-9397-08002B2CF9AE}" pid="7" name="MSIP_Label_bc50c7b0-9e53-455f-9b3f-deab1aa8a41e_SiteId">
    <vt:lpwstr>7cc8e357-468d-472c-a6fc-c5600e789b55</vt:lpwstr>
  </property>
  <property fmtid="{D5CDD505-2E9C-101B-9397-08002B2CF9AE}" pid="8" name="MSIP_Label_bc50c7b0-9e53-455f-9b3f-deab1aa8a41e_ActionId">
    <vt:lpwstr>ee67d891-9c3e-44d0-a65b-82553e022ac4</vt:lpwstr>
  </property>
  <property fmtid="{D5CDD505-2E9C-101B-9397-08002B2CF9AE}" pid="9" name="MSIP_Label_bc50c7b0-9e53-455f-9b3f-deab1aa8a41e_ContentBits">
    <vt:lpwstr>0</vt:lpwstr>
  </property>
  <property fmtid="{D5CDD505-2E9C-101B-9397-08002B2CF9AE}" pid="10" name="MSIP_Label_bc50c7b0-9e53-455f-9b3f-deab1aa8a41e_Tag">
    <vt:lpwstr>10, 3, 0, 1</vt:lpwstr>
  </property>
</Properties>
</file>