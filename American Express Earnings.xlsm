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208" documentId="8_{1EA61717-D9D8-40B4-92EA-12F465C14726}" xr6:coauthVersionLast="47" xr6:coauthVersionMax="47" xr10:uidLastSave="{5174181C-C9A6-41E3-8AE4-662CF34C4147}"/>
  <bookViews>
    <workbookView xWindow="-120" yWindow="-120" windowWidth="27930" windowHeight="1644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70" i="1" l="1"/>
  <c r="Y70" i="1"/>
  <c r="AC70" i="1"/>
  <c r="AB70" i="1"/>
  <c r="AA70" i="1"/>
  <c r="X70" i="1"/>
  <c r="W70" i="1"/>
  <c r="V70" i="1"/>
  <c r="U70" i="1"/>
  <c r="T70" i="1"/>
  <c r="S70" i="1"/>
  <c r="R70" i="1"/>
  <c r="Q70" i="1"/>
  <c r="P70" i="1"/>
  <c r="O70" i="1"/>
  <c r="N70" i="1"/>
  <c r="M70" i="1"/>
  <c r="L70" i="1"/>
  <c r="K70" i="1"/>
  <c r="J70" i="1"/>
  <c r="I70" i="1"/>
  <c r="H70" i="1"/>
  <c r="G70" i="1"/>
  <c r="F70" i="1"/>
  <c r="E70" i="1"/>
  <c r="D70" i="1"/>
  <c r="C70" i="1"/>
  <c r="B70" i="1"/>
  <c r="Z69" i="1"/>
  <c r="Y69" i="1"/>
  <c r="Z68" i="1"/>
  <c r="Y68" i="1"/>
  <c r="Z67" i="1"/>
  <c r="Y67" i="1"/>
  <c r="Z66" i="1"/>
  <c r="Y66" i="1"/>
  <c r="Z65" i="1"/>
  <c r="Y65" i="1"/>
  <c r="Z64" i="1"/>
  <c r="Y64" i="1"/>
  <c r="Z62" i="1"/>
  <c r="Y62" i="1"/>
  <c r="Z61" i="1"/>
  <c r="Y61" i="1"/>
  <c r="Z60" i="1"/>
  <c r="Y60" i="1"/>
  <c r="Z59" i="1"/>
  <c r="Y59" i="1"/>
  <c r="Z58" i="1"/>
  <c r="Y58" i="1"/>
  <c r="Z57" i="1"/>
  <c r="Y57" i="1"/>
  <c r="Z56" i="1"/>
  <c r="Y56" i="1"/>
  <c r="Z53" i="1"/>
  <c r="Y53" i="1"/>
  <c r="Z52" i="1"/>
  <c r="Y52" i="1"/>
  <c r="Z51" i="1"/>
  <c r="Y51" i="1"/>
  <c r="Z50" i="1"/>
  <c r="Y50" i="1"/>
  <c r="Z49" i="1"/>
  <c r="Y49" i="1"/>
  <c r="Z48" i="1"/>
  <c r="Y48" i="1"/>
  <c r="Z47" i="1"/>
  <c r="Y47" i="1"/>
  <c r="Z44" i="1"/>
  <c r="Y44" i="1"/>
  <c r="Z43" i="1"/>
  <c r="Y43" i="1"/>
  <c r="Z42" i="1"/>
  <c r="Y42" i="1"/>
  <c r="Z40" i="1"/>
  <c r="Y40" i="1"/>
  <c r="Z39" i="1"/>
  <c r="Y39" i="1"/>
  <c r="Z38" i="1"/>
  <c r="Y38" i="1"/>
  <c r="Z37" i="1"/>
  <c r="Y37" i="1"/>
  <c r="Z36" i="1"/>
  <c r="Y36" i="1"/>
  <c r="Z35" i="1"/>
  <c r="Y35" i="1"/>
  <c r="Z32" i="1"/>
  <c r="Y32" i="1"/>
  <c r="Z31" i="1"/>
  <c r="Y31" i="1"/>
  <c r="Z30" i="1"/>
  <c r="Y30" i="1"/>
  <c r="Z29" i="1"/>
  <c r="Y29" i="1"/>
  <c r="Z28" i="1"/>
  <c r="Y28" i="1"/>
  <c r="Z26" i="1"/>
  <c r="Y26" i="1"/>
  <c r="Z25" i="1"/>
  <c r="Y25" i="1"/>
  <c r="Z24" i="1"/>
  <c r="Y24" i="1"/>
  <c r="Z22" i="1"/>
  <c r="Y22" i="1"/>
  <c r="Z21" i="1"/>
  <c r="Y21" i="1"/>
  <c r="Z20" i="1"/>
  <c r="Y20" i="1"/>
  <c r="Z19" i="1"/>
  <c r="Y19" i="1"/>
  <c r="Z17" i="1"/>
  <c r="Y17" i="1"/>
  <c r="Z16" i="1"/>
  <c r="Y16" i="1"/>
  <c r="Z15" i="1"/>
  <c r="Y15" i="1"/>
  <c r="Z14" i="1"/>
  <c r="Y14" i="1"/>
  <c r="Z13" i="1"/>
  <c r="Y13" i="1"/>
  <c r="Z9" i="1"/>
  <c r="Y9" i="1"/>
  <c r="Z8" i="1"/>
  <c r="Y8" i="1"/>
  <c r="Z7" i="1"/>
  <c r="Y7" i="1"/>
  <c r="Z6" i="1"/>
  <c r="Y6" i="1"/>
  <c r="Z5" i="1"/>
  <c r="Y5" i="1"/>
  <c r="X49" i="1"/>
  <c r="X35" i="1"/>
  <c r="W49" i="1"/>
  <c r="W35" i="1"/>
  <c r="W40" i="1" s="1"/>
  <c r="V49" i="1"/>
  <c r="V35" i="1"/>
  <c r="V40" i="1" s="1"/>
  <c r="U49" i="1"/>
  <c r="U43" i="1"/>
  <c r="U38" i="1"/>
  <c r="U39" i="1"/>
  <c r="U37" i="1"/>
  <c r="U36" i="1"/>
  <c r="U30" i="1"/>
  <c r="U29" i="1"/>
  <c r="U28" i="1"/>
  <c r="U25" i="1"/>
  <c r="U24" i="1"/>
  <c r="U21" i="1"/>
  <c r="U20" i="1"/>
  <c r="U19" i="1"/>
  <c r="U16" i="1"/>
  <c r="U15" i="1"/>
  <c r="U14" i="1"/>
  <c r="U13" i="1"/>
  <c r="T49" i="1"/>
  <c r="T53" i="1" s="1"/>
  <c r="T35" i="1"/>
  <c r="T40" i="1" s="1"/>
  <c r="S49" i="1"/>
  <c r="S53" i="1" s="1"/>
  <c r="S35" i="1"/>
  <c r="R49" i="1"/>
  <c r="R35" i="1"/>
  <c r="R40" i="1" s="1"/>
  <c r="Q49" i="1"/>
  <c r="Q53" i="1" s="1"/>
  <c r="Q43" i="1"/>
  <c r="Q39" i="1"/>
  <c r="Q38" i="1"/>
  <c r="Q37" i="1"/>
  <c r="Q36" i="1"/>
  <c r="Q35" i="1"/>
  <c r="Q30" i="1"/>
  <c r="Q29" i="1"/>
  <c r="Q28" i="1"/>
  <c r="Q25" i="1"/>
  <c r="Q24" i="1"/>
  <c r="Q26" i="1" s="1"/>
  <c r="Q21" i="1"/>
  <c r="Q20" i="1"/>
  <c r="Q19" i="1"/>
  <c r="Q16" i="1"/>
  <c r="Q15" i="1"/>
  <c r="Q14" i="1"/>
  <c r="Q13" i="1"/>
  <c r="P49" i="1"/>
  <c r="P53" i="1" s="1"/>
  <c r="O49" i="1"/>
  <c r="O53" i="1" s="1"/>
  <c r="N49" i="1"/>
  <c r="M49" i="1"/>
  <c r="M43" i="1"/>
  <c r="M39" i="1"/>
  <c r="M38" i="1"/>
  <c r="M37" i="1"/>
  <c r="M36" i="1"/>
  <c r="M35" i="1"/>
  <c r="M30" i="1"/>
  <c r="M29" i="1"/>
  <c r="M28" i="1"/>
  <c r="M25" i="1"/>
  <c r="M24" i="1"/>
  <c r="M21" i="1"/>
  <c r="M20" i="1"/>
  <c r="M19" i="1"/>
  <c r="M16" i="1"/>
  <c r="M15" i="1"/>
  <c r="M14" i="1"/>
  <c r="M13" i="1"/>
  <c r="L49" i="1"/>
  <c r="L53" i="1" s="1"/>
  <c r="K49" i="1"/>
  <c r="K53" i="1" s="1"/>
  <c r="J49" i="1"/>
  <c r="J53" i="1" s="1"/>
  <c r="I49" i="1"/>
  <c r="I53" i="1" s="1"/>
  <c r="I43" i="1"/>
  <c r="I39" i="1"/>
  <c r="I38" i="1"/>
  <c r="I37" i="1"/>
  <c r="I36" i="1"/>
  <c r="I35" i="1"/>
  <c r="I30" i="1"/>
  <c r="I29" i="1"/>
  <c r="I28" i="1"/>
  <c r="I25" i="1"/>
  <c r="I24" i="1"/>
  <c r="I26" i="1" s="1"/>
  <c r="I21" i="1"/>
  <c r="I20" i="1"/>
  <c r="I19" i="1"/>
  <c r="I16" i="1"/>
  <c r="I15" i="1"/>
  <c r="I14" i="1"/>
  <c r="I13" i="1"/>
  <c r="H49" i="1"/>
  <c r="H48" i="1"/>
  <c r="G49" i="1"/>
  <c r="G53" i="1" s="1"/>
  <c r="G48" i="1"/>
  <c r="F49" i="1"/>
  <c r="F48" i="1"/>
  <c r="E49" i="1"/>
  <c r="E48" i="1"/>
  <c r="E47" i="1"/>
  <c r="E43" i="1"/>
  <c r="E39" i="1"/>
  <c r="E38" i="1"/>
  <c r="E37" i="1"/>
  <c r="E36" i="1"/>
  <c r="E35" i="1"/>
  <c r="E30" i="1"/>
  <c r="E29" i="1"/>
  <c r="E28" i="1"/>
  <c r="E25" i="1"/>
  <c r="E24" i="1"/>
  <c r="E21" i="1"/>
  <c r="E20" i="1"/>
  <c r="E19" i="1"/>
  <c r="E16" i="1"/>
  <c r="E15" i="1"/>
  <c r="E14" i="1"/>
  <c r="E13" i="1"/>
  <c r="D49" i="1"/>
  <c r="D48" i="1"/>
  <c r="D53" i="1" s="1"/>
  <c r="C49" i="1"/>
  <c r="C48" i="1"/>
  <c r="AC62" i="1"/>
  <c r="AB62" i="1"/>
  <c r="AA62" i="1"/>
  <c r="X62" i="1"/>
  <c r="W62" i="1"/>
  <c r="V62" i="1"/>
  <c r="U62" i="1"/>
  <c r="T62" i="1"/>
  <c r="S62" i="1"/>
  <c r="R62" i="1"/>
  <c r="Q62" i="1"/>
  <c r="P62" i="1"/>
  <c r="O62" i="1"/>
  <c r="N62" i="1"/>
  <c r="M62" i="1"/>
  <c r="L62" i="1"/>
  <c r="K62" i="1"/>
  <c r="J62" i="1"/>
  <c r="I62" i="1"/>
  <c r="H62" i="1"/>
  <c r="G62" i="1"/>
  <c r="F62" i="1"/>
  <c r="E62" i="1"/>
  <c r="D62" i="1"/>
  <c r="AC53" i="1"/>
  <c r="AB53" i="1"/>
  <c r="AA53" i="1"/>
  <c r="X53" i="1"/>
  <c r="V53" i="1"/>
  <c r="U53" i="1"/>
  <c r="R53" i="1"/>
  <c r="N53" i="1"/>
  <c r="M53" i="1"/>
  <c r="AC40" i="1"/>
  <c r="AB40" i="1"/>
  <c r="AA40" i="1"/>
  <c r="X40" i="1"/>
  <c r="P40" i="1"/>
  <c r="O40" i="1"/>
  <c r="N40" i="1"/>
  <c r="L40" i="1"/>
  <c r="K40" i="1"/>
  <c r="J40" i="1"/>
  <c r="H40" i="1"/>
  <c r="G40" i="1"/>
  <c r="F40" i="1"/>
  <c r="D40" i="1"/>
  <c r="AC31" i="1"/>
  <c r="AB31" i="1"/>
  <c r="AA31" i="1"/>
  <c r="X31" i="1"/>
  <c r="W31" i="1"/>
  <c r="V31" i="1"/>
  <c r="T31" i="1"/>
  <c r="S31" i="1"/>
  <c r="R31" i="1"/>
  <c r="P31" i="1"/>
  <c r="O31" i="1"/>
  <c r="N31" i="1"/>
  <c r="L31" i="1"/>
  <c r="K31" i="1"/>
  <c r="J31" i="1"/>
  <c r="H31" i="1"/>
  <c r="G31" i="1"/>
  <c r="F31" i="1"/>
  <c r="D31" i="1"/>
  <c r="AC26" i="1"/>
  <c r="AB26" i="1"/>
  <c r="AA26" i="1"/>
  <c r="X26" i="1"/>
  <c r="W26" i="1"/>
  <c r="V26" i="1"/>
  <c r="T26" i="1"/>
  <c r="S26" i="1"/>
  <c r="R26" i="1"/>
  <c r="P26" i="1"/>
  <c r="O26" i="1"/>
  <c r="N26" i="1"/>
  <c r="L26" i="1"/>
  <c r="K26" i="1"/>
  <c r="J26" i="1"/>
  <c r="H26" i="1"/>
  <c r="G26" i="1"/>
  <c r="F26" i="1"/>
  <c r="D26" i="1"/>
  <c r="AC22" i="1"/>
  <c r="AB22" i="1"/>
  <c r="AA22" i="1"/>
  <c r="X22" i="1"/>
  <c r="W22" i="1"/>
  <c r="V22" i="1"/>
  <c r="T22" i="1"/>
  <c r="S22" i="1"/>
  <c r="R22" i="1"/>
  <c r="P22" i="1"/>
  <c r="O22" i="1"/>
  <c r="N22" i="1"/>
  <c r="L22" i="1"/>
  <c r="K22" i="1"/>
  <c r="J22" i="1"/>
  <c r="H22" i="1"/>
  <c r="G22" i="1"/>
  <c r="F22" i="1"/>
  <c r="D22" i="1"/>
  <c r="AC17" i="1"/>
  <c r="AB17" i="1"/>
  <c r="AA17" i="1"/>
  <c r="X17" i="1"/>
  <c r="W17" i="1"/>
  <c r="V17" i="1"/>
  <c r="T17" i="1"/>
  <c r="S17" i="1"/>
  <c r="R17" i="1"/>
  <c r="P17" i="1"/>
  <c r="O17" i="1"/>
  <c r="N17" i="1"/>
  <c r="L17" i="1"/>
  <c r="K17" i="1"/>
  <c r="J17" i="1"/>
  <c r="H17" i="1"/>
  <c r="G17" i="1"/>
  <c r="F17" i="1"/>
  <c r="D17" i="1"/>
  <c r="AC9" i="1"/>
  <c r="AB9" i="1"/>
  <c r="AA9" i="1"/>
  <c r="X9" i="1"/>
  <c r="W9" i="1"/>
  <c r="V9" i="1"/>
  <c r="U9" i="1"/>
  <c r="T9" i="1"/>
  <c r="S9" i="1"/>
  <c r="R9" i="1"/>
  <c r="Q9" i="1"/>
  <c r="P9" i="1"/>
  <c r="O9" i="1"/>
  <c r="N9" i="1"/>
  <c r="M9" i="1"/>
  <c r="L9" i="1"/>
  <c r="K9" i="1"/>
  <c r="J9" i="1"/>
  <c r="I9" i="1"/>
  <c r="H9" i="1"/>
  <c r="G9" i="1"/>
  <c r="F9" i="1"/>
  <c r="E9" i="1"/>
  <c r="D9" i="1"/>
  <c r="AC8" i="1"/>
  <c r="AB8" i="1"/>
  <c r="AA8" i="1"/>
  <c r="X8" i="1"/>
  <c r="W8" i="1"/>
  <c r="V8" i="1"/>
  <c r="U8" i="1"/>
  <c r="T8" i="1"/>
  <c r="S8" i="1"/>
  <c r="R8" i="1"/>
  <c r="Q8" i="1"/>
  <c r="P8" i="1"/>
  <c r="O8" i="1"/>
  <c r="N8" i="1"/>
  <c r="M8" i="1"/>
  <c r="L8" i="1"/>
  <c r="K8" i="1"/>
  <c r="J8" i="1"/>
  <c r="I8" i="1"/>
  <c r="H8" i="1"/>
  <c r="G8" i="1"/>
  <c r="F8" i="1"/>
  <c r="D8" i="1"/>
  <c r="AC7" i="1"/>
  <c r="AB7" i="1"/>
  <c r="AA7" i="1"/>
  <c r="X7" i="1"/>
  <c r="W7" i="1"/>
  <c r="V7" i="1"/>
  <c r="U7" i="1"/>
  <c r="T7" i="1"/>
  <c r="S7" i="1"/>
  <c r="R7" i="1"/>
  <c r="Q7" i="1"/>
  <c r="P7" i="1"/>
  <c r="O7" i="1"/>
  <c r="N7" i="1"/>
  <c r="M7" i="1"/>
  <c r="L7" i="1"/>
  <c r="K7" i="1"/>
  <c r="J7" i="1"/>
  <c r="I7" i="1"/>
  <c r="H7" i="1"/>
  <c r="G7" i="1"/>
  <c r="F7" i="1"/>
  <c r="E7" i="1"/>
  <c r="D7" i="1"/>
  <c r="C8" i="1"/>
  <c r="C7" i="1"/>
  <c r="C9" i="1"/>
  <c r="C17" i="1"/>
  <c r="C22" i="1"/>
  <c r="C26" i="1"/>
  <c r="C31" i="1"/>
  <c r="C40" i="1"/>
  <c r="C62" i="1"/>
  <c r="E53" i="1" l="1"/>
  <c r="X64" i="1"/>
  <c r="E26" i="1"/>
  <c r="U26" i="1"/>
  <c r="F53" i="1"/>
  <c r="F64" i="1" s="1"/>
  <c r="I31" i="1"/>
  <c r="M22" i="1"/>
  <c r="U17" i="1"/>
  <c r="W53" i="1"/>
  <c r="Q40" i="1"/>
  <c r="C53" i="1"/>
  <c r="E17" i="1"/>
  <c r="Q22" i="1"/>
  <c r="U35" i="1"/>
  <c r="U40" i="1" s="1"/>
  <c r="Q31" i="1"/>
  <c r="I22" i="1"/>
  <c r="M17" i="1"/>
  <c r="M40" i="1"/>
  <c r="S40" i="1"/>
  <c r="AC65" i="1"/>
  <c r="E8" i="1"/>
  <c r="E65" i="1" s="1"/>
  <c r="M26" i="1"/>
  <c r="Q17" i="1"/>
  <c r="E31" i="1"/>
  <c r="H53" i="1"/>
  <c r="H64" i="1" s="1"/>
  <c r="U31" i="1"/>
  <c r="M31" i="1"/>
  <c r="I17" i="1"/>
  <c r="I32" i="1" s="1"/>
  <c r="I64" i="1"/>
  <c r="AA64" i="1"/>
  <c r="AB64" i="1"/>
  <c r="AC64" i="1"/>
  <c r="X65" i="1"/>
  <c r="J64" i="1"/>
  <c r="AA65" i="1"/>
  <c r="AB65" i="1"/>
  <c r="W64" i="1"/>
  <c r="W65" i="1"/>
  <c r="V64" i="1"/>
  <c r="V65" i="1"/>
  <c r="V32" i="1"/>
  <c r="U64" i="1"/>
  <c r="U65" i="1"/>
  <c r="U22" i="1"/>
  <c r="U32" i="1" s="1"/>
  <c r="U42" i="1" s="1"/>
  <c r="U44" i="1" s="1"/>
  <c r="T64" i="1"/>
  <c r="T65" i="1"/>
  <c r="T32" i="1"/>
  <c r="T42" i="1" s="1"/>
  <c r="T44" i="1" s="1"/>
  <c r="T67" i="1" s="1"/>
  <c r="S65" i="1"/>
  <c r="S64" i="1"/>
  <c r="R64" i="1"/>
  <c r="R65" i="1"/>
  <c r="Q65" i="1"/>
  <c r="M64" i="1"/>
  <c r="O64" i="1"/>
  <c r="P64" i="1"/>
  <c r="Q64" i="1"/>
  <c r="P65" i="1"/>
  <c r="O65" i="1"/>
  <c r="N65" i="1"/>
  <c r="N64" i="1"/>
  <c r="M65" i="1"/>
  <c r="L64" i="1"/>
  <c r="L65" i="1"/>
  <c r="K64" i="1"/>
  <c r="K65" i="1"/>
  <c r="J65" i="1"/>
  <c r="I65" i="1"/>
  <c r="H65" i="1"/>
  <c r="G64" i="1"/>
  <c r="G65" i="1"/>
  <c r="F65" i="1"/>
  <c r="F32" i="1"/>
  <c r="F42" i="1" s="1"/>
  <c r="F44" i="1" s="1"/>
  <c r="F67" i="1" s="1"/>
  <c r="E64" i="1"/>
  <c r="E40" i="1"/>
  <c r="E22" i="1"/>
  <c r="D64" i="1"/>
  <c r="D65" i="1"/>
  <c r="D32" i="1"/>
  <c r="D42" i="1" s="1"/>
  <c r="D44" i="1" s="1"/>
  <c r="D67" i="1" s="1"/>
  <c r="G32" i="1"/>
  <c r="G42" i="1" s="1"/>
  <c r="G44" i="1" s="1"/>
  <c r="W32" i="1"/>
  <c r="H32" i="1"/>
  <c r="H42" i="1" s="1"/>
  <c r="H44" i="1" s="1"/>
  <c r="X32" i="1"/>
  <c r="X42" i="1" s="1"/>
  <c r="X44" i="1" s="1"/>
  <c r="AA32" i="1"/>
  <c r="AA42" i="1" s="1"/>
  <c r="AA44" i="1" s="1"/>
  <c r="J32" i="1"/>
  <c r="J42" i="1" s="1"/>
  <c r="J44" i="1" s="1"/>
  <c r="AB32" i="1"/>
  <c r="AB42" i="1" s="1"/>
  <c r="AB44" i="1" s="1"/>
  <c r="K32" i="1"/>
  <c r="K42" i="1" s="1"/>
  <c r="K44" i="1" s="1"/>
  <c r="AC32" i="1"/>
  <c r="AC42" i="1" s="1"/>
  <c r="AC44" i="1" s="1"/>
  <c r="L32" i="1"/>
  <c r="L42" i="1" s="1"/>
  <c r="L44" i="1" s="1"/>
  <c r="N32" i="1"/>
  <c r="N42" i="1" s="1"/>
  <c r="N44" i="1" s="1"/>
  <c r="P32" i="1"/>
  <c r="P42" i="1" s="1"/>
  <c r="P44" i="1" s="1"/>
  <c r="O32" i="1"/>
  <c r="O42" i="1" s="1"/>
  <c r="O44" i="1" s="1"/>
  <c r="R32" i="1"/>
  <c r="R42" i="1" s="1"/>
  <c r="R44" i="1" s="1"/>
  <c r="S32" i="1"/>
  <c r="C65" i="1"/>
  <c r="C32" i="1"/>
  <c r="C69" i="1" s="1"/>
  <c r="C64" i="1"/>
  <c r="B9" i="1"/>
  <c r="B8" i="1"/>
  <c r="B7" i="1"/>
  <c r="B62" i="1"/>
  <c r="B49" i="1"/>
  <c r="B48" i="1"/>
  <c r="B40" i="1"/>
  <c r="B31" i="1"/>
  <c r="B26" i="1"/>
  <c r="B22" i="1"/>
  <c r="B17" i="1"/>
  <c r="A4" i="1" a="1"/>
  <c r="A4" i="1" s="1"/>
  <c r="S42" i="1" l="1"/>
  <c r="S44" i="1" s="1"/>
  <c r="S66" i="1" s="1"/>
  <c r="M32" i="1"/>
  <c r="M42" i="1" s="1"/>
  <c r="M44" i="1" s="1"/>
  <c r="M66" i="1" s="1"/>
  <c r="W42" i="1"/>
  <c r="Q32" i="1"/>
  <c r="Q42" i="1" s="1"/>
  <c r="Q44" i="1" s="1"/>
  <c r="Q66" i="1" s="1"/>
  <c r="E32" i="1"/>
  <c r="E42" i="1" s="1"/>
  <c r="E44" i="1" s="1"/>
  <c r="E67" i="1" s="1"/>
  <c r="F68" i="1"/>
  <c r="B53" i="1"/>
  <c r="B64" i="1" s="1"/>
  <c r="V42" i="1"/>
  <c r="W68" i="1"/>
  <c r="P69" i="1"/>
  <c r="X68" i="1"/>
  <c r="B65" i="1"/>
  <c r="B32" i="1"/>
  <c r="B42" i="1" s="1"/>
  <c r="B44" i="1" s="1"/>
  <c r="V68" i="1"/>
  <c r="V69" i="1"/>
  <c r="U69" i="1"/>
  <c r="U68" i="1"/>
  <c r="T68" i="1"/>
  <c r="T66" i="1"/>
  <c r="T69" i="1"/>
  <c r="S69" i="1"/>
  <c r="R69" i="1"/>
  <c r="O68" i="1"/>
  <c r="N68" i="1"/>
  <c r="N69" i="1"/>
  <c r="L69" i="1"/>
  <c r="L68" i="1"/>
  <c r="I69" i="1"/>
  <c r="H68" i="1"/>
  <c r="F66" i="1"/>
  <c r="F69" i="1"/>
  <c r="D66" i="1"/>
  <c r="D68" i="1"/>
  <c r="D69" i="1"/>
  <c r="AC69" i="1"/>
  <c r="J67" i="1"/>
  <c r="J66" i="1"/>
  <c r="K69" i="1"/>
  <c r="S68" i="1"/>
  <c r="X67" i="1"/>
  <c r="X66" i="1"/>
  <c r="AB68" i="1"/>
  <c r="AB69" i="1"/>
  <c r="AB67" i="1"/>
  <c r="AB66" i="1"/>
  <c r="H67" i="1"/>
  <c r="H66" i="1"/>
  <c r="J68" i="1"/>
  <c r="G69" i="1"/>
  <c r="J69" i="1"/>
  <c r="R68" i="1"/>
  <c r="AC68" i="1"/>
  <c r="C42" i="1"/>
  <c r="C44" i="1" s="1"/>
  <c r="C66" i="1" s="1"/>
  <c r="R66" i="1"/>
  <c r="R67" i="1"/>
  <c r="O66" i="1"/>
  <c r="O67" i="1"/>
  <c r="AA68" i="1"/>
  <c r="X69" i="1"/>
  <c r="G67" i="1"/>
  <c r="G66" i="1"/>
  <c r="P66" i="1"/>
  <c r="P67" i="1"/>
  <c r="U67" i="1"/>
  <c r="U66" i="1"/>
  <c r="O69" i="1"/>
  <c r="P68" i="1"/>
  <c r="AC67" i="1"/>
  <c r="AC66" i="1"/>
  <c r="AA67" i="1"/>
  <c r="AA66" i="1"/>
  <c r="N66" i="1"/>
  <c r="N67" i="1"/>
  <c r="G68" i="1"/>
  <c r="W69" i="1"/>
  <c r="K68" i="1"/>
  <c r="I68" i="1"/>
  <c r="H69" i="1"/>
  <c r="K67" i="1"/>
  <c r="K66" i="1"/>
  <c r="M67" i="1"/>
  <c r="L66" i="1"/>
  <c r="L67" i="1"/>
  <c r="AA69" i="1"/>
  <c r="M68" i="1"/>
  <c r="C68" i="1"/>
  <c r="Q68" i="1" l="1"/>
  <c r="Q67" i="1"/>
  <c r="Q69" i="1"/>
  <c r="E69" i="1"/>
  <c r="S67" i="1"/>
  <c r="E68" i="1"/>
  <c r="E66" i="1"/>
  <c r="M69" i="1"/>
  <c r="V44" i="1"/>
  <c r="W44" i="1"/>
  <c r="B66" i="1"/>
  <c r="B67" i="1"/>
  <c r="B69" i="1"/>
  <c r="B68" i="1"/>
  <c r="I40" i="1"/>
  <c r="I42" i="1" s="1"/>
  <c r="I44" i="1" s="1"/>
  <c r="C67" i="1"/>
  <c r="W67" i="1" l="1"/>
  <c r="W66" i="1"/>
  <c r="V67" i="1"/>
  <c r="V66" i="1"/>
  <c r="I67" i="1"/>
  <c r="I66"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<sst xmlns="http://schemas.openxmlformats.org/spreadsheetml/2006/main" count="92" uniqueCount="86">
  <si>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</si>
  <si>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</si>
  <si>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</si>
  <si>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</si>
  <si>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</si>
  <si>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</si>
  <si>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</si>
  <si>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</si>
  <si>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</si>
  <si>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</si>
  <si>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</si>
  <si>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</si>
  <si>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</si>
  <si>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</si>
  <si>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</si>
  <si>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</si>
  <si>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</si>
  <si>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</si>
  <si>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</si>
  <si>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</si>
  <si>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</si>
  <si>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</si>
  <si>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</si>
  <si>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</si>
  <si>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</si>
  <si>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</si>
  <si>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</si>
  <si>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</si>
  <si>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Price</t>
  </si>
  <si>
    <t>Shares outstanding</t>
  </si>
  <si>
    <t>Market cap</t>
  </si>
  <si>
    <t>Cash</t>
  </si>
  <si>
    <t>Debt</t>
  </si>
  <si>
    <t>Revenues</t>
  </si>
  <si>
    <t>Non-interest revenues</t>
  </si>
  <si>
    <t>Discount revenues</t>
  </si>
  <si>
    <t>Net card fees</t>
  </si>
  <si>
    <t>Other fees &amp; commissions</t>
  </si>
  <si>
    <t>Other</t>
  </si>
  <si>
    <t>Total non-interest revenues</t>
  </si>
  <si>
    <t>Interest income</t>
  </si>
  <si>
    <t>Interest on loans</t>
  </si>
  <si>
    <t>Interest &amp; dividends on investment securities</t>
  </si>
  <si>
    <t>Deposits with banks &amp; other</t>
  </si>
  <si>
    <t>Total revenues</t>
  </si>
  <si>
    <t>Total interest income</t>
  </si>
  <si>
    <t>Interest expense</t>
  </si>
  <si>
    <t xml:space="preserve">Deposits </t>
  </si>
  <si>
    <t>Long-term debt &amp; other</t>
  </si>
  <si>
    <t>Total interest expense</t>
  </si>
  <si>
    <t>Provision for losses</t>
  </si>
  <si>
    <t>Charge card</t>
  </si>
  <si>
    <t>Card member loans</t>
  </si>
  <si>
    <t>Total provision for losses</t>
  </si>
  <si>
    <t>Expenses</t>
  </si>
  <si>
    <t>Marketing &amp; business development</t>
  </si>
  <si>
    <t>Card member rewards</t>
  </si>
  <si>
    <t>Card member services</t>
  </si>
  <si>
    <t>Salaries &amp; employee benefits</t>
  </si>
  <si>
    <t>Total expenses</t>
  </si>
  <si>
    <t>Income from operations</t>
  </si>
  <si>
    <t>Income taxes</t>
  </si>
  <si>
    <t>Net income</t>
  </si>
  <si>
    <t>Assets</t>
  </si>
  <si>
    <t>Accounts receivable</t>
  </si>
  <si>
    <t>Loans</t>
  </si>
  <si>
    <t>Investment securities</t>
  </si>
  <si>
    <t>Premises &amp; equipment</t>
  </si>
  <si>
    <t>Total assets</t>
  </si>
  <si>
    <t>Liabilities</t>
  </si>
  <si>
    <t>Customer deposits</t>
  </si>
  <si>
    <t>Travelers cheques &amp; other prepaid products</t>
  </si>
  <si>
    <t>Accounts payable</t>
  </si>
  <si>
    <t>Short-term borrowings</t>
  </si>
  <si>
    <t>Long-term debt</t>
  </si>
  <si>
    <t>Total liabilities</t>
  </si>
  <si>
    <t>Equity</t>
  </si>
  <si>
    <t>Enterprise value</t>
  </si>
  <si>
    <t>EPS</t>
  </si>
  <si>
    <t>Non-interest revenues % of revenue</t>
  </si>
  <si>
    <t>Net interest income % of revenue</t>
  </si>
  <si>
    <t>Net profit margin</t>
  </si>
  <si>
    <t>% Change</t>
  </si>
  <si>
    <t>YoY</t>
  </si>
  <si>
    <t>ROE</t>
  </si>
  <si>
    <t>QoQ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</si>
</sst>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409]* #,##0.00_);_([$$-409]* \(#,##0.00\);_([$$-409]* &quot;-&quot;??_);_(@_)"/>
    <numFmt numFmtId="166" formatCode="0.0%"/>
    <numFmt numFmtId="167" formatCode="_(* #,##0.000_);_(* \(#,##0.000\);_(* &quot;-&quot;??_);_(@_)"/>
  </numFmts>
  <fonts count="9"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3">
    <border>
      <left/>
      <right/>
      <top/>
      <bottom/>
      <diagonal/>
    </border>
    <border>
      <left/>
      <right/>
      <top/>
      <bottom style="medium">
        <color indexed="64"/>
      </bottom>
      <diagonal/>
    </border>
    <border>
      <left/>
      <right/>
      <top style="medium">
        <color indexed="64"/>
      </top>
      <bottom style="medium">
        <color indexed="64"/>
      </bottom>
      <diagonal/>
    </border>
  </borders>
  <cellStyleXfs count="4">
    <xf numFmtId="0" fontId="0"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cellStyleXfs>
  <cellXfs count="28">
    <xf numFmtId="0" fontId="0" fillId="0" borderId="0" xfId="0"/>
    <xf numFmtId="14" fontId="4" fillId="2" borderId="0" xfId="0" applyNumberFormat="1" applyFont="1" applyFill="1" applyAlignment="1">
      <alignment horizontal="center" vertical="center"/>
    </xf>
    <xf numFmtId="0" fontId="5" fillId="0" borderId="0" xfId="0" applyFont="1"/>
    <xf numFmtId="0" fontId="4" fillId="2" borderId="0" xfId="0" applyFont="1" applyFill="1" applyAlignment="1">
      <alignment horizontal="center" vertical="center"/>
    </xf>
    <xf numFmtId="0" fontId="4" fillId="2" borderId="0" xfId="0" applyFont="1" applyFill="1" applyAlignment="1">
      <alignment vertical="center"/>
    </xf>
    <xf numFmtId="164" fontId="5" fillId="0" borderId="0" xfId="1" applyNumberFormat="1" applyFont="1"/>
    <xf numFmtId="0" fontId="4" fillId="2" borderId="0" xfId="0" applyFont="1" applyFill="1" applyAlignment="1">
      <alignment horizontal="center"/>
    </xf>
    <xf numFmtId="0" fontId="3" fillId="0" borderId="0" xfId="0" applyFont="1" applyAlignment="1">
      <alignment horizontal="left"/>
    </xf>
    <xf numFmtId="165" fontId="5" fillId="0" borderId="0" xfId="0" applyNumberFormat="1" applyFont="1"/>
    <xf numFmtId="0" fontId="3" fillId="0" borderId="0" xfId="0" applyFont="1"/>
    <xf numFmtId="0" fontId="7" fillId="0" borderId="0" xfId="0" applyFont="1"/>
    <xf numFmtId="0" fontId="3" fillId="0" borderId="0" xfId="0" applyFont="1" applyAlignment="1">
      <alignment horizontal="left" indent="1"/>
    </xf>
    <xf numFmtId="0" fontId="7" fillId="0" borderId="0" xfId="0" applyFont="1" applyAlignment="1">
      <alignment horizontal="left" indent="1"/>
    </xf>
    <xf numFmtId="0" fontId="7" fillId="0" borderId="0" xfId="0" applyFont="1" applyAlignment="1">
      <alignment horizontal="left" indent="3"/>
    </xf>
    <xf numFmtId="164" fontId="7" fillId="0" borderId="0" xfId="1" applyNumberFormat="1" applyFont="1"/>
    <xf numFmtId="0" fontId="7" fillId="0" borderId="0" xfId="0" applyFont="1" applyAlignment="1">
      <alignment horizontal="left" indent="2"/>
    </xf>
    <xf numFmtId="164" fontId="3" fillId="0" borderId="0" xfId="1" applyNumberFormat="1" applyFont="1"/>
    <xf numFmtId="0" fontId="3" fillId="0" borderId="1" xfId="0" applyFont="1" applyBorder="1" applyAlignment="1">
      <alignment horizontal="left" indent="2"/>
    </xf>
    <xf numFmtId="0" fontId="3" fillId="0" borderId="1" xfId="0" applyFont="1" applyBorder="1" applyAlignment="1">
      <alignment horizontal="left" indent="1"/>
    </xf>
    <xf numFmtId="0" fontId="3" fillId="0" borderId="2" xfId="0" applyFont="1" applyBorder="1" applyAlignment="1">
      <alignment horizontal="left" indent="2"/>
    </xf>
    <xf numFmtId="44" fontId="5" fillId="0" borderId="0" xfId="2" applyFont="1"/>
    <xf numFmtId="43" fontId="5" fillId="0" borderId="0" xfId="1" applyFont="1"/>
    <xf numFmtId="166" fontId="5" fillId="0" borderId="0" xfId="3" applyNumberFormat="1" applyFont="1"/>
    <xf numFmtId="164" fontId="2" fillId="0" borderId="0" xfId="1" applyNumberFormat="1" applyFont="1"/>
    <xf numFmtId="164" fontId="1" fillId="0" borderId="0" xfId="1" applyNumberFormat="1" applyFont="1"/>
    <xf numFmtId="9" fontId="8" fillId="0" borderId="0" xfId="3" applyFont="1" applyAlignment="1">
      <alignment horizontal="center"/>
    </xf>
    <xf numFmtId="167" fontId="5" fillId="0" borderId="0" xfId="1" applyNumberFormat="1" applyFont="1"/>
    <xf numFmtId="0" fontId="1" fillId="0" borderId="0" xfId="0" applyFont="1"/>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https://www.bing.com/financeapi/forcetrigger?t=a1o2lh&amp;q=XNYS%3aAXP&amp;form=skydnc</v>
    <v>Learn more on Bing</v>
  </rv>
  <rv s="1">
    <v>en-US</v>
    <v>a1o2lh</v>
    <v>268435456</v>
    <v>1</v>
    <v>Powered by Refinitiv</v>
    <v>0</v>
    <v>AMERICAN EXPRESS COMPANY (XNYS:AXP)</v>
    <v>2</v>
    <v>3</v>
    <v>Finance</v>
    <v>4</v>
    <v>182.15</v>
    <v>138.77000000000001</v>
    <v>1.2077</v>
    <v>1.94</v>
    <v>0</v>
    <v>1.3729E-2</v>
    <v>0</v>
    <v>USD</v>
    <v>American Express Company is a globally integrated payments company. The Company provides its customers with access to products, insights, and experiences that builds business. It operates under four segments: U.S. Consumer Services (USCS), Commercial Services (CS), International Card Services (ICS), and Global Merchant and Network Services (GMNS). USCS offers travel and lifestyle services as well as banking and non-card financing products. CS offers payment and expense management, banking and non-card financing products. CS also issues corporate cards and provides services to select global corporate clients. ICS also provides services to international customers, including travel and lifestyle services, and manages certain international joint ventures and its loyalty coalition businesses. GMNS provides multi-channel marketing programs and capabilities, services and data analytics. It provides credit and charge cards to consumers, small businesses, mid-sized companies and corporations.</v>
    <v>77300</v>
    <v>New York Stock Exchange</v>
    <v>XNYS</v>
    <v>XNYS</v>
    <v>200 Vesey Street, NEW YORK, NY, 10285 US</v>
    <v>143.86009999999999</v>
    <v>Banking Services</v>
    <v>Stock</v>
    <v>45229.973964907032</v>
    <v>0</v>
    <v>141.72999999999999</v>
    <v>102979000000</v>
    <v>AMERICAN EXPRESS COMPANY</v>
    <v>AMERICAN EXPRESS COMPANY</v>
    <v>142.72</v>
    <v>13.2601</v>
    <v>141.31</v>
    <v>143.25</v>
    <v>143.27000000000001</v>
    <v>728745600</v>
    <v>AXP</v>
    <v>AMERICAN EXPRESS COMPANY (XNYS:AXP)</v>
    <v>3303219</v>
    <v>3382427</v>
    <v>1965</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K70"/>
  <sheetViews>
    <sheetView tabSelected="1" zoomScale="125" zoomScaleNormal="125" workbookViewId="0">
      <pane xSplit="1" topLeftCell="S1" activePane="topRight" state="frozen"/>
      <selection pane="topRight" activeCell="Z3" sqref="Z3"/>
    </sheetView>
  </sheetViews>
  <sheetFormatPr defaultColWidth="12.7109375" defaultRowHeight="12.75" x14ac:dyDescent="0.2"/>
  <cols>
    <col min="1" max="1" width="42.7109375" style="2" customWidth="1"/>
    <col min="2" max="22" width="12.7109375" style="5" customWidth="1"/>
    <col min="23" max="25" width="12.7109375" style="5"/>
    <col min="26" max="26" width="10.5703125" style="5" customWidth="1"/>
    <col min="27" max="16384" width="12.7109375" style="5"/>
  </cols>
  <sheetData>
    <row r="1" spans="1:37" s="6" customFormat="1" ht="15" customHeight="1" x14ac:dyDescent="0.2">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v>45107</v>
      </c>
      <c r="X1" s="1">
        <v>45199</v>
      </c>
      <c r="Y1" s="1" t="s">
        <v>82</v>
      </c>
      <c r="Z1" s="1" t="s">
        <v>82</v>
      </c>
      <c r="AA1" s="1">
        <v>45291</v>
      </c>
      <c r="AB1" s="1">
        <v>45382</v>
      </c>
      <c r="AC1" s="1">
        <v>45473</v>
      </c>
      <c r="AD1" s="3"/>
      <c r="AE1" s="3"/>
      <c r="AF1" s="3"/>
      <c r="AG1" s="3"/>
      <c r="AH1" s="3"/>
      <c r="AI1" s="3"/>
      <c r="AJ1" s="3"/>
      <c r="AK1" s="3"/>
    </row>
    <row r="2" spans="1:37" s="6" customFormat="1" ht="15" customHeight="1" x14ac:dyDescent="0.2">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83</v>
      </c>
      <c r="Z2" s="3" t="s">
        <v>85</v>
      </c>
      <c r="AA2" s="3" t="s">
        <v>25</v>
      </c>
      <c r="AB2" s="3" t="s">
        <v>26</v>
      </c>
      <c r="AC2" s="3" t="s">
        <v>27</v>
      </c>
      <c r="AD2" s="3"/>
      <c r="AE2" s="3"/>
      <c r="AF2" s="3"/>
      <c r="AG2" s="3"/>
      <c r="AH2" s="3"/>
      <c r="AI2" s="3"/>
      <c r="AJ2" s="3"/>
      <c r="AK2" s="3"/>
    </row>
    <row r="3" spans="1:37" x14ac:dyDescent="0.2">
      <c r="A3" s="7" t="e" vm="1">
        <v>#VALUE!</v>
      </c>
    </row>
    <row r="4" spans="1:37" x14ac:dyDescent="0.2">
      <c r="A4" s="8" cm="1">
        <f t="array" ref="A4">_FV(A3,"Price")</f>
        <v>143.25</v>
      </c>
    </row>
    <row r="5" spans="1:37" s="20" customFormat="1" x14ac:dyDescent="0.2">
      <c r="A5" s="9" t="s">
        <v>28</v>
      </c>
      <c r="B5" s="20">
        <v>93.28</v>
      </c>
      <c r="C5" s="20">
        <v>98</v>
      </c>
      <c r="D5" s="20">
        <v>106.49</v>
      </c>
      <c r="E5" s="20">
        <v>95.32</v>
      </c>
      <c r="F5" s="20">
        <v>109.3</v>
      </c>
      <c r="G5" s="20">
        <v>123.44</v>
      </c>
      <c r="H5" s="20">
        <v>118.23</v>
      </c>
      <c r="I5" s="20">
        <v>124.49</v>
      </c>
      <c r="J5" s="20">
        <v>85.61</v>
      </c>
      <c r="K5" s="20">
        <v>95.2</v>
      </c>
      <c r="L5" s="20">
        <v>100.25</v>
      </c>
      <c r="M5" s="20">
        <v>120.91</v>
      </c>
      <c r="N5" s="20">
        <v>141.44</v>
      </c>
      <c r="O5" s="20">
        <v>165.23</v>
      </c>
      <c r="P5" s="20">
        <v>167.53</v>
      </c>
      <c r="Q5" s="20">
        <v>163.6</v>
      </c>
      <c r="R5" s="20">
        <v>187</v>
      </c>
      <c r="S5" s="20">
        <v>138.62</v>
      </c>
      <c r="T5" s="20">
        <v>134.91</v>
      </c>
      <c r="U5" s="20">
        <v>147.75</v>
      </c>
      <c r="V5" s="20">
        <v>164.95</v>
      </c>
      <c r="W5" s="20">
        <v>174.2</v>
      </c>
      <c r="X5" s="20">
        <v>149.19</v>
      </c>
      <c r="Y5" s="25">
        <f>(X5-T5)/T5</f>
        <v>0.10584834334000445</v>
      </c>
      <c r="Z5" s="25">
        <f>(X5-W5)/W5</f>
        <v>-0.14357060849598158</v>
      </c>
    </row>
    <row r="6" spans="1:37" x14ac:dyDescent="0.2">
      <c r="A6" s="7" t="s">
        <v>29</v>
      </c>
      <c r="B6" s="5">
        <v>861</v>
      </c>
      <c r="C6" s="5">
        <v>862</v>
      </c>
      <c r="D6" s="5">
        <v>860</v>
      </c>
      <c r="E6" s="5">
        <v>859</v>
      </c>
      <c r="F6" s="5">
        <v>843</v>
      </c>
      <c r="G6" s="5">
        <v>836</v>
      </c>
      <c r="H6" s="5">
        <v>827</v>
      </c>
      <c r="I6" s="5">
        <v>830</v>
      </c>
      <c r="J6" s="5">
        <v>808</v>
      </c>
      <c r="K6" s="5">
        <v>805</v>
      </c>
      <c r="L6" s="5">
        <v>805</v>
      </c>
      <c r="M6" s="5">
        <v>806</v>
      </c>
      <c r="N6" s="5">
        <v>805</v>
      </c>
      <c r="O6" s="5">
        <v>802</v>
      </c>
      <c r="P6" s="5">
        <v>787</v>
      </c>
      <c r="Q6" s="5">
        <v>790</v>
      </c>
      <c r="R6" s="5">
        <v>758</v>
      </c>
      <c r="S6" s="5">
        <v>753</v>
      </c>
      <c r="T6" s="5">
        <v>749</v>
      </c>
      <c r="U6" s="5">
        <v>752</v>
      </c>
      <c r="V6" s="5">
        <v>744</v>
      </c>
      <c r="W6" s="5">
        <v>741</v>
      </c>
      <c r="X6" s="5">
        <v>733</v>
      </c>
      <c r="Y6" s="25">
        <f t="shared" ref="Y6:Y69" si="0">(X6-T6)/T6</f>
        <v>-2.1361815754339118E-2</v>
      </c>
      <c r="Z6" s="25">
        <f t="shared" ref="Z6:Z69" si="1">(X6-W6)/W6</f>
        <v>-1.0796221322537112E-2</v>
      </c>
    </row>
    <row r="7" spans="1:37" x14ac:dyDescent="0.2">
      <c r="A7" s="9" t="s">
        <v>30</v>
      </c>
      <c r="B7" s="5">
        <f>B5*B6</f>
        <v>80314.080000000002</v>
      </c>
      <c r="C7" s="5">
        <f t="shared" ref="C7" si="2">C5*C6</f>
        <v>84476</v>
      </c>
      <c r="D7" s="5">
        <f t="shared" ref="D7" si="3">D5*D6</f>
        <v>91581.4</v>
      </c>
      <c r="E7" s="5">
        <f t="shared" ref="E7" si="4">E5*E6</f>
        <v>81879.87999999999</v>
      </c>
      <c r="F7" s="5">
        <f t="shared" ref="F7" si="5">F5*F6</f>
        <v>92139.9</v>
      </c>
      <c r="G7" s="5">
        <f t="shared" ref="G7" si="6">G5*G6</f>
        <v>103195.84</v>
      </c>
      <c r="H7" s="5">
        <f t="shared" ref="H7" si="7">H5*H6</f>
        <v>97776.21</v>
      </c>
      <c r="I7" s="5">
        <f t="shared" ref="I7" si="8">I5*I6</f>
        <v>103326.7</v>
      </c>
      <c r="J7" s="5">
        <f t="shared" ref="J7" si="9">J5*J6</f>
        <v>69172.88</v>
      </c>
      <c r="K7" s="5">
        <f t="shared" ref="K7" si="10">K5*K6</f>
        <v>76636</v>
      </c>
      <c r="L7" s="5">
        <f t="shared" ref="L7" si="11">L5*L6</f>
        <v>80701.25</v>
      </c>
      <c r="M7" s="5">
        <f t="shared" ref="M7" si="12">M5*M6</f>
        <v>97453.459999999992</v>
      </c>
      <c r="N7" s="5">
        <f t="shared" ref="N7" si="13">N5*N6</f>
        <v>113859.2</v>
      </c>
      <c r="O7" s="5">
        <f t="shared" ref="O7" si="14">O5*O6</f>
        <v>132514.46</v>
      </c>
      <c r="P7" s="5">
        <f t="shared" ref="P7" si="15">P5*P6</f>
        <v>131846.11000000002</v>
      </c>
      <c r="Q7" s="5">
        <f t="shared" ref="Q7" si="16">Q5*Q6</f>
        <v>129244</v>
      </c>
      <c r="R7" s="5">
        <f t="shared" ref="R7" si="17">R5*R6</f>
        <v>141746</v>
      </c>
      <c r="S7" s="5">
        <f t="shared" ref="S7" si="18">S5*S6</f>
        <v>104380.86</v>
      </c>
      <c r="T7" s="5">
        <f t="shared" ref="T7" si="19">T5*T6</f>
        <v>101047.59</v>
      </c>
      <c r="U7" s="5">
        <f t="shared" ref="U7" si="20">U5*U6</f>
        <v>111108</v>
      </c>
      <c r="V7" s="5">
        <f t="shared" ref="V7" si="21">V5*V6</f>
        <v>122722.79999999999</v>
      </c>
      <c r="W7" s="5">
        <f t="shared" ref="W7" si="22">W5*W6</f>
        <v>129082.2</v>
      </c>
      <c r="X7" s="5">
        <f t="shared" ref="X7" si="23">X5*X6</f>
        <v>109356.27</v>
      </c>
      <c r="Y7" s="25">
        <f t="shared" si="0"/>
        <v>8.2225414777334208E-2</v>
      </c>
      <c r="Z7" s="25">
        <f t="shared" si="1"/>
        <v>-0.15281680975378475</v>
      </c>
      <c r="AA7" s="5">
        <f t="shared" ref="AA7" si="24">AA5*AA6</f>
        <v>0</v>
      </c>
      <c r="AB7" s="5">
        <f t="shared" ref="AB7" si="25">AB5*AB6</f>
        <v>0</v>
      </c>
      <c r="AC7" s="5">
        <f t="shared" ref="AC7" si="26">AC5*AC6</f>
        <v>0</v>
      </c>
    </row>
    <row r="8" spans="1:37" x14ac:dyDescent="0.2">
      <c r="A8" s="9" t="s">
        <v>31</v>
      </c>
      <c r="B8" s="5">
        <f>B47+B50</f>
        <v>34480</v>
      </c>
      <c r="C8" s="5">
        <f t="shared" ref="C8:AC8" si="27">C47+C50</f>
        <v>34496</v>
      </c>
      <c r="D8" s="5">
        <f t="shared" si="27"/>
        <v>36302</v>
      </c>
      <c r="E8" s="5">
        <f t="shared" si="27"/>
        <v>32092</v>
      </c>
      <c r="F8" s="5">
        <f t="shared" si="27"/>
        <v>39634</v>
      </c>
      <c r="G8" s="5">
        <f t="shared" si="27"/>
        <v>35411</v>
      </c>
      <c r="H8" s="5">
        <f t="shared" si="27"/>
        <v>32711</v>
      </c>
      <c r="I8" s="5">
        <f t="shared" si="27"/>
        <v>32338</v>
      </c>
      <c r="J8" s="5">
        <f t="shared" si="27"/>
        <v>41127</v>
      </c>
      <c r="K8" s="5">
        <f t="shared" si="27"/>
        <v>61439</v>
      </c>
      <c r="L8" s="5">
        <f t="shared" si="27"/>
        <v>55473</v>
      </c>
      <c r="M8" s="5">
        <f t="shared" si="27"/>
        <v>54596</v>
      </c>
      <c r="N8" s="5">
        <f t="shared" si="27"/>
        <v>61550</v>
      </c>
      <c r="O8" s="5">
        <f t="shared" si="27"/>
        <v>43239</v>
      </c>
      <c r="P8" s="5">
        <f t="shared" si="27"/>
        <v>37505</v>
      </c>
      <c r="Q8" s="5">
        <f t="shared" si="27"/>
        <v>24619</v>
      </c>
      <c r="R8" s="5">
        <f t="shared" si="27"/>
        <v>31736</v>
      </c>
      <c r="S8" s="5">
        <f t="shared" si="27"/>
        <v>30342</v>
      </c>
      <c r="T8" s="5">
        <f t="shared" si="27"/>
        <v>35721</v>
      </c>
      <c r="U8" s="5">
        <f t="shared" si="27"/>
        <v>38492</v>
      </c>
      <c r="V8" s="5">
        <f t="shared" si="27"/>
        <v>44800</v>
      </c>
      <c r="W8" s="5">
        <f t="shared" si="27"/>
        <v>47045</v>
      </c>
      <c r="X8" s="5">
        <f t="shared" si="27"/>
        <v>47068</v>
      </c>
      <c r="Y8" s="25">
        <f t="shared" si="0"/>
        <v>0.31765628061924356</v>
      </c>
      <c r="Z8" s="25">
        <f t="shared" si="1"/>
        <v>4.8889361249867147E-4</v>
      </c>
      <c r="AA8" s="5">
        <f t="shared" si="27"/>
        <v>0</v>
      </c>
      <c r="AB8" s="5">
        <f t="shared" si="27"/>
        <v>0</v>
      </c>
      <c r="AC8" s="5">
        <f t="shared" si="27"/>
        <v>0</v>
      </c>
    </row>
    <row r="9" spans="1:37" x14ac:dyDescent="0.2">
      <c r="A9" s="9" t="s">
        <v>32</v>
      </c>
      <c r="B9" s="5">
        <f>B59+B60</f>
        <v>54313</v>
      </c>
      <c r="C9" s="5">
        <f>C59+C60</f>
        <v>57855</v>
      </c>
      <c r="D9" s="5">
        <f t="shared" ref="D9:AC9" si="28">D59+D60</f>
        <v>57592</v>
      </c>
      <c r="E9" s="5">
        <f t="shared" si="28"/>
        <v>61523</v>
      </c>
      <c r="F9" s="5">
        <f t="shared" si="28"/>
        <v>60446</v>
      </c>
      <c r="G9" s="5">
        <f t="shared" si="28"/>
        <v>60563</v>
      </c>
      <c r="H9" s="5">
        <f t="shared" si="28"/>
        <v>61292</v>
      </c>
      <c r="I9" s="5">
        <f t="shared" si="28"/>
        <v>64277</v>
      </c>
      <c r="J9" s="5">
        <f t="shared" si="28"/>
        <v>56085</v>
      </c>
      <c r="K9" s="5">
        <f t="shared" si="28"/>
        <v>50364</v>
      </c>
      <c r="L9" s="5">
        <f t="shared" si="28"/>
        <v>46493</v>
      </c>
      <c r="M9" s="5">
        <f t="shared" si="28"/>
        <v>44830</v>
      </c>
      <c r="N9" s="5">
        <f t="shared" si="28"/>
        <v>43597</v>
      </c>
      <c r="O9" s="5">
        <f t="shared" si="28"/>
        <v>39227</v>
      </c>
      <c r="P9" s="5">
        <f t="shared" si="28"/>
        <v>36736</v>
      </c>
      <c r="Q9" s="5">
        <f t="shared" si="28"/>
        <v>40918</v>
      </c>
      <c r="R9" s="5">
        <f t="shared" si="28"/>
        <v>40459</v>
      </c>
      <c r="S9" s="5">
        <f t="shared" si="28"/>
        <v>42479</v>
      </c>
      <c r="T9" s="5">
        <f t="shared" si="28"/>
        <v>43908</v>
      </c>
      <c r="U9" s="5">
        <f t="shared" si="28"/>
        <v>43921</v>
      </c>
      <c r="V9" s="5">
        <f t="shared" si="28"/>
        <v>42862</v>
      </c>
      <c r="W9" s="5">
        <f t="shared" si="28"/>
        <v>48308</v>
      </c>
      <c r="X9" s="5">
        <f t="shared" si="28"/>
        <v>48060</v>
      </c>
      <c r="Y9" s="25">
        <f t="shared" si="0"/>
        <v>9.4561355561628854E-2</v>
      </c>
      <c r="Z9" s="25">
        <f t="shared" si="1"/>
        <v>-5.1337252628964143E-3</v>
      </c>
      <c r="AA9" s="5">
        <f t="shared" si="28"/>
        <v>0</v>
      </c>
      <c r="AB9" s="5">
        <f t="shared" si="28"/>
        <v>0</v>
      </c>
      <c r="AC9" s="5">
        <f t="shared" si="28"/>
        <v>0</v>
      </c>
    </row>
    <row r="10" spans="1:37" x14ac:dyDescent="0.2">
      <c r="Y10" s="25"/>
      <c r="Z10" s="25"/>
    </row>
    <row r="11" spans="1:37" x14ac:dyDescent="0.2">
      <c r="A11" s="10" t="s">
        <v>33</v>
      </c>
      <c r="Y11" s="25"/>
      <c r="Z11" s="25"/>
    </row>
    <row r="12" spans="1:37" x14ac:dyDescent="0.2">
      <c r="A12" s="9" t="s">
        <v>34</v>
      </c>
      <c r="Y12" s="25"/>
      <c r="Z12" s="25"/>
    </row>
    <row r="13" spans="1:37" x14ac:dyDescent="0.2">
      <c r="A13" s="11" t="s">
        <v>35</v>
      </c>
      <c r="B13" s="5">
        <v>5889</v>
      </c>
      <c r="C13" s="5">
        <v>6194</v>
      </c>
      <c r="D13" s="5">
        <v>6181</v>
      </c>
      <c r="E13" s="5">
        <f>24721-D13-C13-B13</f>
        <v>6457</v>
      </c>
      <c r="F13" s="5">
        <v>6195</v>
      </c>
      <c r="G13" s="5">
        <v>6577</v>
      </c>
      <c r="H13" s="5">
        <v>6566</v>
      </c>
      <c r="I13" s="5">
        <f>26167-H13-G13-F13</f>
        <v>6829</v>
      </c>
      <c r="J13" s="5">
        <v>5838</v>
      </c>
      <c r="K13" s="5">
        <v>4015</v>
      </c>
      <c r="L13" s="5">
        <v>4999</v>
      </c>
      <c r="M13" s="5">
        <f>20401-L13-K13-J13</f>
        <v>5549</v>
      </c>
      <c r="N13" s="5">
        <v>5242</v>
      </c>
      <c r="O13" s="5">
        <v>6327</v>
      </c>
      <c r="P13" s="5">
        <v>6676</v>
      </c>
      <c r="Q13" s="5">
        <f>25727-P13-O13-N13</f>
        <v>7482</v>
      </c>
      <c r="R13" s="5">
        <v>6835</v>
      </c>
      <c r="S13" s="5">
        <v>7873</v>
      </c>
      <c r="T13" s="5">
        <v>7848</v>
      </c>
      <c r="U13" s="5">
        <f>30739-T13-S13-R13</f>
        <v>8183</v>
      </c>
      <c r="V13" s="5">
        <v>7947</v>
      </c>
      <c r="W13" s="5">
        <v>8481</v>
      </c>
      <c r="X13" s="5">
        <v>8408</v>
      </c>
      <c r="Y13" s="25">
        <f t="shared" si="0"/>
        <v>7.1355759429153925E-2</v>
      </c>
      <c r="Z13" s="25">
        <f t="shared" si="1"/>
        <v>-8.6074755335455722E-3</v>
      </c>
    </row>
    <row r="14" spans="1:37" x14ac:dyDescent="0.2">
      <c r="A14" s="11" t="s">
        <v>36</v>
      </c>
      <c r="B14" s="5">
        <v>830</v>
      </c>
      <c r="C14" s="5">
        <v>844</v>
      </c>
      <c r="D14" s="5">
        <v>870</v>
      </c>
      <c r="E14" s="5">
        <f>3441-D14-C14-B14</f>
        <v>897</v>
      </c>
      <c r="F14" s="5">
        <v>944</v>
      </c>
      <c r="G14" s="5">
        <v>988</v>
      </c>
      <c r="H14" s="5">
        <v>1033</v>
      </c>
      <c r="I14" s="5">
        <f>4042-H14-G14-F14</f>
        <v>1077</v>
      </c>
      <c r="J14" s="5">
        <v>1110</v>
      </c>
      <c r="K14" s="5">
        <v>1141</v>
      </c>
      <c r="L14" s="5">
        <v>1191</v>
      </c>
      <c r="M14" s="5">
        <f>4664-L14-K14-J14</f>
        <v>1222</v>
      </c>
      <c r="N14" s="5">
        <v>1253</v>
      </c>
      <c r="O14" s="5">
        <v>1286</v>
      </c>
      <c r="P14" s="5">
        <v>1312</v>
      </c>
      <c r="Q14" s="5">
        <f>5195-P14-O14-N14</f>
        <v>1344</v>
      </c>
      <c r="R14" s="5">
        <v>1423</v>
      </c>
      <c r="S14" s="5">
        <v>1481</v>
      </c>
      <c r="T14" s="5">
        <v>1541</v>
      </c>
      <c r="U14" s="5">
        <f>6070-T14-S14-R14</f>
        <v>1625</v>
      </c>
      <c r="V14" s="5">
        <v>1713</v>
      </c>
      <c r="W14" s="5">
        <v>1789</v>
      </c>
      <c r="X14" s="5">
        <v>1846</v>
      </c>
      <c r="Y14" s="25">
        <f t="shared" si="0"/>
        <v>0.19792342634652824</v>
      </c>
      <c r="Z14" s="25">
        <f t="shared" si="1"/>
        <v>3.1861375069871439E-2</v>
      </c>
    </row>
    <row r="15" spans="1:37" x14ac:dyDescent="0.2">
      <c r="A15" s="11" t="s">
        <v>37</v>
      </c>
      <c r="B15" s="5">
        <v>781</v>
      </c>
      <c r="C15" s="5">
        <v>786</v>
      </c>
      <c r="D15" s="5">
        <v>798</v>
      </c>
      <c r="E15" s="5">
        <f>3153-D15-C15-B15</f>
        <v>788</v>
      </c>
      <c r="F15" s="5">
        <v>803</v>
      </c>
      <c r="G15" s="5">
        <v>837</v>
      </c>
      <c r="H15" s="5">
        <v>825</v>
      </c>
      <c r="I15" s="5">
        <f>3297-H15-G15-F15</f>
        <v>832</v>
      </c>
      <c r="J15" s="5">
        <v>720</v>
      </c>
      <c r="K15" s="5">
        <v>449</v>
      </c>
      <c r="L15" s="5">
        <v>478</v>
      </c>
      <c r="M15" s="5">
        <f>2163-L15-K15-J15</f>
        <v>516</v>
      </c>
      <c r="N15" s="5">
        <v>520</v>
      </c>
      <c r="O15" s="5">
        <v>560</v>
      </c>
      <c r="P15" s="5">
        <v>632</v>
      </c>
      <c r="Q15" s="5">
        <f>2392-P15-O15-N15</f>
        <v>680</v>
      </c>
      <c r="R15" s="5">
        <v>906</v>
      </c>
      <c r="S15" s="5">
        <v>1265</v>
      </c>
      <c r="T15" s="5">
        <v>1169</v>
      </c>
      <c r="U15" s="5">
        <f>4521-T15-S15-R15</f>
        <v>1181</v>
      </c>
      <c r="V15" s="5">
        <v>1218</v>
      </c>
      <c r="W15" s="5">
        <v>1232</v>
      </c>
      <c r="X15" s="5">
        <v>1261</v>
      </c>
      <c r="Y15" s="25">
        <f t="shared" si="0"/>
        <v>7.8699743370402059E-2</v>
      </c>
      <c r="Z15" s="25">
        <f t="shared" si="1"/>
        <v>2.353896103896104E-2</v>
      </c>
    </row>
    <row r="16" spans="1:37" ht="13.5" thickBot="1" x14ac:dyDescent="0.25">
      <c r="A16" s="18" t="s">
        <v>38</v>
      </c>
      <c r="B16" s="5">
        <v>377</v>
      </c>
      <c r="C16" s="5">
        <v>349</v>
      </c>
      <c r="D16" s="5">
        <v>334</v>
      </c>
      <c r="E16" s="5">
        <f>1360-D16-C16-B16</f>
        <v>300</v>
      </c>
      <c r="F16" s="5">
        <v>363</v>
      </c>
      <c r="G16" s="5">
        <v>362</v>
      </c>
      <c r="H16" s="5">
        <v>362</v>
      </c>
      <c r="I16" s="5">
        <f>1430-H16-G16-F16</f>
        <v>343</v>
      </c>
      <c r="J16" s="5">
        <v>312</v>
      </c>
      <c r="K16" s="5">
        <v>186</v>
      </c>
      <c r="L16" s="5">
        <v>209</v>
      </c>
      <c r="M16" s="5">
        <f>874-L16-K16-J16</f>
        <v>167</v>
      </c>
      <c r="N16" s="5">
        <v>219</v>
      </c>
      <c r="O16" s="5">
        <v>252</v>
      </c>
      <c r="P16" s="5">
        <v>314</v>
      </c>
      <c r="Q16" s="5">
        <f>1316-P16-O16-N16</f>
        <v>531</v>
      </c>
      <c r="R16" s="5">
        <v>372</v>
      </c>
      <c r="S16" s="5">
        <v>416</v>
      </c>
      <c r="T16" s="5">
        <v>420</v>
      </c>
      <c r="U16" s="5">
        <f>1637-T16-S16-R16</f>
        <v>429</v>
      </c>
      <c r="V16" s="5">
        <v>420</v>
      </c>
      <c r="W16" s="5">
        <v>447</v>
      </c>
      <c r="X16" s="5">
        <v>424</v>
      </c>
      <c r="Y16" s="25">
        <f t="shared" si="0"/>
        <v>9.5238095238095247E-3</v>
      </c>
      <c r="Z16" s="25">
        <f t="shared" si="1"/>
        <v>-5.145413870246085E-2</v>
      </c>
    </row>
    <row r="17" spans="1:29" s="16" customFormat="1" ht="13.5" thickBot="1" x14ac:dyDescent="0.25">
      <c r="A17" s="17" t="s">
        <v>39</v>
      </c>
      <c r="B17" s="16">
        <f>SUM(B13:B16)</f>
        <v>7877</v>
      </c>
      <c r="C17" s="16">
        <f>SUM(C13:C16)</f>
        <v>8173</v>
      </c>
      <c r="D17" s="16">
        <f t="shared" ref="D17:AC17" si="29">SUM(D13:D16)</f>
        <v>8183</v>
      </c>
      <c r="E17" s="16">
        <f t="shared" si="29"/>
        <v>8442</v>
      </c>
      <c r="F17" s="16">
        <f t="shared" si="29"/>
        <v>8305</v>
      </c>
      <c r="G17" s="16">
        <f t="shared" si="29"/>
        <v>8764</v>
      </c>
      <c r="H17" s="16">
        <f t="shared" si="29"/>
        <v>8786</v>
      </c>
      <c r="I17" s="16">
        <f t="shared" si="29"/>
        <v>9081</v>
      </c>
      <c r="J17" s="16">
        <f t="shared" si="29"/>
        <v>7980</v>
      </c>
      <c r="K17" s="16">
        <f t="shared" si="29"/>
        <v>5791</v>
      </c>
      <c r="L17" s="16">
        <f t="shared" si="29"/>
        <v>6877</v>
      </c>
      <c r="M17" s="16">
        <f t="shared" si="29"/>
        <v>7454</v>
      </c>
      <c r="N17" s="16">
        <f t="shared" si="29"/>
        <v>7234</v>
      </c>
      <c r="O17" s="16">
        <f t="shared" si="29"/>
        <v>8425</v>
      </c>
      <c r="P17" s="16">
        <f t="shared" si="29"/>
        <v>8934</v>
      </c>
      <c r="Q17" s="16">
        <f t="shared" si="29"/>
        <v>10037</v>
      </c>
      <c r="R17" s="16">
        <f t="shared" si="29"/>
        <v>9536</v>
      </c>
      <c r="S17" s="16">
        <f t="shared" si="29"/>
        <v>11035</v>
      </c>
      <c r="T17" s="16">
        <f t="shared" si="29"/>
        <v>10978</v>
      </c>
      <c r="U17" s="16">
        <f t="shared" si="29"/>
        <v>11418</v>
      </c>
      <c r="V17" s="16">
        <f t="shared" si="29"/>
        <v>11298</v>
      </c>
      <c r="W17" s="16">
        <f t="shared" si="29"/>
        <v>11949</v>
      </c>
      <c r="X17" s="16">
        <f t="shared" si="29"/>
        <v>11939</v>
      </c>
      <c r="Y17" s="25">
        <f t="shared" si="0"/>
        <v>8.7538713791218803E-2</v>
      </c>
      <c r="Z17" s="25">
        <f t="shared" si="1"/>
        <v>-8.3689011632772617E-4</v>
      </c>
      <c r="AA17" s="16">
        <f t="shared" si="29"/>
        <v>0</v>
      </c>
      <c r="AB17" s="16">
        <f t="shared" si="29"/>
        <v>0</v>
      </c>
      <c r="AC17" s="16">
        <f t="shared" si="29"/>
        <v>0</v>
      </c>
    </row>
    <row r="18" spans="1:29" x14ac:dyDescent="0.2">
      <c r="A18" s="7" t="s">
        <v>40</v>
      </c>
      <c r="Y18" s="25"/>
      <c r="Z18" s="25"/>
    </row>
    <row r="19" spans="1:29" x14ac:dyDescent="0.2">
      <c r="A19" s="11" t="s">
        <v>41</v>
      </c>
      <c r="B19" s="5">
        <v>2326</v>
      </c>
      <c r="C19" s="5">
        <v>2387</v>
      </c>
      <c r="D19" s="5">
        <v>2554</v>
      </c>
      <c r="E19" s="5">
        <f>9941-D19-C19-B19</f>
        <v>2674</v>
      </c>
      <c r="F19" s="5">
        <v>2725</v>
      </c>
      <c r="G19" s="5">
        <v>2764</v>
      </c>
      <c r="H19" s="5">
        <v>2885</v>
      </c>
      <c r="I19" s="5">
        <f>11308-H19-G19-F19</f>
        <v>2934</v>
      </c>
      <c r="J19" s="5">
        <v>2909</v>
      </c>
      <c r="K19" s="5">
        <v>2368</v>
      </c>
      <c r="L19" s="5">
        <v>2266</v>
      </c>
      <c r="M19" s="5">
        <f>9779-L19-K19-J19</f>
        <v>2236</v>
      </c>
      <c r="N19" s="5">
        <v>2144</v>
      </c>
      <c r="O19" s="5">
        <v>2094</v>
      </c>
      <c r="P19" s="5">
        <v>2256</v>
      </c>
      <c r="Q19" s="5">
        <f>8850-P19-O19-N19</f>
        <v>2356</v>
      </c>
      <c r="R19" s="5">
        <v>2473</v>
      </c>
      <c r="S19" s="5">
        <v>2707</v>
      </c>
      <c r="T19" s="5">
        <v>3164</v>
      </c>
      <c r="U19" s="5">
        <f>11967-T19-S19-R19</f>
        <v>3623</v>
      </c>
      <c r="V19" s="5">
        <v>3939</v>
      </c>
      <c r="W19" s="5">
        <v>4213</v>
      </c>
      <c r="X19" s="5">
        <v>4635</v>
      </c>
      <c r="Y19" s="25">
        <f t="shared" si="0"/>
        <v>0.46491782553729455</v>
      </c>
      <c r="Z19" s="25">
        <f t="shared" si="1"/>
        <v>0.10016615238547354</v>
      </c>
    </row>
    <row r="20" spans="1:29" x14ac:dyDescent="0.2">
      <c r="A20" s="11" t="s">
        <v>42</v>
      </c>
      <c r="B20" s="5">
        <v>21</v>
      </c>
      <c r="C20" s="5">
        <v>27</v>
      </c>
      <c r="D20" s="5">
        <v>35</v>
      </c>
      <c r="E20" s="5">
        <f>118-D20-C20-B20</f>
        <v>35</v>
      </c>
      <c r="F20" s="5">
        <v>33</v>
      </c>
      <c r="G20" s="5">
        <v>52</v>
      </c>
      <c r="H20" s="5">
        <v>53</v>
      </c>
      <c r="I20" s="5">
        <f>188-H20-G20-F20</f>
        <v>50</v>
      </c>
      <c r="J20" s="5">
        <v>38</v>
      </c>
      <c r="K20" s="5">
        <v>27</v>
      </c>
      <c r="L20" s="5">
        <v>33</v>
      </c>
      <c r="M20" s="5">
        <f>127-L20-K20-J20</f>
        <v>29</v>
      </c>
      <c r="N20" s="5">
        <v>24</v>
      </c>
      <c r="O20" s="5">
        <v>24</v>
      </c>
      <c r="P20" s="5">
        <v>18</v>
      </c>
      <c r="Q20" s="5">
        <f>83-P20-O20-N20</f>
        <v>17</v>
      </c>
      <c r="R20" s="5">
        <v>13</v>
      </c>
      <c r="S20" s="5">
        <v>22</v>
      </c>
      <c r="T20" s="5">
        <v>27</v>
      </c>
      <c r="U20" s="5">
        <f>96-T20-S20-R20</f>
        <v>34</v>
      </c>
      <c r="V20" s="5">
        <v>30</v>
      </c>
      <c r="W20" s="5">
        <v>34</v>
      </c>
      <c r="X20" s="5">
        <v>33</v>
      </c>
      <c r="Y20" s="25">
        <f t="shared" si="0"/>
        <v>0.22222222222222221</v>
      </c>
      <c r="Z20" s="25">
        <f t="shared" si="1"/>
        <v>-2.9411764705882353E-2</v>
      </c>
    </row>
    <row r="21" spans="1:29" ht="13.5" thickBot="1" x14ac:dyDescent="0.25">
      <c r="A21" s="18" t="s">
        <v>43</v>
      </c>
      <c r="B21" s="5">
        <v>115</v>
      </c>
      <c r="C21" s="5">
        <v>126</v>
      </c>
      <c r="D21" s="5">
        <v>149</v>
      </c>
      <c r="E21" s="5">
        <f>547-D21-C21-B21</f>
        <v>157</v>
      </c>
      <c r="F21" s="5">
        <v>196</v>
      </c>
      <c r="G21" s="5">
        <v>149</v>
      </c>
      <c r="H21" s="5">
        <v>142</v>
      </c>
      <c r="I21" s="5">
        <f>588-H21-G21-F21</f>
        <v>101</v>
      </c>
      <c r="J21" s="5">
        <v>99</v>
      </c>
      <c r="K21" s="5">
        <v>31</v>
      </c>
      <c r="L21" s="23">
        <v>25</v>
      </c>
      <c r="M21" s="5">
        <f>177-L21-K21-J21</f>
        <v>22</v>
      </c>
      <c r="N21" s="5">
        <v>24</v>
      </c>
      <c r="O21" s="5">
        <v>22</v>
      </c>
      <c r="P21" s="5">
        <v>27</v>
      </c>
      <c r="Q21" s="5">
        <f>100-P21-O21-N21</f>
        <v>27</v>
      </c>
      <c r="R21" s="5">
        <v>34</v>
      </c>
      <c r="S21" s="5">
        <v>70</v>
      </c>
      <c r="T21" s="5">
        <v>183</v>
      </c>
      <c r="U21" s="5">
        <f>595-T21-S21-R21</f>
        <v>308</v>
      </c>
      <c r="V21" s="5">
        <v>447</v>
      </c>
      <c r="W21" s="5">
        <v>528</v>
      </c>
      <c r="X21" s="5">
        <v>572</v>
      </c>
      <c r="Y21" s="25">
        <f t="shared" si="0"/>
        <v>2.1256830601092895</v>
      </c>
      <c r="Z21" s="25">
        <f t="shared" si="1"/>
        <v>8.3333333333333329E-2</v>
      </c>
    </row>
    <row r="22" spans="1:29" s="16" customFormat="1" ht="13.5" thickBot="1" x14ac:dyDescent="0.25">
      <c r="A22" s="19" t="s">
        <v>45</v>
      </c>
      <c r="B22" s="16">
        <f>SUM(B19:B21)</f>
        <v>2462</v>
      </c>
      <c r="C22" s="16">
        <f>SUM(C19:C21)</f>
        <v>2540</v>
      </c>
      <c r="D22" s="16">
        <f t="shared" ref="D22:AC22" si="30">SUM(D19:D21)</f>
        <v>2738</v>
      </c>
      <c r="E22" s="16">
        <f t="shared" si="30"/>
        <v>2866</v>
      </c>
      <c r="F22" s="16">
        <f t="shared" si="30"/>
        <v>2954</v>
      </c>
      <c r="G22" s="16">
        <f t="shared" si="30"/>
        <v>2965</v>
      </c>
      <c r="H22" s="16">
        <f t="shared" si="30"/>
        <v>3080</v>
      </c>
      <c r="I22" s="16">
        <f t="shared" si="30"/>
        <v>3085</v>
      </c>
      <c r="J22" s="16">
        <f t="shared" si="30"/>
        <v>3046</v>
      </c>
      <c r="K22" s="16">
        <f t="shared" si="30"/>
        <v>2426</v>
      </c>
      <c r="L22" s="16">
        <f t="shared" si="30"/>
        <v>2324</v>
      </c>
      <c r="M22" s="16">
        <f t="shared" si="30"/>
        <v>2287</v>
      </c>
      <c r="N22" s="16">
        <f t="shared" si="30"/>
        <v>2192</v>
      </c>
      <c r="O22" s="16">
        <f t="shared" si="30"/>
        <v>2140</v>
      </c>
      <c r="P22" s="16">
        <f t="shared" si="30"/>
        <v>2301</v>
      </c>
      <c r="Q22" s="16">
        <f t="shared" si="30"/>
        <v>2400</v>
      </c>
      <c r="R22" s="16">
        <f t="shared" si="30"/>
        <v>2520</v>
      </c>
      <c r="S22" s="16">
        <f t="shared" si="30"/>
        <v>2799</v>
      </c>
      <c r="T22" s="16">
        <f t="shared" si="30"/>
        <v>3374</v>
      </c>
      <c r="U22" s="16">
        <f t="shared" si="30"/>
        <v>3965</v>
      </c>
      <c r="V22" s="16">
        <f t="shared" si="30"/>
        <v>4416</v>
      </c>
      <c r="W22" s="16">
        <f t="shared" si="30"/>
        <v>4775</v>
      </c>
      <c r="X22" s="16">
        <f t="shared" si="30"/>
        <v>5240</v>
      </c>
      <c r="Y22" s="25">
        <f t="shared" si="0"/>
        <v>0.55305275637225848</v>
      </c>
      <c r="Z22" s="25">
        <f t="shared" si="1"/>
        <v>9.7382198952879584E-2</v>
      </c>
      <c r="AA22" s="16">
        <f t="shared" si="30"/>
        <v>0</v>
      </c>
      <c r="AB22" s="16">
        <f t="shared" si="30"/>
        <v>0</v>
      </c>
      <c r="AC22" s="16">
        <f t="shared" si="30"/>
        <v>0</v>
      </c>
    </row>
    <row r="23" spans="1:29" x14ac:dyDescent="0.2">
      <c r="A23" s="9" t="s">
        <v>46</v>
      </c>
      <c r="Y23" s="25"/>
      <c r="Z23" s="25"/>
    </row>
    <row r="24" spans="1:29" x14ac:dyDescent="0.2">
      <c r="A24" s="11" t="s">
        <v>47</v>
      </c>
      <c r="B24" s="5">
        <v>270</v>
      </c>
      <c r="C24" s="5">
        <v>300</v>
      </c>
      <c r="D24" s="5">
        <v>340</v>
      </c>
      <c r="E24" s="5">
        <f>1287-D24-C24-B24</f>
        <v>377</v>
      </c>
      <c r="F24" s="5">
        <v>399</v>
      </c>
      <c r="G24" s="5">
        <v>406</v>
      </c>
      <c r="H24" s="5">
        <v>401</v>
      </c>
      <c r="I24" s="5">
        <f>1559-H24-G24-F24</f>
        <v>353</v>
      </c>
      <c r="J24" s="5">
        <v>326</v>
      </c>
      <c r="K24" s="5">
        <v>260</v>
      </c>
      <c r="L24" s="5">
        <v>202</v>
      </c>
      <c r="M24" s="5">
        <f>943-L24-K24-J24</f>
        <v>155</v>
      </c>
      <c r="N24" s="5">
        <v>134</v>
      </c>
      <c r="O24" s="5">
        <v>113</v>
      </c>
      <c r="P24" s="5">
        <v>109</v>
      </c>
      <c r="Q24" s="5">
        <f>458-P24-O24-N24</f>
        <v>102</v>
      </c>
      <c r="R24" s="5">
        <v>122</v>
      </c>
      <c r="S24" s="5">
        <v>187</v>
      </c>
      <c r="T24" s="5">
        <v>440</v>
      </c>
      <c r="U24" s="5">
        <f>1527-T24-S24-R24</f>
        <v>778</v>
      </c>
      <c r="V24" s="5">
        <v>994</v>
      </c>
      <c r="W24" s="5">
        <v>1196</v>
      </c>
      <c r="X24" s="5">
        <v>1290</v>
      </c>
      <c r="Y24" s="25">
        <f t="shared" si="0"/>
        <v>1.9318181818181819</v>
      </c>
      <c r="Z24" s="25">
        <f t="shared" si="1"/>
        <v>7.8595317725752512E-2</v>
      </c>
    </row>
    <row r="25" spans="1:29" ht="13.5" thickBot="1" x14ac:dyDescent="0.25">
      <c r="A25" s="18" t="s">
        <v>48</v>
      </c>
      <c r="B25" s="5">
        <v>351</v>
      </c>
      <c r="C25" s="5">
        <v>411</v>
      </c>
      <c r="D25" s="5">
        <v>437</v>
      </c>
      <c r="E25" s="5">
        <f>1656-D25-C25-B25</f>
        <v>457</v>
      </c>
      <c r="F25" s="5">
        <v>496</v>
      </c>
      <c r="G25" s="5">
        <v>485</v>
      </c>
      <c r="H25" s="5">
        <v>476</v>
      </c>
      <c r="I25" s="5">
        <f>1905-H25-G25-F25</f>
        <v>448</v>
      </c>
      <c r="J25" s="5">
        <v>390</v>
      </c>
      <c r="K25" s="5">
        <v>282</v>
      </c>
      <c r="L25" s="5">
        <v>248</v>
      </c>
      <c r="M25" s="5">
        <f>1155-L25-K25-J25</f>
        <v>235</v>
      </c>
      <c r="N25" s="5">
        <v>228</v>
      </c>
      <c r="O25" s="5">
        <v>209</v>
      </c>
      <c r="P25" s="5">
        <v>198</v>
      </c>
      <c r="Q25" s="5">
        <f>825-P25-O25-N25</f>
        <v>190</v>
      </c>
      <c r="R25" s="5">
        <v>199</v>
      </c>
      <c r="S25" s="5">
        <v>252</v>
      </c>
      <c r="T25" s="5">
        <v>356</v>
      </c>
      <c r="U25" s="5">
        <f>1236-T25-S25-R25</f>
        <v>429</v>
      </c>
      <c r="V25" s="5">
        <v>439</v>
      </c>
      <c r="W25" s="5">
        <v>474</v>
      </c>
      <c r="X25" s="5">
        <v>508</v>
      </c>
      <c r="Y25" s="25">
        <f t="shared" si="0"/>
        <v>0.42696629213483145</v>
      </c>
      <c r="Z25" s="25">
        <f t="shared" si="1"/>
        <v>7.1729957805907171E-2</v>
      </c>
    </row>
    <row r="26" spans="1:29" ht="13.5" thickBot="1" x14ac:dyDescent="0.25">
      <c r="A26" s="19" t="s">
        <v>49</v>
      </c>
      <c r="B26" s="5">
        <f>SUM(B24:B25)</f>
        <v>621</v>
      </c>
      <c r="C26" s="5">
        <f>SUM(C24:C25)</f>
        <v>711</v>
      </c>
      <c r="D26" s="5">
        <f t="shared" ref="D26:AC26" si="31">SUM(D24:D25)</f>
        <v>777</v>
      </c>
      <c r="E26" s="5">
        <f t="shared" si="31"/>
        <v>834</v>
      </c>
      <c r="F26" s="5">
        <f t="shared" si="31"/>
        <v>895</v>
      </c>
      <c r="G26" s="5">
        <f t="shared" si="31"/>
        <v>891</v>
      </c>
      <c r="H26" s="5">
        <f t="shared" si="31"/>
        <v>877</v>
      </c>
      <c r="I26" s="5">
        <f t="shared" si="31"/>
        <v>801</v>
      </c>
      <c r="J26" s="5">
        <f t="shared" si="31"/>
        <v>716</v>
      </c>
      <c r="K26" s="5">
        <f t="shared" si="31"/>
        <v>542</v>
      </c>
      <c r="L26" s="5">
        <f t="shared" si="31"/>
        <v>450</v>
      </c>
      <c r="M26" s="5">
        <f t="shared" si="31"/>
        <v>390</v>
      </c>
      <c r="N26" s="5">
        <f t="shared" si="31"/>
        <v>362</v>
      </c>
      <c r="O26" s="5">
        <f t="shared" si="31"/>
        <v>322</v>
      </c>
      <c r="P26" s="5">
        <f t="shared" si="31"/>
        <v>307</v>
      </c>
      <c r="Q26" s="5">
        <f t="shared" si="31"/>
        <v>292</v>
      </c>
      <c r="R26" s="5">
        <f t="shared" si="31"/>
        <v>321</v>
      </c>
      <c r="S26" s="5">
        <f t="shared" si="31"/>
        <v>439</v>
      </c>
      <c r="T26" s="5">
        <f t="shared" si="31"/>
        <v>796</v>
      </c>
      <c r="U26" s="5">
        <f t="shared" si="31"/>
        <v>1207</v>
      </c>
      <c r="V26" s="5">
        <f t="shared" si="31"/>
        <v>1433</v>
      </c>
      <c r="W26" s="5">
        <f t="shared" si="31"/>
        <v>1670</v>
      </c>
      <c r="X26" s="5">
        <f t="shared" si="31"/>
        <v>1798</v>
      </c>
      <c r="Y26" s="25">
        <f t="shared" si="0"/>
        <v>1.2587939698492463</v>
      </c>
      <c r="Z26" s="25">
        <f t="shared" si="1"/>
        <v>7.6646706586826346E-2</v>
      </c>
      <c r="AA26" s="5">
        <f t="shared" si="31"/>
        <v>0</v>
      </c>
      <c r="AB26" s="5">
        <f t="shared" si="31"/>
        <v>0</v>
      </c>
      <c r="AC26" s="5">
        <f t="shared" si="31"/>
        <v>0</v>
      </c>
    </row>
    <row r="27" spans="1:29" x14ac:dyDescent="0.2">
      <c r="A27" s="9" t="s">
        <v>50</v>
      </c>
      <c r="Y27" s="25"/>
      <c r="Z27" s="25"/>
    </row>
    <row r="28" spans="1:29" x14ac:dyDescent="0.2">
      <c r="A28" s="11" t="s">
        <v>51</v>
      </c>
      <c r="B28" s="5">
        <v>242</v>
      </c>
      <c r="C28" s="5">
        <v>245</v>
      </c>
      <c r="D28" s="5">
        <v>214</v>
      </c>
      <c r="E28" s="5">
        <f>937-D28-C28-B28</f>
        <v>236</v>
      </c>
      <c r="F28" s="5">
        <v>253</v>
      </c>
      <c r="G28" s="5">
        <v>224</v>
      </c>
      <c r="H28" s="5">
        <v>238</v>
      </c>
      <c r="I28" s="5">
        <f>963-H28-G28-F28</f>
        <v>248</v>
      </c>
      <c r="J28" s="5">
        <v>597</v>
      </c>
      <c r="K28" s="5">
        <v>355</v>
      </c>
      <c r="L28" s="5">
        <v>117</v>
      </c>
      <c r="M28" s="5">
        <f>1015-L28-K28-J28</f>
        <v>-54</v>
      </c>
      <c r="N28" s="5">
        <v>-10</v>
      </c>
      <c r="O28" s="5">
        <v>-125</v>
      </c>
      <c r="P28" s="5">
        <v>-12</v>
      </c>
      <c r="Q28" s="5">
        <f>-73-P28-O28-N28</f>
        <v>74</v>
      </c>
      <c r="R28" s="5">
        <v>80</v>
      </c>
      <c r="S28" s="5">
        <v>138</v>
      </c>
      <c r="T28" s="5">
        <v>165</v>
      </c>
      <c r="U28" s="5">
        <f>627-T28-S28-R28</f>
        <v>244</v>
      </c>
      <c r="V28" s="5">
        <v>222</v>
      </c>
      <c r="W28" s="5">
        <v>230</v>
      </c>
      <c r="X28" s="5">
        <v>206</v>
      </c>
      <c r="Y28" s="25">
        <f t="shared" si="0"/>
        <v>0.24848484848484848</v>
      </c>
      <c r="Z28" s="25">
        <f t="shared" si="1"/>
        <v>-0.10434782608695652</v>
      </c>
    </row>
    <row r="29" spans="1:29" x14ac:dyDescent="0.2">
      <c r="A29" s="11" t="s">
        <v>52</v>
      </c>
      <c r="B29" s="5">
        <v>499</v>
      </c>
      <c r="C29" s="5">
        <v>528</v>
      </c>
      <c r="D29" s="5">
        <v>560</v>
      </c>
      <c r="E29" s="5">
        <f>2266-D29-C29-B29</f>
        <v>679</v>
      </c>
      <c r="F29" s="5">
        <v>525</v>
      </c>
      <c r="G29" s="5">
        <v>603</v>
      </c>
      <c r="H29" s="5">
        <v>604</v>
      </c>
      <c r="I29" s="5">
        <f>2462-H29-G29-F29</f>
        <v>730</v>
      </c>
      <c r="J29" s="5">
        <v>1876</v>
      </c>
      <c r="K29" s="5">
        <v>969</v>
      </c>
      <c r="L29" s="5">
        <v>571</v>
      </c>
      <c r="M29" s="5">
        <f>3453-L29-K29-J29</f>
        <v>37</v>
      </c>
      <c r="N29" s="5">
        <v>-573</v>
      </c>
      <c r="O29" s="5">
        <v>-396</v>
      </c>
      <c r="P29" s="5">
        <v>-177</v>
      </c>
      <c r="Q29" s="5">
        <f>-1155-P29-O29-N29</f>
        <v>-9</v>
      </c>
      <c r="R29" s="5">
        <v>-111</v>
      </c>
      <c r="S29" s="5">
        <v>272</v>
      </c>
      <c r="T29" s="5">
        <v>596</v>
      </c>
      <c r="U29" s="5">
        <f>1514-T29-S29-R29</f>
        <v>757</v>
      </c>
      <c r="V29" s="5">
        <v>786</v>
      </c>
      <c r="W29" s="5">
        <v>923</v>
      </c>
      <c r="X29" s="5">
        <v>982</v>
      </c>
      <c r="Y29" s="25">
        <f t="shared" si="0"/>
        <v>0.6476510067114094</v>
      </c>
      <c r="Z29" s="25">
        <f t="shared" si="1"/>
        <v>6.3921993499458291E-2</v>
      </c>
    </row>
    <row r="30" spans="1:29" ht="13.5" thickBot="1" x14ac:dyDescent="0.25">
      <c r="A30" s="18" t="s">
        <v>38</v>
      </c>
      <c r="B30" s="5">
        <v>34</v>
      </c>
      <c r="C30" s="5">
        <v>33</v>
      </c>
      <c r="D30" s="5">
        <v>43</v>
      </c>
      <c r="E30" s="5">
        <f>149-D30-C30-B30</f>
        <v>39</v>
      </c>
      <c r="F30" s="5">
        <v>31</v>
      </c>
      <c r="G30" s="5">
        <v>34</v>
      </c>
      <c r="H30" s="5">
        <v>37</v>
      </c>
      <c r="I30" s="5">
        <f>148-H30-G30-F30</f>
        <v>46</v>
      </c>
      <c r="J30" s="5">
        <v>148</v>
      </c>
      <c r="K30" s="5">
        <v>231</v>
      </c>
      <c r="L30" s="5">
        <v>-23</v>
      </c>
      <c r="M30" s="5">
        <f>262-L30-K30-J30</f>
        <v>-94</v>
      </c>
      <c r="N30" s="5">
        <v>-92</v>
      </c>
      <c r="O30" s="5">
        <v>-85</v>
      </c>
      <c r="P30" s="5">
        <v>-2</v>
      </c>
      <c r="Q30" s="5">
        <f>-191-P30-O30-N30</f>
        <v>-12</v>
      </c>
      <c r="R30" s="5">
        <v>-2</v>
      </c>
      <c r="S30" s="5">
        <v>0</v>
      </c>
      <c r="T30" s="5">
        <v>17</v>
      </c>
      <c r="U30" s="5">
        <f>41-T30-S30-R30</f>
        <v>26</v>
      </c>
      <c r="V30" s="5">
        <v>47</v>
      </c>
      <c r="W30" s="5">
        <v>45</v>
      </c>
      <c r="X30" s="5">
        <v>45</v>
      </c>
      <c r="Y30" s="25">
        <f t="shared" si="0"/>
        <v>1.6470588235294117</v>
      </c>
      <c r="Z30" s="25">
        <f t="shared" si="1"/>
        <v>0</v>
      </c>
    </row>
    <row r="31" spans="1:29" ht="13.5" thickBot="1" x14ac:dyDescent="0.25">
      <c r="A31" s="19" t="s">
        <v>53</v>
      </c>
      <c r="B31" s="5">
        <f>SUM(B28:B30)</f>
        <v>775</v>
      </c>
      <c r="C31" s="5">
        <f>SUM(C28:C30)</f>
        <v>806</v>
      </c>
      <c r="D31" s="5">
        <f t="shared" ref="D31:AC31" si="32">SUM(D28:D30)</f>
        <v>817</v>
      </c>
      <c r="E31" s="5">
        <f t="shared" si="32"/>
        <v>954</v>
      </c>
      <c r="F31" s="5">
        <f t="shared" si="32"/>
        <v>809</v>
      </c>
      <c r="G31" s="5">
        <f t="shared" si="32"/>
        <v>861</v>
      </c>
      <c r="H31" s="5">
        <f t="shared" si="32"/>
        <v>879</v>
      </c>
      <c r="I31" s="5">
        <f t="shared" si="32"/>
        <v>1024</v>
      </c>
      <c r="J31" s="5">
        <f t="shared" si="32"/>
        <v>2621</v>
      </c>
      <c r="K31" s="5">
        <f t="shared" si="32"/>
        <v>1555</v>
      </c>
      <c r="L31" s="5">
        <f t="shared" si="32"/>
        <v>665</v>
      </c>
      <c r="M31" s="5">
        <f t="shared" si="32"/>
        <v>-111</v>
      </c>
      <c r="N31" s="5">
        <f t="shared" si="32"/>
        <v>-675</v>
      </c>
      <c r="O31" s="5">
        <f t="shared" si="32"/>
        <v>-606</v>
      </c>
      <c r="P31" s="5">
        <f t="shared" si="32"/>
        <v>-191</v>
      </c>
      <c r="Q31" s="5">
        <f t="shared" si="32"/>
        <v>53</v>
      </c>
      <c r="R31" s="5">
        <f t="shared" si="32"/>
        <v>-33</v>
      </c>
      <c r="S31" s="5">
        <f t="shared" si="32"/>
        <v>410</v>
      </c>
      <c r="T31" s="5">
        <f t="shared" si="32"/>
        <v>778</v>
      </c>
      <c r="U31" s="5">
        <f t="shared" si="32"/>
        <v>1027</v>
      </c>
      <c r="V31" s="5">
        <f t="shared" si="32"/>
        <v>1055</v>
      </c>
      <c r="W31" s="5">
        <f t="shared" si="32"/>
        <v>1198</v>
      </c>
      <c r="X31" s="5">
        <f t="shared" si="32"/>
        <v>1233</v>
      </c>
      <c r="Y31" s="25">
        <f t="shared" si="0"/>
        <v>0.58483290488431872</v>
      </c>
      <c r="Z31" s="25">
        <f t="shared" si="1"/>
        <v>2.9215358931552589E-2</v>
      </c>
      <c r="AA31" s="5">
        <f t="shared" si="32"/>
        <v>0</v>
      </c>
      <c r="AB31" s="5">
        <f t="shared" si="32"/>
        <v>0</v>
      </c>
      <c r="AC31" s="5">
        <f t="shared" si="32"/>
        <v>0</v>
      </c>
    </row>
    <row r="32" spans="1:29" s="14" customFormat="1" x14ac:dyDescent="0.2">
      <c r="A32" s="13" t="s">
        <v>44</v>
      </c>
      <c r="B32" s="14">
        <f>B17+B22-B26-B31</f>
        <v>8943</v>
      </c>
      <c r="C32" s="14">
        <f>C17+C22-C26-C31</f>
        <v>9196</v>
      </c>
      <c r="D32" s="14">
        <f t="shared" ref="D32:AC32" si="33">D17+D22-D26-D31</f>
        <v>9327</v>
      </c>
      <c r="E32" s="14">
        <f t="shared" si="33"/>
        <v>9520</v>
      </c>
      <c r="F32" s="14">
        <f t="shared" si="33"/>
        <v>9555</v>
      </c>
      <c r="G32" s="14">
        <f t="shared" si="33"/>
        <v>9977</v>
      </c>
      <c r="H32" s="14">
        <f t="shared" si="33"/>
        <v>10110</v>
      </c>
      <c r="I32" s="14">
        <f t="shared" si="33"/>
        <v>10341</v>
      </c>
      <c r="J32" s="14">
        <f t="shared" si="33"/>
        <v>7689</v>
      </c>
      <c r="K32" s="14">
        <f t="shared" si="33"/>
        <v>6120</v>
      </c>
      <c r="L32" s="14">
        <f t="shared" si="33"/>
        <v>8086</v>
      </c>
      <c r="M32" s="14">
        <f t="shared" si="33"/>
        <v>9462</v>
      </c>
      <c r="N32" s="14">
        <f t="shared" si="33"/>
        <v>9739</v>
      </c>
      <c r="O32" s="14">
        <f t="shared" si="33"/>
        <v>10849</v>
      </c>
      <c r="P32" s="14">
        <f t="shared" si="33"/>
        <v>11119</v>
      </c>
      <c r="Q32" s="14">
        <f t="shared" si="33"/>
        <v>12092</v>
      </c>
      <c r="R32" s="14">
        <f t="shared" si="33"/>
        <v>11768</v>
      </c>
      <c r="S32" s="14">
        <f t="shared" si="33"/>
        <v>12985</v>
      </c>
      <c r="T32" s="14">
        <f t="shared" si="33"/>
        <v>12778</v>
      </c>
      <c r="U32" s="14">
        <f t="shared" si="33"/>
        <v>13149</v>
      </c>
      <c r="V32" s="14">
        <f t="shared" si="33"/>
        <v>13226</v>
      </c>
      <c r="W32" s="14">
        <f t="shared" si="33"/>
        <v>13856</v>
      </c>
      <c r="X32" s="14">
        <f t="shared" si="33"/>
        <v>14148</v>
      </c>
      <c r="Y32" s="25">
        <f t="shared" si="0"/>
        <v>0.10721552668649241</v>
      </c>
      <c r="Z32" s="25">
        <f t="shared" si="1"/>
        <v>2.107390300230947E-2</v>
      </c>
      <c r="AA32" s="14">
        <f t="shared" si="33"/>
        <v>0</v>
      </c>
      <c r="AB32" s="14">
        <f t="shared" si="33"/>
        <v>0</v>
      </c>
      <c r="AC32" s="14">
        <f t="shared" si="33"/>
        <v>0</v>
      </c>
    </row>
    <row r="33" spans="1:29" x14ac:dyDescent="0.2">
      <c r="Y33" s="25"/>
      <c r="Z33" s="25"/>
    </row>
    <row r="34" spans="1:29" x14ac:dyDescent="0.2">
      <c r="A34" s="10" t="s">
        <v>54</v>
      </c>
      <c r="Y34" s="25"/>
      <c r="Z34" s="25"/>
    </row>
    <row r="35" spans="1:29" x14ac:dyDescent="0.2">
      <c r="A35" s="11" t="s">
        <v>55</v>
      </c>
      <c r="B35" s="5">
        <v>1345</v>
      </c>
      <c r="C35" s="5">
        <v>1663</v>
      </c>
      <c r="D35" s="5">
        <v>1642</v>
      </c>
      <c r="E35" s="5">
        <f>6470-D35-C35-B35</f>
        <v>1820</v>
      </c>
      <c r="F35" s="5">
        <v>1573</v>
      </c>
      <c r="G35" s="5">
        <v>1773</v>
      </c>
      <c r="H35" s="5">
        <v>1818</v>
      </c>
      <c r="I35" s="5">
        <f>7114-H35-G35-F35</f>
        <v>1950</v>
      </c>
      <c r="J35" s="5">
        <v>1705</v>
      </c>
      <c r="K35" s="5">
        <v>1362</v>
      </c>
      <c r="L35" s="5">
        <v>1822</v>
      </c>
      <c r="M35" s="5">
        <f>6747-L35-K35-J35</f>
        <v>1858</v>
      </c>
      <c r="N35" s="5">
        <v>1766</v>
      </c>
      <c r="O35" s="5">
        <v>2219</v>
      </c>
      <c r="P35" s="5">
        <v>2355</v>
      </c>
      <c r="Q35" s="5">
        <f>9053-P35-O35-N35</f>
        <v>2713</v>
      </c>
      <c r="R35" s="5">
        <f>1043+1224</f>
        <v>2267</v>
      </c>
      <c r="S35" s="5">
        <f>1404+1502</f>
        <v>2906</v>
      </c>
      <c r="T35" s="5">
        <f>1194+1458</f>
        <v>2652</v>
      </c>
      <c r="U35" s="5">
        <f>4943+5458-T35-S35-R35</f>
        <v>2576</v>
      </c>
      <c r="V35" s="5">
        <f>1393+1341</f>
        <v>2734</v>
      </c>
      <c r="W35" s="5">
        <f>1388+1408</f>
        <v>2796</v>
      </c>
      <c r="X35" s="5">
        <f>1236+1393</f>
        <v>2629</v>
      </c>
      <c r="Y35" s="25">
        <f t="shared" si="0"/>
        <v>-8.6726998491704378E-3</v>
      </c>
      <c r="Z35" s="25">
        <f t="shared" si="1"/>
        <v>-5.9728183118741056E-2</v>
      </c>
    </row>
    <row r="36" spans="1:29" x14ac:dyDescent="0.2">
      <c r="A36" s="11" t="s">
        <v>56</v>
      </c>
      <c r="B36" s="5">
        <v>2347</v>
      </c>
      <c r="C36" s="5">
        <v>2433</v>
      </c>
      <c r="D36" s="5">
        <v>2400</v>
      </c>
      <c r="E36" s="5">
        <f>9696-D36-C36-B36</f>
        <v>2516</v>
      </c>
      <c r="F36" s="5">
        <v>2451</v>
      </c>
      <c r="G36" s="5">
        <v>2652</v>
      </c>
      <c r="H36" s="5">
        <v>2614</v>
      </c>
      <c r="I36" s="5">
        <f>10439-H36-G36-F36</f>
        <v>2722</v>
      </c>
      <c r="J36" s="5">
        <v>2392</v>
      </c>
      <c r="K36" s="5">
        <v>1349</v>
      </c>
      <c r="L36" s="5">
        <v>2004</v>
      </c>
      <c r="M36" s="5">
        <f>8041-L36-K36-J36</f>
        <v>2296</v>
      </c>
      <c r="N36" s="5">
        <v>2243</v>
      </c>
      <c r="O36" s="5">
        <v>2712</v>
      </c>
      <c r="P36" s="5">
        <v>3020</v>
      </c>
      <c r="Q36" s="5">
        <f>11007-P36-O36-N36</f>
        <v>3032</v>
      </c>
      <c r="R36" s="5">
        <v>3111</v>
      </c>
      <c r="S36" s="5">
        <v>3591</v>
      </c>
      <c r="T36" s="5">
        <v>3571</v>
      </c>
      <c r="U36" s="5">
        <f>14002-T36-S36-R36</f>
        <v>3729</v>
      </c>
      <c r="V36" s="5">
        <v>3766</v>
      </c>
      <c r="W36" s="5">
        <v>3956</v>
      </c>
      <c r="X36" s="5">
        <v>3794</v>
      </c>
      <c r="Y36" s="25">
        <f t="shared" si="0"/>
        <v>6.2447493699243913E-2</v>
      </c>
      <c r="Z36" s="25">
        <f t="shared" si="1"/>
        <v>-4.0950455005055612E-2</v>
      </c>
    </row>
    <row r="37" spans="1:29" x14ac:dyDescent="0.2">
      <c r="A37" s="11" t="s">
        <v>57</v>
      </c>
      <c r="B37" s="5">
        <v>409</v>
      </c>
      <c r="C37" s="5">
        <v>416</v>
      </c>
      <c r="D37" s="5">
        <v>457</v>
      </c>
      <c r="E37" s="5">
        <f>1777-D37-C37-B37</f>
        <v>495</v>
      </c>
      <c r="F37" s="5">
        <v>550</v>
      </c>
      <c r="G37" s="5">
        <v>563</v>
      </c>
      <c r="H37" s="5">
        <v>558</v>
      </c>
      <c r="I37" s="5">
        <f>2222-H37-G37-F37</f>
        <v>551</v>
      </c>
      <c r="J37" s="5">
        <v>456</v>
      </c>
      <c r="K37" s="5">
        <v>208</v>
      </c>
      <c r="L37" s="5">
        <v>259</v>
      </c>
      <c r="M37" s="5">
        <f>1230-L37-K37-J37</f>
        <v>307</v>
      </c>
      <c r="N37" s="5">
        <v>317</v>
      </c>
      <c r="O37" s="5">
        <v>432</v>
      </c>
      <c r="P37" s="5">
        <v>579</v>
      </c>
      <c r="Q37" s="5">
        <f>1993-P37-O37-N37</f>
        <v>665</v>
      </c>
      <c r="R37" s="5">
        <v>626</v>
      </c>
      <c r="S37" s="5">
        <v>678</v>
      </c>
      <c r="T37" s="5">
        <v>774</v>
      </c>
      <c r="U37" s="5">
        <f>2959-T37-S37-R37</f>
        <v>881</v>
      </c>
      <c r="V37" s="5">
        <v>983</v>
      </c>
      <c r="W37" s="5">
        <v>949</v>
      </c>
      <c r="X37" s="5">
        <v>973</v>
      </c>
      <c r="Y37" s="25">
        <f t="shared" si="0"/>
        <v>0.25710594315245477</v>
      </c>
      <c r="Z37" s="25">
        <f t="shared" si="1"/>
        <v>2.5289778714436249E-2</v>
      </c>
    </row>
    <row r="38" spans="1:29" x14ac:dyDescent="0.2">
      <c r="A38" s="11" t="s">
        <v>58</v>
      </c>
      <c r="B38" s="5">
        <v>1326</v>
      </c>
      <c r="C38" s="5">
        <v>1280</v>
      </c>
      <c r="D38" s="5">
        <v>1350</v>
      </c>
      <c r="E38" s="5">
        <f>5250-D38-C38-B38</f>
        <v>1294</v>
      </c>
      <c r="F38" s="5">
        <v>1422</v>
      </c>
      <c r="G38" s="5">
        <v>1367</v>
      </c>
      <c r="H38" s="5">
        <v>1499</v>
      </c>
      <c r="I38" s="5">
        <f>5911-H38-G38-F38</f>
        <v>1623</v>
      </c>
      <c r="J38" s="5">
        <v>1395</v>
      </c>
      <c r="K38" s="5">
        <v>1349</v>
      </c>
      <c r="L38" s="5">
        <v>1408</v>
      </c>
      <c r="M38" s="5">
        <f>5718-L38-K38-J38</f>
        <v>1566</v>
      </c>
      <c r="N38" s="5">
        <v>1550</v>
      </c>
      <c r="O38" s="5">
        <v>1539</v>
      </c>
      <c r="P38" s="5">
        <v>1497</v>
      </c>
      <c r="Q38" s="5">
        <f>6240-P38-O38-N38</f>
        <v>1654</v>
      </c>
      <c r="R38" s="5">
        <v>1654</v>
      </c>
      <c r="S38" s="5">
        <v>1816</v>
      </c>
      <c r="T38" s="5">
        <v>1748</v>
      </c>
      <c r="U38" s="5">
        <f>7252-T38-S38-R38</f>
        <v>2034</v>
      </c>
      <c r="V38" s="5">
        <v>2014</v>
      </c>
      <c r="W38" s="5">
        <v>1875</v>
      </c>
      <c r="X38" s="5">
        <v>2047</v>
      </c>
      <c r="Y38" s="25">
        <f t="shared" si="0"/>
        <v>0.17105263157894737</v>
      </c>
      <c r="Z38" s="25">
        <f t="shared" si="1"/>
        <v>9.1733333333333333E-2</v>
      </c>
    </row>
    <row r="39" spans="1:29" x14ac:dyDescent="0.2">
      <c r="A39" s="11" t="s">
        <v>38</v>
      </c>
      <c r="B39" s="5">
        <v>1434</v>
      </c>
      <c r="C39" s="5">
        <v>1313</v>
      </c>
      <c r="D39" s="5">
        <v>1360</v>
      </c>
      <c r="E39" s="5">
        <f>5671-D39-C39-B39</f>
        <v>1564</v>
      </c>
      <c r="F39" s="5">
        <v>1601</v>
      </c>
      <c r="G39" s="5">
        <v>1403</v>
      </c>
      <c r="H39" s="5">
        <v>1355</v>
      </c>
      <c r="I39" s="5">
        <f>5868-H39-G39-F39</f>
        <v>1509</v>
      </c>
      <c r="J39" s="5">
        <v>1289</v>
      </c>
      <c r="K39" s="5">
        <v>1230</v>
      </c>
      <c r="L39" s="5">
        <v>1229</v>
      </c>
      <c r="M39" s="5">
        <f>5325-L39-K39-J39</f>
        <v>1577</v>
      </c>
      <c r="N39" s="5">
        <v>870</v>
      </c>
      <c r="O39" s="5">
        <v>1007</v>
      </c>
      <c r="P39" s="5">
        <v>1218</v>
      </c>
      <c r="Q39" s="5">
        <f>4817-P39-O39-N39</f>
        <v>1722</v>
      </c>
      <c r="R39" s="5">
        <v>1398</v>
      </c>
      <c r="S39" s="5">
        <v>1451</v>
      </c>
      <c r="T39" s="5">
        <v>1574</v>
      </c>
      <c r="U39" s="5">
        <f>6481-T39-S39-R39</f>
        <v>2058</v>
      </c>
      <c r="V39" s="5">
        <v>1562</v>
      </c>
      <c r="W39" s="5">
        <v>1546</v>
      </c>
      <c r="X39" s="5">
        <v>1605</v>
      </c>
      <c r="Y39" s="25">
        <f t="shared" si="0"/>
        <v>1.9695044472681066E-2</v>
      </c>
      <c r="Z39" s="25">
        <f t="shared" si="1"/>
        <v>3.8163001293661063E-2</v>
      </c>
    </row>
    <row r="40" spans="1:29" s="14" customFormat="1" x14ac:dyDescent="0.2">
      <c r="A40" s="15" t="s">
        <v>59</v>
      </c>
      <c r="B40" s="14">
        <f>SUM(B35:B39)</f>
        <v>6861</v>
      </c>
      <c r="C40" s="14">
        <f>SUM(C35:C39)</f>
        <v>7105</v>
      </c>
      <c r="D40" s="14">
        <f>SUM(D35:D39)</f>
        <v>7209</v>
      </c>
      <c r="E40" s="14">
        <f t="shared" ref="E40:AC40" si="34">SUM(E35:E39)</f>
        <v>7689</v>
      </c>
      <c r="F40" s="14">
        <f t="shared" si="34"/>
        <v>7597</v>
      </c>
      <c r="G40" s="14">
        <f t="shared" si="34"/>
        <v>7758</v>
      </c>
      <c r="H40" s="14">
        <f t="shared" si="34"/>
        <v>7844</v>
      </c>
      <c r="I40" s="14">
        <f t="shared" si="34"/>
        <v>8355</v>
      </c>
      <c r="J40" s="14">
        <f t="shared" si="34"/>
        <v>7237</v>
      </c>
      <c r="K40" s="14">
        <f t="shared" si="34"/>
        <v>5498</v>
      </c>
      <c r="L40" s="14">
        <f t="shared" si="34"/>
        <v>6722</v>
      </c>
      <c r="M40" s="14">
        <f t="shared" si="34"/>
        <v>7604</v>
      </c>
      <c r="N40" s="14">
        <f t="shared" si="34"/>
        <v>6746</v>
      </c>
      <c r="O40" s="14">
        <f t="shared" si="34"/>
        <v>7909</v>
      </c>
      <c r="P40" s="14">
        <f t="shared" si="34"/>
        <v>8669</v>
      </c>
      <c r="Q40" s="14">
        <f t="shared" si="34"/>
        <v>9786</v>
      </c>
      <c r="R40" s="14">
        <f t="shared" si="34"/>
        <v>9056</v>
      </c>
      <c r="S40" s="14">
        <f t="shared" si="34"/>
        <v>10442</v>
      </c>
      <c r="T40" s="14">
        <f t="shared" si="34"/>
        <v>10319</v>
      </c>
      <c r="U40" s="14">
        <f t="shared" si="34"/>
        <v>11278</v>
      </c>
      <c r="V40" s="14">
        <f t="shared" si="34"/>
        <v>11059</v>
      </c>
      <c r="W40" s="14">
        <f t="shared" si="34"/>
        <v>11122</v>
      </c>
      <c r="X40" s="14">
        <f t="shared" si="34"/>
        <v>11048</v>
      </c>
      <c r="Y40" s="25">
        <f t="shared" si="0"/>
        <v>7.0646380463223177E-2</v>
      </c>
      <c r="Z40" s="25">
        <f t="shared" si="1"/>
        <v>-6.6534795900017986E-3</v>
      </c>
      <c r="AA40" s="14">
        <f t="shared" si="34"/>
        <v>0</v>
      </c>
      <c r="AB40" s="14">
        <f t="shared" si="34"/>
        <v>0</v>
      </c>
      <c r="AC40" s="14">
        <f t="shared" si="34"/>
        <v>0</v>
      </c>
    </row>
    <row r="41" spans="1:29" x14ac:dyDescent="0.2">
      <c r="Y41" s="25"/>
      <c r="Z41" s="25"/>
    </row>
    <row r="42" spans="1:29" x14ac:dyDescent="0.2">
      <c r="A42" s="9" t="s">
        <v>60</v>
      </c>
      <c r="B42" s="5">
        <f>B32-B40</f>
        <v>2082</v>
      </c>
      <c r="C42" s="5">
        <f>C32-C40</f>
        <v>2091</v>
      </c>
      <c r="D42" s="5">
        <f t="shared" ref="D42:AC42" si="35">D32-D40</f>
        <v>2118</v>
      </c>
      <c r="E42" s="5">
        <f t="shared" si="35"/>
        <v>1831</v>
      </c>
      <c r="F42" s="5">
        <f t="shared" si="35"/>
        <v>1958</v>
      </c>
      <c r="G42" s="5">
        <f t="shared" si="35"/>
        <v>2219</v>
      </c>
      <c r="H42" s="5">
        <f t="shared" si="35"/>
        <v>2266</v>
      </c>
      <c r="I42" s="5">
        <f t="shared" si="35"/>
        <v>1986</v>
      </c>
      <c r="J42" s="5">
        <f t="shared" si="35"/>
        <v>452</v>
      </c>
      <c r="K42" s="5">
        <f t="shared" si="35"/>
        <v>622</v>
      </c>
      <c r="L42" s="5">
        <f t="shared" si="35"/>
        <v>1364</v>
      </c>
      <c r="M42" s="5">
        <f t="shared" si="35"/>
        <v>1858</v>
      </c>
      <c r="N42" s="5">
        <f t="shared" si="35"/>
        <v>2993</v>
      </c>
      <c r="O42" s="5">
        <f t="shared" si="35"/>
        <v>2940</v>
      </c>
      <c r="P42" s="5">
        <f t="shared" si="35"/>
        <v>2450</v>
      </c>
      <c r="Q42" s="5">
        <f t="shared" si="35"/>
        <v>2306</v>
      </c>
      <c r="R42" s="5">
        <f t="shared" si="35"/>
        <v>2712</v>
      </c>
      <c r="S42" s="5">
        <f t="shared" si="35"/>
        <v>2543</v>
      </c>
      <c r="T42" s="5">
        <f t="shared" si="35"/>
        <v>2459</v>
      </c>
      <c r="U42" s="5">
        <f t="shared" si="35"/>
        <v>1871</v>
      </c>
      <c r="V42" s="5">
        <f t="shared" si="35"/>
        <v>2167</v>
      </c>
      <c r="W42" s="5">
        <f t="shared" si="35"/>
        <v>2734</v>
      </c>
      <c r="X42" s="5">
        <f t="shared" si="35"/>
        <v>3100</v>
      </c>
      <c r="Y42" s="25">
        <f t="shared" si="0"/>
        <v>0.26067507116714111</v>
      </c>
      <c r="Z42" s="25">
        <f t="shared" si="1"/>
        <v>0.13386978785662035</v>
      </c>
      <c r="AA42" s="5">
        <f t="shared" si="35"/>
        <v>0</v>
      </c>
      <c r="AB42" s="5">
        <f t="shared" si="35"/>
        <v>0</v>
      </c>
      <c r="AC42" s="5">
        <f t="shared" si="35"/>
        <v>0</v>
      </c>
    </row>
    <row r="43" spans="1:29" x14ac:dyDescent="0.2">
      <c r="A43" s="9" t="s">
        <v>61</v>
      </c>
      <c r="B43" s="5">
        <v>448</v>
      </c>
      <c r="C43" s="5">
        <v>468</v>
      </c>
      <c r="D43" s="5">
        <v>464</v>
      </c>
      <c r="E43" s="5">
        <f>1201-D43-C43-B43</f>
        <v>-179</v>
      </c>
      <c r="F43" s="5">
        <v>408</v>
      </c>
      <c r="G43" s="5">
        <v>458</v>
      </c>
      <c r="H43" s="5">
        <v>511</v>
      </c>
      <c r="I43" s="5">
        <f>1670-H43-G43-F43</f>
        <v>293</v>
      </c>
      <c r="J43" s="5">
        <v>85</v>
      </c>
      <c r="K43" s="5">
        <v>365</v>
      </c>
      <c r="L43" s="5">
        <v>291</v>
      </c>
      <c r="M43" s="5">
        <f>1161-L43-K43-J43</f>
        <v>420</v>
      </c>
      <c r="N43" s="5">
        <v>758</v>
      </c>
      <c r="O43" s="5">
        <v>660</v>
      </c>
      <c r="P43" s="5">
        <v>624</v>
      </c>
      <c r="Q43" s="5">
        <f>2629-P43-O43-N43</f>
        <v>587</v>
      </c>
      <c r="R43" s="5">
        <v>613</v>
      </c>
      <c r="S43" s="5">
        <v>579</v>
      </c>
      <c r="T43" s="5">
        <v>580</v>
      </c>
      <c r="U43" s="5">
        <f>2071-T43-S43-R43</f>
        <v>299</v>
      </c>
      <c r="V43" s="24">
        <v>351</v>
      </c>
      <c r="W43" s="5">
        <v>560</v>
      </c>
      <c r="X43" s="5">
        <v>649</v>
      </c>
      <c r="Y43" s="25">
        <f t="shared" si="0"/>
        <v>0.11896551724137931</v>
      </c>
      <c r="Z43" s="25">
        <f t="shared" si="1"/>
        <v>0.15892857142857142</v>
      </c>
    </row>
    <row r="44" spans="1:29" s="14" customFormat="1" x14ac:dyDescent="0.2">
      <c r="A44" s="12" t="s">
        <v>62</v>
      </c>
      <c r="B44" s="14">
        <f>B42-B43</f>
        <v>1634</v>
      </c>
      <c r="C44" s="14">
        <f t="shared" ref="C44" si="36">C42-C43</f>
        <v>1623</v>
      </c>
      <c r="D44" s="14">
        <f t="shared" ref="D44" si="37">D42-D43</f>
        <v>1654</v>
      </c>
      <c r="E44" s="14">
        <f t="shared" ref="E44" si="38">E42-E43</f>
        <v>2010</v>
      </c>
      <c r="F44" s="14">
        <f t="shared" ref="F44" si="39">F42-F43</f>
        <v>1550</v>
      </c>
      <c r="G44" s="14">
        <f t="shared" ref="G44" si="40">G42-G43</f>
        <v>1761</v>
      </c>
      <c r="H44" s="14">
        <f t="shared" ref="H44" si="41">H42-H43</f>
        <v>1755</v>
      </c>
      <c r="I44" s="14">
        <f t="shared" ref="I44" si="42">I42-I43</f>
        <v>1693</v>
      </c>
      <c r="J44" s="14">
        <f t="shared" ref="J44" si="43">J42-J43</f>
        <v>367</v>
      </c>
      <c r="K44" s="14">
        <f t="shared" ref="K44" si="44">K42-K43</f>
        <v>257</v>
      </c>
      <c r="L44" s="14">
        <f t="shared" ref="L44" si="45">L42-L43</f>
        <v>1073</v>
      </c>
      <c r="M44" s="14">
        <f t="shared" ref="M44" si="46">M42-M43</f>
        <v>1438</v>
      </c>
      <c r="N44" s="14">
        <f t="shared" ref="N44" si="47">N42-N43</f>
        <v>2235</v>
      </c>
      <c r="O44" s="14">
        <f t="shared" ref="O44" si="48">O42-O43</f>
        <v>2280</v>
      </c>
      <c r="P44" s="14">
        <f t="shared" ref="P44" si="49">P42-P43</f>
        <v>1826</v>
      </c>
      <c r="Q44" s="14">
        <f t="shared" ref="Q44" si="50">Q42-Q43</f>
        <v>1719</v>
      </c>
      <c r="R44" s="14">
        <f t="shared" ref="R44" si="51">R42-R43</f>
        <v>2099</v>
      </c>
      <c r="S44" s="14">
        <f t="shared" ref="S44" si="52">S42-S43</f>
        <v>1964</v>
      </c>
      <c r="T44" s="14">
        <f t="shared" ref="T44" si="53">T42-T43</f>
        <v>1879</v>
      </c>
      <c r="U44" s="14">
        <f t="shared" ref="U44" si="54">U42-U43</f>
        <v>1572</v>
      </c>
      <c r="V44" s="14">
        <f t="shared" ref="V44" si="55">V42-V43</f>
        <v>1816</v>
      </c>
      <c r="W44" s="14">
        <f t="shared" ref="W44" si="56">W42-W43</f>
        <v>2174</v>
      </c>
      <c r="X44" s="14">
        <f t="shared" ref="X44" si="57">X42-X43</f>
        <v>2451</v>
      </c>
      <c r="Y44" s="25">
        <f t="shared" si="0"/>
        <v>0.30441724321447577</v>
      </c>
      <c r="Z44" s="25">
        <f t="shared" si="1"/>
        <v>0.12741490340386386</v>
      </c>
      <c r="AA44" s="14">
        <f t="shared" ref="AA44" si="58">AA42-AA43</f>
        <v>0</v>
      </c>
      <c r="AB44" s="14">
        <f t="shared" ref="AB44" si="59">AB42-AB43</f>
        <v>0</v>
      </c>
      <c r="AC44" s="14">
        <f t="shared" ref="AC44" si="60">AC42-AC43</f>
        <v>0</v>
      </c>
    </row>
    <row r="45" spans="1:29" x14ac:dyDescent="0.2">
      <c r="Y45" s="25"/>
      <c r="Z45" s="25"/>
    </row>
    <row r="46" spans="1:29" x14ac:dyDescent="0.2">
      <c r="A46" s="10" t="s">
        <v>63</v>
      </c>
      <c r="Y46" s="25"/>
      <c r="Z46" s="25"/>
    </row>
    <row r="47" spans="1:29" x14ac:dyDescent="0.2">
      <c r="A47" s="11" t="s">
        <v>31</v>
      </c>
      <c r="B47" s="5">
        <v>31092</v>
      </c>
      <c r="C47" s="5">
        <v>29743</v>
      </c>
      <c r="D47" s="5">
        <v>30231</v>
      </c>
      <c r="E47" s="5">
        <f>27445</f>
        <v>27445</v>
      </c>
      <c r="F47" s="5">
        <v>33177</v>
      </c>
      <c r="G47" s="5">
        <v>26869</v>
      </c>
      <c r="H47" s="5">
        <v>24266</v>
      </c>
      <c r="I47" s="5">
        <v>23932</v>
      </c>
      <c r="J47" s="5">
        <v>36095</v>
      </c>
      <c r="K47" s="5">
        <v>41497</v>
      </c>
      <c r="L47" s="5">
        <v>33030</v>
      </c>
      <c r="M47" s="5">
        <v>32965</v>
      </c>
      <c r="N47" s="5">
        <v>40280</v>
      </c>
      <c r="O47" s="5">
        <v>30796</v>
      </c>
      <c r="P47" s="5">
        <v>27916</v>
      </c>
      <c r="Q47" s="5">
        <v>22028</v>
      </c>
      <c r="R47" s="5">
        <v>27678</v>
      </c>
      <c r="S47" s="5">
        <v>26277</v>
      </c>
      <c r="T47" s="5">
        <v>31182</v>
      </c>
      <c r="U47" s="5">
        <v>33914</v>
      </c>
      <c r="V47" s="5">
        <v>40836</v>
      </c>
      <c r="W47" s="5">
        <v>42958</v>
      </c>
      <c r="X47" s="5">
        <v>43908</v>
      </c>
      <c r="Y47" s="25">
        <f t="shared" si="0"/>
        <v>0.40812006927073313</v>
      </c>
      <c r="Z47" s="25">
        <f t="shared" si="1"/>
        <v>2.2114623585828018E-2</v>
      </c>
    </row>
    <row r="48" spans="1:29" x14ac:dyDescent="0.2">
      <c r="A48" s="11" t="s">
        <v>64</v>
      </c>
      <c r="B48" s="5">
        <f>53676+3194</f>
        <v>56870</v>
      </c>
      <c r="C48" s="23">
        <f>54424+3241</f>
        <v>57665</v>
      </c>
      <c r="D48" s="5">
        <f>54972+3160</f>
        <v>58132</v>
      </c>
      <c r="E48" s="5">
        <f>55320+2907</f>
        <v>58227</v>
      </c>
      <c r="F48" s="5">
        <f>56227+3128</f>
        <v>59355</v>
      </c>
      <c r="G48" s="5">
        <f>58092+3173</f>
        <v>61265</v>
      </c>
      <c r="H48" s="5">
        <f>56010+2846</f>
        <v>58856</v>
      </c>
      <c r="I48" s="5">
        <v>56794</v>
      </c>
      <c r="J48" s="5">
        <v>44269</v>
      </c>
      <c r="K48" s="5">
        <v>37034</v>
      </c>
      <c r="L48" s="5">
        <v>40389</v>
      </c>
      <c r="M48" s="5">
        <v>43434</v>
      </c>
      <c r="N48" s="5">
        <v>41800</v>
      </c>
      <c r="O48" s="5">
        <v>47512</v>
      </c>
      <c r="P48" s="5">
        <v>48728</v>
      </c>
      <c r="Q48" s="5">
        <v>53581</v>
      </c>
      <c r="R48" s="5">
        <v>53088</v>
      </c>
      <c r="S48" s="5">
        <v>55900</v>
      </c>
      <c r="T48" s="5">
        <v>55116</v>
      </c>
      <c r="U48" s="5">
        <v>57384</v>
      </c>
      <c r="V48" s="5">
        <v>57271</v>
      </c>
      <c r="W48" s="5">
        <v>58011</v>
      </c>
      <c r="X48" s="5">
        <v>58651</v>
      </c>
      <c r="Y48" s="25">
        <f t="shared" si="0"/>
        <v>6.4137455548298139E-2</v>
      </c>
      <c r="Z48" s="25">
        <f t="shared" si="1"/>
        <v>1.1032390408715589E-2</v>
      </c>
    </row>
    <row r="49" spans="1:29" x14ac:dyDescent="0.2">
      <c r="A49" s="11" t="s">
        <v>65</v>
      </c>
      <c r="B49" s="5">
        <f>71034+2872</f>
        <v>73906</v>
      </c>
      <c r="C49" s="5">
        <f>73579+3108</f>
        <v>76687</v>
      </c>
      <c r="D49" s="5">
        <f>75666+3431</f>
        <v>79097</v>
      </c>
      <c r="E49" s="5">
        <f>79720+3676</f>
        <v>83396</v>
      </c>
      <c r="F49" s="5">
        <f>78874+3965</f>
        <v>82839</v>
      </c>
      <c r="G49" s="5">
        <f>81062+4059</f>
        <v>85121</v>
      </c>
      <c r="H49" s="5">
        <f>81423+4340</f>
        <v>85763</v>
      </c>
      <c r="I49" s="5">
        <f>84998+4626</f>
        <v>89624</v>
      </c>
      <c r="J49" s="5">
        <f>72464+4954</f>
        <v>77418</v>
      </c>
      <c r="K49" s="5">
        <f>64431+4129</f>
        <v>68560</v>
      </c>
      <c r="L49" s="5">
        <f>63918+3144</f>
        <v>67062</v>
      </c>
      <c r="M49" s="5">
        <f>68029+2614</f>
        <v>70643</v>
      </c>
      <c r="N49" s="5">
        <f>65633+2133</f>
        <v>67766</v>
      </c>
      <c r="O49" s="5">
        <f>71775+2154</f>
        <v>73929</v>
      </c>
      <c r="P49" s="5">
        <f>73537+2349</f>
        <v>75886</v>
      </c>
      <c r="Q49" s="5">
        <f>85257+2859</f>
        <v>88116</v>
      </c>
      <c r="R49" s="5">
        <f>85851+3264</f>
        <v>89115</v>
      </c>
      <c r="S49" s="5">
        <f>92440+3983</f>
        <v>96423</v>
      </c>
      <c r="T49" s="5">
        <f>95719+4797</f>
        <v>100516</v>
      </c>
      <c r="U49" s="5">
        <f>104217+5357</f>
        <v>109574</v>
      </c>
      <c r="V49" s="5">
        <f>104997+5818</f>
        <v>110815</v>
      </c>
      <c r="W49" s="5">
        <f>110212+6235</f>
        <v>116447</v>
      </c>
      <c r="X49" s="5">
        <f>113257+6483</f>
        <v>119740</v>
      </c>
      <c r="Y49" s="25">
        <f t="shared" si="0"/>
        <v>0.19125313382944009</v>
      </c>
      <c r="Z49" s="25">
        <f t="shared" si="1"/>
        <v>2.8278959526651611E-2</v>
      </c>
    </row>
    <row r="50" spans="1:29" x14ac:dyDescent="0.2">
      <c r="A50" s="11" t="s">
        <v>66</v>
      </c>
      <c r="B50" s="5">
        <v>3388</v>
      </c>
      <c r="C50" s="5">
        <v>4753</v>
      </c>
      <c r="D50" s="5">
        <v>6071</v>
      </c>
      <c r="E50" s="5">
        <v>4647</v>
      </c>
      <c r="F50" s="5">
        <v>6457</v>
      </c>
      <c r="G50" s="5">
        <v>8542</v>
      </c>
      <c r="H50" s="5">
        <v>8445</v>
      </c>
      <c r="I50" s="5">
        <v>8406</v>
      </c>
      <c r="J50" s="5">
        <v>5032</v>
      </c>
      <c r="K50" s="5">
        <v>19942</v>
      </c>
      <c r="L50" s="5">
        <v>22443</v>
      </c>
      <c r="M50" s="5">
        <v>21631</v>
      </c>
      <c r="N50" s="5">
        <v>21270</v>
      </c>
      <c r="O50" s="5">
        <v>12443</v>
      </c>
      <c r="P50" s="5">
        <v>9589</v>
      </c>
      <c r="Q50" s="5">
        <v>2591</v>
      </c>
      <c r="R50" s="5">
        <v>4058</v>
      </c>
      <c r="S50" s="5">
        <v>4065</v>
      </c>
      <c r="T50" s="5">
        <v>4539</v>
      </c>
      <c r="U50" s="5">
        <v>4578</v>
      </c>
      <c r="V50" s="5">
        <v>3964</v>
      </c>
      <c r="W50" s="5">
        <v>4087</v>
      </c>
      <c r="X50" s="5">
        <v>3160</v>
      </c>
      <c r="Y50" s="25">
        <f t="shared" si="0"/>
        <v>-0.30381141220533159</v>
      </c>
      <c r="Z50" s="25">
        <f t="shared" si="1"/>
        <v>-0.22681673599217031</v>
      </c>
    </row>
    <row r="51" spans="1:29" x14ac:dyDescent="0.2">
      <c r="A51" s="11" t="s">
        <v>67</v>
      </c>
      <c r="B51" s="5">
        <v>4271</v>
      </c>
      <c r="C51" s="5">
        <v>4251</v>
      </c>
      <c r="D51" s="5">
        <v>4295</v>
      </c>
      <c r="E51" s="5">
        <v>4416</v>
      </c>
      <c r="F51" s="5">
        <v>4479</v>
      </c>
      <c r="G51" s="5">
        <v>4658</v>
      </c>
      <c r="H51" s="5">
        <v>4715</v>
      </c>
      <c r="I51" s="5">
        <v>4834</v>
      </c>
      <c r="J51" s="5">
        <v>4798</v>
      </c>
      <c r="K51" s="5">
        <v>4829</v>
      </c>
      <c r="L51" s="5">
        <v>4835</v>
      </c>
      <c r="M51" s="5">
        <v>5015</v>
      </c>
      <c r="N51" s="5">
        <v>4943</v>
      </c>
      <c r="O51" s="5">
        <v>4891</v>
      </c>
      <c r="P51" s="5">
        <v>4960</v>
      </c>
      <c r="Q51" s="5">
        <v>4988</v>
      </c>
      <c r="R51" s="5">
        <v>5046</v>
      </c>
      <c r="S51" s="5">
        <v>5093</v>
      </c>
      <c r="T51" s="5">
        <v>5095</v>
      </c>
      <c r="U51" s="5">
        <v>5215</v>
      </c>
      <c r="V51" s="5">
        <v>5204</v>
      </c>
      <c r="W51" s="5">
        <v>5177</v>
      </c>
      <c r="X51" s="5">
        <v>5124</v>
      </c>
      <c r="Y51" s="25">
        <f t="shared" si="0"/>
        <v>5.691854759568204E-3</v>
      </c>
      <c r="Z51" s="25">
        <f t="shared" si="1"/>
        <v>-1.0237589337454124E-2</v>
      </c>
    </row>
    <row r="52" spans="1:29" x14ac:dyDescent="0.2">
      <c r="A52" s="11" t="s">
        <v>38</v>
      </c>
      <c r="B52" s="5">
        <v>10429</v>
      </c>
      <c r="C52" s="5">
        <v>11762</v>
      </c>
      <c r="D52" s="5">
        <v>11266</v>
      </c>
      <c r="E52" s="5">
        <v>10471</v>
      </c>
      <c r="F52" s="5">
        <v>10886</v>
      </c>
      <c r="G52" s="5">
        <v>11148</v>
      </c>
      <c r="H52" s="5">
        <v>12139</v>
      </c>
      <c r="I52" s="5">
        <v>14731</v>
      </c>
      <c r="J52" s="5">
        <v>18448</v>
      </c>
      <c r="K52" s="5">
        <v>16746</v>
      </c>
      <c r="L52" s="5">
        <v>19500</v>
      </c>
      <c r="M52" s="5">
        <v>17679</v>
      </c>
      <c r="N52" s="5">
        <v>17008</v>
      </c>
      <c r="O52" s="5">
        <v>17402</v>
      </c>
      <c r="P52" s="5">
        <v>17182</v>
      </c>
      <c r="Q52" s="5">
        <v>17244</v>
      </c>
      <c r="R52" s="5">
        <v>16877</v>
      </c>
      <c r="S52" s="24">
        <v>17540</v>
      </c>
      <c r="T52" s="5">
        <v>18467</v>
      </c>
      <c r="U52" s="5">
        <v>17689</v>
      </c>
      <c r="V52" s="5">
        <v>17752</v>
      </c>
      <c r="W52" s="5">
        <v>18224</v>
      </c>
      <c r="X52" s="5">
        <v>20004</v>
      </c>
      <c r="Y52" s="25">
        <f t="shared" si="0"/>
        <v>8.3229544593057883E-2</v>
      </c>
      <c r="Z52" s="25">
        <f t="shared" si="1"/>
        <v>9.7673397717295871E-2</v>
      </c>
    </row>
    <row r="53" spans="1:29" s="14" customFormat="1" x14ac:dyDescent="0.2">
      <c r="A53" s="15" t="s">
        <v>68</v>
      </c>
      <c r="B53" s="14">
        <f>SUM(B47:B52)</f>
        <v>179956</v>
      </c>
      <c r="C53" s="14">
        <f t="shared" ref="C53" si="61">SUM(C47:C52)</f>
        <v>184861</v>
      </c>
      <c r="D53" s="14">
        <f t="shared" ref="D53" si="62">SUM(D47:D52)</f>
        <v>189092</v>
      </c>
      <c r="E53" s="14">
        <f t="shared" ref="E53" si="63">SUM(E47:E52)</f>
        <v>188602</v>
      </c>
      <c r="F53" s="14">
        <f t="shared" ref="F53" si="64">SUM(F47:F52)</f>
        <v>197193</v>
      </c>
      <c r="G53" s="14">
        <f t="shared" ref="G53" si="65">SUM(G47:G52)</f>
        <v>197603</v>
      </c>
      <c r="H53" s="14">
        <f t="shared" ref="H53" si="66">SUM(H47:H52)</f>
        <v>194184</v>
      </c>
      <c r="I53" s="14">
        <f t="shared" ref="I53" si="67">SUM(I47:I52)</f>
        <v>198321</v>
      </c>
      <c r="J53" s="14">
        <f t="shared" ref="J53" si="68">SUM(J47:J52)</f>
        <v>186060</v>
      </c>
      <c r="K53" s="14">
        <f t="shared" ref="K53" si="69">SUM(K47:K52)</f>
        <v>188608</v>
      </c>
      <c r="L53" s="14">
        <f t="shared" ref="L53" si="70">SUM(L47:L52)</f>
        <v>187259</v>
      </c>
      <c r="M53" s="14">
        <f t="shared" ref="M53" si="71">SUM(M47:M52)</f>
        <v>191367</v>
      </c>
      <c r="N53" s="14">
        <f t="shared" ref="N53" si="72">SUM(N47:N52)</f>
        <v>193067</v>
      </c>
      <c r="O53" s="14">
        <f t="shared" ref="O53" si="73">SUM(O47:O52)</f>
        <v>186973</v>
      </c>
      <c r="P53" s="14">
        <f t="shared" ref="P53" si="74">SUM(P47:P52)</f>
        <v>184261</v>
      </c>
      <c r="Q53" s="14">
        <f t="shared" ref="Q53" si="75">SUM(Q47:Q52)</f>
        <v>188548</v>
      </c>
      <c r="R53" s="14">
        <f t="shared" ref="R53" si="76">SUM(R47:R52)</f>
        <v>195862</v>
      </c>
      <c r="S53" s="14">
        <f t="shared" ref="S53" si="77">SUM(S47:S52)</f>
        <v>205298</v>
      </c>
      <c r="T53" s="14">
        <f t="shared" ref="T53" si="78">SUM(T47:T52)</f>
        <v>214915</v>
      </c>
      <c r="U53" s="14">
        <f t="shared" ref="U53" si="79">SUM(U47:U52)</f>
        <v>228354</v>
      </c>
      <c r="V53" s="14">
        <f t="shared" ref="V53" si="80">SUM(V47:V52)</f>
        <v>235842</v>
      </c>
      <c r="W53" s="14">
        <f t="shared" ref="W53" si="81">SUM(W47:W52)</f>
        <v>244904</v>
      </c>
      <c r="X53" s="14">
        <f t="shared" ref="X53" si="82">SUM(X47:X52)</f>
        <v>250587</v>
      </c>
      <c r="Y53" s="25">
        <f t="shared" si="0"/>
        <v>0.1659818998208594</v>
      </c>
      <c r="Z53" s="25">
        <f t="shared" si="1"/>
        <v>2.3205010943063403E-2</v>
      </c>
      <c r="AA53" s="14">
        <f t="shared" ref="AA53" si="83">SUM(AA47:AA52)</f>
        <v>0</v>
      </c>
      <c r="AB53" s="14">
        <f t="shared" ref="AB53" si="84">SUM(AB47:AB52)</f>
        <v>0</v>
      </c>
      <c r="AC53" s="14">
        <f t="shared" ref="AC53" si="85">SUM(AC47:AC52)</f>
        <v>0</v>
      </c>
    </row>
    <row r="54" spans="1:29" x14ac:dyDescent="0.2">
      <c r="Y54" s="25"/>
      <c r="Z54" s="25"/>
    </row>
    <row r="55" spans="1:29" x14ac:dyDescent="0.2">
      <c r="A55" s="10" t="s">
        <v>69</v>
      </c>
      <c r="Y55" s="25"/>
      <c r="Z55" s="25"/>
    </row>
    <row r="56" spans="1:29" x14ac:dyDescent="0.2">
      <c r="A56" s="11" t="s">
        <v>70</v>
      </c>
      <c r="B56" s="5">
        <v>66665</v>
      </c>
      <c r="C56" s="5">
        <v>67391</v>
      </c>
      <c r="D56" s="5">
        <v>69301</v>
      </c>
      <c r="E56" s="5">
        <v>69960</v>
      </c>
      <c r="F56" s="5">
        <v>72857</v>
      </c>
      <c r="G56" s="5">
        <v>72590</v>
      </c>
      <c r="H56" s="5">
        <v>73298</v>
      </c>
      <c r="I56" s="5">
        <v>73287</v>
      </c>
      <c r="J56" s="5">
        <v>77962</v>
      </c>
      <c r="K56" s="5">
        <v>84805</v>
      </c>
      <c r="L56" s="5">
        <v>85461</v>
      </c>
      <c r="M56" s="5">
        <v>86875</v>
      </c>
      <c r="N56" s="5">
        <v>89193</v>
      </c>
      <c r="O56" s="5">
        <v>84905</v>
      </c>
      <c r="P56" s="5">
        <v>84326</v>
      </c>
      <c r="Q56" s="5">
        <v>84382</v>
      </c>
      <c r="R56" s="5">
        <v>90917</v>
      </c>
      <c r="S56" s="5">
        <v>96411</v>
      </c>
      <c r="T56" s="5">
        <v>103463</v>
      </c>
      <c r="U56" s="5">
        <v>110239</v>
      </c>
      <c r="V56" s="5">
        <v>120806</v>
      </c>
      <c r="W56" s="5">
        <v>122756</v>
      </c>
      <c r="X56" s="5">
        <v>124439</v>
      </c>
      <c r="Y56" s="25">
        <f t="shared" si="0"/>
        <v>0.20273914346191393</v>
      </c>
      <c r="Z56" s="25">
        <f t="shared" si="1"/>
        <v>1.3710124148717782E-2</v>
      </c>
    </row>
    <row r="57" spans="1:29" hidden="1" x14ac:dyDescent="0.2">
      <c r="A57" s="11" t="s">
        <v>71</v>
      </c>
      <c r="B57" s="5">
        <v>2435</v>
      </c>
      <c r="C57" s="5">
        <v>2222</v>
      </c>
      <c r="D57" s="5">
        <v>2070</v>
      </c>
      <c r="E57" s="5">
        <v>2295</v>
      </c>
      <c r="F57" s="5">
        <v>2223</v>
      </c>
      <c r="G57" s="5">
        <v>2014</v>
      </c>
      <c r="H57" s="5">
        <v>1864</v>
      </c>
      <c r="I57" s="5">
        <v>0</v>
      </c>
      <c r="J57" s="5">
        <v>0</v>
      </c>
      <c r="K57" s="23">
        <v>0</v>
      </c>
      <c r="L57" s="5">
        <v>0</v>
      </c>
      <c r="M57" s="23">
        <v>0</v>
      </c>
      <c r="N57" s="24">
        <v>0</v>
      </c>
      <c r="O57" s="5">
        <v>0</v>
      </c>
      <c r="P57" s="5">
        <v>0</v>
      </c>
      <c r="Y57" s="25" t="e">
        <f t="shared" si="0"/>
        <v>#DIV/0!</v>
      </c>
      <c r="Z57" s="25" t="e">
        <f t="shared" si="1"/>
        <v>#DIV/0!</v>
      </c>
    </row>
    <row r="58" spans="1:29" x14ac:dyDescent="0.2">
      <c r="A58" s="11" t="s">
        <v>72</v>
      </c>
      <c r="B58" s="5">
        <v>14038</v>
      </c>
      <c r="C58" s="5">
        <v>13800</v>
      </c>
      <c r="D58" s="5">
        <v>15605</v>
      </c>
      <c r="E58" s="5">
        <v>12255</v>
      </c>
      <c r="F58" s="5">
        <v>16162</v>
      </c>
      <c r="G58" s="5">
        <v>16518</v>
      </c>
      <c r="H58" s="5">
        <v>12866</v>
      </c>
      <c r="I58" s="5">
        <v>12738</v>
      </c>
      <c r="J58" s="5">
        <v>7977</v>
      </c>
      <c r="K58" s="5">
        <v>7731</v>
      </c>
      <c r="L58" s="5">
        <v>8232</v>
      </c>
      <c r="M58" s="5">
        <v>9444</v>
      </c>
      <c r="N58" s="5">
        <v>8585</v>
      </c>
      <c r="O58" s="5">
        <v>9708</v>
      </c>
      <c r="P58" s="5">
        <v>9641</v>
      </c>
      <c r="Q58" s="5">
        <v>10574</v>
      </c>
      <c r="R58" s="5">
        <v>11196</v>
      </c>
      <c r="S58" s="5">
        <v>11371</v>
      </c>
      <c r="T58" s="5">
        <v>11021</v>
      </c>
      <c r="U58" s="5">
        <v>12133</v>
      </c>
      <c r="V58" s="5">
        <v>12526</v>
      </c>
      <c r="W58" s="5">
        <v>12359</v>
      </c>
      <c r="X58" s="5">
        <v>13196</v>
      </c>
      <c r="Y58" s="25">
        <f t="shared" si="0"/>
        <v>0.19735051265765358</v>
      </c>
      <c r="Z58" s="25">
        <f t="shared" si="1"/>
        <v>6.7723925883971192E-2</v>
      </c>
    </row>
    <row r="59" spans="1:29" x14ac:dyDescent="0.2">
      <c r="A59" s="11" t="s">
        <v>73</v>
      </c>
      <c r="B59" s="5">
        <v>1852</v>
      </c>
      <c r="C59" s="5">
        <v>1972</v>
      </c>
      <c r="D59" s="5">
        <v>2292</v>
      </c>
      <c r="E59" s="5">
        <v>3100</v>
      </c>
      <c r="F59" s="5">
        <v>2028</v>
      </c>
      <c r="G59" s="5">
        <v>2827</v>
      </c>
      <c r="H59" s="5">
        <v>2818</v>
      </c>
      <c r="I59" s="5">
        <v>6442</v>
      </c>
      <c r="J59" s="5">
        <v>3497</v>
      </c>
      <c r="K59" s="5">
        <v>1567</v>
      </c>
      <c r="L59" s="5">
        <v>1716</v>
      </c>
      <c r="M59" s="5">
        <v>1878</v>
      </c>
      <c r="N59" s="5">
        <v>1578</v>
      </c>
      <c r="O59" s="5">
        <v>1864</v>
      </c>
      <c r="P59" s="5">
        <v>2253</v>
      </c>
      <c r="Q59" s="5">
        <v>2243</v>
      </c>
      <c r="R59" s="5">
        <v>2122</v>
      </c>
      <c r="S59" s="5">
        <v>1984</v>
      </c>
      <c r="T59" s="5">
        <v>1515</v>
      </c>
      <c r="U59" s="5">
        <v>1348</v>
      </c>
      <c r="V59" s="5">
        <v>1724</v>
      </c>
      <c r="W59" s="5">
        <v>1583</v>
      </c>
      <c r="X59" s="5">
        <v>1613</v>
      </c>
      <c r="Y59" s="25">
        <f t="shared" si="0"/>
        <v>6.4686468646864684E-2</v>
      </c>
      <c r="Z59" s="25">
        <f t="shared" si="1"/>
        <v>1.8951358180669616E-2</v>
      </c>
    </row>
    <row r="60" spans="1:29" x14ac:dyDescent="0.2">
      <c r="A60" s="11" t="s">
        <v>74</v>
      </c>
      <c r="B60" s="5">
        <v>52461</v>
      </c>
      <c r="C60" s="5">
        <v>55883</v>
      </c>
      <c r="D60" s="5">
        <v>55300</v>
      </c>
      <c r="E60" s="5">
        <v>58423</v>
      </c>
      <c r="F60" s="5">
        <v>58418</v>
      </c>
      <c r="G60" s="5">
        <v>57736</v>
      </c>
      <c r="H60" s="5">
        <v>58474</v>
      </c>
      <c r="I60" s="5">
        <v>57835</v>
      </c>
      <c r="J60" s="5">
        <v>52588</v>
      </c>
      <c r="K60" s="5">
        <v>48797</v>
      </c>
      <c r="L60" s="5">
        <v>44777</v>
      </c>
      <c r="M60" s="5">
        <v>42952</v>
      </c>
      <c r="N60" s="5">
        <v>42019</v>
      </c>
      <c r="O60" s="5">
        <v>37363</v>
      </c>
      <c r="P60" s="5">
        <v>34483</v>
      </c>
      <c r="Q60" s="5">
        <v>38675</v>
      </c>
      <c r="R60" s="5">
        <v>38337</v>
      </c>
      <c r="S60" s="5">
        <v>40495</v>
      </c>
      <c r="T60" s="5">
        <v>42393</v>
      </c>
      <c r="U60" s="5">
        <v>42573</v>
      </c>
      <c r="V60" s="5">
        <v>41138</v>
      </c>
      <c r="W60" s="5">
        <v>46725</v>
      </c>
      <c r="X60" s="5">
        <v>46447</v>
      </c>
      <c r="Y60" s="25">
        <f t="shared" si="0"/>
        <v>9.5628995353006396E-2</v>
      </c>
      <c r="Z60" s="25">
        <f t="shared" si="1"/>
        <v>-5.9497057249866241E-3</v>
      </c>
    </row>
    <row r="61" spans="1:29" x14ac:dyDescent="0.2">
      <c r="A61" s="11" t="s">
        <v>38</v>
      </c>
      <c r="B61" s="5">
        <v>22892</v>
      </c>
      <c r="C61" s="5">
        <v>22701</v>
      </c>
      <c r="D61" s="5">
        <v>23064</v>
      </c>
      <c r="E61" s="5">
        <v>20279</v>
      </c>
      <c r="F61" s="5">
        <v>23287</v>
      </c>
      <c r="G61" s="5">
        <v>22826</v>
      </c>
      <c r="H61" s="5">
        <v>21839</v>
      </c>
      <c r="I61" s="5">
        <v>24948</v>
      </c>
      <c r="J61" s="5">
        <v>23030</v>
      </c>
      <c r="K61" s="5">
        <v>24646</v>
      </c>
      <c r="L61" s="5">
        <v>25204</v>
      </c>
      <c r="M61" s="5">
        <v>27234</v>
      </c>
      <c r="N61" s="5">
        <v>27243</v>
      </c>
      <c r="O61" s="5">
        <v>27594</v>
      </c>
      <c r="P61" s="5">
        <v>29132</v>
      </c>
      <c r="Q61" s="5">
        <v>30497</v>
      </c>
      <c r="R61" s="5">
        <v>30907</v>
      </c>
      <c r="S61" s="5">
        <v>31802</v>
      </c>
      <c r="T61" s="5">
        <v>32583</v>
      </c>
      <c r="U61" s="5">
        <v>37350</v>
      </c>
      <c r="V61" s="5">
        <v>33656</v>
      </c>
      <c r="W61" s="5">
        <v>34778</v>
      </c>
      <c r="X61" s="5">
        <v>37568</v>
      </c>
      <c r="Y61" s="25">
        <f t="shared" si="0"/>
        <v>0.15299389252063961</v>
      </c>
      <c r="Z61" s="25">
        <f t="shared" si="1"/>
        <v>8.0223129564667317E-2</v>
      </c>
    </row>
    <row r="62" spans="1:29" s="14" customFormat="1" x14ac:dyDescent="0.2">
      <c r="A62" s="15" t="s">
        <v>75</v>
      </c>
      <c r="B62" s="14">
        <f>SUM(B56:B61)</f>
        <v>160343</v>
      </c>
      <c r="C62" s="14">
        <f t="shared" ref="C62" si="86">SUM(C56:C61)</f>
        <v>163969</v>
      </c>
      <c r="D62" s="14">
        <f t="shared" ref="D62" si="87">SUM(D56:D61)</f>
        <v>167632</v>
      </c>
      <c r="E62" s="14">
        <f t="shared" ref="E62" si="88">SUM(E56:E61)</f>
        <v>166312</v>
      </c>
      <c r="F62" s="14">
        <f t="shared" ref="F62" si="89">SUM(F56:F61)</f>
        <v>174975</v>
      </c>
      <c r="G62" s="14">
        <f t="shared" ref="G62" si="90">SUM(G56:G61)</f>
        <v>174511</v>
      </c>
      <c r="H62" s="14">
        <f t="shared" ref="H62" si="91">SUM(H56:H61)</f>
        <v>171159</v>
      </c>
      <c r="I62" s="14">
        <f t="shared" ref="I62" si="92">SUM(I56:I61)</f>
        <v>175250</v>
      </c>
      <c r="J62" s="14">
        <f t="shared" ref="J62" si="93">SUM(J56:J61)</f>
        <v>165054</v>
      </c>
      <c r="K62" s="14">
        <f t="shared" ref="K62" si="94">SUM(K56:K61)</f>
        <v>167546</v>
      </c>
      <c r="L62" s="14">
        <f t="shared" ref="L62" si="95">SUM(L56:L61)</f>
        <v>165390</v>
      </c>
      <c r="M62" s="14">
        <f t="shared" ref="M62" si="96">SUM(M56:M61)</f>
        <v>168383</v>
      </c>
      <c r="N62" s="14">
        <f t="shared" ref="N62" si="97">SUM(N56:N61)</f>
        <v>168618</v>
      </c>
      <c r="O62" s="14">
        <f t="shared" ref="O62" si="98">SUM(O56:O61)</f>
        <v>161434</v>
      </c>
      <c r="P62" s="14">
        <f t="shared" ref="P62" si="99">SUM(P56:P61)</f>
        <v>159835</v>
      </c>
      <c r="Q62" s="14">
        <f t="shared" ref="Q62" si="100">SUM(Q56:Q61)</f>
        <v>166371</v>
      </c>
      <c r="R62" s="14">
        <f t="shared" ref="R62" si="101">SUM(R56:R61)</f>
        <v>173479</v>
      </c>
      <c r="S62" s="14">
        <f t="shared" ref="S62" si="102">SUM(S56:S61)</f>
        <v>182063</v>
      </c>
      <c r="T62" s="14">
        <f t="shared" ref="T62" si="103">SUM(T56:T61)</f>
        <v>190975</v>
      </c>
      <c r="U62" s="14">
        <f t="shared" ref="U62" si="104">SUM(U56:U61)</f>
        <v>203643</v>
      </c>
      <c r="V62" s="14">
        <f t="shared" ref="V62" si="105">SUM(V56:V61)</f>
        <v>209850</v>
      </c>
      <c r="W62" s="14">
        <f t="shared" ref="W62" si="106">SUM(W56:W61)</f>
        <v>218201</v>
      </c>
      <c r="X62" s="14">
        <f t="shared" ref="X62" si="107">SUM(X56:X61)</f>
        <v>223263</v>
      </c>
      <c r="Y62" s="25">
        <f t="shared" si="0"/>
        <v>0.16906924990181962</v>
      </c>
      <c r="Z62" s="25">
        <f t="shared" si="1"/>
        <v>2.3198793772714148E-2</v>
      </c>
      <c r="AA62" s="14">
        <f t="shared" ref="AA62" si="108">SUM(AA56:AA61)</f>
        <v>0</v>
      </c>
      <c r="AB62" s="14">
        <f t="shared" ref="AB62" si="109">SUM(AB56:AB61)</f>
        <v>0</v>
      </c>
      <c r="AC62" s="14">
        <f t="shared" ref="AC62" si="110">SUM(AC56:AC61)</f>
        <v>0</v>
      </c>
    </row>
    <row r="63" spans="1:29" x14ac:dyDescent="0.2">
      <c r="Y63" s="25"/>
      <c r="Z63" s="25"/>
    </row>
    <row r="64" spans="1:29" s="14" customFormat="1" x14ac:dyDescent="0.2">
      <c r="A64" s="10" t="s">
        <v>76</v>
      </c>
      <c r="B64" s="14">
        <f>B53-B62</f>
        <v>19613</v>
      </c>
      <c r="C64" s="14">
        <f t="shared" ref="C64:AC64" si="111">C53-C62</f>
        <v>20892</v>
      </c>
      <c r="D64" s="14">
        <f t="shared" si="111"/>
        <v>21460</v>
      </c>
      <c r="E64" s="14">
        <f t="shared" si="111"/>
        <v>22290</v>
      </c>
      <c r="F64" s="14">
        <f t="shared" si="111"/>
        <v>22218</v>
      </c>
      <c r="G64" s="14">
        <f t="shared" si="111"/>
        <v>23092</v>
      </c>
      <c r="H64" s="14">
        <f t="shared" si="111"/>
        <v>23025</v>
      </c>
      <c r="I64" s="14">
        <f t="shared" si="111"/>
        <v>23071</v>
      </c>
      <c r="J64" s="14">
        <f t="shared" si="111"/>
        <v>21006</v>
      </c>
      <c r="K64" s="14">
        <f t="shared" si="111"/>
        <v>21062</v>
      </c>
      <c r="L64" s="14">
        <f t="shared" si="111"/>
        <v>21869</v>
      </c>
      <c r="M64" s="14">
        <f t="shared" si="111"/>
        <v>22984</v>
      </c>
      <c r="N64" s="14">
        <f t="shared" si="111"/>
        <v>24449</v>
      </c>
      <c r="O64" s="14">
        <f t="shared" si="111"/>
        <v>25539</v>
      </c>
      <c r="P64" s="14">
        <f t="shared" si="111"/>
        <v>24426</v>
      </c>
      <c r="Q64" s="14">
        <f t="shared" si="111"/>
        <v>22177</v>
      </c>
      <c r="R64" s="14">
        <f t="shared" si="111"/>
        <v>22383</v>
      </c>
      <c r="S64" s="14">
        <f t="shared" si="111"/>
        <v>23235</v>
      </c>
      <c r="T64" s="14">
        <f t="shared" si="111"/>
        <v>23940</v>
      </c>
      <c r="U64" s="14">
        <f t="shared" si="111"/>
        <v>24711</v>
      </c>
      <c r="V64" s="14">
        <f t="shared" si="111"/>
        <v>25992</v>
      </c>
      <c r="W64" s="14">
        <f t="shared" si="111"/>
        <v>26703</v>
      </c>
      <c r="X64" s="14">
        <f t="shared" si="111"/>
        <v>27324</v>
      </c>
      <c r="Y64" s="25">
        <f t="shared" si="0"/>
        <v>0.14135338345864662</v>
      </c>
      <c r="Z64" s="25">
        <f t="shared" si="1"/>
        <v>2.3255813953488372E-2</v>
      </c>
      <c r="AA64" s="14">
        <f t="shared" si="111"/>
        <v>0</v>
      </c>
      <c r="AB64" s="14">
        <f t="shared" si="111"/>
        <v>0</v>
      </c>
      <c r="AC64" s="14">
        <f t="shared" si="111"/>
        <v>0</v>
      </c>
    </row>
    <row r="65" spans="1:29" x14ac:dyDescent="0.2">
      <c r="A65" s="9" t="s">
        <v>77</v>
      </c>
      <c r="B65" s="5">
        <f>B7-B8+B9</f>
        <v>100147.08</v>
      </c>
      <c r="C65" s="5">
        <f t="shared" ref="C65:AC65" si="112">C7-C8+C9</f>
        <v>107835</v>
      </c>
      <c r="D65" s="5">
        <f t="shared" si="112"/>
        <v>112871.4</v>
      </c>
      <c r="E65" s="5">
        <f t="shared" si="112"/>
        <v>111310.87999999999</v>
      </c>
      <c r="F65" s="5">
        <f t="shared" si="112"/>
        <v>112951.9</v>
      </c>
      <c r="G65" s="5">
        <f t="shared" si="112"/>
        <v>128347.84</v>
      </c>
      <c r="H65" s="5">
        <f t="shared" si="112"/>
        <v>126357.21</v>
      </c>
      <c r="I65" s="5">
        <f t="shared" si="112"/>
        <v>135265.70000000001</v>
      </c>
      <c r="J65" s="5">
        <f t="shared" si="112"/>
        <v>84130.880000000005</v>
      </c>
      <c r="K65" s="5">
        <f t="shared" si="112"/>
        <v>65561</v>
      </c>
      <c r="L65" s="5">
        <f t="shared" si="112"/>
        <v>71721.25</v>
      </c>
      <c r="M65" s="5">
        <f t="shared" si="112"/>
        <v>87687.459999999992</v>
      </c>
      <c r="N65" s="5">
        <f t="shared" si="112"/>
        <v>95906.2</v>
      </c>
      <c r="O65" s="5">
        <f t="shared" si="112"/>
        <v>128502.45999999999</v>
      </c>
      <c r="P65" s="5">
        <f t="shared" si="112"/>
        <v>131077.11000000002</v>
      </c>
      <c r="Q65" s="5">
        <f t="shared" si="112"/>
        <v>145543</v>
      </c>
      <c r="R65" s="5">
        <f t="shared" si="112"/>
        <v>150469</v>
      </c>
      <c r="S65" s="5">
        <f t="shared" si="112"/>
        <v>116517.86</v>
      </c>
      <c r="T65" s="5">
        <f t="shared" si="112"/>
        <v>109234.59</v>
      </c>
      <c r="U65" s="5">
        <f t="shared" si="112"/>
        <v>116537</v>
      </c>
      <c r="V65" s="5">
        <f t="shared" si="112"/>
        <v>120784.79999999999</v>
      </c>
      <c r="W65" s="5">
        <f t="shared" si="112"/>
        <v>130345.2</v>
      </c>
      <c r="X65" s="5">
        <f t="shared" si="112"/>
        <v>110348.27</v>
      </c>
      <c r="Y65" s="25">
        <f t="shared" si="0"/>
        <v>1.0195305351537527E-2</v>
      </c>
      <c r="Z65" s="25">
        <f t="shared" si="1"/>
        <v>-0.15341516220006562</v>
      </c>
      <c r="AA65" s="5">
        <f t="shared" si="112"/>
        <v>0</v>
      </c>
      <c r="AB65" s="5">
        <f t="shared" si="112"/>
        <v>0</v>
      </c>
      <c r="AC65" s="5">
        <f t="shared" si="112"/>
        <v>0</v>
      </c>
    </row>
    <row r="66" spans="1:29" x14ac:dyDescent="0.2">
      <c r="A66" s="9" t="s">
        <v>78</v>
      </c>
      <c r="B66" s="21">
        <f>B44/B6</f>
        <v>1.8977932636469221</v>
      </c>
      <c r="C66" s="21">
        <f t="shared" ref="C66:AC66" si="113">C44/C6</f>
        <v>1.882830626450116</v>
      </c>
      <c r="D66" s="21">
        <f t="shared" si="113"/>
        <v>1.9232558139534883</v>
      </c>
      <c r="E66" s="21">
        <f t="shared" si="113"/>
        <v>2.3399301513387658</v>
      </c>
      <c r="F66" s="21">
        <f t="shared" si="113"/>
        <v>1.8386714116251484</v>
      </c>
      <c r="G66" s="21">
        <f t="shared" si="113"/>
        <v>2.1064593301435406</v>
      </c>
      <c r="H66" s="21">
        <f t="shared" si="113"/>
        <v>2.1221281741233375</v>
      </c>
      <c r="I66" s="21">
        <f t="shared" si="113"/>
        <v>2.0397590361445781</v>
      </c>
      <c r="J66" s="21">
        <f t="shared" si="113"/>
        <v>0.45420792079207922</v>
      </c>
      <c r="K66" s="21">
        <f t="shared" si="113"/>
        <v>0.31925465838509315</v>
      </c>
      <c r="L66" s="21">
        <f t="shared" si="113"/>
        <v>1.332919254658385</v>
      </c>
      <c r="M66" s="21">
        <f t="shared" si="113"/>
        <v>1.7841191066997519</v>
      </c>
      <c r="N66" s="21">
        <f t="shared" si="113"/>
        <v>2.7763975155279503</v>
      </c>
      <c r="O66" s="21">
        <f t="shared" si="113"/>
        <v>2.8428927680798006</v>
      </c>
      <c r="P66" s="21">
        <f t="shared" si="113"/>
        <v>2.3202033036848793</v>
      </c>
      <c r="Q66" s="21">
        <f t="shared" si="113"/>
        <v>2.1759493670886076</v>
      </c>
      <c r="R66" s="21">
        <f t="shared" si="113"/>
        <v>2.7691292875989446</v>
      </c>
      <c r="S66" s="21">
        <f t="shared" si="113"/>
        <v>2.6082337317397077</v>
      </c>
      <c r="T66" s="21">
        <f t="shared" si="113"/>
        <v>2.5086782376502001</v>
      </c>
      <c r="U66" s="21">
        <f t="shared" si="113"/>
        <v>2.0904255319148937</v>
      </c>
      <c r="V66" s="21">
        <f t="shared" si="113"/>
        <v>2.4408602150537635</v>
      </c>
      <c r="W66" s="21">
        <f t="shared" si="113"/>
        <v>2.9338731443994601</v>
      </c>
      <c r="X66" s="21">
        <f t="shared" si="113"/>
        <v>3.3437926330150067</v>
      </c>
      <c r="Y66" s="25">
        <f t="shared" si="0"/>
        <v>0.33289019804589681</v>
      </c>
      <c r="Z66" s="25">
        <f t="shared" si="1"/>
        <v>0.13971956810677094</v>
      </c>
      <c r="AA66" s="21" t="e">
        <f t="shared" si="113"/>
        <v>#DIV/0!</v>
      </c>
      <c r="AB66" s="21" t="e">
        <f t="shared" si="113"/>
        <v>#DIV/0!</v>
      </c>
      <c r="AC66" s="21" t="e">
        <f t="shared" si="113"/>
        <v>#DIV/0!</v>
      </c>
    </row>
    <row r="67" spans="1:29" x14ac:dyDescent="0.2">
      <c r="A67" s="9" t="s">
        <v>81</v>
      </c>
      <c r="B67" s="26">
        <f>B44/B32</f>
        <v>0.18271273621827128</v>
      </c>
      <c r="C67" s="26">
        <f t="shared" ref="C67:AC67" si="114">C44/C32</f>
        <v>0.17648977816441933</v>
      </c>
      <c r="D67" s="26">
        <f t="shared" si="114"/>
        <v>0.17733461992066044</v>
      </c>
      <c r="E67" s="26">
        <f t="shared" si="114"/>
        <v>0.2111344537815126</v>
      </c>
      <c r="F67" s="26">
        <f t="shared" si="114"/>
        <v>0.16221873364730507</v>
      </c>
      <c r="G67" s="26">
        <f t="shared" si="114"/>
        <v>0.17650596371654806</v>
      </c>
      <c r="H67" s="26">
        <f t="shared" si="114"/>
        <v>0.17359050445103857</v>
      </c>
      <c r="I67" s="26">
        <f t="shared" si="114"/>
        <v>0.16371724204622376</v>
      </c>
      <c r="J67" s="26">
        <f t="shared" si="114"/>
        <v>4.7730524125373909E-2</v>
      </c>
      <c r="K67" s="26">
        <f t="shared" si="114"/>
        <v>4.1993464052287585E-2</v>
      </c>
      <c r="L67" s="26">
        <f t="shared" si="114"/>
        <v>0.13269849121939153</v>
      </c>
      <c r="M67" s="26">
        <f t="shared" si="114"/>
        <v>0.15197632635806382</v>
      </c>
      <c r="N67" s="26">
        <f t="shared" si="114"/>
        <v>0.22948968066536604</v>
      </c>
      <c r="O67" s="26">
        <f t="shared" si="114"/>
        <v>0.21015761821366025</v>
      </c>
      <c r="P67" s="26">
        <f t="shared" si="114"/>
        <v>0.16422340138501665</v>
      </c>
      <c r="Q67" s="26">
        <f t="shared" si="114"/>
        <v>0.14216010585511082</v>
      </c>
      <c r="R67" s="26">
        <f t="shared" si="114"/>
        <v>0.17836505778382053</v>
      </c>
      <c r="S67" s="26">
        <f t="shared" si="114"/>
        <v>0.15125144397381593</v>
      </c>
      <c r="T67" s="26">
        <f t="shared" si="114"/>
        <v>0.1470496165284082</v>
      </c>
      <c r="U67" s="26">
        <f t="shared" si="114"/>
        <v>0.11955281770476843</v>
      </c>
      <c r="V67" s="26">
        <f t="shared" si="114"/>
        <v>0.13730530772720398</v>
      </c>
      <c r="W67" s="26">
        <f t="shared" si="114"/>
        <v>0.15689953810623555</v>
      </c>
      <c r="X67" s="26">
        <f t="shared" si="114"/>
        <v>0.17324003392705684</v>
      </c>
      <c r="Y67" s="25">
        <f t="shared" si="0"/>
        <v>0.17810598910054937</v>
      </c>
      <c r="Z67" s="25">
        <f t="shared" si="1"/>
        <v>0.10414623279360612</v>
      </c>
      <c r="AA67" s="22" t="e">
        <f t="shared" si="114"/>
        <v>#DIV/0!</v>
      </c>
      <c r="AB67" s="22" t="e">
        <f t="shared" si="114"/>
        <v>#DIV/0!</v>
      </c>
      <c r="AC67" s="22" t="e">
        <f t="shared" si="114"/>
        <v>#DIV/0!</v>
      </c>
    </row>
    <row r="68" spans="1:29" x14ac:dyDescent="0.2">
      <c r="A68" s="9" t="s">
        <v>79</v>
      </c>
      <c r="B68" s="26">
        <f>(B17-B31)/B32</f>
        <v>0.79414066867941402</v>
      </c>
      <c r="C68" s="26">
        <f t="shared" ref="C68:AC68" si="115">(C17-C31)/C32</f>
        <v>0.80110917790343628</v>
      </c>
      <c r="D68" s="26">
        <f t="shared" si="115"/>
        <v>0.78975018762731852</v>
      </c>
      <c r="E68" s="26">
        <f t="shared" si="115"/>
        <v>0.78655462184873948</v>
      </c>
      <c r="F68" s="26">
        <f t="shared" si="115"/>
        <v>0.7845107273678702</v>
      </c>
      <c r="G68" s="26">
        <f t="shared" si="115"/>
        <v>0.79212188032474695</v>
      </c>
      <c r="H68" s="26">
        <f t="shared" si="115"/>
        <v>0.78209693372898126</v>
      </c>
      <c r="I68" s="26">
        <f t="shared" si="115"/>
        <v>0.77913161202978432</v>
      </c>
      <c r="J68" s="26">
        <f t="shared" si="115"/>
        <v>0.69696969696969702</v>
      </c>
      <c r="K68" s="26">
        <f t="shared" si="115"/>
        <v>0.69215686274509802</v>
      </c>
      <c r="L68" s="26">
        <f t="shared" si="115"/>
        <v>0.76824140489735349</v>
      </c>
      <c r="M68" s="26">
        <f t="shared" si="115"/>
        <v>0.79951384485309662</v>
      </c>
      <c r="N68" s="26">
        <f t="shared" si="115"/>
        <v>0.81209569771023715</v>
      </c>
      <c r="O68" s="26">
        <f t="shared" si="115"/>
        <v>0.83242695179279191</v>
      </c>
      <c r="P68" s="26">
        <f t="shared" si="115"/>
        <v>0.82066732619839911</v>
      </c>
      <c r="Q68" s="26">
        <f t="shared" si="115"/>
        <v>0.82566986437313927</v>
      </c>
      <c r="R68" s="26">
        <f t="shared" si="115"/>
        <v>0.81313732154996599</v>
      </c>
      <c r="S68" s="26">
        <f t="shared" si="115"/>
        <v>0.81825182903350024</v>
      </c>
      <c r="T68" s="26">
        <f t="shared" si="115"/>
        <v>0.7982469870089216</v>
      </c>
      <c r="U68" s="26">
        <f t="shared" si="115"/>
        <v>0.79025020914137956</v>
      </c>
      <c r="V68" s="26">
        <f t="shared" si="115"/>
        <v>0.77445939815514897</v>
      </c>
      <c r="W68" s="26">
        <f t="shared" si="115"/>
        <v>0.77590935334872979</v>
      </c>
      <c r="X68" s="26">
        <f t="shared" si="115"/>
        <v>0.75671472999717271</v>
      </c>
      <c r="Y68" s="25">
        <f t="shared" si="0"/>
        <v>-5.2029331381973271E-2</v>
      </c>
      <c r="Z68" s="25">
        <f t="shared" si="1"/>
        <v>-2.4738229109773503E-2</v>
      </c>
      <c r="AA68" s="22" t="e">
        <f t="shared" si="115"/>
        <v>#DIV/0!</v>
      </c>
      <c r="AB68" s="22" t="e">
        <f t="shared" si="115"/>
        <v>#DIV/0!</v>
      </c>
      <c r="AC68" s="22" t="e">
        <f t="shared" si="115"/>
        <v>#DIV/0!</v>
      </c>
    </row>
    <row r="69" spans="1:29" x14ac:dyDescent="0.2">
      <c r="A69" s="9" t="s">
        <v>80</v>
      </c>
      <c r="B69" s="26">
        <f>(B22-B26)/B32</f>
        <v>0.20585933132058593</v>
      </c>
      <c r="C69" s="26">
        <f t="shared" ref="C69:AC69" si="116">(C22-C26)/C32</f>
        <v>0.19889082209656372</v>
      </c>
      <c r="D69" s="26">
        <f t="shared" si="116"/>
        <v>0.21024981237268145</v>
      </c>
      <c r="E69" s="26">
        <f t="shared" si="116"/>
        <v>0.2134453781512605</v>
      </c>
      <c r="F69" s="26">
        <f t="shared" si="116"/>
        <v>0.21548927263212977</v>
      </c>
      <c r="G69" s="26">
        <f t="shared" si="116"/>
        <v>0.20787811967525308</v>
      </c>
      <c r="H69" s="26">
        <f t="shared" si="116"/>
        <v>0.2179030662710188</v>
      </c>
      <c r="I69" s="26">
        <f t="shared" si="116"/>
        <v>0.22086838797021566</v>
      </c>
      <c r="J69" s="26">
        <f t="shared" si="116"/>
        <v>0.30303030303030304</v>
      </c>
      <c r="K69" s="26">
        <f t="shared" si="116"/>
        <v>0.30784313725490198</v>
      </c>
      <c r="L69" s="26">
        <f t="shared" si="116"/>
        <v>0.23175859510264654</v>
      </c>
      <c r="M69" s="26">
        <f t="shared" si="116"/>
        <v>0.20048615514690341</v>
      </c>
      <c r="N69" s="26">
        <f t="shared" si="116"/>
        <v>0.18790430228976282</v>
      </c>
      <c r="O69" s="26">
        <f t="shared" si="116"/>
        <v>0.16757304820720803</v>
      </c>
      <c r="P69" s="26">
        <f t="shared" si="116"/>
        <v>0.17933267380160087</v>
      </c>
      <c r="Q69" s="26">
        <f t="shared" si="116"/>
        <v>0.17433013562686073</v>
      </c>
      <c r="R69" s="26">
        <f t="shared" si="116"/>
        <v>0.18686267845003399</v>
      </c>
      <c r="S69" s="26">
        <f t="shared" si="116"/>
        <v>0.18174817096649981</v>
      </c>
      <c r="T69" s="26">
        <f t="shared" si="116"/>
        <v>0.20175301299107842</v>
      </c>
      <c r="U69" s="26">
        <f t="shared" si="116"/>
        <v>0.20974979085862042</v>
      </c>
      <c r="V69" s="26">
        <f t="shared" si="116"/>
        <v>0.22554060184485106</v>
      </c>
      <c r="W69" s="26">
        <f t="shared" si="116"/>
        <v>0.22409064665127021</v>
      </c>
      <c r="X69" s="26">
        <f t="shared" si="116"/>
        <v>0.24328527000282726</v>
      </c>
      <c r="Y69" s="25">
        <f t="shared" si="0"/>
        <v>0.20585693564628652</v>
      </c>
      <c r="Z69" s="25">
        <f t="shared" si="1"/>
        <v>8.5655620341119024E-2</v>
      </c>
      <c r="AA69" s="22" t="e">
        <f t="shared" si="116"/>
        <v>#DIV/0!</v>
      </c>
      <c r="AB69" s="22" t="e">
        <f t="shared" si="116"/>
        <v>#DIV/0!</v>
      </c>
      <c r="AC69" s="22" t="e">
        <f t="shared" si="116"/>
        <v>#DIV/0!</v>
      </c>
    </row>
    <row r="70" spans="1:29" x14ac:dyDescent="0.2">
      <c r="A70" s="27" t="s">
        <v>84</v>
      </c>
      <c r="B70" s="22">
        <f>B44/B62</f>
        <v>1.0190653785946377E-2</v>
      </c>
      <c r="C70" s="22">
        <f t="shared" ref="C70:AC70" si="117">C44/C62</f>
        <v>9.8982124669907117E-3</v>
      </c>
      <c r="D70" s="22">
        <f t="shared" si="117"/>
        <v>9.8668511978619831E-3</v>
      </c>
      <c r="E70" s="22">
        <f t="shared" si="117"/>
        <v>1.2085718408773871E-2</v>
      </c>
      <c r="F70" s="22">
        <f t="shared" si="117"/>
        <v>8.8584083440491502E-3</v>
      </c>
      <c r="G70" s="22">
        <f t="shared" si="117"/>
        <v>1.0091054432098836E-2</v>
      </c>
      <c r="H70" s="22">
        <f t="shared" si="117"/>
        <v>1.0253623823462395E-2</v>
      </c>
      <c r="I70" s="22">
        <f t="shared" si="117"/>
        <v>9.6604850213980031E-3</v>
      </c>
      <c r="J70" s="22">
        <f t="shared" si="117"/>
        <v>2.2235147285130925E-3</v>
      </c>
      <c r="K70" s="22">
        <f t="shared" si="117"/>
        <v>1.5339071061081732E-3</v>
      </c>
      <c r="L70" s="22">
        <f t="shared" si="117"/>
        <v>6.487695749440716E-3</v>
      </c>
      <c r="M70" s="22">
        <f t="shared" si="117"/>
        <v>8.5400545185677895E-3</v>
      </c>
      <c r="N70" s="22">
        <f t="shared" si="117"/>
        <v>1.3254812653453367E-2</v>
      </c>
      <c r="O70" s="22">
        <f t="shared" si="117"/>
        <v>1.4123418858480865E-2</v>
      </c>
      <c r="P70" s="22">
        <f t="shared" si="117"/>
        <v>1.1424281290080395E-2</v>
      </c>
      <c r="Q70" s="22">
        <f t="shared" si="117"/>
        <v>1.0332329552626359E-2</v>
      </c>
      <c r="R70" s="22">
        <f t="shared" si="117"/>
        <v>1.2099447195337764E-2</v>
      </c>
      <c r="S70" s="22">
        <f t="shared" si="117"/>
        <v>1.0787474665363089E-2</v>
      </c>
      <c r="T70" s="22">
        <f t="shared" si="117"/>
        <v>9.8389841602303969E-3</v>
      </c>
      <c r="U70" s="22">
        <f t="shared" si="117"/>
        <v>7.7193912876946423E-3</v>
      </c>
      <c r="V70" s="22">
        <f t="shared" si="117"/>
        <v>8.6538003335715988E-3</v>
      </c>
      <c r="W70" s="22">
        <f t="shared" si="117"/>
        <v>9.9632907273568862E-3</v>
      </c>
      <c r="X70" s="22">
        <f t="shared" si="117"/>
        <v>1.097808414291665E-2</v>
      </c>
      <c r="Y70" s="25">
        <f t="shared" ref="Y70" si="118">(X70-T70)/T70</f>
        <v>0.115774145393032</v>
      </c>
      <c r="Z70" s="25">
        <f t="shared" ref="Z70" si="119">(X70-W70)/W70</f>
        <v>0.10185323738204047</v>
      </c>
      <c r="AA70" s="22" t="e">
        <f t="shared" si="117"/>
        <v>#DIV/0!</v>
      </c>
      <c r="AB70" s="22" t="e">
        <f t="shared" si="117"/>
        <v>#DIV/0!</v>
      </c>
      <c r="AC70" s="22" t="e">
        <f t="shared" si="117"/>
        <v>#DIV/0!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AFF26AF-7327-4F9C-8CCA-11262C6CC0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AF3359-AA7B-4C3F-BB32-4122371AAA35}">
  <ds:schemaRefs>
    <ds:schemaRef ds:uri="http://purl.org/dc/dcmitype/"/>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36567613-e428-4167-ab55-a4f66cede826"/>
    <ds:schemaRef ds:uri="http://schemas.microsoft.com/office/2006/metadata/properties"/>
    <ds:schemaRef ds:uri="http://www.w3.org/XML/1998/namespace"/>
    <ds:schemaRef ds:uri="http://purl.org/dc/elements/1.1/"/>
  </ds:schemaRefs>
</ds:datastoreItem>
</file>

<file path=customXml/itemProps3.xml><?xml version="1.0" encoding="utf-8"?>
<ds:datastoreItem xmlns:ds="http://schemas.openxmlformats.org/officeDocument/2006/customXml" ds:itemID="{C9B4B395-A628-4AF2-9AB1-05807B2F72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cp:lastModifiedBy>
  <dcterms:created xsi:type="dcterms:W3CDTF">2023-02-21T16:55:27Z</dcterms:created>
  <dcterms:modified xsi:type="dcterms:W3CDTF">2023-10-30T23:25:13Z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