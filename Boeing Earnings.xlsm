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1416" documentId="8_{B1EF5CAA-077F-4776-9153-05C07759B338}" xr6:coauthVersionLast="47" xr6:coauthVersionMax="47" xr10:uidLastSave="{36F3A3DD-CBAB-4761-9467-900FEAC41A93}"/>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6" i="1" l="1"/>
  <c r="AB7" i="1"/>
  <c r="AB8" i="1"/>
  <c r="AB9" i="1"/>
  <c r="AB12" i="1"/>
  <c r="AB13" i="1"/>
  <c r="AB14" i="1"/>
  <c r="AB15" i="1"/>
  <c r="AB16" i="1"/>
  <c r="AB17" i="1"/>
  <c r="AB19" i="1"/>
  <c r="AB20" i="1"/>
  <c r="AB21" i="1"/>
  <c r="AB22" i="1"/>
  <c r="AB24" i="1"/>
  <c r="AB25" i="1"/>
  <c r="AB26" i="1"/>
  <c r="AB27" i="1"/>
  <c r="AB28" i="1"/>
  <c r="AB29" i="1"/>
  <c r="AB30" i="1"/>
  <c r="AB31" i="1"/>
  <c r="AB32" i="1"/>
  <c r="AB33" i="1"/>
  <c r="AB37" i="1"/>
  <c r="AB38" i="1"/>
  <c r="AB39" i="1"/>
  <c r="AB40" i="1"/>
  <c r="AB41" i="1"/>
  <c r="AB42" i="1"/>
  <c r="AB43" i="1"/>
  <c r="AB44" i="1"/>
  <c r="AB45" i="1"/>
  <c r="AB46" i="1"/>
  <c r="AB47" i="1"/>
  <c r="AB48" i="1"/>
  <c r="AB49" i="1"/>
  <c r="AB50" i="1"/>
  <c r="AB51" i="1"/>
  <c r="AB52" i="1"/>
  <c r="AB56" i="1"/>
  <c r="AB57" i="1"/>
  <c r="AB58" i="1"/>
  <c r="AB59" i="1"/>
  <c r="AB60" i="1"/>
  <c r="AB61" i="1"/>
  <c r="AB62" i="1"/>
  <c r="AB63" i="1"/>
  <c r="AB64" i="1"/>
  <c r="AB65" i="1"/>
  <c r="AB66" i="1"/>
  <c r="AB68" i="1"/>
  <c r="AB69" i="1"/>
  <c r="AB70" i="1"/>
  <c r="AB71" i="1"/>
  <c r="AB72" i="1"/>
  <c r="AB5" i="1"/>
  <c r="AA32" i="1"/>
  <c r="AA30" i="1"/>
  <c r="AA29" i="1"/>
  <c r="AA27" i="1"/>
  <c r="AA26" i="1"/>
  <c r="AA25" i="1"/>
  <c r="AA24" i="1"/>
  <c r="AA20" i="1"/>
  <c r="AA19" i="1"/>
  <c r="AA16" i="1"/>
  <c r="AA14" i="1"/>
  <c r="AA13" i="1"/>
  <c r="AA12" i="1"/>
  <c r="Z6" i="1"/>
  <c r="Z8" i="1"/>
  <c r="Z9" i="1"/>
  <c r="Z12" i="1"/>
  <c r="Z13" i="1"/>
  <c r="Z14" i="1"/>
  <c r="Z15" i="1"/>
  <c r="Z16" i="1"/>
  <c r="Z19" i="1"/>
  <c r="Z20" i="1"/>
  <c r="Z21" i="1"/>
  <c r="Z24" i="1"/>
  <c r="Z25" i="1"/>
  <c r="Z26" i="1"/>
  <c r="Z27" i="1"/>
  <c r="Z29" i="1"/>
  <c r="Z30" i="1"/>
  <c r="Z32" i="1"/>
  <c r="Z37" i="1"/>
  <c r="Z38" i="1"/>
  <c r="Z39" i="1"/>
  <c r="Z40" i="1"/>
  <c r="Z41" i="1"/>
  <c r="Z42" i="1"/>
  <c r="Z43" i="1"/>
  <c r="Z45" i="1"/>
  <c r="Z46" i="1"/>
  <c r="Z47" i="1"/>
  <c r="Z48" i="1"/>
  <c r="Z49" i="1"/>
  <c r="Z50" i="1"/>
  <c r="Z51" i="1"/>
  <c r="Z56" i="1"/>
  <c r="Z57" i="1"/>
  <c r="Z58" i="1"/>
  <c r="Z59" i="1"/>
  <c r="Z61" i="1"/>
  <c r="Z62" i="1"/>
  <c r="Z63" i="1"/>
  <c r="Z64" i="1"/>
  <c r="Z65" i="1"/>
  <c r="Z5" i="1"/>
  <c r="Y12" i="1"/>
  <c r="Y13" i="1"/>
  <c r="Y14" i="1"/>
  <c r="Y15" i="1"/>
  <c r="Y16" i="1"/>
  <c r="Y19" i="1"/>
  <c r="Y20" i="1"/>
  <c r="Y21" i="1"/>
  <c r="Y24" i="1"/>
  <c r="Y25" i="1"/>
  <c r="Y26" i="1"/>
  <c r="Y27" i="1"/>
  <c r="Y29" i="1"/>
  <c r="Y30" i="1"/>
  <c r="Y32" i="1"/>
  <c r="Y37" i="1"/>
  <c r="Y38" i="1"/>
  <c r="Y39" i="1"/>
  <c r="Y40" i="1"/>
  <c r="Y41" i="1"/>
  <c r="Y42" i="1"/>
  <c r="Y43" i="1"/>
  <c r="Y45" i="1"/>
  <c r="Y46" i="1"/>
  <c r="Y47" i="1"/>
  <c r="Y48" i="1"/>
  <c r="Y49" i="1"/>
  <c r="Y50" i="1"/>
  <c r="Y51" i="1"/>
  <c r="Y56" i="1"/>
  <c r="Y57" i="1"/>
  <c r="Y58" i="1"/>
  <c r="Y59" i="1"/>
  <c r="Y60" i="1"/>
  <c r="Y61" i="1"/>
  <c r="Y62" i="1"/>
  <c r="Y63" i="1"/>
  <c r="Y64" i="1"/>
  <c r="Y65" i="1"/>
  <c r="Y6" i="1"/>
  <c r="Y8" i="1"/>
  <c r="Y5" i="1"/>
  <c r="U32" i="1"/>
  <c r="U30" i="1"/>
  <c r="U29" i="1"/>
  <c r="U27" i="1"/>
  <c r="U26" i="1"/>
  <c r="U25" i="1"/>
  <c r="U24" i="1"/>
  <c r="U21" i="1"/>
  <c r="U20" i="1"/>
  <c r="U22" i="1" s="1"/>
  <c r="U19" i="1"/>
  <c r="U16" i="1"/>
  <c r="U15" i="1"/>
  <c r="U14" i="1"/>
  <c r="U13" i="1"/>
  <c r="U12" i="1"/>
  <c r="Q32" i="1"/>
  <c r="Q30" i="1"/>
  <c r="Q29" i="1"/>
  <c r="Q27" i="1"/>
  <c r="Q26" i="1"/>
  <c r="Q25" i="1"/>
  <c r="Q24" i="1"/>
  <c r="Q21" i="1"/>
  <c r="Q20" i="1"/>
  <c r="Q19" i="1"/>
  <c r="Q16" i="1"/>
  <c r="Q15" i="1"/>
  <c r="Q14" i="1"/>
  <c r="Q13" i="1"/>
  <c r="Q12" i="1"/>
  <c r="P8" i="1"/>
  <c r="Q8" i="1"/>
  <c r="R8" i="1"/>
  <c r="S8" i="1"/>
  <c r="T8" i="1"/>
  <c r="U8" i="1"/>
  <c r="V8" i="1"/>
  <c r="W8" i="1"/>
  <c r="X8" i="1"/>
  <c r="AA8" i="1"/>
  <c r="M32" i="1"/>
  <c r="M30" i="1"/>
  <c r="M29" i="1"/>
  <c r="M27" i="1"/>
  <c r="M26" i="1"/>
  <c r="M25" i="1"/>
  <c r="M24" i="1"/>
  <c r="M21" i="1"/>
  <c r="M20" i="1"/>
  <c r="M19" i="1"/>
  <c r="M16" i="1"/>
  <c r="M15" i="1"/>
  <c r="M14" i="1"/>
  <c r="M13" i="1"/>
  <c r="M12" i="1"/>
  <c r="J8" i="1"/>
  <c r="K8" i="1"/>
  <c r="L8" i="1"/>
  <c r="M8" i="1"/>
  <c r="N8" i="1"/>
  <c r="O8" i="1"/>
  <c r="I8" i="1"/>
  <c r="I32" i="1"/>
  <c r="I30" i="1"/>
  <c r="I29" i="1"/>
  <c r="I27" i="1"/>
  <c r="I26" i="1"/>
  <c r="I25" i="1"/>
  <c r="I24" i="1"/>
  <c r="I21" i="1"/>
  <c r="I20" i="1"/>
  <c r="I19" i="1"/>
  <c r="I16" i="1"/>
  <c r="I15" i="1"/>
  <c r="I14" i="1"/>
  <c r="I13" i="1"/>
  <c r="I12" i="1"/>
  <c r="E32" i="1"/>
  <c r="E30" i="1"/>
  <c r="E29" i="1"/>
  <c r="E27" i="1"/>
  <c r="E26" i="1"/>
  <c r="E25" i="1"/>
  <c r="E24" i="1"/>
  <c r="E21" i="1"/>
  <c r="E20" i="1"/>
  <c r="E19" i="1"/>
  <c r="E16" i="1"/>
  <c r="E15" i="1"/>
  <c r="E14" i="1"/>
  <c r="E13" i="1"/>
  <c r="E12" i="1"/>
  <c r="AA60" i="1"/>
  <c r="AA66" i="1" s="1"/>
  <c r="AA44" i="1"/>
  <c r="AA52" i="1" s="1"/>
  <c r="AA22" i="1"/>
  <c r="AA9" i="1"/>
  <c r="AA7" i="1"/>
  <c r="X60" i="1"/>
  <c r="X66" i="1" s="1"/>
  <c r="Y66" i="1" s="1"/>
  <c r="W60" i="1"/>
  <c r="W66" i="1" s="1"/>
  <c r="V60" i="1"/>
  <c r="V66" i="1" s="1"/>
  <c r="U60" i="1"/>
  <c r="U66" i="1" s="1"/>
  <c r="T60" i="1"/>
  <c r="T66" i="1" s="1"/>
  <c r="S60" i="1"/>
  <c r="S66" i="1" s="1"/>
  <c r="R60" i="1"/>
  <c r="R66" i="1" s="1"/>
  <c r="Q60" i="1"/>
  <c r="Q66" i="1" s="1"/>
  <c r="P60" i="1"/>
  <c r="P66" i="1" s="1"/>
  <c r="O60" i="1"/>
  <c r="O66" i="1" s="1"/>
  <c r="N60" i="1"/>
  <c r="N66" i="1" s="1"/>
  <c r="M60" i="1"/>
  <c r="M66" i="1" s="1"/>
  <c r="L60" i="1"/>
  <c r="L66" i="1" s="1"/>
  <c r="K60" i="1"/>
  <c r="K66" i="1" s="1"/>
  <c r="J60" i="1"/>
  <c r="J66" i="1" s="1"/>
  <c r="I60" i="1"/>
  <c r="I66" i="1" s="1"/>
  <c r="H60" i="1"/>
  <c r="H66" i="1" s="1"/>
  <c r="G60" i="1"/>
  <c r="G66" i="1" s="1"/>
  <c r="F60" i="1"/>
  <c r="F66" i="1" s="1"/>
  <c r="E60" i="1"/>
  <c r="E66" i="1" s="1"/>
  <c r="D60" i="1"/>
  <c r="D66" i="1" s="1"/>
  <c r="X44" i="1"/>
  <c r="X52" i="1" s="1"/>
  <c r="Y52" i="1" s="1"/>
  <c r="W44" i="1"/>
  <c r="W52" i="1" s="1"/>
  <c r="Z52" i="1" s="1"/>
  <c r="V44" i="1"/>
  <c r="V52" i="1" s="1"/>
  <c r="U44" i="1"/>
  <c r="U52" i="1" s="1"/>
  <c r="T44" i="1"/>
  <c r="T52" i="1" s="1"/>
  <c r="S44" i="1"/>
  <c r="S52" i="1" s="1"/>
  <c r="R44" i="1"/>
  <c r="R52" i="1" s="1"/>
  <c r="Q44" i="1"/>
  <c r="Q52" i="1" s="1"/>
  <c r="P44" i="1"/>
  <c r="P52" i="1" s="1"/>
  <c r="O44" i="1"/>
  <c r="O52" i="1" s="1"/>
  <c r="N44" i="1"/>
  <c r="N52" i="1" s="1"/>
  <c r="M44" i="1"/>
  <c r="M52" i="1" s="1"/>
  <c r="L44" i="1"/>
  <c r="L52" i="1" s="1"/>
  <c r="K44" i="1"/>
  <c r="K52" i="1" s="1"/>
  <c r="J44" i="1"/>
  <c r="J52" i="1" s="1"/>
  <c r="I44" i="1"/>
  <c r="I52" i="1" s="1"/>
  <c r="H44" i="1"/>
  <c r="H52" i="1" s="1"/>
  <c r="G44" i="1"/>
  <c r="G52" i="1" s="1"/>
  <c r="F44" i="1"/>
  <c r="F52" i="1" s="1"/>
  <c r="E44" i="1"/>
  <c r="E52" i="1" s="1"/>
  <c r="D44" i="1"/>
  <c r="D52" i="1" s="1"/>
  <c r="X22" i="1"/>
  <c r="W22" i="1"/>
  <c r="V22" i="1"/>
  <c r="T22" i="1"/>
  <c r="S22" i="1"/>
  <c r="R22" i="1"/>
  <c r="P22" i="1"/>
  <c r="O22" i="1"/>
  <c r="N22" i="1"/>
  <c r="L22" i="1"/>
  <c r="K22" i="1"/>
  <c r="J22" i="1"/>
  <c r="H22" i="1"/>
  <c r="G22" i="1"/>
  <c r="F22" i="1"/>
  <c r="D22" i="1"/>
  <c r="X17" i="1"/>
  <c r="W17" i="1"/>
  <c r="V17" i="1"/>
  <c r="T17" i="1"/>
  <c r="S17" i="1"/>
  <c r="R17" i="1"/>
  <c r="P17" i="1"/>
  <c r="O17" i="1"/>
  <c r="N17" i="1"/>
  <c r="N28" i="1" s="1"/>
  <c r="L17" i="1"/>
  <c r="K17" i="1"/>
  <c r="J17" i="1"/>
  <c r="H17" i="1"/>
  <c r="H71" i="1" s="1"/>
  <c r="G17" i="1"/>
  <c r="G71" i="1" s="1"/>
  <c r="F17" i="1"/>
  <c r="F71" i="1" s="1"/>
  <c r="D17" i="1"/>
  <c r="X9" i="1"/>
  <c r="Y9" i="1" s="1"/>
  <c r="W9" i="1"/>
  <c r="V9" i="1"/>
  <c r="U9" i="1"/>
  <c r="T9" i="1"/>
  <c r="S9" i="1"/>
  <c r="R9" i="1"/>
  <c r="Q9" i="1"/>
  <c r="P9" i="1"/>
  <c r="O9" i="1"/>
  <c r="N9" i="1"/>
  <c r="M9" i="1"/>
  <c r="L9" i="1"/>
  <c r="K9" i="1"/>
  <c r="J9" i="1"/>
  <c r="I9" i="1"/>
  <c r="H9" i="1"/>
  <c r="G9" i="1"/>
  <c r="F9" i="1"/>
  <c r="E9" i="1"/>
  <c r="D9" i="1"/>
  <c r="H8" i="1"/>
  <c r="G8" i="1"/>
  <c r="F8" i="1"/>
  <c r="E8" i="1"/>
  <c r="D8" i="1"/>
  <c r="X7" i="1"/>
  <c r="Y7" i="1" s="1"/>
  <c r="W7" i="1"/>
  <c r="V7" i="1"/>
  <c r="U7" i="1"/>
  <c r="T7" i="1"/>
  <c r="S7" i="1"/>
  <c r="R7" i="1"/>
  <c r="Q7" i="1"/>
  <c r="P7" i="1"/>
  <c r="O7" i="1"/>
  <c r="N7" i="1"/>
  <c r="M7" i="1"/>
  <c r="L7" i="1"/>
  <c r="K7" i="1"/>
  <c r="J7" i="1"/>
  <c r="I7" i="1"/>
  <c r="H7" i="1"/>
  <c r="G7" i="1"/>
  <c r="F7" i="1"/>
  <c r="E7" i="1"/>
  <c r="D7" i="1"/>
  <c r="C9" i="1"/>
  <c r="C8" i="1"/>
  <c r="T71" i="1" l="1"/>
  <c r="Z44" i="1"/>
  <c r="V71" i="1"/>
  <c r="Q17" i="1"/>
  <c r="Y17" i="1"/>
  <c r="W71" i="1"/>
  <c r="Z60" i="1"/>
  <c r="D71" i="1"/>
  <c r="Y22" i="1"/>
  <c r="J71" i="1"/>
  <c r="K71" i="1"/>
  <c r="Z7" i="1"/>
  <c r="L71" i="1"/>
  <c r="N71" i="1"/>
  <c r="O71" i="1"/>
  <c r="P71" i="1"/>
  <c r="Z66" i="1"/>
  <c r="R71" i="1"/>
  <c r="M22" i="1"/>
  <c r="S71" i="1"/>
  <c r="X71" i="1"/>
  <c r="X28" i="1"/>
  <c r="Z28" i="1" s="1"/>
  <c r="Z22" i="1"/>
  <c r="AA17" i="1"/>
  <c r="AA71" i="1" s="1"/>
  <c r="Z17" i="1"/>
  <c r="I17" i="1"/>
  <c r="Y44" i="1"/>
  <c r="E22" i="1"/>
  <c r="E71" i="1" s="1"/>
  <c r="U17" i="1"/>
  <c r="U28" i="1" s="1"/>
  <c r="U31" i="1" s="1"/>
  <c r="U33" i="1" s="1"/>
  <c r="Q22" i="1"/>
  <c r="M17" i="1"/>
  <c r="M28" i="1" s="1"/>
  <c r="M31" i="1" s="1"/>
  <c r="M33" i="1" s="1"/>
  <c r="AA69" i="1"/>
  <c r="J28" i="1"/>
  <c r="J31" i="1" s="1"/>
  <c r="J33" i="1" s="1"/>
  <c r="V68" i="1"/>
  <c r="I22" i="1"/>
  <c r="F68" i="1"/>
  <c r="E17" i="1"/>
  <c r="K28" i="1"/>
  <c r="K31" i="1" s="1"/>
  <c r="K33" i="1" s="1"/>
  <c r="L28" i="1"/>
  <c r="L31" i="1" s="1"/>
  <c r="L33" i="1" s="1"/>
  <c r="K69" i="1"/>
  <c r="AA68" i="1"/>
  <c r="S28" i="1"/>
  <c r="S31" i="1" s="1"/>
  <c r="S33" i="1" s="1"/>
  <c r="I68" i="1"/>
  <c r="R69" i="1"/>
  <c r="S69" i="1"/>
  <c r="T28" i="1"/>
  <c r="T31" i="1" s="1"/>
  <c r="T33" i="1" s="1"/>
  <c r="J68" i="1"/>
  <c r="T69" i="1"/>
  <c r="D69" i="1"/>
  <c r="D28" i="1"/>
  <c r="D31" i="1" s="1"/>
  <c r="D33" i="1" s="1"/>
  <c r="T68" i="1"/>
  <c r="Q69" i="1"/>
  <c r="R28" i="1"/>
  <c r="R31" i="1" s="1"/>
  <c r="R33" i="1" s="1"/>
  <c r="F28" i="1"/>
  <c r="F31" i="1" s="1"/>
  <c r="F33" i="1" s="1"/>
  <c r="V28" i="1"/>
  <c r="V31" i="1" s="1"/>
  <c r="V33" i="1" s="1"/>
  <c r="M68" i="1"/>
  <c r="N68" i="1"/>
  <c r="N69" i="1"/>
  <c r="D68" i="1"/>
  <c r="U69" i="1"/>
  <c r="X68" i="1"/>
  <c r="Z68" i="1" s="1"/>
  <c r="V69" i="1"/>
  <c r="G28" i="1"/>
  <c r="G31" i="1" s="1"/>
  <c r="G33" i="1" s="1"/>
  <c r="G69" i="1"/>
  <c r="W69" i="1"/>
  <c r="H28" i="1"/>
  <c r="H31" i="1" s="1"/>
  <c r="H33" i="1" s="1"/>
  <c r="E69" i="1"/>
  <c r="H69" i="1"/>
  <c r="X69" i="1"/>
  <c r="K68" i="1"/>
  <c r="H68" i="1"/>
  <c r="F69" i="1"/>
  <c r="W28" i="1"/>
  <c r="W31" i="1" s="1"/>
  <c r="W33" i="1" s="1"/>
  <c r="I69" i="1"/>
  <c r="L68" i="1"/>
  <c r="O28" i="1"/>
  <c r="O31" i="1" s="1"/>
  <c r="O33" i="1" s="1"/>
  <c r="L69" i="1"/>
  <c r="N31" i="1"/>
  <c r="N33" i="1" s="1"/>
  <c r="O69" i="1"/>
  <c r="J69" i="1"/>
  <c r="P28" i="1"/>
  <c r="P31" i="1" s="1"/>
  <c r="P33" i="1" s="1"/>
  <c r="M69" i="1"/>
  <c r="P69" i="1"/>
  <c r="R68" i="1"/>
  <c r="O68" i="1"/>
  <c r="P68" i="1"/>
  <c r="Q68" i="1"/>
  <c r="S68" i="1"/>
  <c r="E68" i="1"/>
  <c r="U68" i="1"/>
  <c r="G68" i="1"/>
  <c r="W68" i="1"/>
  <c r="B9" i="1"/>
  <c r="B8" i="1"/>
  <c r="C7" i="1"/>
  <c r="C69" i="1" s="1"/>
  <c r="B7" i="1"/>
  <c r="C60" i="1"/>
  <c r="C66" i="1" s="1"/>
  <c r="C44" i="1"/>
  <c r="C52" i="1" s="1"/>
  <c r="C22" i="1"/>
  <c r="C17" i="1"/>
  <c r="B60" i="1"/>
  <c r="B66" i="1" s="1"/>
  <c r="B44" i="1"/>
  <c r="B52" i="1" s="1"/>
  <c r="C71" i="1" l="1"/>
  <c r="M71" i="1"/>
  <c r="AA28" i="1"/>
  <c r="AA31" i="1" s="1"/>
  <c r="AA33" i="1" s="1"/>
  <c r="Y69" i="1"/>
  <c r="Z69" i="1"/>
  <c r="U71" i="1"/>
  <c r="G70" i="1"/>
  <c r="G72" i="1"/>
  <c r="U70" i="1"/>
  <c r="U72" i="1"/>
  <c r="D70" i="1"/>
  <c r="D72" i="1"/>
  <c r="O70" i="1"/>
  <c r="O72" i="1"/>
  <c r="S70" i="1"/>
  <c r="S72" i="1"/>
  <c r="W70" i="1"/>
  <c r="W72" i="1"/>
  <c r="I28" i="1"/>
  <c r="I31" i="1" s="1"/>
  <c r="I33" i="1" s="1"/>
  <c r="I71" i="1"/>
  <c r="M70" i="1"/>
  <c r="M72" i="1"/>
  <c r="P70" i="1"/>
  <c r="P72" i="1"/>
  <c r="T70" i="1"/>
  <c r="T72" i="1"/>
  <c r="V70" i="1"/>
  <c r="V72" i="1"/>
  <c r="L70" i="1"/>
  <c r="L72" i="1"/>
  <c r="F70" i="1"/>
  <c r="F72" i="1"/>
  <c r="K70" i="1"/>
  <c r="K72" i="1"/>
  <c r="H70" i="1"/>
  <c r="H72" i="1"/>
  <c r="N70" i="1"/>
  <c r="N72" i="1"/>
  <c r="J70" i="1"/>
  <c r="J72" i="1"/>
  <c r="Q28" i="1"/>
  <c r="Q31" i="1" s="1"/>
  <c r="Q33" i="1" s="1"/>
  <c r="Q71" i="1"/>
  <c r="R70" i="1"/>
  <c r="R72" i="1"/>
  <c r="E28" i="1"/>
  <c r="E31" i="1" s="1"/>
  <c r="E33" i="1" s="1"/>
  <c r="Y68" i="1"/>
  <c r="X31" i="1"/>
  <c r="Z31" i="1" s="1"/>
  <c r="Y28" i="1"/>
  <c r="B68" i="1"/>
  <c r="B69" i="1"/>
  <c r="C28" i="1"/>
  <c r="C31" i="1" s="1"/>
  <c r="C33" i="1" s="1"/>
  <c r="C68" i="1"/>
  <c r="B22" i="1"/>
  <c r="B17" i="1"/>
  <c r="B28" i="1" s="1"/>
  <c r="B31" i="1" s="1"/>
  <c r="B33" i="1" s="1"/>
  <c r="A4" i="1" a="1"/>
  <c r="A4" i="1" s="1"/>
  <c r="AA70" i="1" l="1"/>
  <c r="AA72" i="1"/>
  <c r="B71" i="1"/>
  <c r="I70" i="1"/>
  <c r="I72" i="1"/>
  <c r="B70" i="1"/>
  <c r="B72" i="1"/>
  <c r="C70" i="1"/>
  <c r="C72" i="1"/>
  <c r="E70" i="1"/>
  <c r="E72" i="1"/>
  <c r="Q70" i="1"/>
  <c r="Q72" i="1"/>
  <c r="X33" i="1"/>
  <c r="Y31" i="1"/>
  <c r="Z33" i="1" l="1"/>
  <c r="Z70" i="1" s="1"/>
  <c r="X72" i="1"/>
  <c r="X70" i="1"/>
  <c r="Y33" i="1"/>
  <c r="Y70"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<sst xmlns="http://schemas.openxmlformats.org/spreadsheetml/2006/main" count="98" uniqueCount="91">
  <si>
    <t>Quarter &amp; Year</t>
  </si>
  <si>
    <t>Reported Date</t>
  </si>
  <si>
    <t>Q118</t>
  </si>
  <si>
    <t>Q218</t>
  </si>
  <si>
    <t>Q318</t>
  </si>
  <si>
    <t>Q418</t>
  </si>
  <si>
    <t>Q119</t>
  </si>
  <si>
    <t>Q219</t>
  </si>
  <si>
    <t>Q319</t>
  </si>
  <si>
    <t>Q419</t>
  </si>
  <si>
    <t>Q120</t>
  </si>
  <si>
    <t>Q220</t>
  </si>
  <si>
    <t>Q320</t>
  </si>
  <si>
    <t>Q420</t>
  </si>
  <si>
    <t>Q121</t>
  </si>
  <si>
    <t>Q221</t>
  </si>
  <si>
    <t>Q321</t>
  </si>
  <si>
    <t>Q421</t>
  </si>
  <si>
    <t>Q122</t>
  </si>
  <si>
    <t>Q222</t>
  </si>
  <si>
    <t>Q322</t>
  </si>
  <si>
    <t>Q422</t>
  </si>
  <si>
    <t>Q123</t>
  </si>
  <si>
    <t>Q223</t>
  </si>
  <si>
    <t>Q323</t>
  </si>
  <si>
    <t>Q423</t>
  </si>
  <si>
    <t>Q124</t>
  </si>
  <si>
    <t>Q224</t>
  </si>
  <si>
    <t>Price</t>
  </si>
  <si>
    <t>Shares outstanding</t>
  </si>
  <si>
    <t>Market cap</t>
  </si>
  <si>
    <t>Cash</t>
  </si>
  <si>
    <t>Debt</t>
  </si>
  <si>
    <t>Revenue</t>
  </si>
  <si>
    <t>Commercial airplanes</t>
  </si>
  <si>
    <t>Defense, Space &amp; security</t>
  </si>
  <si>
    <t>Global services</t>
  </si>
  <si>
    <t>Boeing capital</t>
  </si>
  <si>
    <t>Unallocated items, eliminations &amp; other</t>
  </si>
  <si>
    <t>Total revenue</t>
  </si>
  <si>
    <t>Cost of products</t>
  </si>
  <si>
    <t>Cost of services</t>
  </si>
  <si>
    <t>Boeing Capital interest expense</t>
  </si>
  <si>
    <t>Total cost &amp; expenses</t>
  </si>
  <si>
    <t>Income from operating investments, net</t>
  </si>
  <si>
    <t>Research &amp; development</t>
  </si>
  <si>
    <t xml:space="preserve">General &amp; administrative </t>
  </si>
  <si>
    <t>Gain on dispositions</t>
  </si>
  <si>
    <t>Income from operations</t>
  </si>
  <si>
    <t>Other income, net</t>
  </si>
  <si>
    <t>Interest &amp; debt expense</t>
  </si>
  <si>
    <t>Income before income taxes</t>
  </si>
  <si>
    <t>Tax expense</t>
  </si>
  <si>
    <t>Net income (loss)</t>
  </si>
  <si>
    <t>Assets</t>
  </si>
  <si>
    <t>Current assets</t>
  </si>
  <si>
    <t>Short-term &amp; other</t>
  </si>
  <si>
    <t>Acccounts receivable</t>
  </si>
  <si>
    <t>Unbilled receivables</t>
  </si>
  <si>
    <t>Current portion of customer financing</t>
  </si>
  <si>
    <t>Inventories</t>
  </si>
  <si>
    <t>Other</t>
  </si>
  <si>
    <t>Total current assets</t>
  </si>
  <si>
    <t>Customer financing, net</t>
  </si>
  <si>
    <t>Property, plant &amp; equipment, net</t>
  </si>
  <si>
    <t>Goodwill</t>
  </si>
  <si>
    <t>Acquired intangible assets</t>
  </si>
  <si>
    <t>Deferred income taxes</t>
  </si>
  <si>
    <t>Investments</t>
  </si>
  <si>
    <t>Total assets</t>
  </si>
  <si>
    <t>Liabilities</t>
  </si>
  <si>
    <t>Current liabilities</t>
  </si>
  <si>
    <t>Accounts payable</t>
  </si>
  <si>
    <t>Accrued liabilities</t>
  </si>
  <si>
    <t>Advances &amp; progress billings</t>
  </si>
  <si>
    <t>Short-term debt</t>
  </si>
  <si>
    <t>Total current liabilities</t>
  </si>
  <si>
    <t>Accrued retiree health care</t>
  </si>
  <si>
    <t>Accrued pension plan liability</t>
  </si>
  <si>
    <t>Long-term debt</t>
  </si>
  <si>
    <t>Total liabilities</t>
  </si>
  <si>
    <t>Equity</t>
  </si>
  <si>
    <t>EPS</t>
  </si>
  <si>
    <t>Enterprise value</t>
  </si>
  <si>
    <t>% Change</t>
  </si>
  <si>
    <t>YoY</t>
  </si>
  <si>
    <t>QoQ</t>
  </si>
  <si>
    <t>Net profit margin</t>
  </si>
  <si>
    <t>Operating profit margin</t>
  </si>
  <si>
    <t>Q324</t>
  </si>
  <si>
    <t>Q424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</si>
</sst>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 #,##0_);_(* \(#,##0\);_(* &quot;-&quot;??_);_(@_)"/>
    <numFmt numFmtId="165" formatCode="_([$$-409]* #,##0.00_);_([$$-409]* \(#,##0.00\);_([$$-409]* &quot;-&quot;??_);_(@_)"/>
    <numFmt numFmtId="166" formatCode="0.0%"/>
  </numFmts>
  <fonts count="8" x14ac:knownFonts="1">
    <font>
      <sz val="11"/>
      <color theme="1"/>
      <name val="Calibri"/>
      <family val="2"/>
      <scheme val="minor"/>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5" fillId="0" borderId="0" applyFont="0" applyFill="0" applyBorder="0" applyAlignment="0" applyProtection="0"/>
    <xf numFmtId="44" fontId="5" fillId="0" borderId="0" applyFont="0" applyFill="0" applyBorder="0" applyAlignment="0" applyProtection="0"/>
    <xf numFmtId="9" fontId="5" fillId="0" borderId="0" applyFont="0" applyFill="0" applyBorder="0" applyAlignment="0" applyProtection="0"/>
  </cellStyleXfs>
  <cellXfs count="23">
    <xf numFmtId="0" fontId="0" fillId="0" borderId="0" xfId="0"/>
    <xf numFmtId="14" fontId="3" fillId="2" borderId="0" xfId="0" applyNumberFormat="1" applyFont="1" applyFill="1" applyAlignment="1">
      <alignment horizontal="center" vertical="center"/>
    </xf>
    <xf numFmtId="0" fontId="4" fillId="0" borderId="0" xfId="0" applyFont="1"/>
    <xf numFmtId="0" fontId="3" fillId="2" borderId="0" xfId="0" applyFont="1" applyFill="1" applyAlignment="1">
      <alignment horizontal="center" vertical="center"/>
    </xf>
    <xf numFmtId="0" fontId="3" fillId="2" borderId="0" xfId="0" applyFont="1" applyFill="1" applyAlignment="1">
      <alignment vertical="center"/>
    </xf>
    <xf numFmtId="164" fontId="4" fillId="0" borderId="0" xfId="1" applyNumberFormat="1" applyFont="1"/>
    <xf numFmtId="0" fontId="3" fillId="2" borderId="0" xfId="0" applyFont="1" applyFill="1" applyAlignment="1">
      <alignment horizontal="center"/>
    </xf>
    <xf numFmtId="0" fontId="2" fillId="0" borderId="0" xfId="0" applyFont="1" applyAlignment="1">
      <alignment horizontal="left"/>
    </xf>
    <xf numFmtId="165" fontId="4" fillId="0" borderId="0" xfId="0" applyNumberFormat="1" applyFont="1"/>
    <xf numFmtId="0" fontId="2" fillId="0" borderId="0" xfId="0" applyFont="1"/>
    <xf numFmtId="0" fontId="6" fillId="0" borderId="0" xfId="0" applyFont="1"/>
    <xf numFmtId="164" fontId="6" fillId="0" borderId="0" xfId="1" applyNumberFormat="1" applyFont="1"/>
    <xf numFmtId="0" fontId="6" fillId="0" borderId="0" xfId="0" applyFont="1" applyAlignment="1">
      <alignment horizontal="left" indent="1"/>
    </xf>
    <xf numFmtId="0" fontId="2" fillId="0" borderId="0" xfId="0" applyFont="1" applyAlignment="1">
      <alignment horizontal="left" indent="1"/>
    </xf>
    <xf numFmtId="0" fontId="6" fillId="0" borderId="0" xfId="0" applyFont="1" applyAlignment="1">
      <alignment horizontal="left" indent="2"/>
    </xf>
    <xf numFmtId="0" fontId="2" fillId="0" borderId="0" xfId="0" applyFont="1" applyAlignment="1">
      <alignment horizontal="left" indent="2"/>
    </xf>
    <xf numFmtId="0" fontId="6" fillId="0" borderId="0" xfId="0" applyFont="1" applyAlignment="1">
      <alignment horizontal="left" indent="3"/>
    </xf>
    <xf numFmtId="0" fontId="2" fillId="0" borderId="0" xfId="0" applyFont="1" applyAlignment="1">
      <alignment horizontal="left" wrapText="1" indent="2"/>
    </xf>
    <xf numFmtId="43" fontId="4" fillId="0" borderId="0" xfId="1" applyFont="1"/>
    <xf numFmtId="44" fontId="4" fillId="0" borderId="0" xfId="2" applyFont="1"/>
    <xf numFmtId="166" fontId="7" fillId="0" borderId="0" xfId="3" applyNumberFormat="1" applyFont="1" applyAlignment="1">
      <alignment horizontal="center"/>
    </xf>
    <xf numFmtId="0" fontId="1" fillId="0" borderId="0" xfId="0" applyFont="1"/>
    <xf numFmtId="166" fontId="4" fillId="0" borderId="0" xfId="3" applyNumberFormat="1" applyFont="1"/>
  </cellXfs>
  <cellStyles count="4">
    <cellStyle name="Comma" xfId="1" builtinId="3"/>
    <cellStyle name="Currency" xfId="2" builtinId="4"/>
    <cellStyle name="Normal" xfId="0" builtinId="0"/>
    <cellStyle name="Percent"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https://www.bing.com/financeapi/forcetrigger?t=a1o4ec&amp;q=XNYS%3aBA&amp;form=skydnc</v>
    <v>Learn more on Bing</v>
  </rv>
  <rv s="1">
    <v>en-US</v>
    <v>a1o4ec</v>
    <v>268435456</v>
    <v>1</v>
    <v>Powered by Refinitiv</v>
    <v>0</v>
    <v>THE BOEING COMPANY (XNYS:BA)</v>
    <v>2</v>
    <v>3</v>
    <v>Finance</v>
    <v>4</v>
    <v>267.54000000000002</v>
    <v>176.25</v>
    <v>1.5437000000000001</v>
    <v>-2.75</v>
    <v>-1.8390000000000001E-3</v>
    <v>-1.3134E-2</v>
    <v>-0.38</v>
    <v>USD</v>
    <v>The Boeing Company is an aerospace company. The Company's segments include Commercial Airplanes (BCA), Defense, Space &amp; Security (BDS), Global Services (BGS) and Boeing Capital (BCC). Its BCA segment develops, produces and markets commercial jet aircraft to the commercial airline industry worldwide. Its commercial jet aircraft in production include the 737 narrow-body model and the 767, 777 and 787 wide-body models. Its BDS segment is engaged in the research, development, production and modification of manned and unmanned military aircraft and weapons systems. Its BGS segment offers aerospace platforms and systems with a range of products and services, including supply chain and logistics management, engineering, maintenance and modifications, upgrades and conversions, spare parts, pilot and others. Its BCC segment's portfolio consists of equipment under operating leases, sales-type/finance leases, notes and other receivables, assets held for sale or re-lease and investments.</v>
    <v>171000</v>
    <v>New York Stock Exchange</v>
    <v>XNYS</v>
    <v>XNYS</v>
    <v>929 Long Bridge Drive, ARLINGTON, VA, 22202 US</v>
    <v>207.34</v>
    <v>Aerospace &amp; Defense</v>
    <v>Stock</v>
    <v>45328.04137341406</v>
    <v>0</v>
    <v>202</v>
    <v>126072236376</v>
    <v>THE BOEING COMPANY</v>
    <v>THE BOEING COMPANY</v>
    <v>204.64</v>
    <v>209.38</v>
    <v>206.63</v>
    <v>206.25</v>
    <v>610135200</v>
    <v>BA</v>
    <v>THE BOEING COMPANY (XNYS:BA)</v>
    <v>8682514</v>
    <v>13811183</v>
    <v>1934</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L73"/>
  <sheetViews>
    <sheetView tabSelected="1" topLeftCell="A50" zoomScale="125" zoomScaleNormal="125" workbookViewId="0">
      <pane xSplit="1" topLeftCell="T1" activePane="topRight" state="frozen"/>
      <selection pane="topRight" activeCell="AC20" sqref="AC20"/>
    </sheetView>
  </sheetViews>
  <sheetFormatPr defaultColWidth="12.7109375" defaultRowHeight="12.75" x14ac:dyDescent="0.2"/>
  <cols>
    <col min="1" max="1" width="35.7109375" style="2" customWidth="1"/>
    <col min="2" max="22" width="12.7109375" style="5" customWidth="1"/>
    <col min="23" max="24" width="12.7109375" style="5"/>
    <col min="25" max="26" width="10.7109375" style="5" hidden="1" customWidth="1"/>
    <col min="27" max="27" width="12.7109375" style="5"/>
    <col min="28" max="28" width="10.7109375" style="5" customWidth="1"/>
    <col min="29" max="16384" width="12.7109375" style="5"/>
  </cols>
  <sheetData>
    <row r="1" spans="1:38" s="6" customFormat="1" ht="15" customHeight="1" x14ac:dyDescent="0.2">
      <c r="A1" s="4" t="s">
        <v>1</v>
      </c>
      <c r="B1" s="1">
        <v>43190</v>
      </c>
      <c r="C1" s="1">
        <v>43281</v>
      </c>
      <c r="D1" s="1">
        <v>43373</v>
      </c>
      <c r="E1" s="1">
        <v>43465</v>
      </c>
      <c r="F1" s="1">
        <v>43555</v>
      </c>
      <c r="G1" s="1">
        <v>43646</v>
      </c>
      <c r="H1" s="1">
        <v>43738</v>
      </c>
      <c r="I1" s="1">
        <v>43830</v>
      </c>
      <c r="J1" s="1">
        <v>43921</v>
      </c>
      <c r="K1" s="1">
        <v>44012</v>
      </c>
      <c r="L1" s="1">
        <v>44104</v>
      </c>
      <c r="M1" s="1">
        <v>44196</v>
      </c>
      <c r="N1" s="1">
        <v>44286</v>
      </c>
      <c r="O1" s="1">
        <v>44377</v>
      </c>
      <c r="P1" s="1">
        <v>44469</v>
      </c>
      <c r="Q1" s="1">
        <v>44561</v>
      </c>
      <c r="R1" s="1">
        <v>44651</v>
      </c>
      <c r="S1" s="1">
        <v>44742</v>
      </c>
      <c r="T1" s="1">
        <v>44834</v>
      </c>
      <c r="U1" s="1">
        <v>44926</v>
      </c>
      <c r="V1" s="1">
        <v>45016</v>
      </c>
      <c r="W1" s="1">
        <v>45107</v>
      </c>
      <c r="X1" s="1">
        <v>45199</v>
      </c>
      <c r="Y1" s="1" t="s">
        <v>84</v>
      </c>
      <c r="Z1" s="1" t="s">
        <v>84</v>
      </c>
      <c r="AA1" s="1">
        <v>45291</v>
      </c>
      <c r="AB1" s="1" t="s">
        <v>84</v>
      </c>
      <c r="AC1" s="1">
        <v>45382</v>
      </c>
      <c r="AD1" s="1">
        <v>45473</v>
      </c>
      <c r="AE1" s="1">
        <v>45565</v>
      </c>
      <c r="AF1" s="1">
        <v>45657</v>
      </c>
      <c r="AG1" s="3"/>
      <c r="AH1" s="3"/>
      <c r="AI1" s="3"/>
      <c r="AJ1" s="3"/>
      <c r="AK1" s="3"/>
      <c r="AL1" s="3"/>
    </row>
    <row r="2" spans="1:38" s="6" customFormat="1" ht="15" customHeight="1" x14ac:dyDescent="0.2">
      <c r="A2" s="4" t="s">
        <v>0</v>
      </c>
      <c r="B2" s="3" t="s">
        <v>2</v>
      </c>
      <c r="C2" s="3" t="s">
        <v>3</v>
      </c>
      <c r="D2" s="3" t="s">
        <v>4</v>
      </c>
      <c r="E2" s="3" t="s">
        <v>5</v>
      </c>
      <c r="F2" s="3" t="s">
        <v>6</v>
      </c>
      <c r="G2" s="3" t="s">
        <v>7</v>
      </c>
      <c r="H2" s="3" t="s">
        <v>8</v>
      </c>
      <c r="I2" s="3" t="s">
        <v>9</v>
      </c>
      <c r="J2" s="3" t="s">
        <v>10</v>
      </c>
      <c r="K2" s="3" t="s">
        <v>11</v>
      </c>
      <c r="L2" s="3" t="s">
        <v>12</v>
      </c>
      <c r="M2" s="3" t="s">
        <v>13</v>
      </c>
      <c r="N2" s="3" t="s">
        <v>14</v>
      </c>
      <c r="O2" s="3" t="s">
        <v>15</v>
      </c>
      <c r="P2" s="3" t="s">
        <v>16</v>
      </c>
      <c r="Q2" s="3" t="s">
        <v>17</v>
      </c>
      <c r="R2" s="3" t="s">
        <v>18</v>
      </c>
      <c r="S2" s="3" t="s">
        <v>19</v>
      </c>
      <c r="T2" s="3" t="s">
        <v>20</v>
      </c>
      <c r="U2" s="3" t="s">
        <v>21</v>
      </c>
      <c r="V2" s="3" t="s">
        <v>22</v>
      </c>
      <c r="W2" s="3" t="s">
        <v>23</v>
      </c>
      <c r="X2" s="3" t="s">
        <v>24</v>
      </c>
      <c r="Y2" s="3" t="s">
        <v>85</v>
      </c>
      <c r="Z2" s="3" t="s">
        <v>86</v>
      </c>
      <c r="AA2" s="3" t="s">
        <v>25</v>
      </c>
      <c r="AB2" s="3" t="s">
        <v>85</v>
      </c>
      <c r="AC2" s="3" t="s">
        <v>26</v>
      </c>
      <c r="AD2" s="3" t="s">
        <v>27</v>
      </c>
      <c r="AE2" s="3" t="s">
        <v>89</v>
      </c>
      <c r="AF2" s="3" t="s">
        <v>90</v>
      </c>
      <c r="AG2" s="3"/>
      <c r="AH2" s="3"/>
      <c r="AI2" s="3"/>
      <c r="AJ2" s="3"/>
      <c r="AK2" s="3"/>
      <c r="AL2" s="3"/>
    </row>
    <row r="3" spans="1:38" x14ac:dyDescent="0.2">
      <c r="A3" s="7" t="e" vm="1">
        <v>#VALUE!</v>
      </c>
    </row>
    <row r="4" spans="1:38" x14ac:dyDescent="0.2">
      <c r="A4" s="8" cm="1">
        <f t="array" ref="A4">_FV(A3,"Price")</f>
        <v>206.63</v>
      </c>
    </row>
    <row r="5" spans="1:38" s="19" customFormat="1" x14ac:dyDescent="0.2">
      <c r="A5" s="9" t="s">
        <v>28</v>
      </c>
      <c r="B5" s="19">
        <v>327.88</v>
      </c>
      <c r="C5" s="19">
        <v>335.51</v>
      </c>
      <c r="D5" s="19">
        <v>371.9</v>
      </c>
      <c r="E5" s="19">
        <v>322.5</v>
      </c>
      <c r="F5" s="19">
        <v>381.42</v>
      </c>
      <c r="G5" s="19">
        <v>364.01</v>
      </c>
      <c r="H5" s="19">
        <v>380.47</v>
      </c>
      <c r="I5" s="19">
        <v>325.76</v>
      </c>
      <c r="J5" s="19">
        <v>149.13999999999999</v>
      </c>
      <c r="K5" s="19">
        <v>183.3</v>
      </c>
      <c r="L5" s="19">
        <v>165.26</v>
      </c>
      <c r="M5" s="19">
        <v>214.06</v>
      </c>
      <c r="N5" s="19">
        <v>254.17</v>
      </c>
      <c r="O5" s="19">
        <v>239.56</v>
      </c>
      <c r="P5" s="19">
        <v>219.94</v>
      </c>
      <c r="Q5" s="19">
        <v>201.32</v>
      </c>
      <c r="R5" s="19">
        <v>191.5</v>
      </c>
      <c r="S5" s="19">
        <v>136.72</v>
      </c>
      <c r="T5" s="19">
        <v>121.08</v>
      </c>
      <c r="U5" s="19">
        <v>190.46</v>
      </c>
      <c r="V5" s="19">
        <v>212.43</v>
      </c>
      <c r="W5" s="19">
        <v>211.46</v>
      </c>
      <c r="X5" s="19">
        <v>191.68</v>
      </c>
      <c r="Y5" s="20">
        <f>(X5-T5)/T5</f>
        <v>0.58308556326395777</v>
      </c>
      <c r="Z5" s="20">
        <f>(X5-W5)/W5</f>
        <v>-9.3540149437245812E-2</v>
      </c>
      <c r="AA5" s="19">
        <v>260.66000000000003</v>
      </c>
      <c r="AB5" s="20">
        <f>(AA5-U5)/U5</f>
        <v>0.3685813294130002</v>
      </c>
    </row>
    <row r="6" spans="1:38" x14ac:dyDescent="0.2">
      <c r="A6" s="7" t="s">
        <v>29</v>
      </c>
      <c r="B6" s="5">
        <v>597</v>
      </c>
      <c r="C6" s="5">
        <v>588.70000000000005</v>
      </c>
      <c r="D6" s="5">
        <v>589</v>
      </c>
      <c r="E6" s="5">
        <v>586</v>
      </c>
      <c r="F6" s="5">
        <v>572</v>
      </c>
      <c r="G6" s="5">
        <v>565</v>
      </c>
      <c r="H6" s="5">
        <v>569</v>
      </c>
      <c r="I6" s="5">
        <v>566</v>
      </c>
      <c r="J6" s="5">
        <v>566</v>
      </c>
      <c r="K6" s="5">
        <v>566</v>
      </c>
      <c r="L6" s="5">
        <v>567</v>
      </c>
      <c r="M6" s="5">
        <v>569</v>
      </c>
      <c r="N6" s="5">
        <v>585</v>
      </c>
      <c r="O6" s="5">
        <v>590</v>
      </c>
      <c r="P6" s="5">
        <v>589</v>
      </c>
      <c r="Q6" s="5">
        <v>588</v>
      </c>
      <c r="R6" s="5">
        <v>592</v>
      </c>
      <c r="S6" s="5">
        <v>596</v>
      </c>
      <c r="T6" s="5">
        <v>596</v>
      </c>
      <c r="U6" s="5">
        <v>595</v>
      </c>
      <c r="V6" s="5">
        <v>603</v>
      </c>
      <c r="W6" s="5">
        <v>606</v>
      </c>
      <c r="X6" s="5">
        <v>607</v>
      </c>
      <c r="Y6" s="20">
        <f t="shared" ref="Y6:Y69" si="0">(X6-T6)/T6</f>
        <v>1.8456375838926176E-2</v>
      </c>
      <c r="Z6" s="20">
        <f t="shared" ref="Z6:Z69" si="1">(X6-W6)/W6</f>
        <v>1.6501650165016502E-3</v>
      </c>
      <c r="AA6" s="5">
        <v>606.1</v>
      </c>
      <c r="AB6" s="20">
        <f t="shared" ref="AB6:AB69" si="2">(AA6-U6)/U6</f>
        <v>1.8655462184873989E-2</v>
      </c>
    </row>
    <row r="7" spans="1:38" x14ac:dyDescent="0.2">
      <c r="A7" s="9" t="s">
        <v>30</v>
      </c>
      <c r="B7" s="5">
        <f t="shared" ref="B7:X7" si="3">B5*B6</f>
        <v>195744.36</v>
      </c>
      <c r="C7" s="5">
        <f t="shared" si="3"/>
        <v>197514.73700000002</v>
      </c>
      <c r="D7" s="5">
        <f t="shared" si="3"/>
        <v>219049.09999999998</v>
      </c>
      <c r="E7" s="5">
        <f t="shared" si="3"/>
        <v>188985</v>
      </c>
      <c r="F7" s="5">
        <f t="shared" si="3"/>
        <v>218172.24000000002</v>
      </c>
      <c r="G7" s="5">
        <f t="shared" si="3"/>
        <v>205665.65</v>
      </c>
      <c r="H7" s="5">
        <f t="shared" si="3"/>
        <v>216487.43000000002</v>
      </c>
      <c r="I7" s="5">
        <f t="shared" si="3"/>
        <v>184380.16</v>
      </c>
      <c r="J7" s="5">
        <f t="shared" si="3"/>
        <v>84413.239999999991</v>
      </c>
      <c r="K7" s="5">
        <f t="shared" si="3"/>
        <v>103747.8</v>
      </c>
      <c r="L7" s="5">
        <f t="shared" si="3"/>
        <v>93702.42</v>
      </c>
      <c r="M7" s="5">
        <f t="shared" si="3"/>
        <v>121800.14</v>
      </c>
      <c r="N7" s="5">
        <f t="shared" si="3"/>
        <v>148689.44999999998</v>
      </c>
      <c r="O7" s="5">
        <f t="shared" si="3"/>
        <v>141340.4</v>
      </c>
      <c r="P7" s="5">
        <f t="shared" si="3"/>
        <v>129544.66</v>
      </c>
      <c r="Q7" s="5">
        <f t="shared" si="3"/>
        <v>118376.15999999999</v>
      </c>
      <c r="R7" s="5">
        <f t="shared" si="3"/>
        <v>113368</v>
      </c>
      <c r="S7" s="5">
        <f t="shared" si="3"/>
        <v>81485.119999999995</v>
      </c>
      <c r="T7" s="5">
        <f t="shared" si="3"/>
        <v>72163.679999999993</v>
      </c>
      <c r="U7" s="5">
        <f t="shared" si="3"/>
        <v>113323.70000000001</v>
      </c>
      <c r="V7" s="5">
        <f t="shared" si="3"/>
        <v>128095.29000000001</v>
      </c>
      <c r="W7" s="5">
        <f t="shared" si="3"/>
        <v>128144.76000000001</v>
      </c>
      <c r="X7" s="5">
        <f t="shared" si="3"/>
        <v>116349.76000000001</v>
      </c>
      <c r="Y7" s="20">
        <f t="shared" si="0"/>
        <v>0.61230358540473573</v>
      </c>
      <c r="Z7" s="20">
        <f t="shared" si="1"/>
        <v>-9.2044341102983832E-2</v>
      </c>
      <c r="AA7" s="5">
        <f>AA5*AA6</f>
        <v>157986.02600000001</v>
      </c>
      <c r="AB7" s="20">
        <f t="shared" si="2"/>
        <v>0.39411284665078883</v>
      </c>
    </row>
    <row r="8" spans="1:38" x14ac:dyDescent="0.2">
      <c r="A8" s="9" t="s">
        <v>31</v>
      </c>
      <c r="B8" s="5">
        <f>B37</f>
        <v>9235</v>
      </c>
      <c r="C8" s="5">
        <f>C37</f>
        <v>8121</v>
      </c>
      <c r="D8" s="5">
        <f t="shared" ref="D8:AA8" si="4">D37</f>
        <v>8034</v>
      </c>
      <c r="E8" s="5">
        <f t="shared" si="4"/>
        <v>7637</v>
      </c>
      <c r="F8" s="5">
        <f t="shared" si="4"/>
        <v>6836</v>
      </c>
      <c r="G8" s="5">
        <f t="shared" si="4"/>
        <v>9167</v>
      </c>
      <c r="H8" s="5">
        <f t="shared" si="4"/>
        <v>9763</v>
      </c>
      <c r="I8" s="5">
        <f t="shared" si="4"/>
        <v>9485</v>
      </c>
      <c r="J8" s="5">
        <f t="shared" si="4"/>
        <v>15039</v>
      </c>
      <c r="K8" s="5">
        <f t="shared" si="4"/>
        <v>19992</v>
      </c>
      <c r="L8" s="5">
        <f t="shared" si="4"/>
        <v>10564</v>
      </c>
      <c r="M8" s="5">
        <f t="shared" si="4"/>
        <v>7752</v>
      </c>
      <c r="N8" s="5">
        <f t="shared" si="4"/>
        <v>7059</v>
      </c>
      <c r="O8" s="5">
        <f t="shared" si="4"/>
        <v>8271</v>
      </c>
      <c r="P8" s="5">
        <f t="shared" si="4"/>
        <v>9764</v>
      </c>
      <c r="Q8" s="5">
        <f t="shared" si="4"/>
        <v>8052</v>
      </c>
      <c r="R8" s="5">
        <f t="shared" si="4"/>
        <v>7409</v>
      </c>
      <c r="S8" s="5">
        <f t="shared" si="4"/>
        <v>10090</v>
      </c>
      <c r="T8" s="5">
        <f t="shared" si="4"/>
        <v>13494</v>
      </c>
      <c r="U8" s="5">
        <f t="shared" si="4"/>
        <v>14614</v>
      </c>
      <c r="V8" s="5">
        <f t="shared" si="4"/>
        <v>10812</v>
      </c>
      <c r="W8" s="5">
        <f t="shared" si="4"/>
        <v>7254</v>
      </c>
      <c r="X8" s="5">
        <f t="shared" si="4"/>
        <v>6811</v>
      </c>
      <c r="Y8" s="20">
        <f t="shared" si="0"/>
        <v>-0.49525715132651549</v>
      </c>
      <c r="Z8" s="20">
        <f t="shared" si="1"/>
        <v>-6.1069754618141715E-2</v>
      </c>
      <c r="AA8" s="5">
        <f t="shared" si="4"/>
        <v>12691</v>
      </c>
      <c r="AB8" s="20">
        <f t="shared" si="2"/>
        <v>-0.13158615026686737</v>
      </c>
    </row>
    <row r="9" spans="1:38" x14ac:dyDescent="0.2">
      <c r="A9" s="9" t="s">
        <v>32</v>
      </c>
      <c r="B9" s="5">
        <f>B59+B65</f>
        <v>12452</v>
      </c>
      <c r="C9" s="5">
        <f>C59+C65</f>
        <v>12118</v>
      </c>
      <c r="D9" s="5">
        <f t="shared" ref="D9:X9" si="5">D59+D65</f>
        <v>11876</v>
      </c>
      <c r="E9" s="5">
        <f t="shared" si="5"/>
        <v>13847</v>
      </c>
      <c r="F9" s="5">
        <f t="shared" si="5"/>
        <v>14744</v>
      </c>
      <c r="G9" s="5">
        <f t="shared" si="5"/>
        <v>19216</v>
      </c>
      <c r="H9" s="5">
        <f t="shared" si="5"/>
        <v>24652</v>
      </c>
      <c r="I9" s="5">
        <f t="shared" si="5"/>
        <v>27302</v>
      </c>
      <c r="J9" s="5">
        <f t="shared" si="5"/>
        <v>38927</v>
      </c>
      <c r="K9" s="5">
        <f t="shared" si="5"/>
        <v>61379</v>
      </c>
      <c r="L9" s="5">
        <f t="shared" si="5"/>
        <v>60959</v>
      </c>
      <c r="M9" s="5">
        <f t="shared" si="5"/>
        <v>63583</v>
      </c>
      <c r="N9" s="5">
        <f t="shared" si="5"/>
        <v>63575</v>
      </c>
      <c r="O9" s="5">
        <f t="shared" si="5"/>
        <v>63559</v>
      </c>
      <c r="P9" s="5">
        <f t="shared" si="5"/>
        <v>62419</v>
      </c>
      <c r="Q9" s="5">
        <f t="shared" si="5"/>
        <v>58102</v>
      </c>
      <c r="R9" s="5">
        <f t="shared" si="5"/>
        <v>57741</v>
      </c>
      <c r="S9" s="5">
        <f t="shared" si="5"/>
        <v>57200</v>
      </c>
      <c r="T9" s="5">
        <f t="shared" si="5"/>
        <v>57219</v>
      </c>
      <c r="U9" s="5">
        <f t="shared" si="5"/>
        <v>57001</v>
      </c>
      <c r="V9" s="5">
        <f t="shared" si="5"/>
        <v>55391</v>
      </c>
      <c r="W9" s="5">
        <f t="shared" si="5"/>
        <v>52268</v>
      </c>
      <c r="X9" s="5">
        <f t="shared" si="5"/>
        <v>52272</v>
      </c>
      <c r="Y9" s="20">
        <f t="shared" si="0"/>
        <v>-8.6457295653541655E-2</v>
      </c>
      <c r="Z9" s="20">
        <f t="shared" si="1"/>
        <v>7.6528659983163697E-5</v>
      </c>
      <c r="AA9" s="5">
        <f t="shared" ref="AA9" si="6">AA59+AA65</f>
        <v>52307</v>
      </c>
      <c r="AB9" s="20">
        <f t="shared" si="2"/>
        <v>-8.2349432466097092E-2</v>
      </c>
    </row>
    <row r="10" spans="1:38" x14ac:dyDescent="0.2">
      <c r="Y10" s="20"/>
      <c r="Z10" s="20"/>
      <c r="AB10" s="20"/>
    </row>
    <row r="11" spans="1:38" x14ac:dyDescent="0.2">
      <c r="A11" s="10" t="s">
        <v>33</v>
      </c>
      <c r="Y11" s="20"/>
      <c r="Z11" s="20"/>
      <c r="AB11" s="20"/>
    </row>
    <row r="12" spans="1:38" x14ac:dyDescent="0.2">
      <c r="A12" s="13" t="s">
        <v>34</v>
      </c>
      <c r="B12" s="5">
        <v>13652</v>
      </c>
      <c r="C12" s="5">
        <v>14481</v>
      </c>
      <c r="D12" s="5">
        <v>15276</v>
      </c>
      <c r="E12" s="5">
        <f>60715-D12-C12-B12</f>
        <v>17306</v>
      </c>
      <c r="F12" s="5">
        <v>11822</v>
      </c>
      <c r="G12" s="5">
        <v>4722</v>
      </c>
      <c r="H12" s="5">
        <v>8249</v>
      </c>
      <c r="I12" s="5">
        <f>32255-H12-G12-F12</f>
        <v>7462</v>
      </c>
      <c r="J12" s="5">
        <v>6205</v>
      </c>
      <c r="K12" s="5">
        <v>1633</v>
      </c>
      <c r="L12" s="5">
        <v>3596</v>
      </c>
      <c r="M12" s="5">
        <f>16162-L12-K12-J12</f>
        <v>4728</v>
      </c>
      <c r="N12" s="5">
        <v>4269</v>
      </c>
      <c r="O12" s="5">
        <v>6015</v>
      </c>
      <c r="P12" s="5">
        <v>4459</v>
      </c>
      <c r="Q12" s="5">
        <f>19493-P12-O12-N12</f>
        <v>4750</v>
      </c>
      <c r="R12" s="5">
        <v>4161</v>
      </c>
      <c r="S12" s="5">
        <v>6219</v>
      </c>
      <c r="T12" s="5">
        <v>6263</v>
      </c>
      <c r="U12" s="5">
        <f>25867-T12-S12-R12</f>
        <v>9224</v>
      </c>
      <c r="V12" s="5">
        <v>6704</v>
      </c>
      <c r="W12" s="5">
        <v>8840</v>
      </c>
      <c r="X12" s="5">
        <v>7876</v>
      </c>
      <c r="Y12" s="20">
        <f t="shared" si="0"/>
        <v>0.25754430783969345</v>
      </c>
      <c r="Z12" s="20">
        <f t="shared" si="1"/>
        <v>-0.10904977375565611</v>
      </c>
      <c r="AA12" s="5">
        <f>33901-X12-W12-V12</f>
        <v>10481</v>
      </c>
      <c r="AB12" s="20">
        <f t="shared" si="2"/>
        <v>0.13627493495229837</v>
      </c>
    </row>
    <row r="13" spans="1:38" x14ac:dyDescent="0.2">
      <c r="A13" s="13" t="s">
        <v>35</v>
      </c>
      <c r="B13" s="5">
        <v>5762</v>
      </c>
      <c r="C13" s="5">
        <v>5593</v>
      </c>
      <c r="D13" s="5">
        <v>5729</v>
      </c>
      <c r="E13" s="5">
        <f>23195-D13-C13-B13</f>
        <v>6111</v>
      </c>
      <c r="F13" s="5">
        <v>6611</v>
      </c>
      <c r="G13" s="5">
        <v>6612</v>
      </c>
      <c r="H13" s="5">
        <v>7042</v>
      </c>
      <c r="I13" s="5">
        <f>26227-H13-G13-F13</f>
        <v>5962</v>
      </c>
      <c r="J13" s="5">
        <v>6042</v>
      </c>
      <c r="K13" s="5">
        <v>6588</v>
      </c>
      <c r="L13" s="5">
        <v>6848</v>
      </c>
      <c r="M13" s="5">
        <f>26257-L13-K13-J13</f>
        <v>6779</v>
      </c>
      <c r="N13" s="5">
        <v>7185</v>
      </c>
      <c r="O13" s="5">
        <v>6876</v>
      </c>
      <c r="P13" s="5">
        <v>6617</v>
      </c>
      <c r="Q13" s="5">
        <f>26540-P13-O13-N13</f>
        <v>5862</v>
      </c>
      <c r="R13" s="5">
        <v>5483</v>
      </c>
      <c r="S13" s="5">
        <v>6191</v>
      </c>
      <c r="T13" s="5">
        <v>5307</v>
      </c>
      <c r="U13" s="5">
        <f>23162-T13-S13-R13</f>
        <v>6181</v>
      </c>
      <c r="V13" s="5">
        <v>6539</v>
      </c>
      <c r="W13" s="5">
        <v>6167</v>
      </c>
      <c r="X13" s="5">
        <v>5481</v>
      </c>
      <c r="Y13" s="20">
        <f t="shared" si="0"/>
        <v>3.2786885245901641E-2</v>
      </c>
      <c r="Z13" s="20">
        <f t="shared" si="1"/>
        <v>-0.1112372304199773</v>
      </c>
      <c r="AA13" s="5">
        <f>24933-X13-W13-V13</f>
        <v>6746</v>
      </c>
      <c r="AB13" s="20">
        <f t="shared" si="2"/>
        <v>9.1409157094321306E-2</v>
      </c>
    </row>
    <row r="14" spans="1:38" x14ac:dyDescent="0.2">
      <c r="A14" s="13" t="s">
        <v>36</v>
      </c>
      <c r="B14" s="5">
        <v>3943</v>
      </c>
      <c r="C14" s="5">
        <v>4090</v>
      </c>
      <c r="D14" s="5">
        <v>4091</v>
      </c>
      <c r="E14" s="5">
        <f>17018-D14-C14-B14</f>
        <v>4894</v>
      </c>
      <c r="F14" s="5">
        <v>4619</v>
      </c>
      <c r="G14" s="5">
        <v>4543</v>
      </c>
      <c r="H14" s="5">
        <v>4658</v>
      </c>
      <c r="I14" s="5">
        <f>18468-H14-G14-F14</f>
        <v>4648</v>
      </c>
      <c r="J14" s="5">
        <v>4628</v>
      </c>
      <c r="K14" s="5">
        <v>3488</v>
      </c>
      <c r="L14" s="5">
        <v>3694</v>
      </c>
      <c r="M14" s="5">
        <f>15543-L14-K14-J14</f>
        <v>3733</v>
      </c>
      <c r="N14" s="5">
        <v>3749</v>
      </c>
      <c r="O14" s="5">
        <v>4067</v>
      </c>
      <c r="P14" s="5">
        <v>4221</v>
      </c>
      <c r="Q14" s="5">
        <f>16328-P14-O14-N14</f>
        <v>4291</v>
      </c>
      <c r="R14" s="5">
        <v>4314</v>
      </c>
      <c r="S14" s="5">
        <v>4298</v>
      </c>
      <c r="T14" s="5">
        <v>4432</v>
      </c>
      <c r="U14" s="5">
        <f>17611-T14-S14-R14</f>
        <v>4567</v>
      </c>
      <c r="V14" s="5">
        <v>4720</v>
      </c>
      <c r="W14" s="5">
        <v>4746</v>
      </c>
      <c r="X14" s="5">
        <v>4812</v>
      </c>
      <c r="Y14" s="20">
        <f t="shared" si="0"/>
        <v>8.5740072202166062E-2</v>
      </c>
      <c r="Z14" s="20">
        <f t="shared" si="1"/>
        <v>1.3906447534766119E-2</v>
      </c>
      <c r="AA14" s="5">
        <f>19127-X14-W14-V14</f>
        <v>4849</v>
      </c>
      <c r="AB14" s="20">
        <f t="shared" si="2"/>
        <v>6.1747317714035473E-2</v>
      </c>
    </row>
    <row r="15" spans="1:38" hidden="1" x14ac:dyDescent="0.2">
      <c r="A15" s="13" t="s">
        <v>37</v>
      </c>
      <c r="B15" s="5">
        <v>65</v>
      </c>
      <c r="C15" s="5">
        <v>72</v>
      </c>
      <c r="D15" s="5">
        <v>77</v>
      </c>
      <c r="E15" s="5">
        <f>274-D15-C15-B15</f>
        <v>60</v>
      </c>
      <c r="F15" s="5">
        <v>66</v>
      </c>
      <c r="G15" s="5">
        <v>75</v>
      </c>
      <c r="H15" s="5">
        <v>66</v>
      </c>
      <c r="I15" s="5">
        <f>244-H15-G15-F15</f>
        <v>37</v>
      </c>
      <c r="J15" s="5">
        <v>65</v>
      </c>
      <c r="K15" s="5">
        <v>69</v>
      </c>
      <c r="L15" s="5">
        <v>71</v>
      </c>
      <c r="M15" s="5">
        <f>261-L15-K15-J15</f>
        <v>56</v>
      </c>
      <c r="N15" s="5">
        <v>60</v>
      </c>
      <c r="O15" s="5">
        <v>78</v>
      </c>
      <c r="P15" s="5">
        <v>71</v>
      </c>
      <c r="Q15" s="5">
        <f>272-P15-O15-N15</f>
        <v>63</v>
      </c>
      <c r="R15" s="5">
        <v>46</v>
      </c>
      <c r="S15" s="5">
        <v>52</v>
      </c>
      <c r="T15" s="5">
        <v>52</v>
      </c>
      <c r="U15" s="5">
        <f>199-T15-S15-R15</f>
        <v>49</v>
      </c>
      <c r="V15" s="5">
        <v>0</v>
      </c>
      <c r="W15" s="5">
        <v>0</v>
      </c>
      <c r="X15" s="5">
        <v>0</v>
      </c>
      <c r="Y15" s="20">
        <f t="shared" si="0"/>
        <v>-1</v>
      </c>
      <c r="Z15" s="20" t="e">
        <f t="shared" si="1"/>
        <v>#DIV/0!</v>
      </c>
      <c r="AB15" s="20">
        <f t="shared" si="2"/>
        <v>-1</v>
      </c>
    </row>
    <row r="16" spans="1:38" x14ac:dyDescent="0.2">
      <c r="A16" s="13" t="s">
        <v>38</v>
      </c>
      <c r="B16" s="5">
        <v>-40</v>
      </c>
      <c r="C16" s="5">
        <v>22</v>
      </c>
      <c r="D16" s="5">
        <v>-27</v>
      </c>
      <c r="E16" s="5">
        <f>-75-D16-C16-B16</f>
        <v>-30</v>
      </c>
      <c r="F16" s="5">
        <v>-201</v>
      </c>
      <c r="G16" s="5">
        <v>-201</v>
      </c>
      <c r="H16" s="5">
        <v>-35</v>
      </c>
      <c r="I16" s="5">
        <f>-635-H16-G16-F16</f>
        <v>-198</v>
      </c>
      <c r="J16" s="5">
        <v>-32</v>
      </c>
      <c r="K16" s="5">
        <v>29</v>
      </c>
      <c r="L16" s="5">
        <v>-70</v>
      </c>
      <c r="M16" s="5">
        <f>-65-L16-K16-J16</f>
        <v>8</v>
      </c>
      <c r="N16" s="5">
        <v>-46</v>
      </c>
      <c r="O16" s="5">
        <v>-38</v>
      </c>
      <c r="P16" s="5">
        <v>-90</v>
      </c>
      <c r="Q16" s="5">
        <f>-347-P16-O16-N16</f>
        <v>-173</v>
      </c>
      <c r="R16" s="5">
        <v>-13</v>
      </c>
      <c r="S16" s="5">
        <v>-79</v>
      </c>
      <c r="T16" s="5">
        <v>-98</v>
      </c>
      <c r="U16" s="5">
        <f>-231-T16-S16-R16</f>
        <v>-41</v>
      </c>
      <c r="V16" s="5">
        <v>-42</v>
      </c>
      <c r="W16" s="5">
        <v>-2</v>
      </c>
      <c r="X16" s="5">
        <v>-65</v>
      </c>
      <c r="Y16" s="20">
        <f t="shared" si="0"/>
        <v>-0.33673469387755101</v>
      </c>
      <c r="Z16" s="20">
        <f t="shared" si="1"/>
        <v>31.5</v>
      </c>
      <c r="AA16" s="5">
        <f>-167-X16-W16-V16</f>
        <v>-58</v>
      </c>
      <c r="AB16" s="20">
        <f t="shared" si="2"/>
        <v>0.41463414634146339</v>
      </c>
    </row>
    <row r="17" spans="1:28" s="11" customFormat="1" x14ac:dyDescent="0.2">
      <c r="A17" s="14" t="s">
        <v>39</v>
      </c>
      <c r="B17" s="11">
        <f>SUM(B12:B16)</f>
        <v>23382</v>
      </c>
      <c r="C17" s="11">
        <f>SUM(C12:C16)</f>
        <v>24258</v>
      </c>
      <c r="D17" s="11">
        <f t="shared" ref="D17:AA17" si="7">SUM(D12:D16)</f>
        <v>25146</v>
      </c>
      <c r="E17" s="11">
        <f t="shared" si="7"/>
        <v>28341</v>
      </c>
      <c r="F17" s="11">
        <f t="shared" si="7"/>
        <v>22917</v>
      </c>
      <c r="G17" s="11">
        <f t="shared" si="7"/>
        <v>15751</v>
      </c>
      <c r="H17" s="11">
        <f t="shared" si="7"/>
        <v>19980</v>
      </c>
      <c r="I17" s="11">
        <f t="shared" si="7"/>
        <v>17911</v>
      </c>
      <c r="J17" s="11">
        <f t="shared" si="7"/>
        <v>16908</v>
      </c>
      <c r="K17" s="11">
        <f t="shared" si="7"/>
        <v>11807</v>
      </c>
      <c r="L17" s="11">
        <f t="shared" si="7"/>
        <v>14139</v>
      </c>
      <c r="M17" s="11">
        <f t="shared" si="7"/>
        <v>15304</v>
      </c>
      <c r="N17" s="11">
        <f t="shared" si="7"/>
        <v>15217</v>
      </c>
      <c r="O17" s="11">
        <f t="shared" si="7"/>
        <v>16998</v>
      </c>
      <c r="P17" s="11">
        <f t="shared" si="7"/>
        <v>15278</v>
      </c>
      <c r="Q17" s="11">
        <f t="shared" si="7"/>
        <v>14793</v>
      </c>
      <c r="R17" s="11">
        <f t="shared" si="7"/>
        <v>13991</v>
      </c>
      <c r="S17" s="11">
        <f t="shared" si="7"/>
        <v>16681</v>
      </c>
      <c r="T17" s="11">
        <f t="shared" si="7"/>
        <v>15956</v>
      </c>
      <c r="U17" s="11">
        <f t="shared" si="7"/>
        <v>19980</v>
      </c>
      <c r="V17" s="11">
        <f t="shared" si="7"/>
        <v>17921</v>
      </c>
      <c r="W17" s="11">
        <f t="shared" si="7"/>
        <v>19751</v>
      </c>
      <c r="X17" s="11">
        <f t="shared" si="7"/>
        <v>18104</v>
      </c>
      <c r="Y17" s="20">
        <f t="shared" si="0"/>
        <v>0.1346202055653046</v>
      </c>
      <c r="Z17" s="20">
        <f t="shared" si="1"/>
        <v>-8.3388182876816361E-2</v>
      </c>
      <c r="AA17" s="11">
        <f t="shared" si="7"/>
        <v>22018</v>
      </c>
      <c r="AB17" s="20">
        <f t="shared" si="2"/>
        <v>0.102002002002002</v>
      </c>
    </row>
    <row r="18" spans="1:28" x14ac:dyDescent="0.2">
      <c r="Y18" s="20"/>
      <c r="Z18" s="20"/>
      <c r="AB18" s="20"/>
    </row>
    <row r="19" spans="1:28" x14ac:dyDescent="0.2">
      <c r="A19" s="9" t="s">
        <v>40</v>
      </c>
      <c r="B19" s="5">
        <v>16816</v>
      </c>
      <c r="C19" s="5">
        <v>17436</v>
      </c>
      <c r="D19" s="5">
        <v>18882</v>
      </c>
      <c r="E19" s="5">
        <f>72922-D19-C19-B19</f>
        <v>19788</v>
      </c>
      <c r="F19" s="5">
        <v>16238</v>
      </c>
      <c r="G19" s="5">
        <v>15672</v>
      </c>
      <c r="H19" s="5">
        <v>14674</v>
      </c>
      <c r="I19" s="5">
        <f>62877-H19-G19-F19</f>
        <v>16293</v>
      </c>
      <c r="J19" s="5">
        <v>14713</v>
      </c>
      <c r="K19" s="5">
        <v>10378</v>
      </c>
      <c r="L19" s="5">
        <v>10910</v>
      </c>
      <c r="M19" s="5">
        <f>54568-L19-K19-J19</f>
        <v>18567</v>
      </c>
      <c r="N19" s="5">
        <v>11632</v>
      </c>
      <c r="O19" s="5">
        <v>12263</v>
      </c>
      <c r="P19" s="5">
        <v>11271</v>
      </c>
      <c r="Q19" s="5">
        <f>49954-P19-O19-N19</f>
        <v>14788</v>
      </c>
      <c r="R19" s="5">
        <v>11412</v>
      </c>
      <c r="S19" s="5">
        <v>12284</v>
      </c>
      <c r="T19" s="5">
        <v>14541</v>
      </c>
      <c r="U19" s="5">
        <f>53969-T19-R19-S19</f>
        <v>15732</v>
      </c>
      <c r="V19" s="5">
        <v>13553</v>
      </c>
      <c r="W19" s="5">
        <v>15123</v>
      </c>
      <c r="X19" s="5">
        <v>14464</v>
      </c>
      <c r="Y19" s="20">
        <f t="shared" si="0"/>
        <v>-5.2953717075854478E-3</v>
      </c>
      <c r="Z19" s="20">
        <f t="shared" si="1"/>
        <v>-4.3576010050915825E-2</v>
      </c>
      <c r="AA19" s="5">
        <f>59864-X19-W19-V19</f>
        <v>16724</v>
      </c>
      <c r="AB19" s="20">
        <f t="shared" si="2"/>
        <v>6.3056191202644288E-2</v>
      </c>
    </row>
    <row r="20" spans="1:28" x14ac:dyDescent="0.2">
      <c r="A20" s="9" t="s">
        <v>41</v>
      </c>
      <c r="B20" s="5">
        <v>1992</v>
      </c>
      <c r="C20" s="5">
        <v>2083</v>
      </c>
      <c r="D20" s="5">
        <v>2140</v>
      </c>
      <c r="E20" s="5">
        <f>8499-D20-C20-B20</f>
        <v>2284</v>
      </c>
      <c r="F20" s="5">
        <v>2389</v>
      </c>
      <c r="G20" s="5">
        <v>2122</v>
      </c>
      <c r="H20" s="5">
        <v>2241</v>
      </c>
      <c r="I20" s="5">
        <f>9154-H20-G20-F20</f>
        <v>2402</v>
      </c>
      <c r="J20" s="5">
        <v>2043</v>
      </c>
      <c r="K20" s="5">
        <v>2589</v>
      </c>
      <c r="L20" s="5">
        <v>2185</v>
      </c>
      <c r="M20" s="5">
        <f>9232-L20-K20-J20</f>
        <v>2415</v>
      </c>
      <c r="N20" s="5">
        <v>2167</v>
      </c>
      <c r="O20" s="5">
        <v>2316</v>
      </c>
      <c r="P20" s="5">
        <v>2288</v>
      </c>
      <c r="Q20" s="5">
        <f>9283-P20-O20-N20</f>
        <v>2512</v>
      </c>
      <c r="R20" s="5">
        <v>2226</v>
      </c>
      <c r="S20" s="5">
        <v>2269</v>
      </c>
      <c r="T20" s="5">
        <v>2230</v>
      </c>
      <c r="U20" s="5">
        <f>9109-T20-R20-S20</f>
        <v>2384</v>
      </c>
      <c r="V20" s="5">
        <v>2445</v>
      </c>
      <c r="W20" s="5">
        <v>2689</v>
      </c>
      <c r="X20" s="5">
        <v>2475</v>
      </c>
      <c r="Y20" s="20">
        <f t="shared" si="0"/>
        <v>0.10986547085201794</v>
      </c>
      <c r="Z20" s="20">
        <f t="shared" si="1"/>
        <v>-7.9583488285608031E-2</v>
      </c>
      <c r="AA20" s="5">
        <f>10206-X20-W20-V20</f>
        <v>2597</v>
      </c>
      <c r="AB20" s="20">
        <f t="shared" si="2"/>
        <v>8.934563758389262E-2</v>
      </c>
    </row>
    <row r="21" spans="1:28" hidden="1" x14ac:dyDescent="0.2">
      <c r="A21" s="9" t="s">
        <v>42</v>
      </c>
      <c r="B21" s="5">
        <v>16</v>
      </c>
      <c r="C21" s="5">
        <v>17</v>
      </c>
      <c r="D21" s="5">
        <v>18</v>
      </c>
      <c r="E21" s="5">
        <f>69-D21-C21-B21</f>
        <v>18</v>
      </c>
      <c r="F21" s="5">
        <v>18</v>
      </c>
      <c r="G21" s="5">
        <v>16</v>
      </c>
      <c r="H21" s="5">
        <v>15</v>
      </c>
      <c r="I21" s="5">
        <f>62-H21-G21-F21</f>
        <v>13</v>
      </c>
      <c r="J21" s="5">
        <v>12</v>
      </c>
      <c r="K21" s="5">
        <v>11</v>
      </c>
      <c r="L21" s="5">
        <v>10</v>
      </c>
      <c r="M21" s="5">
        <f>43-L21-K21-J21</f>
        <v>10</v>
      </c>
      <c r="N21" s="5">
        <v>9</v>
      </c>
      <c r="O21" s="5">
        <v>9</v>
      </c>
      <c r="P21" s="5">
        <v>7</v>
      </c>
      <c r="Q21" s="5">
        <f>32-P21-O21-N21</f>
        <v>7</v>
      </c>
      <c r="R21" s="5">
        <v>7</v>
      </c>
      <c r="S21" s="5">
        <v>6</v>
      </c>
      <c r="T21" s="5">
        <v>7</v>
      </c>
      <c r="U21" s="5">
        <f>28-T21-R21-S21</f>
        <v>8</v>
      </c>
      <c r="V21" s="5">
        <v>0</v>
      </c>
      <c r="W21" s="5">
        <v>0</v>
      </c>
      <c r="X21" s="5">
        <v>0</v>
      </c>
      <c r="Y21" s="20">
        <f t="shared" si="0"/>
        <v>-1</v>
      </c>
      <c r="Z21" s="20" t="e">
        <f t="shared" si="1"/>
        <v>#DIV/0!</v>
      </c>
      <c r="AB21" s="20">
        <f t="shared" si="2"/>
        <v>-1</v>
      </c>
    </row>
    <row r="22" spans="1:28" s="11" customFormat="1" x14ac:dyDescent="0.2">
      <c r="A22" s="12" t="s">
        <v>43</v>
      </c>
      <c r="B22" s="11">
        <f>SUM(B19:B21)</f>
        <v>18824</v>
      </c>
      <c r="C22" s="11">
        <f>SUM(C19:C21)</f>
        <v>19536</v>
      </c>
      <c r="D22" s="11">
        <f t="shared" ref="D22:AA22" si="8">SUM(D19:D21)</f>
        <v>21040</v>
      </c>
      <c r="E22" s="11">
        <f t="shared" si="8"/>
        <v>22090</v>
      </c>
      <c r="F22" s="11">
        <f t="shared" si="8"/>
        <v>18645</v>
      </c>
      <c r="G22" s="11">
        <f t="shared" si="8"/>
        <v>17810</v>
      </c>
      <c r="H22" s="11">
        <f t="shared" si="8"/>
        <v>16930</v>
      </c>
      <c r="I22" s="11">
        <f>SUM(I19:I21)</f>
        <v>18708</v>
      </c>
      <c r="J22" s="11">
        <f t="shared" si="8"/>
        <v>16768</v>
      </c>
      <c r="K22" s="11">
        <f t="shared" si="8"/>
        <v>12978</v>
      </c>
      <c r="L22" s="11">
        <f t="shared" si="8"/>
        <v>13105</v>
      </c>
      <c r="M22" s="11">
        <f t="shared" si="8"/>
        <v>20992</v>
      </c>
      <c r="N22" s="11">
        <f t="shared" si="8"/>
        <v>13808</v>
      </c>
      <c r="O22" s="11">
        <f t="shared" si="8"/>
        <v>14588</v>
      </c>
      <c r="P22" s="11">
        <f t="shared" si="8"/>
        <v>13566</v>
      </c>
      <c r="Q22" s="11">
        <f t="shared" si="8"/>
        <v>17307</v>
      </c>
      <c r="R22" s="11">
        <f t="shared" si="8"/>
        <v>13645</v>
      </c>
      <c r="S22" s="11">
        <f t="shared" si="8"/>
        <v>14559</v>
      </c>
      <c r="T22" s="11">
        <f t="shared" si="8"/>
        <v>16778</v>
      </c>
      <c r="U22" s="11">
        <f t="shared" si="8"/>
        <v>18124</v>
      </c>
      <c r="V22" s="11">
        <f t="shared" si="8"/>
        <v>15998</v>
      </c>
      <c r="W22" s="11">
        <f t="shared" si="8"/>
        <v>17812</v>
      </c>
      <c r="X22" s="11">
        <f t="shared" si="8"/>
        <v>16939</v>
      </c>
      <c r="Y22" s="20">
        <f t="shared" si="0"/>
        <v>9.5958993920610327E-3</v>
      </c>
      <c r="Z22" s="20">
        <f t="shared" si="1"/>
        <v>-4.9011902088479678E-2</v>
      </c>
      <c r="AA22" s="11">
        <f t="shared" si="8"/>
        <v>19321</v>
      </c>
      <c r="AB22" s="20">
        <f t="shared" si="2"/>
        <v>6.6045023173692347E-2</v>
      </c>
    </row>
    <row r="23" spans="1:28" x14ac:dyDescent="0.2">
      <c r="Y23" s="20"/>
      <c r="Z23" s="20"/>
      <c r="AB23" s="20"/>
    </row>
    <row r="24" spans="1:28" x14ac:dyDescent="0.2">
      <c r="A24" s="9" t="s">
        <v>44</v>
      </c>
      <c r="B24" s="5">
        <v>74</v>
      </c>
      <c r="C24" s="5">
        <v>6</v>
      </c>
      <c r="D24" s="5">
        <v>32</v>
      </c>
      <c r="E24" s="5">
        <f>111-D24-C24-B24</f>
        <v>-1</v>
      </c>
      <c r="F24" s="5">
        <v>20</v>
      </c>
      <c r="G24" s="5">
        <v>-15</v>
      </c>
      <c r="H24" s="5">
        <v>-8</v>
      </c>
      <c r="I24" s="5">
        <f>-4-H24-G24-F24</f>
        <v>-1</v>
      </c>
      <c r="J24" s="5">
        <v>-2</v>
      </c>
      <c r="K24" s="5">
        <v>-45</v>
      </c>
      <c r="L24" s="5">
        <v>-14</v>
      </c>
      <c r="M24" s="5">
        <f>9-L24-K24-J24</f>
        <v>70</v>
      </c>
      <c r="N24" s="5">
        <v>37</v>
      </c>
      <c r="O24" s="5">
        <v>38</v>
      </c>
      <c r="P24" s="5">
        <v>120</v>
      </c>
      <c r="Q24" s="5">
        <f>210-P24-O24-N24</f>
        <v>15</v>
      </c>
      <c r="R24" s="5">
        <v>-20</v>
      </c>
      <c r="S24" s="5">
        <v>17</v>
      </c>
      <c r="T24" s="5">
        <v>-24</v>
      </c>
      <c r="U24" s="5">
        <f>-16-T24-R24-S24</f>
        <v>11</v>
      </c>
      <c r="V24" s="5">
        <v>-27</v>
      </c>
      <c r="W24" s="5">
        <v>44</v>
      </c>
      <c r="X24" s="5">
        <v>28</v>
      </c>
      <c r="Y24" s="20">
        <f t="shared" si="0"/>
        <v>-2.1666666666666665</v>
      </c>
      <c r="Z24" s="20">
        <f t="shared" si="1"/>
        <v>-0.36363636363636365</v>
      </c>
      <c r="AA24" s="5">
        <f>46-X24-W24-V24</f>
        <v>1</v>
      </c>
      <c r="AB24" s="20">
        <f t="shared" si="2"/>
        <v>-0.90909090909090906</v>
      </c>
    </row>
    <row r="25" spans="1:28" x14ac:dyDescent="0.2">
      <c r="A25" s="9" t="s">
        <v>46</v>
      </c>
      <c r="B25" s="5">
        <v>-997</v>
      </c>
      <c r="C25" s="5">
        <v>-1194</v>
      </c>
      <c r="D25" s="5">
        <v>-1154</v>
      </c>
      <c r="E25" s="5">
        <f>-4567-D25-C25-B25</f>
        <v>-1222</v>
      </c>
      <c r="F25" s="5">
        <v>-1184</v>
      </c>
      <c r="G25" s="5">
        <v>-672</v>
      </c>
      <c r="H25" s="5">
        <v>-1001</v>
      </c>
      <c r="I25" s="5">
        <f>-3909-H25-G25-F25</f>
        <v>-1052</v>
      </c>
      <c r="J25" s="5">
        <v>-873</v>
      </c>
      <c r="K25" s="5">
        <v>-1161</v>
      </c>
      <c r="L25" s="5">
        <v>-955</v>
      </c>
      <c r="M25" s="5">
        <f>-4817-L25-K25-J25</f>
        <v>-1828</v>
      </c>
      <c r="N25" s="5">
        <v>-1032</v>
      </c>
      <c r="O25" s="5">
        <v>-1040</v>
      </c>
      <c r="P25" s="5">
        <v>-1097</v>
      </c>
      <c r="Q25" s="5">
        <f>-4157-P25-O25-N25</f>
        <v>-988</v>
      </c>
      <c r="R25" s="5">
        <v>-863</v>
      </c>
      <c r="S25" s="5">
        <v>-668</v>
      </c>
      <c r="T25" s="5">
        <v>-1226</v>
      </c>
      <c r="U25" s="5">
        <f>-4187-T25-R25-S25</f>
        <v>-1430</v>
      </c>
      <c r="V25" s="5">
        <v>-1304</v>
      </c>
      <c r="W25" s="5">
        <v>-1286</v>
      </c>
      <c r="X25" s="5">
        <v>-1043</v>
      </c>
      <c r="Y25" s="20">
        <f t="shared" si="0"/>
        <v>-0.14926590538336051</v>
      </c>
      <c r="Z25" s="20">
        <f t="shared" si="1"/>
        <v>-0.18895800933125972</v>
      </c>
      <c r="AA25" s="5">
        <f>-5168-X25-W25-V25</f>
        <v>-1535</v>
      </c>
      <c r="AB25" s="20">
        <f t="shared" si="2"/>
        <v>7.3426573426573424E-2</v>
      </c>
    </row>
    <row r="26" spans="1:28" x14ac:dyDescent="0.2">
      <c r="A26" s="9" t="s">
        <v>45</v>
      </c>
      <c r="B26" s="5">
        <v>-764</v>
      </c>
      <c r="C26" s="5">
        <v>-827</v>
      </c>
      <c r="D26" s="5">
        <v>-826</v>
      </c>
      <c r="E26" s="5">
        <f>-3269-D26-C26-B26</f>
        <v>-852</v>
      </c>
      <c r="F26" s="5">
        <v>-866</v>
      </c>
      <c r="G26" s="5">
        <v>-826</v>
      </c>
      <c r="H26" s="5">
        <v>-778</v>
      </c>
      <c r="I26" s="5">
        <f>-3219-H26-G26-F26</f>
        <v>-749</v>
      </c>
      <c r="J26" s="5">
        <v>-672</v>
      </c>
      <c r="K26" s="5">
        <v>-625</v>
      </c>
      <c r="L26" s="5">
        <v>-574</v>
      </c>
      <c r="M26" s="5">
        <f>-2476-L26-K26-J26</f>
        <v>-605</v>
      </c>
      <c r="N26" s="5">
        <v>-499</v>
      </c>
      <c r="O26" s="5">
        <v>-497</v>
      </c>
      <c r="P26" s="5">
        <v>-575</v>
      </c>
      <c r="Q26" s="5">
        <f>-2249-P26-O26-N26</f>
        <v>-678</v>
      </c>
      <c r="R26" s="5">
        <v>-633</v>
      </c>
      <c r="S26" s="5">
        <v>-698</v>
      </c>
      <c r="T26" s="5">
        <v>-727</v>
      </c>
      <c r="U26" s="5">
        <f>-2852-T26-R26-S26</f>
        <v>-794</v>
      </c>
      <c r="V26" s="5">
        <v>-741</v>
      </c>
      <c r="W26" s="5">
        <v>-797</v>
      </c>
      <c r="X26" s="5">
        <v>-958</v>
      </c>
      <c r="Y26" s="20">
        <f t="shared" si="0"/>
        <v>0.31774415405777168</v>
      </c>
      <c r="Z26" s="20">
        <f t="shared" si="1"/>
        <v>0.20200752823086573</v>
      </c>
      <c r="AA26" s="5">
        <f>-3377-X26-W26-V26</f>
        <v>-881</v>
      </c>
      <c r="AB26" s="20">
        <f t="shared" si="2"/>
        <v>0.10957178841309824</v>
      </c>
    </row>
    <row r="27" spans="1:28" x14ac:dyDescent="0.2">
      <c r="A27" s="9" t="s">
        <v>47</v>
      </c>
      <c r="B27" s="5">
        <v>4</v>
      </c>
      <c r="C27" s="5">
        <v>3</v>
      </c>
      <c r="D27" s="5">
        <v>69</v>
      </c>
      <c r="E27" s="5">
        <f>75-D27-C27-B27</f>
        <v>-1</v>
      </c>
      <c r="F27" s="5">
        <v>108</v>
      </c>
      <c r="G27" s="5">
        <v>192</v>
      </c>
      <c r="H27" s="5">
        <v>-4</v>
      </c>
      <c r="I27" s="5">
        <f>691-H27-G27-F27</f>
        <v>395</v>
      </c>
      <c r="J27" s="5">
        <v>54</v>
      </c>
      <c r="K27" s="5">
        <v>38</v>
      </c>
      <c r="L27" s="5">
        <v>108</v>
      </c>
      <c r="M27" s="5">
        <f>202-L27-K27-J27</f>
        <v>2</v>
      </c>
      <c r="N27" s="5">
        <v>2</v>
      </c>
      <c r="O27" s="5">
        <v>112</v>
      </c>
      <c r="P27" s="5">
        <v>169</v>
      </c>
      <c r="Q27" s="5">
        <f>277-P27-O27-N27</f>
        <v>-6</v>
      </c>
      <c r="R27" s="5">
        <v>1</v>
      </c>
      <c r="S27" s="5">
        <v>1</v>
      </c>
      <c r="T27" s="5">
        <v>0</v>
      </c>
      <c r="U27" s="5">
        <f>6-T27-R27-S27</f>
        <v>4</v>
      </c>
      <c r="V27" s="5">
        <v>0</v>
      </c>
      <c r="W27" s="5">
        <v>1</v>
      </c>
      <c r="X27" s="5">
        <v>0</v>
      </c>
      <c r="Y27" s="20" t="e">
        <f t="shared" si="0"/>
        <v>#DIV/0!</v>
      </c>
      <c r="Z27" s="20">
        <f t="shared" si="1"/>
        <v>-1</v>
      </c>
      <c r="AA27" s="5">
        <f>2-X27-W27-V27</f>
        <v>1</v>
      </c>
      <c r="AB27" s="20">
        <f t="shared" si="2"/>
        <v>-0.75</v>
      </c>
    </row>
    <row r="28" spans="1:28" x14ac:dyDescent="0.2">
      <c r="A28" s="9" t="s">
        <v>48</v>
      </c>
      <c r="B28" s="5">
        <f>B17-B22+(SUM(B24:B27))</f>
        <v>2875</v>
      </c>
      <c r="C28" s="5">
        <f>C17-C22+(SUM(C24:C27))</f>
        <v>2710</v>
      </c>
      <c r="D28" s="5">
        <f t="shared" ref="D28:AA28" si="9">D17-D22+(SUM(D24:D27))</f>
        <v>2227</v>
      </c>
      <c r="E28" s="5">
        <f>E17-E22+(SUM(E24:E27))</f>
        <v>4175</v>
      </c>
      <c r="F28" s="5">
        <f t="shared" si="9"/>
        <v>2350</v>
      </c>
      <c r="G28" s="5">
        <f t="shared" si="9"/>
        <v>-3380</v>
      </c>
      <c r="H28" s="5">
        <f t="shared" si="9"/>
        <v>1259</v>
      </c>
      <c r="I28" s="5">
        <f>I17-I22+(SUM(I24:I27))</f>
        <v>-2204</v>
      </c>
      <c r="J28" s="5">
        <f t="shared" si="9"/>
        <v>-1353</v>
      </c>
      <c r="K28" s="5">
        <f t="shared" si="9"/>
        <v>-2964</v>
      </c>
      <c r="L28" s="5">
        <f t="shared" si="9"/>
        <v>-401</v>
      </c>
      <c r="M28" s="5">
        <f t="shared" si="9"/>
        <v>-8049</v>
      </c>
      <c r="N28" s="5">
        <f t="shared" si="9"/>
        <v>-83</v>
      </c>
      <c r="O28" s="5">
        <f t="shared" si="9"/>
        <v>1023</v>
      </c>
      <c r="P28" s="5">
        <f t="shared" si="9"/>
        <v>329</v>
      </c>
      <c r="Q28" s="5">
        <f t="shared" si="9"/>
        <v>-4171</v>
      </c>
      <c r="R28" s="5">
        <f t="shared" si="9"/>
        <v>-1169</v>
      </c>
      <c r="S28" s="5">
        <f t="shared" si="9"/>
        <v>774</v>
      </c>
      <c r="T28" s="5">
        <f t="shared" si="9"/>
        <v>-2799</v>
      </c>
      <c r="U28" s="5">
        <f t="shared" si="9"/>
        <v>-353</v>
      </c>
      <c r="V28" s="5">
        <f t="shared" si="9"/>
        <v>-149</v>
      </c>
      <c r="W28" s="5">
        <f t="shared" si="9"/>
        <v>-99</v>
      </c>
      <c r="X28" s="5">
        <f>X17-X22+(SUM(X24:X27))</f>
        <v>-808</v>
      </c>
      <c r="Y28" s="20">
        <f t="shared" si="0"/>
        <v>-0.71132547338335117</v>
      </c>
      <c r="Z28" s="20">
        <f t="shared" si="1"/>
        <v>7.1616161616161618</v>
      </c>
      <c r="AA28" s="5">
        <f t="shared" si="9"/>
        <v>283</v>
      </c>
      <c r="AB28" s="20">
        <f t="shared" si="2"/>
        <v>-1.8016997167138811</v>
      </c>
    </row>
    <row r="29" spans="1:28" x14ac:dyDescent="0.2">
      <c r="A29" s="9" t="s">
        <v>49</v>
      </c>
      <c r="B29" s="5">
        <v>66</v>
      </c>
      <c r="C29" s="5">
        <v>-15</v>
      </c>
      <c r="D29" s="5">
        <v>12</v>
      </c>
      <c r="E29" s="5">
        <f>92-D29-C29-B29</f>
        <v>29</v>
      </c>
      <c r="F29" s="5">
        <v>106</v>
      </c>
      <c r="G29" s="5">
        <v>107</v>
      </c>
      <c r="H29" s="5">
        <v>121</v>
      </c>
      <c r="I29" s="5">
        <f>438-H29-G29-F29</f>
        <v>104</v>
      </c>
      <c r="J29" s="5">
        <v>112</v>
      </c>
      <c r="K29" s="5">
        <v>94</v>
      </c>
      <c r="L29" s="5">
        <v>119</v>
      </c>
      <c r="M29" s="5">
        <f>447-L29-K29-J29</f>
        <v>122</v>
      </c>
      <c r="N29" s="5">
        <v>190</v>
      </c>
      <c r="O29" s="5">
        <v>199</v>
      </c>
      <c r="P29" s="5">
        <v>30</v>
      </c>
      <c r="Q29" s="5">
        <f>551-P29-O29-N29</f>
        <v>132</v>
      </c>
      <c r="R29" s="5">
        <v>181</v>
      </c>
      <c r="S29" s="5">
        <v>253</v>
      </c>
      <c r="T29" s="5">
        <v>288</v>
      </c>
      <c r="U29" s="5">
        <f>1058-T29-R29-S29</f>
        <v>336</v>
      </c>
      <c r="V29" s="5">
        <v>302</v>
      </c>
      <c r="W29" s="5">
        <v>320</v>
      </c>
      <c r="X29" s="5">
        <v>297</v>
      </c>
      <c r="Y29" s="20">
        <f t="shared" si="0"/>
        <v>3.125E-2</v>
      </c>
      <c r="Z29" s="20">
        <f t="shared" si="1"/>
        <v>-7.1874999999999994E-2</v>
      </c>
      <c r="AA29" s="5">
        <f>1227-X29-W29-V29</f>
        <v>308</v>
      </c>
      <c r="AB29" s="20">
        <f t="shared" si="2"/>
        <v>-8.3333333333333329E-2</v>
      </c>
    </row>
    <row r="30" spans="1:28" x14ac:dyDescent="0.2">
      <c r="A30" s="9" t="s">
        <v>50</v>
      </c>
      <c r="B30" s="5">
        <v>-102</v>
      </c>
      <c r="C30" s="5">
        <v>-109</v>
      </c>
      <c r="D30" s="5">
        <v>-106</v>
      </c>
      <c r="E30" s="5">
        <f>-475-D30-C30-B30</f>
        <v>-158</v>
      </c>
      <c r="F30" s="5">
        <v>-123</v>
      </c>
      <c r="G30" s="5">
        <v>-154</v>
      </c>
      <c r="H30" s="5">
        <v>-203</v>
      </c>
      <c r="I30" s="5">
        <f>-722-H30-G30-F30</f>
        <v>-242</v>
      </c>
      <c r="J30" s="5">
        <v>-262</v>
      </c>
      <c r="K30" s="5">
        <v>-553</v>
      </c>
      <c r="L30" s="5">
        <v>-643</v>
      </c>
      <c r="M30" s="5">
        <f>-2156-L30-K30-J30</f>
        <v>-698</v>
      </c>
      <c r="N30" s="5">
        <v>-679</v>
      </c>
      <c r="O30" s="5">
        <v>-673</v>
      </c>
      <c r="P30" s="5">
        <v>-669</v>
      </c>
      <c r="Q30" s="5">
        <f>-2682-P30-O30-N30</f>
        <v>-661</v>
      </c>
      <c r="R30" s="5">
        <v>-630</v>
      </c>
      <c r="S30" s="5">
        <v>-650</v>
      </c>
      <c r="T30" s="5">
        <v>-621</v>
      </c>
      <c r="U30" s="5">
        <f>-2533-T30-R30-S30</f>
        <v>-632</v>
      </c>
      <c r="V30" s="5">
        <v>-649</v>
      </c>
      <c r="W30" s="5">
        <v>-621</v>
      </c>
      <c r="X30" s="5">
        <v>-589</v>
      </c>
      <c r="Y30" s="20">
        <f t="shared" si="0"/>
        <v>-5.1529790660225443E-2</v>
      </c>
      <c r="Z30" s="20">
        <f t="shared" si="1"/>
        <v>-5.1529790660225443E-2</v>
      </c>
      <c r="AA30" s="5">
        <f>-2459-X30-W30-V30</f>
        <v>-600</v>
      </c>
      <c r="AB30" s="20">
        <f t="shared" si="2"/>
        <v>-5.0632911392405063E-2</v>
      </c>
    </row>
    <row r="31" spans="1:28" x14ac:dyDescent="0.2">
      <c r="A31" s="13" t="s">
        <v>51</v>
      </c>
      <c r="B31" s="5">
        <f>SUM(B28:B30)</f>
        <v>2839</v>
      </c>
      <c r="C31" s="5">
        <f>SUM(C28:C30)</f>
        <v>2586</v>
      </c>
      <c r="D31" s="5">
        <f t="shared" ref="D31:AA31" si="10">SUM(D28:D30)</f>
        <v>2133</v>
      </c>
      <c r="E31" s="5">
        <f>SUM(E28:E30)</f>
        <v>4046</v>
      </c>
      <c r="F31" s="5">
        <f t="shared" si="10"/>
        <v>2333</v>
      </c>
      <c r="G31" s="5">
        <f t="shared" si="10"/>
        <v>-3427</v>
      </c>
      <c r="H31" s="5">
        <f t="shared" si="10"/>
        <v>1177</v>
      </c>
      <c r="I31" s="5">
        <f t="shared" si="10"/>
        <v>-2342</v>
      </c>
      <c r="J31" s="5">
        <f t="shared" si="10"/>
        <v>-1503</v>
      </c>
      <c r="K31" s="5">
        <f t="shared" si="10"/>
        <v>-3423</v>
      </c>
      <c r="L31" s="5">
        <f t="shared" si="10"/>
        <v>-925</v>
      </c>
      <c r="M31" s="5">
        <f t="shared" si="10"/>
        <v>-8625</v>
      </c>
      <c r="N31" s="5">
        <f t="shared" si="10"/>
        <v>-572</v>
      </c>
      <c r="O31" s="5">
        <f t="shared" si="10"/>
        <v>549</v>
      </c>
      <c r="P31" s="5">
        <f t="shared" si="10"/>
        <v>-310</v>
      </c>
      <c r="Q31" s="5">
        <f t="shared" si="10"/>
        <v>-4700</v>
      </c>
      <c r="R31" s="5">
        <f t="shared" si="10"/>
        <v>-1618</v>
      </c>
      <c r="S31" s="5">
        <f t="shared" si="10"/>
        <v>377</v>
      </c>
      <c r="T31" s="5">
        <f t="shared" si="10"/>
        <v>-3132</v>
      </c>
      <c r="U31" s="5">
        <f t="shared" si="10"/>
        <v>-649</v>
      </c>
      <c r="V31" s="5">
        <f t="shared" si="10"/>
        <v>-496</v>
      </c>
      <c r="W31" s="5">
        <f t="shared" si="10"/>
        <v>-400</v>
      </c>
      <c r="X31" s="5">
        <f t="shared" si="10"/>
        <v>-1100</v>
      </c>
      <c r="Y31" s="20">
        <f t="shared" si="0"/>
        <v>-0.64878671775223495</v>
      </c>
      <c r="Z31" s="20">
        <f t="shared" si="1"/>
        <v>1.75</v>
      </c>
      <c r="AA31" s="5">
        <f t="shared" si="10"/>
        <v>-9</v>
      </c>
      <c r="AB31" s="20">
        <f t="shared" si="2"/>
        <v>-0.98613251155624038</v>
      </c>
    </row>
    <row r="32" spans="1:28" x14ac:dyDescent="0.2">
      <c r="A32" s="13" t="s">
        <v>52</v>
      </c>
      <c r="B32" s="5">
        <v>-362</v>
      </c>
      <c r="C32" s="5">
        <v>-390</v>
      </c>
      <c r="D32" s="5">
        <v>230</v>
      </c>
      <c r="E32" s="5">
        <f>-1144-D32-C32-B32</f>
        <v>-622</v>
      </c>
      <c r="F32" s="5">
        <v>-184</v>
      </c>
      <c r="G32" s="5">
        <v>485</v>
      </c>
      <c r="H32" s="5">
        <v>-10</v>
      </c>
      <c r="I32" s="5">
        <f>1623-H32-G32-F32</f>
        <v>1332</v>
      </c>
      <c r="J32" s="5">
        <v>862</v>
      </c>
      <c r="K32" s="5">
        <v>1028</v>
      </c>
      <c r="L32" s="5">
        <v>459</v>
      </c>
      <c r="M32" s="5">
        <f>2535-L32-K32-J32</f>
        <v>186</v>
      </c>
      <c r="N32" s="5">
        <v>11</v>
      </c>
      <c r="O32" s="5">
        <v>18</v>
      </c>
      <c r="P32" s="5">
        <v>178</v>
      </c>
      <c r="Q32" s="5">
        <f>743-P32-O32-N32</f>
        <v>536</v>
      </c>
      <c r="R32" s="5">
        <v>376</v>
      </c>
      <c r="S32" s="5">
        <v>-217</v>
      </c>
      <c r="T32" s="5">
        <v>-176</v>
      </c>
      <c r="U32" s="5">
        <f>-31-T32-R32-S32</f>
        <v>-14</v>
      </c>
      <c r="V32" s="5">
        <v>71</v>
      </c>
      <c r="W32" s="5">
        <v>251</v>
      </c>
      <c r="X32" s="5">
        <v>-538</v>
      </c>
      <c r="Y32" s="20">
        <f t="shared" si="0"/>
        <v>2.0568181818181817</v>
      </c>
      <c r="Z32" s="20">
        <f t="shared" si="1"/>
        <v>-3.143426294820717</v>
      </c>
      <c r="AA32" s="5">
        <f>-237-X32-W32-V32</f>
        <v>-21</v>
      </c>
      <c r="AB32" s="20">
        <f t="shared" si="2"/>
        <v>0.5</v>
      </c>
    </row>
    <row r="33" spans="1:28" s="11" customFormat="1" x14ac:dyDescent="0.2">
      <c r="A33" s="16" t="s">
        <v>53</v>
      </c>
      <c r="B33" s="11">
        <f>SUM(B31:B32)</f>
        <v>2477</v>
      </c>
      <c r="C33" s="11">
        <f>SUM(C31:C32)</f>
        <v>2196</v>
      </c>
      <c r="D33" s="11">
        <f t="shared" ref="D33:AA33" si="11">SUM(D31:D32)</f>
        <v>2363</v>
      </c>
      <c r="E33" s="11">
        <f t="shared" si="11"/>
        <v>3424</v>
      </c>
      <c r="F33" s="11">
        <f t="shared" si="11"/>
        <v>2149</v>
      </c>
      <c r="G33" s="11">
        <f t="shared" si="11"/>
        <v>-2942</v>
      </c>
      <c r="H33" s="11">
        <f t="shared" si="11"/>
        <v>1167</v>
      </c>
      <c r="I33" s="11">
        <f t="shared" si="11"/>
        <v>-1010</v>
      </c>
      <c r="J33" s="11">
        <f t="shared" si="11"/>
        <v>-641</v>
      </c>
      <c r="K33" s="11">
        <f t="shared" si="11"/>
        <v>-2395</v>
      </c>
      <c r="L33" s="11">
        <f t="shared" si="11"/>
        <v>-466</v>
      </c>
      <c r="M33" s="11">
        <f t="shared" si="11"/>
        <v>-8439</v>
      </c>
      <c r="N33" s="11">
        <f t="shared" si="11"/>
        <v>-561</v>
      </c>
      <c r="O33" s="11">
        <f t="shared" si="11"/>
        <v>567</v>
      </c>
      <c r="P33" s="11">
        <f t="shared" si="11"/>
        <v>-132</v>
      </c>
      <c r="Q33" s="11">
        <f t="shared" si="11"/>
        <v>-4164</v>
      </c>
      <c r="R33" s="11">
        <f t="shared" si="11"/>
        <v>-1242</v>
      </c>
      <c r="S33" s="11">
        <f t="shared" si="11"/>
        <v>160</v>
      </c>
      <c r="T33" s="11">
        <f t="shared" si="11"/>
        <v>-3308</v>
      </c>
      <c r="U33" s="11">
        <f t="shared" si="11"/>
        <v>-663</v>
      </c>
      <c r="V33" s="11">
        <f t="shared" si="11"/>
        <v>-425</v>
      </c>
      <c r="W33" s="11">
        <f t="shared" si="11"/>
        <v>-149</v>
      </c>
      <c r="X33" s="11">
        <f t="shared" si="11"/>
        <v>-1638</v>
      </c>
      <c r="Y33" s="20">
        <f t="shared" si="0"/>
        <v>-0.5048367593712213</v>
      </c>
      <c r="Z33" s="20">
        <f t="shared" si="1"/>
        <v>9.9932885906040276</v>
      </c>
      <c r="AA33" s="11">
        <f t="shared" si="11"/>
        <v>-30</v>
      </c>
      <c r="AB33" s="20">
        <f t="shared" si="2"/>
        <v>-0.95475113122171951</v>
      </c>
    </row>
    <row r="34" spans="1:28" x14ac:dyDescent="0.2">
      <c r="Y34" s="20"/>
      <c r="Z34" s="20"/>
      <c r="AB34" s="20"/>
    </row>
    <row r="35" spans="1:28" x14ac:dyDescent="0.2">
      <c r="A35" s="10" t="s">
        <v>54</v>
      </c>
      <c r="Y35" s="20"/>
      <c r="Z35" s="20"/>
      <c r="AB35" s="20"/>
    </row>
    <row r="36" spans="1:28" x14ac:dyDescent="0.2">
      <c r="A36" s="12" t="s">
        <v>55</v>
      </c>
      <c r="Y36" s="20"/>
      <c r="Z36" s="20"/>
      <c r="AB36" s="20"/>
    </row>
    <row r="37" spans="1:28" x14ac:dyDescent="0.2">
      <c r="A37" s="15" t="s">
        <v>31</v>
      </c>
      <c r="B37" s="5">
        <v>9235</v>
      </c>
      <c r="C37" s="5">
        <v>8121</v>
      </c>
      <c r="D37" s="5">
        <v>8034</v>
      </c>
      <c r="E37" s="5">
        <v>7637</v>
      </c>
      <c r="F37" s="5">
        <v>6836</v>
      </c>
      <c r="G37" s="5">
        <v>9167</v>
      </c>
      <c r="H37" s="5">
        <v>9763</v>
      </c>
      <c r="I37" s="5">
        <v>9485</v>
      </c>
      <c r="J37" s="5">
        <v>15039</v>
      </c>
      <c r="K37" s="5">
        <v>19992</v>
      </c>
      <c r="L37" s="5">
        <v>10564</v>
      </c>
      <c r="M37" s="5">
        <v>7752</v>
      </c>
      <c r="N37" s="5">
        <v>7059</v>
      </c>
      <c r="O37" s="5">
        <v>8271</v>
      </c>
      <c r="P37" s="5">
        <v>9764</v>
      </c>
      <c r="Q37" s="5">
        <v>8052</v>
      </c>
      <c r="R37" s="5">
        <v>7409</v>
      </c>
      <c r="S37" s="5">
        <v>10090</v>
      </c>
      <c r="T37" s="5">
        <v>13494</v>
      </c>
      <c r="U37" s="5">
        <v>14614</v>
      </c>
      <c r="V37" s="5">
        <v>10812</v>
      </c>
      <c r="W37" s="5">
        <v>7254</v>
      </c>
      <c r="X37" s="5">
        <v>6811</v>
      </c>
      <c r="Y37" s="20">
        <f t="shared" si="0"/>
        <v>-0.49525715132651549</v>
      </c>
      <c r="Z37" s="20">
        <f t="shared" si="1"/>
        <v>-6.1069754618141715E-2</v>
      </c>
      <c r="AA37" s="5">
        <v>12691</v>
      </c>
      <c r="AB37" s="20">
        <f t="shared" si="2"/>
        <v>-0.13158615026686737</v>
      </c>
    </row>
    <row r="38" spans="1:28" x14ac:dyDescent="0.2">
      <c r="A38" s="15" t="s">
        <v>56</v>
      </c>
      <c r="B38" s="5">
        <v>656</v>
      </c>
      <c r="C38" s="5">
        <v>1649</v>
      </c>
      <c r="D38" s="5">
        <v>1956</v>
      </c>
      <c r="E38" s="5">
        <v>927</v>
      </c>
      <c r="F38" s="5">
        <v>893</v>
      </c>
      <c r="G38" s="5">
        <v>439</v>
      </c>
      <c r="H38" s="5">
        <v>1150</v>
      </c>
      <c r="I38" s="5">
        <v>545</v>
      </c>
      <c r="J38" s="5">
        <v>488</v>
      </c>
      <c r="K38" s="5">
        <v>12438</v>
      </c>
      <c r="L38" s="5">
        <v>16552</v>
      </c>
      <c r="M38" s="5">
        <v>17838</v>
      </c>
      <c r="N38" s="5">
        <v>14861</v>
      </c>
      <c r="O38" s="5">
        <v>13071</v>
      </c>
      <c r="P38" s="5">
        <v>10231</v>
      </c>
      <c r="Q38" s="5">
        <v>8192</v>
      </c>
      <c r="R38" s="5">
        <v>4873</v>
      </c>
      <c r="S38" s="5">
        <v>1358</v>
      </c>
      <c r="T38" s="5">
        <v>763</v>
      </c>
      <c r="U38" s="5">
        <v>2606</v>
      </c>
      <c r="V38" s="5">
        <v>3955</v>
      </c>
      <c r="W38" s="5">
        <v>6508</v>
      </c>
      <c r="X38" s="5">
        <v>6561</v>
      </c>
      <c r="Y38" s="20">
        <f t="shared" si="0"/>
        <v>7.5989515072083877</v>
      </c>
      <c r="Z38" s="20">
        <f t="shared" si="1"/>
        <v>8.1438229870928087E-3</v>
      </c>
      <c r="AA38" s="5">
        <v>3274</v>
      </c>
      <c r="AB38" s="20">
        <f t="shared" si="2"/>
        <v>0.25633154259401381</v>
      </c>
    </row>
    <row r="39" spans="1:28" x14ac:dyDescent="0.2">
      <c r="A39" s="15" t="s">
        <v>57</v>
      </c>
      <c r="B39" s="5">
        <v>2802</v>
      </c>
      <c r="C39" s="5">
        <v>2823</v>
      </c>
      <c r="D39" s="5">
        <v>2893</v>
      </c>
      <c r="E39" s="5">
        <v>3879</v>
      </c>
      <c r="F39" s="5">
        <v>3669</v>
      </c>
      <c r="G39" s="5">
        <v>3291</v>
      </c>
      <c r="H39" s="5">
        <v>3564</v>
      </c>
      <c r="I39" s="5">
        <v>3266</v>
      </c>
      <c r="J39" s="5">
        <v>3211</v>
      </c>
      <c r="K39" s="5">
        <v>2793</v>
      </c>
      <c r="L39" s="5">
        <v>2762</v>
      </c>
      <c r="M39" s="5">
        <v>1955</v>
      </c>
      <c r="N39" s="5">
        <v>2356</v>
      </c>
      <c r="O39" s="5">
        <v>2490</v>
      </c>
      <c r="P39" s="5">
        <v>2247</v>
      </c>
      <c r="Q39" s="5">
        <v>2641</v>
      </c>
      <c r="R39" s="5">
        <v>2407</v>
      </c>
      <c r="S39" s="5">
        <v>2996</v>
      </c>
      <c r="T39" s="5">
        <v>2673</v>
      </c>
      <c r="U39" s="5">
        <v>2517</v>
      </c>
      <c r="V39" s="5">
        <v>2862</v>
      </c>
      <c r="W39" s="5">
        <v>2945</v>
      </c>
      <c r="X39" s="5">
        <v>3032</v>
      </c>
      <c r="Y39" s="20">
        <f t="shared" si="0"/>
        <v>0.13430602319491208</v>
      </c>
      <c r="Z39" s="20">
        <f t="shared" si="1"/>
        <v>2.9541595925297114E-2</v>
      </c>
      <c r="AA39" s="5">
        <v>2649</v>
      </c>
      <c r="AB39" s="20">
        <f t="shared" si="2"/>
        <v>5.2443384982121574E-2</v>
      </c>
    </row>
    <row r="40" spans="1:28" x14ac:dyDescent="0.2">
      <c r="A40" s="15" t="s">
        <v>58</v>
      </c>
      <c r="B40" s="5">
        <v>9822</v>
      </c>
      <c r="C40" s="5">
        <v>9868</v>
      </c>
      <c r="D40" s="5">
        <v>9936</v>
      </c>
      <c r="E40" s="5">
        <v>10025</v>
      </c>
      <c r="F40" s="5">
        <v>10208</v>
      </c>
      <c r="G40" s="5">
        <v>10247</v>
      </c>
      <c r="H40" s="5">
        <v>11078</v>
      </c>
      <c r="I40" s="5">
        <v>9043</v>
      </c>
      <c r="J40" s="5">
        <v>9365</v>
      </c>
      <c r="K40" s="5">
        <v>8570</v>
      </c>
      <c r="L40" s="5">
        <v>8860</v>
      </c>
      <c r="M40" s="5">
        <v>7995</v>
      </c>
      <c r="N40" s="5">
        <v>8785</v>
      </c>
      <c r="O40" s="5">
        <v>9203</v>
      </c>
      <c r="P40" s="5">
        <v>10009</v>
      </c>
      <c r="Q40" s="5">
        <v>8620</v>
      </c>
      <c r="R40" s="5">
        <v>8991</v>
      </c>
      <c r="S40" s="5">
        <v>9394</v>
      </c>
      <c r="T40" s="5">
        <v>9316</v>
      </c>
      <c r="U40" s="5">
        <v>8634</v>
      </c>
      <c r="V40" s="5">
        <v>9689</v>
      </c>
      <c r="W40" s="5">
        <v>9357</v>
      </c>
      <c r="X40" s="5">
        <v>9184</v>
      </c>
      <c r="Y40" s="20">
        <f t="shared" si="0"/>
        <v>-1.4169171318162302E-2</v>
      </c>
      <c r="Z40" s="20">
        <f t="shared" si="1"/>
        <v>-1.8488831890563214E-2</v>
      </c>
      <c r="AA40" s="5">
        <v>8317</v>
      </c>
      <c r="AB40" s="20">
        <f t="shared" si="2"/>
        <v>-3.6715311558952975E-2</v>
      </c>
    </row>
    <row r="41" spans="1:28" x14ac:dyDescent="0.2">
      <c r="A41" s="15" t="s">
        <v>59</v>
      </c>
      <c r="B41" s="5">
        <v>244</v>
      </c>
      <c r="C41" s="5">
        <v>294</v>
      </c>
      <c r="D41" s="5">
        <v>431</v>
      </c>
      <c r="E41" s="5">
        <v>460</v>
      </c>
      <c r="F41" s="5">
        <v>340</v>
      </c>
      <c r="G41" s="5">
        <v>171</v>
      </c>
      <c r="H41" s="5">
        <v>166</v>
      </c>
      <c r="I41" s="5">
        <v>162</v>
      </c>
      <c r="J41" s="5">
        <v>149</v>
      </c>
      <c r="K41" s="5">
        <v>115</v>
      </c>
      <c r="L41" s="5">
        <v>100</v>
      </c>
      <c r="M41" s="5">
        <v>101</v>
      </c>
      <c r="N41" s="5">
        <v>93</v>
      </c>
      <c r="O41" s="5">
        <v>74</v>
      </c>
      <c r="P41" s="5">
        <v>76</v>
      </c>
      <c r="Q41" s="5">
        <v>117</v>
      </c>
      <c r="R41" s="5">
        <v>157</v>
      </c>
      <c r="S41" s="5">
        <v>159</v>
      </c>
      <c r="T41" s="5">
        <v>155</v>
      </c>
      <c r="U41" s="5">
        <v>154</v>
      </c>
      <c r="V41" s="5">
        <v>133</v>
      </c>
      <c r="W41" s="5">
        <v>85</v>
      </c>
      <c r="X41" s="5">
        <v>88</v>
      </c>
      <c r="Y41" s="20">
        <f t="shared" si="0"/>
        <v>-0.43225806451612903</v>
      </c>
      <c r="Z41" s="20">
        <f t="shared" si="1"/>
        <v>3.5294117647058823E-2</v>
      </c>
      <c r="AA41" s="5">
        <v>99</v>
      </c>
      <c r="AB41" s="20">
        <f t="shared" si="2"/>
        <v>-0.35714285714285715</v>
      </c>
    </row>
    <row r="42" spans="1:28" x14ac:dyDescent="0.2">
      <c r="A42" s="15" t="s">
        <v>60</v>
      </c>
      <c r="B42" s="5">
        <v>61303</v>
      </c>
      <c r="C42" s="5">
        <v>61250</v>
      </c>
      <c r="D42" s="5">
        <v>62038</v>
      </c>
      <c r="E42" s="5">
        <v>62567</v>
      </c>
      <c r="F42" s="5">
        <v>65369</v>
      </c>
      <c r="G42" s="5">
        <v>68492</v>
      </c>
      <c r="H42" s="5">
        <v>73279</v>
      </c>
      <c r="I42" s="5">
        <v>76622</v>
      </c>
      <c r="J42" s="5">
        <v>80020</v>
      </c>
      <c r="K42" s="5">
        <v>83745</v>
      </c>
      <c r="L42" s="5">
        <v>86961</v>
      </c>
      <c r="M42" s="5">
        <v>81715</v>
      </c>
      <c r="N42" s="5">
        <v>82668</v>
      </c>
      <c r="O42" s="5">
        <v>81799</v>
      </c>
      <c r="P42" s="5">
        <v>81897</v>
      </c>
      <c r="Q42" s="5">
        <v>78823</v>
      </c>
      <c r="R42" s="5">
        <v>79819</v>
      </c>
      <c r="S42" s="5">
        <v>79917</v>
      </c>
      <c r="T42" s="5">
        <v>79777</v>
      </c>
      <c r="U42" s="5">
        <v>78151</v>
      </c>
      <c r="V42" s="5">
        <v>78503</v>
      </c>
      <c r="W42" s="5">
        <v>78322</v>
      </c>
      <c r="X42" s="5">
        <v>78972</v>
      </c>
      <c r="Y42" s="20">
        <f t="shared" si="0"/>
        <v>-1.0090627624503303E-2</v>
      </c>
      <c r="Z42" s="20">
        <f t="shared" si="1"/>
        <v>8.299073057378514E-3</v>
      </c>
      <c r="AA42" s="5">
        <v>79741</v>
      </c>
      <c r="AB42" s="20">
        <f t="shared" si="2"/>
        <v>2.0345229107752941E-2</v>
      </c>
    </row>
    <row r="43" spans="1:28" x14ac:dyDescent="0.2">
      <c r="A43" s="15" t="s">
        <v>61</v>
      </c>
      <c r="B43" s="5">
        <v>2481</v>
      </c>
      <c r="C43" s="5">
        <v>2396</v>
      </c>
      <c r="D43" s="5">
        <v>2398</v>
      </c>
      <c r="E43" s="5">
        <v>2335</v>
      </c>
      <c r="F43" s="5">
        <v>2194</v>
      </c>
      <c r="G43" s="5">
        <v>3304</v>
      </c>
      <c r="H43" s="5">
        <v>2656</v>
      </c>
      <c r="I43" s="5">
        <v>3106</v>
      </c>
      <c r="J43" s="5">
        <v>2739</v>
      </c>
      <c r="K43" s="5">
        <v>2624</v>
      </c>
      <c r="L43" s="5">
        <v>5213</v>
      </c>
      <c r="M43" s="5">
        <v>4286</v>
      </c>
      <c r="N43" s="5">
        <v>4123</v>
      </c>
      <c r="O43" s="5">
        <v>4187</v>
      </c>
      <c r="P43" s="5">
        <v>2664</v>
      </c>
      <c r="Q43" s="5">
        <v>2221</v>
      </c>
      <c r="R43" s="5">
        <v>2356</v>
      </c>
      <c r="S43" s="5">
        <v>2086</v>
      </c>
      <c r="T43" s="5">
        <v>3073</v>
      </c>
      <c r="U43" s="5">
        <v>2847</v>
      </c>
      <c r="V43" s="5">
        <v>2857</v>
      </c>
      <c r="W43" s="5">
        <v>2941</v>
      </c>
      <c r="X43" s="5">
        <v>2287</v>
      </c>
      <c r="Y43" s="20">
        <f t="shared" si="0"/>
        <v>-0.25577611454604621</v>
      </c>
      <c r="Z43" s="20">
        <f t="shared" si="1"/>
        <v>-0.22237334240054404</v>
      </c>
      <c r="AA43" s="5">
        <v>2504</v>
      </c>
      <c r="AB43" s="20">
        <f t="shared" si="2"/>
        <v>-0.12047769582016157</v>
      </c>
    </row>
    <row r="44" spans="1:28" s="11" customFormat="1" x14ac:dyDescent="0.2">
      <c r="A44" s="16" t="s">
        <v>62</v>
      </c>
      <c r="B44" s="11">
        <f>SUM(B37:B43)</f>
        <v>86543</v>
      </c>
      <c r="C44" s="11">
        <f>SUM(C37:C43)</f>
        <v>86401</v>
      </c>
      <c r="D44" s="11">
        <f t="shared" ref="D44:AA44" si="12">SUM(D37:D43)</f>
        <v>87686</v>
      </c>
      <c r="E44" s="11">
        <f t="shared" si="12"/>
        <v>87830</v>
      </c>
      <c r="F44" s="11">
        <f t="shared" si="12"/>
        <v>89509</v>
      </c>
      <c r="G44" s="11">
        <f t="shared" si="12"/>
        <v>95111</v>
      </c>
      <c r="H44" s="11">
        <f t="shared" si="12"/>
        <v>101656</v>
      </c>
      <c r="I44" s="11">
        <f>SUM(I37:I43)</f>
        <v>102229</v>
      </c>
      <c r="J44" s="11">
        <f t="shared" si="12"/>
        <v>111011</v>
      </c>
      <c r="K44" s="11">
        <f t="shared" si="12"/>
        <v>130277</v>
      </c>
      <c r="L44" s="11">
        <f t="shared" si="12"/>
        <v>131012</v>
      </c>
      <c r="M44" s="11">
        <f t="shared" si="12"/>
        <v>121642</v>
      </c>
      <c r="N44" s="11">
        <f t="shared" si="12"/>
        <v>119945</v>
      </c>
      <c r="O44" s="11">
        <f t="shared" si="12"/>
        <v>119095</v>
      </c>
      <c r="P44" s="11">
        <f>SUM(P37:P43)</f>
        <v>116888</v>
      </c>
      <c r="Q44" s="11">
        <f t="shared" si="12"/>
        <v>108666</v>
      </c>
      <c r="R44" s="11">
        <f t="shared" si="12"/>
        <v>106012</v>
      </c>
      <c r="S44" s="11">
        <f t="shared" si="12"/>
        <v>106000</v>
      </c>
      <c r="T44" s="11">
        <f t="shared" si="12"/>
        <v>109251</v>
      </c>
      <c r="U44" s="11">
        <f t="shared" si="12"/>
        <v>109523</v>
      </c>
      <c r="V44" s="11">
        <f t="shared" si="12"/>
        <v>108811</v>
      </c>
      <c r="W44" s="11">
        <f t="shared" si="12"/>
        <v>107412</v>
      </c>
      <c r="X44" s="11">
        <f t="shared" si="12"/>
        <v>106935</v>
      </c>
      <c r="Y44" s="20">
        <f t="shared" si="0"/>
        <v>-2.1198890628003404E-2</v>
      </c>
      <c r="Z44" s="20">
        <f t="shared" si="1"/>
        <v>-4.4408445983688972E-3</v>
      </c>
      <c r="AA44" s="11">
        <f t="shared" si="12"/>
        <v>109275</v>
      </c>
      <c r="AB44" s="20">
        <f t="shared" si="2"/>
        <v>-2.2643645626945937E-3</v>
      </c>
    </row>
    <row r="45" spans="1:28" x14ac:dyDescent="0.2">
      <c r="A45" s="13" t="s">
        <v>63</v>
      </c>
      <c r="B45" s="5">
        <v>2753</v>
      </c>
      <c r="C45" s="5">
        <v>2817</v>
      </c>
      <c r="D45" s="5">
        <v>2785</v>
      </c>
      <c r="E45" s="5">
        <v>2418</v>
      </c>
      <c r="F45" s="5">
        <v>2236</v>
      </c>
      <c r="G45" s="5">
        <v>2139</v>
      </c>
      <c r="H45" s="5">
        <v>2077</v>
      </c>
      <c r="I45" s="5">
        <v>2136</v>
      </c>
      <c r="J45" s="5">
        <v>2116</v>
      </c>
      <c r="K45" s="5">
        <v>2054</v>
      </c>
      <c r="L45" s="5">
        <v>2010</v>
      </c>
      <c r="M45" s="5">
        <v>1936</v>
      </c>
      <c r="N45" s="5">
        <v>1895</v>
      </c>
      <c r="O45" s="5">
        <v>1865</v>
      </c>
      <c r="P45" s="5">
        <v>1795</v>
      </c>
      <c r="Q45" s="5">
        <v>1695</v>
      </c>
      <c r="R45" s="5">
        <v>1580</v>
      </c>
      <c r="S45" s="5">
        <v>1542</v>
      </c>
      <c r="T45" s="5">
        <v>1513</v>
      </c>
      <c r="U45" s="5">
        <v>1450</v>
      </c>
      <c r="V45" s="5">
        <v>1372</v>
      </c>
      <c r="W45" s="5">
        <v>1105</v>
      </c>
      <c r="X45" s="5">
        <v>963</v>
      </c>
      <c r="Y45" s="20">
        <f t="shared" si="0"/>
        <v>-0.36351619299405158</v>
      </c>
      <c r="Z45" s="20">
        <f t="shared" si="1"/>
        <v>-0.12850678733031673</v>
      </c>
      <c r="AA45" s="5">
        <v>860</v>
      </c>
      <c r="AB45" s="20">
        <f t="shared" si="2"/>
        <v>-0.40689655172413791</v>
      </c>
    </row>
    <row r="46" spans="1:28" x14ac:dyDescent="0.2">
      <c r="A46" s="13" t="s">
        <v>64</v>
      </c>
      <c r="B46" s="5">
        <v>12628</v>
      </c>
      <c r="C46" s="5">
        <v>12605</v>
      </c>
      <c r="D46" s="5">
        <v>12571</v>
      </c>
      <c r="E46" s="5">
        <v>12645</v>
      </c>
      <c r="F46" s="5">
        <v>12594</v>
      </c>
      <c r="G46" s="5">
        <v>12601</v>
      </c>
      <c r="H46" s="5">
        <v>12527</v>
      </c>
      <c r="I46" s="5">
        <v>12502</v>
      </c>
      <c r="J46" s="5">
        <v>12405</v>
      </c>
      <c r="K46" s="5">
        <v>12182</v>
      </c>
      <c r="L46" s="5">
        <v>11969</v>
      </c>
      <c r="M46" s="5">
        <v>11820</v>
      </c>
      <c r="N46" s="5">
        <v>11643</v>
      </c>
      <c r="O46" s="5">
        <v>11341</v>
      </c>
      <c r="P46" s="5">
        <v>11113</v>
      </c>
      <c r="Q46" s="5">
        <v>10918</v>
      </c>
      <c r="R46" s="5">
        <v>10755</v>
      </c>
      <c r="S46" s="5">
        <v>10617</v>
      </c>
      <c r="T46" s="5">
        <v>10508</v>
      </c>
      <c r="U46" s="5">
        <v>10550</v>
      </c>
      <c r="V46" s="5">
        <v>10493</v>
      </c>
      <c r="W46" s="5">
        <v>10455</v>
      </c>
      <c r="X46" s="5">
        <v>10484</v>
      </c>
      <c r="Y46" s="20">
        <f t="shared" si="0"/>
        <v>-2.2839741149600305E-3</v>
      </c>
      <c r="Z46" s="20">
        <f t="shared" si="1"/>
        <v>2.773792443806791E-3</v>
      </c>
      <c r="AA46" s="5">
        <v>10661</v>
      </c>
      <c r="AB46" s="20">
        <f t="shared" si="2"/>
        <v>1.0521327014218009E-2</v>
      </c>
    </row>
    <row r="47" spans="1:28" x14ac:dyDescent="0.2">
      <c r="A47" s="13" t="s">
        <v>65</v>
      </c>
      <c r="B47" s="5">
        <v>5558</v>
      </c>
      <c r="C47" s="5">
        <v>5550</v>
      </c>
      <c r="D47" s="5">
        <v>5722</v>
      </c>
      <c r="E47" s="5">
        <v>7840</v>
      </c>
      <c r="F47" s="5">
        <v>7967</v>
      </c>
      <c r="G47" s="5">
        <v>8051</v>
      </c>
      <c r="H47" s="5">
        <v>8063</v>
      </c>
      <c r="I47" s="5">
        <v>8060</v>
      </c>
      <c r="J47" s="5">
        <v>8057</v>
      </c>
      <c r="K47" s="5">
        <v>8064</v>
      </c>
      <c r="L47" s="5">
        <v>8071</v>
      </c>
      <c r="M47" s="5">
        <v>8081</v>
      </c>
      <c r="N47" s="5">
        <v>8074</v>
      </c>
      <c r="O47" s="5">
        <v>8076</v>
      </c>
      <c r="P47" s="5">
        <v>8070</v>
      </c>
      <c r="Q47" s="5">
        <v>8068</v>
      </c>
      <c r="R47" s="5">
        <v>8065</v>
      </c>
      <c r="S47" s="5">
        <v>8055</v>
      </c>
      <c r="T47" s="5">
        <v>8045</v>
      </c>
      <c r="U47" s="5">
        <v>8057</v>
      </c>
      <c r="V47" s="5">
        <v>8063</v>
      </c>
      <c r="W47" s="5">
        <v>8061</v>
      </c>
      <c r="X47" s="5">
        <v>8069</v>
      </c>
      <c r="Y47" s="20">
        <f t="shared" si="0"/>
        <v>2.9832193909260412E-3</v>
      </c>
      <c r="Z47" s="20">
        <f t="shared" si="1"/>
        <v>9.9243270065748658E-4</v>
      </c>
      <c r="AA47" s="5">
        <v>8093</v>
      </c>
      <c r="AB47" s="20">
        <f t="shared" si="2"/>
        <v>4.4681643291547722E-3</v>
      </c>
    </row>
    <row r="48" spans="1:28" x14ac:dyDescent="0.2">
      <c r="A48" s="13" t="s">
        <v>66</v>
      </c>
      <c r="B48" s="5">
        <v>2525</v>
      </c>
      <c r="C48" s="5">
        <v>2494</v>
      </c>
      <c r="D48" s="5">
        <v>2530</v>
      </c>
      <c r="E48" s="5">
        <v>3429</v>
      </c>
      <c r="F48" s="5">
        <v>3498</v>
      </c>
      <c r="G48" s="5">
        <v>3761</v>
      </c>
      <c r="H48" s="5">
        <v>3587</v>
      </c>
      <c r="I48" s="5">
        <v>3338</v>
      </c>
      <c r="J48" s="5">
        <v>3256</v>
      </c>
      <c r="K48" s="5">
        <v>3019</v>
      </c>
      <c r="L48" s="5">
        <v>2941</v>
      </c>
      <c r="M48" s="5">
        <v>2843</v>
      </c>
      <c r="N48" s="5">
        <v>2773</v>
      </c>
      <c r="O48" s="5">
        <v>2702</v>
      </c>
      <c r="P48" s="5">
        <v>2631</v>
      </c>
      <c r="Q48" s="5">
        <v>2562</v>
      </c>
      <c r="R48" s="5">
        <v>2492</v>
      </c>
      <c r="S48" s="5">
        <v>2431</v>
      </c>
      <c r="T48" s="5">
        <v>2371</v>
      </c>
      <c r="U48" s="5">
        <v>2311</v>
      </c>
      <c r="V48" s="5">
        <v>2254</v>
      </c>
      <c r="W48" s="5">
        <v>2194</v>
      </c>
      <c r="X48" s="5">
        <v>2143</v>
      </c>
      <c r="Y48" s="20">
        <f t="shared" si="0"/>
        <v>-9.6161956980177141E-2</v>
      </c>
      <c r="Z48" s="20">
        <f t="shared" si="1"/>
        <v>-2.3245214220601641E-2</v>
      </c>
      <c r="AA48" s="5">
        <v>2094</v>
      </c>
      <c r="AB48" s="20">
        <f t="shared" si="2"/>
        <v>-9.3898745131977504E-2</v>
      </c>
    </row>
    <row r="49" spans="1:28" x14ac:dyDescent="0.2">
      <c r="A49" s="13" t="s">
        <v>67</v>
      </c>
      <c r="B49" s="5">
        <v>325</v>
      </c>
      <c r="C49" s="5">
        <v>325</v>
      </c>
      <c r="D49" s="5">
        <v>323</v>
      </c>
      <c r="E49" s="5">
        <v>284</v>
      </c>
      <c r="F49" s="5">
        <v>281</v>
      </c>
      <c r="G49" s="5">
        <v>357</v>
      </c>
      <c r="H49" s="5">
        <v>296</v>
      </c>
      <c r="I49" s="5">
        <v>683</v>
      </c>
      <c r="J49" s="5">
        <v>678</v>
      </c>
      <c r="K49" s="5">
        <v>729</v>
      </c>
      <c r="L49" s="5">
        <v>704</v>
      </c>
      <c r="M49" s="5">
        <v>86</v>
      </c>
      <c r="N49" s="5">
        <v>79</v>
      </c>
      <c r="O49" s="5">
        <v>84</v>
      </c>
      <c r="P49" s="5">
        <v>74</v>
      </c>
      <c r="Q49" s="5">
        <v>77</v>
      </c>
      <c r="R49" s="5">
        <v>91</v>
      </c>
      <c r="S49" s="5">
        <v>106</v>
      </c>
      <c r="T49" s="5">
        <v>77</v>
      </c>
      <c r="U49" s="5">
        <v>63</v>
      </c>
      <c r="V49" s="5">
        <v>65</v>
      </c>
      <c r="W49" s="5">
        <v>66</v>
      </c>
      <c r="X49" s="5">
        <v>64</v>
      </c>
      <c r="Y49" s="20">
        <f t="shared" si="0"/>
        <v>-0.16883116883116883</v>
      </c>
      <c r="Z49" s="20">
        <f t="shared" si="1"/>
        <v>-3.0303030303030304E-2</v>
      </c>
      <c r="AA49" s="5">
        <v>59</v>
      </c>
      <c r="AB49" s="20">
        <f t="shared" si="2"/>
        <v>-6.3492063492063489E-2</v>
      </c>
    </row>
    <row r="50" spans="1:28" x14ac:dyDescent="0.2">
      <c r="A50" s="13" t="s">
        <v>68</v>
      </c>
      <c r="B50" s="5">
        <v>1248</v>
      </c>
      <c r="C50" s="5">
        <v>1203</v>
      </c>
      <c r="D50" s="5">
        <v>1190</v>
      </c>
      <c r="E50" s="5">
        <v>1087</v>
      </c>
      <c r="F50" s="5">
        <v>1183</v>
      </c>
      <c r="G50" s="5">
        <v>1142</v>
      </c>
      <c r="H50" s="5">
        <v>1117</v>
      </c>
      <c r="I50" s="5">
        <v>1092</v>
      </c>
      <c r="J50" s="5">
        <v>1124</v>
      </c>
      <c r="K50" s="5">
        <v>1066</v>
      </c>
      <c r="L50" s="5">
        <v>1052</v>
      </c>
      <c r="M50" s="5">
        <v>1016</v>
      </c>
      <c r="N50" s="5">
        <v>980</v>
      </c>
      <c r="O50" s="5">
        <v>883</v>
      </c>
      <c r="P50" s="5">
        <v>963</v>
      </c>
      <c r="Q50" s="5">
        <v>975</v>
      </c>
      <c r="R50" s="5">
        <v>992</v>
      </c>
      <c r="S50" s="5">
        <v>981</v>
      </c>
      <c r="T50" s="5">
        <v>979</v>
      </c>
      <c r="U50" s="5">
        <v>983</v>
      </c>
      <c r="V50" s="5">
        <v>969</v>
      </c>
      <c r="W50" s="5">
        <v>1025</v>
      </c>
      <c r="X50" s="5">
        <v>1061</v>
      </c>
      <c r="Y50" s="20">
        <f t="shared" si="0"/>
        <v>8.3758937691521956E-2</v>
      </c>
      <c r="Z50" s="20">
        <f t="shared" si="1"/>
        <v>3.5121951219512199E-2</v>
      </c>
      <c r="AA50" s="5">
        <v>1035</v>
      </c>
      <c r="AB50" s="20">
        <f t="shared" si="2"/>
        <v>5.2899287894201424E-2</v>
      </c>
    </row>
    <row r="51" spans="1:28" x14ac:dyDescent="0.2">
      <c r="A51" s="13" t="s">
        <v>61</v>
      </c>
      <c r="B51" s="5">
        <v>1969</v>
      </c>
      <c r="C51" s="5">
        <v>1800</v>
      </c>
      <c r="D51" s="5">
        <v>1852</v>
      </c>
      <c r="E51" s="5">
        <v>1826</v>
      </c>
      <c r="F51" s="5">
        <v>2941</v>
      </c>
      <c r="G51" s="5">
        <v>3099</v>
      </c>
      <c r="H51" s="5">
        <v>3275</v>
      </c>
      <c r="I51" s="5">
        <v>3585</v>
      </c>
      <c r="J51" s="5">
        <v>4428</v>
      </c>
      <c r="K51" s="5">
        <v>5481</v>
      </c>
      <c r="L51" s="5">
        <v>3502</v>
      </c>
      <c r="M51" s="5">
        <v>4712</v>
      </c>
      <c r="N51" s="5">
        <v>4646</v>
      </c>
      <c r="O51" s="5">
        <v>4889</v>
      </c>
      <c r="P51" s="5">
        <v>5312</v>
      </c>
      <c r="Q51" s="5">
        <v>5591</v>
      </c>
      <c r="R51" s="5">
        <v>5814</v>
      </c>
      <c r="S51" s="5">
        <v>5747</v>
      </c>
      <c r="T51" s="5">
        <v>4814</v>
      </c>
      <c r="U51" s="5">
        <v>4163</v>
      </c>
      <c r="V51" s="5">
        <v>4320</v>
      </c>
      <c r="W51" s="5">
        <v>4456</v>
      </c>
      <c r="X51" s="5">
        <v>4562</v>
      </c>
      <c r="Y51" s="20">
        <f t="shared" si="0"/>
        <v>-5.2347320315745745E-2</v>
      </c>
      <c r="Z51" s="20">
        <f t="shared" si="1"/>
        <v>2.378815080789946E-2</v>
      </c>
      <c r="AA51" s="5">
        <v>4935</v>
      </c>
      <c r="AB51" s="20">
        <f t="shared" si="2"/>
        <v>0.18544319000720635</v>
      </c>
    </row>
    <row r="52" spans="1:28" s="11" customFormat="1" x14ac:dyDescent="0.2">
      <c r="A52" s="16" t="s">
        <v>69</v>
      </c>
      <c r="B52" s="11">
        <f>SUM(B44:B51)</f>
        <v>113549</v>
      </c>
      <c r="C52" s="11">
        <f>SUM(C44:C51)</f>
        <v>113195</v>
      </c>
      <c r="D52" s="11">
        <f t="shared" ref="D52:AA52" si="13">SUM(D44:D51)</f>
        <v>114659</v>
      </c>
      <c r="E52" s="11">
        <f t="shared" si="13"/>
        <v>117359</v>
      </c>
      <c r="F52" s="11">
        <f t="shared" si="13"/>
        <v>120209</v>
      </c>
      <c r="G52" s="11">
        <f t="shared" si="13"/>
        <v>126261</v>
      </c>
      <c r="H52" s="11">
        <f t="shared" si="13"/>
        <v>132598</v>
      </c>
      <c r="I52" s="11">
        <f t="shared" si="13"/>
        <v>133625</v>
      </c>
      <c r="J52" s="11">
        <f t="shared" si="13"/>
        <v>143075</v>
      </c>
      <c r="K52" s="11">
        <f t="shared" si="13"/>
        <v>162872</v>
      </c>
      <c r="L52" s="11">
        <f t="shared" si="13"/>
        <v>161261</v>
      </c>
      <c r="M52" s="11">
        <f t="shared" si="13"/>
        <v>152136</v>
      </c>
      <c r="N52" s="11">
        <f t="shared" si="13"/>
        <v>150035</v>
      </c>
      <c r="O52" s="11">
        <f t="shared" si="13"/>
        <v>148935</v>
      </c>
      <c r="P52" s="11">
        <f t="shared" si="13"/>
        <v>146846</v>
      </c>
      <c r="Q52" s="11">
        <f t="shared" si="13"/>
        <v>138552</v>
      </c>
      <c r="R52" s="11">
        <f t="shared" si="13"/>
        <v>135801</v>
      </c>
      <c r="S52" s="11">
        <f t="shared" si="13"/>
        <v>135479</v>
      </c>
      <c r="T52" s="11">
        <f t="shared" si="13"/>
        <v>137558</v>
      </c>
      <c r="U52" s="11">
        <f t="shared" si="13"/>
        <v>137100</v>
      </c>
      <c r="V52" s="11">
        <f t="shared" si="13"/>
        <v>136347</v>
      </c>
      <c r="W52" s="11">
        <f t="shared" si="13"/>
        <v>134774</v>
      </c>
      <c r="X52" s="11">
        <f t="shared" si="13"/>
        <v>134281</v>
      </c>
      <c r="Y52" s="20">
        <f t="shared" si="0"/>
        <v>-2.3822678433824278E-2</v>
      </c>
      <c r="Z52" s="20">
        <f t="shared" si="1"/>
        <v>-3.6579755739237539E-3</v>
      </c>
      <c r="AA52" s="11">
        <f t="shared" si="13"/>
        <v>137012</v>
      </c>
      <c r="AB52" s="20">
        <f t="shared" si="2"/>
        <v>-6.4186725018234865E-4</v>
      </c>
    </row>
    <row r="53" spans="1:28" x14ac:dyDescent="0.2">
      <c r="Y53" s="20"/>
      <c r="Z53" s="20"/>
      <c r="AB53" s="20"/>
    </row>
    <row r="54" spans="1:28" x14ac:dyDescent="0.2">
      <c r="A54" s="10" t="s">
        <v>70</v>
      </c>
      <c r="Y54" s="20"/>
      <c r="Z54" s="20"/>
      <c r="AB54" s="20"/>
    </row>
    <row r="55" spans="1:28" x14ac:dyDescent="0.2">
      <c r="A55" s="12" t="s">
        <v>71</v>
      </c>
      <c r="Y55" s="20"/>
      <c r="Z55" s="20"/>
      <c r="AB55" s="20"/>
    </row>
    <row r="56" spans="1:28" x14ac:dyDescent="0.2">
      <c r="A56" s="15" t="s">
        <v>72</v>
      </c>
      <c r="B56" s="5">
        <v>12613</v>
      </c>
      <c r="C56" s="5">
        <v>12904</v>
      </c>
      <c r="D56" s="5">
        <v>13663</v>
      </c>
      <c r="E56" s="5">
        <v>12916</v>
      </c>
      <c r="F56" s="5">
        <v>14693</v>
      </c>
      <c r="G56" s="5">
        <v>15267</v>
      </c>
      <c r="H56" s="5">
        <v>15101</v>
      </c>
      <c r="I56" s="5">
        <v>15553</v>
      </c>
      <c r="J56" s="5">
        <v>14963</v>
      </c>
      <c r="K56" s="5">
        <v>13700</v>
      </c>
      <c r="L56" s="5">
        <v>14479</v>
      </c>
      <c r="M56" s="5">
        <v>12928</v>
      </c>
      <c r="N56" s="5">
        <v>12410</v>
      </c>
      <c r="O56" s="5">
        <v>11450</v>
      </c>
      <c r="P56" s="5">
        <v>10151</v>
      </c>
      <c r="Q56" s="5">
        <v>9261</v>
      </c>
      <c r="R56" s="5">
        <v>8779</v>
      </c>
      <c r="S56" s="5">
        <v>9575</v>
      </c>
      <c r="T56" s="5">
        <v>9793</v>
      </c>
      <c r="U56" s="5">
        <v>10200</v>
      </c>
      <c r="V56" s="5">
        <v>10274</v>
      </c>
      <c r="W56" s="5">
        <v>10936</v>
      </c>
      <c r="X56" s="5">
        <v>11143</v>
      </c>
      <c r="Y56" s="20">
        <f t="shared" si="0"/>
        <v>0.13785356887572756</v>
      </c>
      <c r="Z56" s="20">
        <f t="shared" si="1"/>
        <v>1.8928310168251646E-2</v>
      </c>
      <c r="AA56" s="5">
        <v>11964</v>
      </c>
      <c r="AB56" s="20">
        <f t="shared" si="2"/>
        <v>0.17294117647058824</v>
      </c>
    </row>
    <row r="57" spans="1:28" x14ac:dyDescent="0.2">
      <c r="A57" s="15" t="s">
        <v>73</v>
      </c>
      <c r="B57" s="5">
        <v>10983</v>
      </c>
      <c r="C57" s="5">
        <v>12240</v>
      </c>
      <c r="D57" s="5">
        <v>12869</v>
      </c>
      <c r="E57" s="5">
        <v>14808</v>
      </c>
      <c r="F57" s="5">
        <v>13007</v>
      </c>
      <c r="G57" s="5">
        <v>20042</v>
      </c>
      <c r="H57" s="5">
        <v>19224</v>
      </c>
      <c r="I57" s="5">
        <v>22868</v>
      </c>
      <c r="J57" s="5">
        <v>21483</v>
      </c>
      <c r="K57" s="5">
        <v>22493</v>
      </c>
      <c r="L57" s="5">
        <v>22220</v>
      </c>
      <c r="M57" s="5">
        <v>22171</v>
      </c>
      <c r="N57" s="5">
        <v>20553</v>
      </c>
      <c r="O57" s="5">
        <v>19502</v>
      </c>
      <c r="P57" s="5">
        <v>18974</v>
      </c>
      <c r="Q57" s="5">
        <v>18455</v>
      </c>
      <c r="R57" s="5">
        <v>17864</v>
      </c>
      <c r="S57" s="5">
        <v>17752</v>
      </c>
      <c r="T57" s="5">
        <v>21217</v>
      </c>
      <c r="U57" s="5">
        <v>21581</v>
      </c>
      <c r="V57" s="5">
        <v>20812</v>
      </c>
      <c r="W57" s="5">
        <v>21221</v>
      </c>
      <c r="X57" s="5">
        <v>21104</v>
      </c>
      <c r="Y57" s="20">
        <f t="shared" si="0"/>
        <v>-5.3259178960267713E-3</v>
      </c>
      <c r="Z57" s="20">
        <f t="shared" si="1"/>
        <v>-5.5134065312661988E-3</v>
      </c>
      <c r="AA57" s="5">
        <v>22331</v>
      </c>
      <c r="AB57" s="20">
        <f t="shared" si="2"/>
        <v>3.4752791807608548E-2</v>
      </c>
    </row>
    <row r="58" spans="1:28" x14ac:dyDescent="0.2">
      <c r="A58" s="15" t="s">
        <v>74</v>
      </c>
      <c r="B58" s="5">
        <v>49955</v>
      </c>
      <c r="C58" s="5">
        <v>50970</v>
      </c>
      <c r="D58" s="5">
        <v>51496</v>
      </c>
      <c r="E58" s="5">
        <v>50676</v>
      </c>
      <c r="F58" s="5">
        <v>52534</v>
      </c>
      <c r="G58" s="5">
        <v>52523</v>
      </c>
      <c r="H58" s="5">
        <v>53167</v>
      </c>
      <c r="I58" s="5">
        <v>51551</v>
      </c>
      <c r="J58" s="5">
        <v>52883</v>
      </c>
      <c r="K58" s="5">
        <v>53367</v>
      </c>
      <c r="L58" s="5">
        <v>51974</v>
      </c>
      <c r="M58" s="5">
        <v>50488</v>
      </c>
      <c r="N58" s="5">
        <v>50908</v>
      </c>
      <c r="O58" s="5">
        <v>50738</v>
      </c>
      <c r="P58" s="5">
        <v>51269</v>
      </c>
      <c r="Q58" s="5">
        <v>52980</v>
      </c>
      <c r="R58" s="5">
        <v>52458</v>
      </c>
      <c r="S58" s="5">
        <v>52066</v>
      </c>
      <c r="T58" s="5">
        <v>53177</v>
      </c>
      <c r="U58" s="5">
        <v>53081</v>
      </c>
      <c r="V58" s="5">
        <v>54498</v>
      </c>
      <c r="W58" s="5">
        <v>55310</v>
      </c>
      <c r="X58" s="5">
        <v>55924</v>
      </c>
      <c r="Y58" s="20">
        <f t="shared" si="0"/>
        <v>5.1657671549730146E-2</v>
      </c>
      <c r="Z58" s="20">
        <f t="shared" si="1"/>
        <v>1.1101066714879768E-2</v>
      </c>
      <c r="AA58" s="5">
        <v>56328</v>
      </c>
      <c r="AB58" s="20">
        <f t="shared" si="2"/>
        <v>6.1170663702643131E-2</v>
      </c>
    </row>
    <row r="59" spans="1:28" x14ac:dyDescent="0.2">
      <c r="A59" s="17" t="s">
        <v>75</v>
      </c>
      <c r="B59" s="5">
        <v>1981</v>
      </c>
      <c r="C59" s="5">
        <v>1611</v>
      </c>
      <c r="D59" s="5">
        <v>1389</v>
      </c>
      <c r="E59" s="5">
        <v>3190</v>
      </c>
      <c r="F59" s="5">
        <v>3381</v>
      </c>
      <c r="G59" s="5">
        <v>4357</v>
      </c>
      <c r="H59" s="5">
        <v>4354</v>
      </c>
      <c r="I59" s="5">
        <v>7340</v>
      </c>
      <c r="J59" s="5">
        <v>5173</v>
      </c>
      <c r="K59" s="5">
        <v>2922</v>
      </c>
      <c r="L59" s="5">
        <v>3634</v>
      </c>
      <c r="M59" s="5">
        <v>1693</v>
      </c>
      <c r="N59" s="5">
        <v>6021</v>
      </c>
      <c r="O59" s="5">
        <v>6534</v>
      </c>
      <c r="P59" s="5">
        <v>5377</v>
      </c>
      <c r="Q59" s="5">
        <v>1296</v>
      </c>
      <c r="R59" s="5">
        <v>2591</v>
      </c>
      <c r="S59" s="5">
        <v>5406</v>
      </c>
      <c r="T59" s="5">
        <v>5431</v>
      </c>
      <c r="U59" s="5">
        <v>5190</v>
      </c>
      <c r="V59" s="5">
        <v>7926</v>
      </c>
      <c r="W59" s="5">
        <v>4609</v>
      </c>
      <c r="X59" s="5">
        <v>4891</v>
      </c>
      <c r="Y59" s="20">
        <f t="shared" si="0"/>
        <v>-9.9429202725096671E-2</v>
      </c>
      <c r="Z59" s="20">
        <f t="shared" si="1"/>
        <v>6.1184638750271206E-2</v>
      </c>
      <c r="AA59" s="5">
        <v>5204</v>
      </c>
      <c r="AB59" s="20">
        <f t="shared" si="2"/>
        <v>2.6974951830443161E-3</v>
      </c>
    </row>
    <row r="60" spans="1:28" s="11" customFormat="1" x14ac:dyDescent="0.2">
      <c r="A60" s="16" t="s">
        <v>76</v>
      </c>
      <c r="B60" s="11">
        <f>SUM(B56:B59)</f>
        <v>75532</v>
      </c>
      <c r="C60" s="11">
        <f>SUM(C56:C59)</f>
        <v>77725</v>
      </c>
      <c r="D60" s="11">
        <f t="shared" ref="D60:AA60" si="14">SUM(D56:D59)</f>
        <v>79417</v>
      </c>
      <c r="E60" s="11">
        <f t="shared" si="14"/>
        <v>81590</v>
      </c>
      <c r="F60" s="11">
        <f t="shared" si="14"/>
        <v>83615</v>
      </c>
      <c r="G60" s="11">
        <f t="shared" si="14"/>
        <v>92189</v>
      </c>
      <c r="H60" s="11">
        <f t="shared" si="14"/>
        <v>91846</v>
      </c>
      <c r="I60" s="11">
        <f t="shared" si="14"/>
        <v>97312</v>
      </c>
      <c r="J60" s="11">
        <f t="shared" si="14"/>
        <v>94502</v>
      </c>
      <c r="K60" s="11">
        <f t="shared" si="14"/>
        <v>92482</v>
      </c>
      <c r="L60" s="11">
        <f t="shared" si="14"/>
        <v>92307</v>
      </c>
      <c r="M60" s="11">
        <f t="shared" si="14"/>
        <v>87280</v>
      </c>
      <c r="N60" s="11">
        <f t="shared" si="14"/>
        <v>89892</v>
      </c>
      <c r="O60" s="11">
        <f t="shared" si="14"/>
        <v>88224</v>
      </c>
      <c r="P60" s="11">
        <f t="shared" si="14"/>
        <v>85771</v>
      </c>
      <c r="Q60" s="11">
        <f t="shared" si="14"/>
        <v>81992</v>
      </c>
      <c r="R60" s="11">
        <f t="shared" si="14"/>
        <v>81692</v>
      </c>
      <c r="S60" s="11">
        <f t="shared" si="14"/>
        <v>84799</v>
      </c>
      <c r="T60" s="11">
        <f t="shared" si="14"/>
        <v>89618</v>
      </c>
      <c r="U60" s="11">
        <f t="shared" si="14"/>
        <v>90052</v>
      </c>
      <c r="V60" s="11">
        <f t="shared" si="14"/>
        <v>93510</v>
      </c>
      <c r="W60" s="11">
        <f t="shared" si="14"/>
        <v>92076</v>
      </c>
      <c r="X60" s="11">
        <f t="shared" si="14"/>
        <v>93062</v>
      </c>
      <c r="Y60" s="20">
        <f t="shared" si="0"/>
        <v>3.8429779731750317E-2</v>
      </c>
      <c r="Z60" s="20">
        <f t="shared" si="1"/>
        <v>1.0708545114905078E-2</v>
      </c>
      <c r="AA60" s="11">
        <f t="shared" si="14"/>
        <v>95827</v>
      </c>
      <c r="AB60" s="20">
        <f t="shared" si="2"/>
        <v>6.4129614000799542E-2</v>
      </c>
    </row>
    <row r="61" spans="1:28" x14ac:dyDescent="0.2">
      <c r="A61" s="13" t="s">
        <v>67</v>
      </c>
      <c r="B61" s="5">
        <v>2001</v>
      </c>
      <c r="C61" s="5">
        <v>1900</v>
      </c>
      <c r="D61" s="5">
        <v>1738</v>
      </c>
      <c r="E61" s="5">
        <v>1736</v>
      </c>
      <c r="F61" s="5">
        <v>1656</v>
      </c>
      <c r="G61" s="5">
        <v>0</v>
      </c>
      <c r="H61" s="5">
        <v>1615</v>
      </c>
      <c r="I61" s="5">
        <v>413</v>
      </c>
      <c r="J61" s="5">
        <v>336</v>
      </c>
      <c r="K61" s="5">
        <v>404</v>
      </c>
      <c r="L61" s="5">
        <v>503</v>
      </c>
      <c r="M61" s="5">
        <v>1010</v>
      </c>
      <c r="N61" s="5">
        <v>908</v>
      </c>
      <c r="O61" s="5">
        <v>1064</v>
      </c>
      <c r="P61" s="5">
        <v>1185</v>
      </c>
      <c r="Q61" s="5">
        <v>218</v>
      </c>
      <c r="R61" s="5">
        <v>158</v>
      </c>
      <c r="S61" s="5">
        <v>38</v>
      </c>
      <c r="T61" s="5">
        <v>230</v>
      </c>
      <c r="U61" s="5">
        <v>230</v>
      </c>
      <c r="V61" s="5">
        <v>194</v>
      </c>
      <c r="W61" s="5">
        <v>95</v>
      </c>
      <c r="X61" s="5">
        <v>218</v>
      </c>
      <c r="Y61" s="20">
        <f t="shared" si="0"/>
        <v>-5.2173913043478258E-2</v>
      </c>
      <c r="Z61" s="20">
        <f t="shared" si="1"/>
        <v>1.2947368421052632</v>
      </c>
      <c r="AA61" s="5">
        <v>229</v>
      </c>
      <c r="AB61" s="20">
        <f t="shared" si="2"/>
        <v>-4.3478260869565218E-3</v>
      </c>
    </row>
    <row r="62" spans="1:28" x14ac:dyDescent="0.2">
      <c r="A62" s="13" t="s">
        <v>77</v>
      </c>
      <c r="B62" s="5">
        <v>5494</v>
      </c>
      <c r="C62" s="5">
        <v>5444</v>
      </c>
      <c r="D62" s="5">
        <v>5394</v>
      </c>
      <c r="E62" s="5">
        <v>4584</v>
      </c>
      <c r="F62" s="5">
        <v>4535</v>
      </c>
      <c r="G62" s="5">
        <v>4486</v>
      </c>
      <c r="H62" s="5">
        <v>4437</v>
      </c>
      <c r="I62" s="5">
        <v>4540</v>
      </c>
      <c r="J62" s="5">
        <v>4483</v>
      </c>
      <c r="K62" s="5">
        <v>4427</v>
      </c>
      <c r="L62" s="5">
        <v>4429</v>
      </c>
      <c r="M62" s="5">
        <v>4137</v>
      </c>
      <c r="N62" s="5">
        <v>4077</v>
      </c>
      <c r="O62" s="5">
        <v>4017</v>
      </c>
      <c r="P62" s="5">
        <v>3957</v>
      </c>
      <c r="Q62" s="5">
        <v>3528</v>
      </c>
      <c r="R62" s="5">
        <v>3471</v>
      </c>
      <c r="S62" s="5">
        <v>3413</v>
      </c>
      <c r="T62" s="5">
        <v>3356</v>
      </c>
      <c r="U62" s="5">
        <v>2503</v>
      </c>
      <c r="V62" s="5">
        <v>2466</v>
      </c>
      <c r="W62" s="5">
        <v>2424</v>
      </c>
      <c r="X62" s="5">
        <v>2385</v>
      </c>
      <c r="Y62" s="20">
        <f t="shared" si="0"/>
        <v>-0.2893325387365912</v>
      </c>
      <c r="Z62" s="20">
        <f t="shared" si="1"/>
        <v>-1.608910891089109E-2</v>
      </c>
      <c r="AA62" s="5">
        <v>2233</v>
      </c>
      <c r="AB62" s="20">
        <f t="shared" si="2"/>
        <v>-0.10787055533359968</v>
      </c>
    </row>
    <row r="63" spans="1:28" x14ac:dyDescent="0.2">
      <c r="A63" s="13" t="s">
        <v>78</v>
      </c>
      <c r="B63" s="5">
        <v>16279</v>
      </c>
      <c r="C63" s="5">
        <v>16118</v>
      </c>
      <c r="D63" s="5">
        <v>15927</v>
      </c>
      <c r="E63" s="5">
        <v>15323</v>
      </c>
      <c r="F63" s="5">
        <v>15077</v>
      </c>
      <c r="G63" s="5">
        <v>14831</v>
      </c>
      <c r="H63" s="5">
        <v>14590</v>
      </c>
      <c r="I63" s="5">
        <v>16276</v>
      </c>
      <c r="J63" s="5">
        <v>15962</v>
      </c>
      <c r="K63" s="5">
        <v>15663</v>
      </c>
      <c r="L63" s="5">
        <v>15343</v>
      </c>
      <c r="M63" s="5">
        <v>14408</v>
      </c>
      <c r="N63" s="5">
        <v>13968</v>
      </c>
      <c r="O63" s="5">
        <v>13519</v>
      </c>
      <c r="P63" s="5">
        <v>11435</v>
      </c>
      <c r="Q63" s="5">
        <v>9104</v>
      </c>
      <c r="R63" s="5">
        <v>8719</v>
      </c>
      <c r="S63" s="5">
        <v>8335</v>
      </c>
      <c r="T63" s="5">
        <v>7951</v>
      </c>
      <c r="U63" s="5">
        <v>6141</v>
      </c>
      <c r="V63" s="5">
        <v>5998</v>
      </c>
      <c r="W63" s="5">
        <v>5855</v>
      </c>
      <c r="X63" s="5">
        <v>5713</v>
      </c>
      <c r="Y63" s="20">
        <f t="shared" si="0"/>
        <v>-0.28147402842409758</v>
      </c>
      <c r="Z63" s="20">
        <f t="shared" si="1"/>
        <v>-2.4252775405636209E-2</v>
      </c>
      <c r="AA63" s="5">
        <v>6516</v>
      </c>
      <c r="AB63" s="20">
        <f t="shared" si="2"/>
        <v>6.106497313141182E-2</v>
      </c>
    </row>
    <row r="64" spans="1:28" x14ac:dyDescent="0.2">
      <c r="A64" s="13" t="s">
        <v>61</v>
      </c>
      <c r="B64" s="5">
        <v>2474</v>
      </c>
      <c r="C64" s="5">
        <v>2875</v>
      </c>
      <c r="D64" s="5">
        <v>2905</v>
      </c>
      <c r="E64" s="5">
        <v>3059</v>
      </c>
      <c r="F64" s="5">
        <v>3731</v>
      </c>
      <c r="G64" s="5">
        <v>4839</v>
      </c>
      <c r="H64" s="5">
        <v>3621</v>
      </c>
      <c r="I64" s="5">
        <v>3422</v>
      </c>
      <c r="J64" s="5">
        <v>3398</v>
      </c>
      <c r="K64" s="5">
        <v>2821</v>
      </c>
      <c r="L64" s="5">
        <v>2907</v>
      </c>
      <c r="M64" s="5">
        <v>1486</v>
      </c>
      <c r="N64" s="5">
        <v>1477</v>
      </c>
      <c r="O64" s="5">
        <v>1571</v>
      </c>
      <c r="P64" s="5">
        <v>1722</v>
      </c>
      <c r="Q64" s="5">
        <v>1750</v>
      </c>
      <c r="R64" s="5">
        <v>1879</v>
      </c>
      <c r="S64" s="5">
        <v>1891</v>
      </c>
      <c r="T64" s="5">
        <v>2250</v>
      </c>
      <c r="U64" s="5">
        <v>2211</v>
      </c>
      <c r="V64" s="5">
        <v>2198</v>
      </c>
      <c r="W64" s="5">
        <v>2158</v>
      </c>
      <c r="X64" s="5">
        <v>2239</v>
      </c>
      <c r="Y64" s="20">
        <f t="shared" si="0"/>
        <v>-4.8888888888888888E-3</v>
      </c>
      <c r="Z64" s="20">
        <f t="shared" si="1"/>
        <v>3.7534754402224285E-2</v>
      </c>
      <c r="AA64" s="5">
        <v>2332</v>
      </c>
      <c r="AB64" s="20">
        <f t="shared" si="2"/>
        <v>5.4726368159203981E-2</v>
      </c>
    </row>
    <row r="65" spans="1:28" x14ac:dyDescent="0.2">
      <c r="A65" s="13" t="s">
        <v>79</v>
      </c>
      <c r="B65" s="5">
        <v>10471</v>
      </c>
      <c r="C65" s="5">
        <v>10507</v>
      </c>
      <c r="D65" s="5">
        <v>10487</v>
      </c>
      <c r="E65" s="5">
        <v>10657</v>
      </c>
      <c r="F65" s="5">
        <v>11363</v>
      </c>
      <c r="G65" s="5">
        <v>14859</v>
      </c>
      <c r="H65" s="5">
        <v>20298</v>
      </c>
      <c r="I65" s="5">
        <v>19962</v>
      </c>
      <c r="J65" s="5">
        <v>33754</v>
      </c>
      <c r="K65" s="5">
        <v>58457</v>
      </c>
      <c r="L65" s="5">
        <v>57325</v>
      </c>
      <c r="M65" s="5">
        <v>61890</v>
      </c>
      <c r="N65" s="5">
        <v>57554</v>
      </c>
      <c r="O65" s="5">
        <v>57025</v>
      </c>
      <c r="P65" s="5">
        <v>57042</v>
      </c>
      <c r="Q65" s="5">
        <v>56806</v>
      </c>
      <c r="R65" s="5">
        <v>55150</v>
      </c>
      <c r="S65" s="5">
        <v>51794</v>
      </c>
      <c r="T65" s="5">
        <v>51788</v>
      </c>
      <c r="U65" s="5">
        <v>51811</v>
      </c>
      <c r="V65" s="5">
        <v>47465</v>
      </c>
      <c r="W65" s="5">
        <v>47659</v>
      </c>
      <c r="X65" s="5">
        <v>47381</v>
      </c>
      <c r="Y65" s="20">
        <f t="shared" si="0"/>
        <v>-8.5096933652583612E-2</v>
      </c>
      <c r="Z65" s="20">
        <f t="shared" si="1"/>
        <v>-5.8331060240458255E-3</v>
      </c>
      <c r="AA65" s="5">
        <v>47103</v>
      </c>
      <c r="AB65" s="20">
        <f t="shared" si="2"/>
        <v>-9.086873443863272E-2</v>
      </c>
    </row>
    <row r="66" spans="1:28" s="11" customFormat="1" x14ac:dyDescent="0.2">
      <c r="A66" s="16" t="s">
        <v>80</v>
      </c>
      <c r="B66" s="11">
        <f>SUM(B60:B65)</f>
        <v>112251</v>
      </c>
      <c r="C66" s="11">
        <f>SUM(C60:C65)</f>
        <v>114569</v>
      </c>
      <c r="D66" s="11">
        <f t="shared" ref="D66:AA66" si="15">SUM(D60:D65)</f>
        <v>115868</v>
      </c>
      <c r="E66" s="11">
        <f t="shared" si="15"/>
        <v>116949</v>
      </c>
      <c r="F66" s="11">
        <f t="shared" si="15"/>
        <v>119977</v>
      </c>
      <c r="G66" s="11">
        <f t="shared" si="15"/>
        <v>131204</v>
      </c>
      <c r="H66" s="11">
        <f t="shared" si="15"/>
        <v>136407</v>
      </c>
      <c r="I66" s="11">
        <f t="shared" si="15"/>
        <v>141925</v>
      </c>
      <c r="J66" s="11">
        <f t="shared" si="15"/>
        <v>152435</v>
      </c>
      <c r="K66" s="11">
        <f t="shared" si="15"/>
        <v>174254</v>
      </c>
      <c r="L66" s="11">
        <f t="shared" si="15"/>
        <v>172814</v>
      </c>
      <c r="M66" s="11">
        <f t="shared" si="15"/>
        <v>170211</v>
      </c>
      <c r="N66" s="11">
        <f t="shared" si="15"/>
        <v>167876</v>
      </c>
      <c r="O66" s="11">
        <f t="shared" si="15"/>
        <v>165420</v>
      </c>
      <c r="P66" s="11">
        <f t="shared" si="15"/>
        <v>161112</v>
      </c>
      <c r="Q66" s="11">
        <f t="shared" si="15"/>
        <v>153398</v>
      </c>
      <c r="R66" s="11">
        <f t="shared" si="15"/>
        <v>151069</v>
      </c>
      <c r="S66" s="11">
        <f t="shared" si="15"/>
        <v>150270</v>
      </c>
      <c r="T66" s="11">
        <f t="shared" si="15"/>
        <v>155193</v>
      </c>
      <c r="U66" s="11">
        <f t="shared" si="15"/>
        <v>152948</v>
      </c>
      <c r="V66" s="11">
        <f t="shared" si="15"/>
        <v>151831</v>
      </c>
      <c r="W66" s="11">
        <f t="shared" si="15"/>
        <v>150267</v>
      </c>
      <c r="X66" s="11">
        <f t="shared" si="15"/>
        <v>150998</v>
      </c>
      <c r="Y66" s="20">
        <f t="shared" si="0"/>
        <v>-2.7030858350569936E-2</v>
      </c>
      <c r="Z66" s="20">
        <f t="shared" si="1"/>
        <v>4.8646742132337772E-3</v>
      </c>
      <c r="AA66" s="11">
        <f t="shared" si="15"/>
        <v>154240</v>
      </c>
      <c r="AB66" s="20">
        <f t="shared" si="2"/>
        <v>8.4473154274655442E-3</v>
      </c>
    </row>
    <row r="67" spans="1:28" x14ac:dyDescent="0.2">
      <c r="Y67" s="20"/>
      <c r="Z67" s="20"/>
      <c r="AB67" s="20"/>
    </row>
    <row r="68" spans="1:28" x14ac:dyDescent="0.2">
      <c r="A68" s="9" t="s">
        <v>81</v>
      </c>
      <c r="B68" s="5">
        <f>B52-B66</f>
        <v>1298</v>
      </c>
      <c r="C68" s="5">
        <f>C52-C66</f>
        <v>-1374</v>
      </c>
      <c r="D68" s="5">
        <f t="shared" ref="D68:X68" si="16">D52-D66</f>
        <v>-1209</v>
      </c>
      <c r="E68" s="5">
        <f t="shared" si="16"/>
        <v>410</v>
      </c>
      <c r="F68" s="5">
        <f t="shared" si="16"/>
        <v>232</v>
      </c>
      <c r="G68" s="5">
        <f t="shared" si="16"/>
        <v>-4943</v>
      </c>
      <c r="H68" s="5">
        <f t="shared" si="16"/>
        <v>-3809</v>
      </c>
      <c r="I68" s="5">
        <f t="shared" si="16"/>
        <v>-8300</v>
      </c>
      <c r="J68" s="5">
        <f t="shared" si="16"/>
        <v>-9360</v>
      </c>
      <c r="K68" s="5">
        <f t="shared" si="16"/>
        <v>-11382</v>
      </c>
      <c r="L68" s="5">
        <f t="shared" si="16"/>
        <v>-11553</v>
      </c>
      <c r="M68" s="5">
        <f t="shared" si="16"/>
        <v>-18075</v>
      </c>
      <c r="N68" s="5">
        <f t="shared" si="16"/>
        <v>-17841</v>
      </c>
      <c r="O68" s="5">
        <f t="shared" si="16"/>
        <v>-16485</v>
      </c>
      <c r="P68" s="5">
        <f t="shared" si="16"/>
        <v>-14266</v>
      </c>
      <c r="Q68" s="5">
        <f t="shared" si="16"/>
        <v>-14846</v>
      </c>
      <c r="R68" s="5">
        <f t="shared" si="16"/>
        <v>-15268</v>
      </c>
      <c r="S68" s="5">
        <f t="shared" si="16"/>
        <v>-14791</v>
      </c>
      <c r="T68" s="5">
        <f t="shared" si="16"/>
        <v>-17635</v>
      </c>
      <c r="U68" s="5">
        <f t="shared" si="16"/>
        <v>-15848</v>
      </c>
      <c r="V68" s="5">
        <f t="shared" si="16"/>
        <v>-15484</v>
      </c>
      <c r="W68" s="5">
        <f t="shared" si="16"/>
        <v>-15493</v>
      </c>
      <c r="X68" s="5">
        <f t="shared" si="16"/>
        <v>-16717</v>
      </c>
      <c r="Y68" s="20">
        <f t="shared" si="0"/>
        <v>-5.2055571307059824E-2</v>
      </c>
      <c r="Z68" s="20">
        <f t="shared" si="1"/>
        <v>7.9003420899761187E-2</v>
      </c>
      <c r="AA68" s="5">
        <f t="shared" ref="AA68" si="17">AA52-AA66</f>
        <v>-17228</v>
      </c>
      <c r="AB68" s="20">
        <f t="shared" si="2"/>
        <v>8.7077233720343261E-2</v>
      </c>
    </row>
    <row r="69" spans="1:28" x14ac:dyDescent="0.2">
      <c r="A69" s="9" t="s">
        <v>83</v>
      </c>
      <c r="B69" s="5">
        <f>B7-B8+B9</f>
        <v>198961.36</v>
      </c>
      <c r="C69" s="5">
        <f>C7-C8+C9</f>
        <v>201511.73700000002</v>
      </c>
      <c r="D69" s="5">
        <f t="shared" ref="D69:X69" si="18">D7-D8+D9</f>
        <v>222891.09999999998</v>
      </c>
      <c r="E69" s="5">
        <f t="shared" si="18"/>
        <v>195195</v>
      </c>
      <c r="F69" s="5">
        <f t="shared" si="18"/>
        <v>226080.24000000002</v>
      </c>
      <c r="G69" s="5">
        <f t="shared" si="18"/>
        <v>215714.65</v>
      </c>
      <c r="H69" s="5">
        <f t="shared" si="18"/>
        <v>231376.43000000002</v>
      </c>
      <c r="I69" s="5">
        <f t="shared" si="18"/>
        <v>202197.16</v>
      </c>
      <c r="J69" s="5">
        <f t="shared" si="18"/>
        <v>108301.23999999999</v>
      </c>
      <c r="K69" s="5">
        <f t="shared" si="18"/>
        <v>145134.79999999999</v>
      </c>
      <c r="L69" s="5">
        <f t="shared" si="18"/>
        <v>144097.41999999998</v>
      </c>
      <c r="M69" s="5">
        <f t="shared" si="18"/>
        <v>177631.14</v>
      </c>
      <c r="N69" s="5">
        <f t="shared" si="18"/>
        <v>205205.44999999998</v>
      </c>
      <c r="O69" s="5">
        <f t="shared" si="18"/>
        <v>196628.4</v>
      </c>
      <c r="P69" s="5">
        <f t="shared" si="18"/>
        <v>182199.66</v>
      </c>
      <c r="Q69" s="5">
        <f t="shared" si="18"/>
        <v>168426.15999999997</v>
      </c>
      <c r="R69" s="5">
        <f t="shared" si="18"/>
        <v>163700</v>
      </c>
      <c r="S69" s="5">
        <f t="shared" si="18"/>
        <v>128595.12</v>
      </c>
      <c r="T69" s="5">
        <f t="shared" si="18"/>
        <v>115888.68</v>
      </c>
      <c r="U69" s="5">
        <f t="shared" si="18"/>
        <v>155710.70000000001</v>
      </c>
      <c r="V69" s="5">
        <f t="shared" si="18"/>
        <v>172674.29</v>
      </c>
      <c r="W69" s="5">
        <f t="shared" si="18"/>
        <v>173158.76</v>
      </c>
      <c r="X69" s="5">
        <f t="shared" si="18"/>
        <v>161810.76</v>
      </c>
      <c r="Y69" s="20">
        <f t="shared" si="0"/>
        <v>0.39626027322081864</v>
      </c>
      <c r="Z69" s="20">
        <f t="shared" si="1"/>
        <v>-6.5535234833051473E-2</v>
      </c>
      <c r="AA69" s="5">
        <f t="shared" ref="AA69" si="19">AA7-AA8+AA9</f>
        <v>197602.02600000001</v>
      </c>
      <c r="AB69" s="20">
        <f t="shared" si="2"/>
        <v>0.26903305938512895</v>
      </c>
    </row>
    <row r="70" spans="1:28" x14ac:dyDescent="0.2">
      <c r="A70" s="9" t="s">
        <v>82</v>
      </c>
      <c r="B70" s="18">
        <f t="shared" ref="B70:AA70" si="20">B33/B6</f>
        <v>4.1490787269681739</v>
      </c>
      <c r="C70" s="18">
        <f t="shared" si="20"/>
        <v>3.7302531000509593</v>
      </c>
      <c r="D70" s="18">
        <f t="shared" si="20"/>
        <v>4.0118845500848899</v>
      </c>
      <c r="E70" s="18">
        <f t="shared" si="20"/>
        <v>5.8430034129692832</v>
      </c>
      <c r="F70" s="18">
        <f t="shared" si="20"/>
        <v>3.7569930069930071</v>
      </c>
      <c r="G70" s="18">
        <f t="shared" si="20"/>
        <v>-5.2070796460176991</v>
      </c>
      <c r="H70" s="18">
        <f t="shared" si="20"/>
        <v>2.0509666080843587</v>
      </c>
      <c r="I70" s="18">
        <f t="shared" si="20"/>
        <v>-1.784452296819788</v>
      </c>
      <c r="J70" s="18">
        <f t="shared" si="20"/>
        <v>-1.1325088339222615</v>
      </c>
      <c r="K70" s="18">
        <f t="shared" si="20"/>
        <v>-4.2314487632508833</v>
      </c>
      <c r="L70" s="18">
        <f t="shared" si="20"/>
        <v>-0.82186948853615516</v>
      </c>
      <c r="M70" s="18">
        <f t="shared" si="20"/>
        <v>-14.83128295254833</v>
      </c>
      <c r="N70" s="18">
        <f t="shared" si="20"/>
        <v>-0.95897435897435901</v>
      </c>
      <c r="O70" s="18">
        <f t="shared" si="20"/>
        <v>0.96101694915254232</v>
      </c>
      <c r="P70" s="18">
        <f t="shared" si="20"/>
        <v>-0.22410865874363328</v>
      </c>
      <c r="Q70" s="18">
        <f t="shared" si="20"/>
        <v>-7.0816326530612246</v>
      </c>
      <c r="R70" s="18">
        <f t="shared" si="20"/>
        <v>-2.0979729729729728</v>
      </c>
      <c r="S70" s="18">
        <f t="shared" si="20"/>
        <v>0.26845637583892618</v>
      </c>
      <c r="T70" s="18">
        <f t="shared" si="20"/>
        <v>-5.550335570469799</v>
      </c>
      <c r="U70" s="18">
        <f t="shared" si="20"/>
        <v>-1.1142857142857143</v>
      </c>
      <c r="V70" s="18">
        <f t="shared" si="20"/>
        <v>-0.70480928689883915</v>
      </c>
      <c r="W70" s="18">
        <f t="shared" si="20"/>
        <v>-0.24587458745874588</v>
      </c>
      <c r="X70" s="18">
        <f t="shared" si="20"/>
        <v>-2.6985172981878089</v>
      </c>
      <c r="Y70" s="18">
        <f t="shared" si="20"/>
        <v>-27.352973507749805</v>
      </c>
      <c r="Z70" s="18">
        <f t="shared" si="20"/>
        <v>6055.9328859060406</v>
      </c>
      <c r="AA70" s="18">
        <f t="shared" si="20"/>
        <v>-4.9496782709123908E-2</v>
      </c>
      <c r="AB70" s="20">
        <f t="shared" ref="AB70:AB72" si="21">(AA70-U70)/U70</f>
        <v>-0.95557981038924777</v>
      </c>
    </row>
    <row r="71" spans="1:28" x14ac:dyDescent="0.2">
      <c r="A71" s="21" t="s">
        <v>88</v>
      </c>
      <c r="B71" s="22">
        <f>(B17-B22)/B17</f>
        <v>0.19493627576768455</v>
      </c>
      <c r="C71" s="22">
        <f t="shared" ref="C71:X71" si="22">(C17-C22)/C17</f>
        <v>0.19465743259955479</v>
      </c>
      <c r="D71" s="22">
        <f t="shared" si="22"/>
        <v>0.16328640738089556</v>
      </c>
      <c r="E71" s="22">
        <f t="shared" si="22"/>
        <v>0.22056384742951907</v>
      </c>
      <c r="F71" s="22">
        <f t="shared" si="22"/>
        <v>0.18641183400968714</v>
      </c>
      <c r="G71" s="22">
        <f t="shared" si="22"/>
        <v>-0.13072185892959176</v>
      </c>
      <c r="H71" s="22">
        <f t="shared" si="22"/>
        <v>0.15265265265265265</v>
      </c>
      <c r="I71" s="22">
        <f t="shared" si="22"/>
        <v>-4.4497794651331586E-2</v>
      </c>
      <c r="J71" s="22">
        <f t="shared" si="22"/>
        <v>8.2801040927371651E-3</v>
      </c>
      <c r="K71" s="22">
        <f t="shared" si="22"/>
        <v>-9.917845345981198E-2</v>
      </c>
      <c r="L71" s="22">
        <f t="shared" si="22"/>
        <v>7.3131055944550535E-2</v>
      </c>
      <c r="M71" s="22">
        <f t="shared" si="22"/>
        <v>-0.37166753789858858</v>
      </c>
      <c r="N71" s="22">
        <f t="shared" si="22"/>
        <v>9.2593809555102852E-2</v>
      </c>
      <c r="O71" s="22">
        <f t="shared" si="22"/>
        <v>0.1417813860454171</v>
      </c>
      <c r="P71" s="22">
        <f t="shared" si="22"/>
        <v>0.11205655190469957</v>
      </c>
      <c r="Q71" s="22">
        <f t="shared" si="22"/>
        <v>-0.16994524437233827</v>
      </c>
      <c r="R71" s="22">
        <f t="shared" si="22"/>
        <v>2.4730183689514688E-2</v>
      </c>
      <c r="S71" s="22">
        <f t="shared" si="22"/>
        <v>0.12721059888495895</v>
      </c>
      <c r="T71" s="22">
        <f t="shared" si="22"/>
        <v>-5.1516670844823267E-2</v>
      </c>
      <c r="U71" s="22">
        <f t="shared" si="22"/>
        <v>9.2892892892892889E-2</v>
      </c>
      <c r="V71" s="22">
        <f t="shared" si="22"/>
        <v>0.10730427989509514</v>
      </c>
      <c r="W71" s="22">
        <f t="shared" si="22"/>
        <v>9.8172244443319331E-2</v>
      </c>
      <c r="X71" s="22">
        <f t="shared" si="22"/>
        <v>6.4350419796730007E-2</v>
      </c>
      <c r="AA71" s="22">
        <f t="shared" ref="AA71" si="23">(AA17-AA22)/AA17</f>
        <v>0.12249068943591607</v>
      </c>
      <c r="AB71" s="20">
        <f t="shared" si="21"/>
        <v>0.31862283131982927</v>
      </c>
    </row>
    <row r="72" spans="1:28" x14ac:dyDescent="0.2">
      <c r="A72" s="21" t="s">
        <v>87</v>
      </c>
      <c r="B72" s="22">
        <f>B33/B17</f>
        <v>0.10593619023180224</v>
      </c>
      <c r="C72" s="22">
        <f t="shared" ref="C72:X72" si="24">C33/C17</f>
        <v>9.0526836507543909E-2</v>
      </c>
      <c r="D72" s="22">
        <f t="shared" si="24"/>
        <v>9.3971208144436491E-2</v>
      </c>
      <c r="E72" s="22">
        <f t="shared" si="24"/>
        <v>0.12081436787692743</v>
      </c>
      <c r="F72" s="22">
        <f t="shared" si="24"/>
        <v>9.3773181480996642E-2</v>
      </c>
      <c r="G72" s="22">
        <f t="shared" si="24"/>
        <v>-0.18678179163227732</v>
      </c>
      <c r="H72" s="22">
        <f t="shared" si="24"/>
        <v>5.8408408408408406E-2</v>
      </c>
      <c r="I72" s="22">
        <f t="shared" si="24"/>
        <v>-5.63899279772207E-2</v>
      </c>
      <c r="J72" s="22">
        <f t="shared" si="24"/>
        <v>-3.7911048024603738E-2</v>
      </c>
      <c r="K72" s="22">
        <f t="shared" si="24"/>
        <v>-0.20284576945879562</v>
      </c>
      <c r="L72" s="22">
        <f t="shared" si="24"/>
        <v>-3.2958483626847723E-2</v>
      </c>
      <c r="M72" s="22">
        <f t="shared" si="24"/>
        <v>-0.55142446419236801</v>
      </c>
      <c r="N72" s="22">
        <f t="shared" si="24"/>
        <v>-3.6866662285601627E-2</v>
      </c>
      <c r="O72" s="22">
        <f t="shared" si="24"/>
        <v>3.3356865513589837E-2</v>
      </c>
      <c r="P72" s="22">
        <f t="shared" si="24"/>
        <v>-8.6398743291006674E-3</v>
      </c>
      <c r="Q72" s="22">
        <f t="shared" si="24"/>
        <v>-0.28148448590549585</v>
      </c>
      <c r="R72" s="22">
        <f t="shared" si="24"/>
        <v>-8.8771353012650989E-2</v>
      </c>
      <c r="S72" s="22">
        <f t="shared" si="24"/>
        <v>9.5917510940591085E-3</v>
      </c>
      <c r="T72" s="22">
        <f t="shared" si="24"/>
        <v>-0.20732013035848584</v>
      </c>
      <c r="U72" s="22">
        <f t="shared" si="24"/>
        <v>-3.3183183183183182E-2</v>
      </c>
      <c r="V72" s="22">
        <f t="shared" si="24"/>
        <v>-2.3715194464594611E-2</v>
      </c>
      <c r="W72" s="22">
        <f t="shared" si="24"/>
        <v>-7.5439218267429496E-3</v>
      </c>
      <c r="X72" s="22">
        <f t="shared" si="24"/>
        <v>-9.0477242598320809E-2</v>
      </c>
      <c r="AA72" s="22">
        <f t="shared" ref="AA72" si="25">AA33/AA17</f>
        <v>-1.3625215732582432E-3</v>
      </c>
      <c r="AB72" s="20">
        <f t="shared" si="21"/>
        <v>-0.95893939512262483</v>
      </c>
    </row>
    <row r="73" spans="1:28" x14ac:dyDescent="0.2">
      <c r="A73" s="2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2AF3359-AA7B-4C3F-BB32-4122371AAA35}">
  <ds:schemaRefs>
    <ds:schemaRef ds:uri="http://purl.org/dc/dcmitype/"/>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36567613-e428-4167-ab55-a4f66cede826"/>
  </ds:schemaRefs>
</ds:datastoreItem>
</file>

<file path=customXml/itemProps2.xml><?xml version="1.0" encoding="utf-8"?>
<ds:datastoreItem xmlns:ds="http://schemas.openxmlformats.org/officeDocument/2006/customXml" ds:itemID="{C9B4B395-A628-4AF2-9AB1-05807B2F72E8}">
  <ds:schemaRefs>
    <ds:schemaRef ds:uri="http://schemas.microsoft.com/sharepoint/v3/contenttype/forms"/>
  </ds:schemaRefs>
</ds:datastoreItem>
</file>

<file path=customXml/itemProps3.xml><?xml version="1.0" encoding="utf-8"?>
<ds:datastoreItem xmlns:ds="http://schemas.openxmlformats.org/officeDocument/2006/customXml" ds:itemID="{D7B65BE3-2FEE-4BB2-9D33-4999A2AE77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dcterms:created xsi:type="dcterms:W3CDTF">2023-02-21T16:55:27Z</dcterms:created>
  <dcterms:modified xsi:type="dcterms:W3CDTF">2024-02-06T04:48:05Z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