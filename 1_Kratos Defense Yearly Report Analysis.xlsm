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F5D422A3-6BB7-48AD-815E-5FE1F3244124}" xr6:coauthVersionLast="47" xr6:coauthVersionMax="47" xr10:uidLastSave="{00000000-0000-0000-0000-000000000000}"/>
  <bookViews>
    <workbookView xWindow="-120" yWindow="-120" windowWidth="29040" windowHeight="15720" xr2:uid="{57DEA323-E204-44E7-AD7B-E92EB4E4853D}"/>
  </bookViews>
  <sheets>
    <sheet name="Statements" sheetId="1" r:id="rId1"/>
    <sheet name="Analysis" sheetId="2" r:id="rId2"/>
    <sheet name="Note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50" i="1" l="1"/>
  <c r="T50" i="1"/>
  <c r="S50" i="1"/>
  <c r="R50" i="1"/>
  <c r="Q50" i="1"/>
  <c r="P50" i="1"/>
  <c r="O50" i="1"/>
  <c r="D11" i="3"/>
  <c r="D10" i="3"/>
  <c r="D9" i="3"/>
  <c r="D8" i="3"/>
  <c r="D7" i="3"/>
  <c r="D6" i="3"/>
  <c r="D5" i="3"/>
  <c r="X41" i="1"/>
  <c r="W41" i="1"/>
  <c r="V41" i="1"/>
  <c r="X40" i="1"/>
  <c r="W40" i="1"/>
  <c r="V40" i="1"/>
  <c r="X36" i="1"/>
  <c r="W36" i="1"/>
  <c r="V36" i="1"/>
  <c r="X35" i="1"/>
  <c r="W35" i="1"/>
  <c r="V35" i="1"/>
  <c r="X34" i="1"/>
  <c r="W34" i="1"/>
  <c r="V34" i="1"/>
  <c r="X33" i="1"/>
  <c r="W33" i="1"/>
  <c r="V33" i="1"/>
  <c r="X32" i="1"/>
  <c r="W32" i="1"/>
  <c r="V32" i="1"/>
  <c r="X31" i="1"/>
  <c r="W31" i="1"/>
  <c r="V31" i="1"/>
  <c r="X30" i="1"/>
  <c r="W30" i="1"/>
  <c r="V30" i="1"/>
  <c r="X29" i="1"/>
  <c r="W29" i="1"/>
  <c r="V29" i="1"/>
  <c r="X24" i="1"/>
  <c r="W24" i="1"/>
  <c r="V24" i="1"/>
  <c r="X23" i="1"/>
  <c r="W23" i="1"/>
  <c r="V23" i="1"/>
  <c r="X22" i="1"/>
  <c r="W22" i="1"/>
  <c r="V22" i="1"/>
  <c r="X21" i="1"/>
  <c r="W21" i="1"/>
  <c r="V21" i="1"/>
  <c r="X20" i="1"/>
  <c r="W20" i="1"/>
  <c r="V20" i="1"/>
  <c r="X18" i="1"/>
  <c r="W18" i="1"/>
  <c r="V18" i="1"/>
  <c r="X17" i="1"/>
  <c r="W17" i="1"/>
  <c r="V17" i="1"/>
  <c r="X16" i="1"/>
  <c r="W16" i="1"/>
  <c r="V16" i="1"/>
  <c r="X15" i="1"/>
  <c r="W15" i="1"/>
  <c r="V15" i="1"/>
  <c r="X14" i="1"/>
  <c r="W14" i="1"/>
  <c r="V14" i="1"/>
  <c r="X13" i="1"/>
  <c r="W13" i="1"/>
  <c r="V13" i="1"/>
  <c r="X12" i="1"/>
  <c r="W12" i="1"/>
  <c r="V12" i="1"/>
  <c r="X11" i="1"/>
  <c r="W11" i="1"/>
  <c r="V11" i="1"/>
  <c r="L40" i="1"/>
  <c r="K40" i="1"/>
  <c r="J40" i="1"/>
  <c r="L38" i="1"/>
  <c r="K38" i="1"/>
  <c r="J38" i="1"/>
  <c r="L35" i="1"/>
  <c r="K35" i="1"/>
  <c r="J35" i="1"/>
  <c r="L33" i="1"/>
  <c r="K33" i="1"/>
  <c r="J33" i="1"/>
  <c r="L32" i="1"/>
  <c r="K32" i="1"/>
  <c r="J32" i="1"/>
  <c r="L31" i="1"/>
  <c r="K31" i="1"/>
  <c r="J31" i="1"/>
  <c r="L27" i="1"/>
  <c r="K27" i="1"/>
  <c r="J27" i="1"/>
  <c r="L26" i="1"/>
  <c r="K26" i="1"/>
  <c r="J26" i="1"/>
  <c r="L25" i="1"/>
  <c r="K25" i="1"/>
  <c r="J25" i="1"/>
  <c r="L24" i="1"/>
  <c r="K24" i="1"/>
  <c r="J24" i="1"/>
  <c r="L23" i="1"/>
  <c r="K23" i="1"/>
  <c r="J23" i="1"/>
  <c r="L17" i="1"/>
  <c r="K17" i="1"/>
  <c r="J17" i="1"/>
  <c r="L16" i="1"/>
  <c r="K16" i="1"/>
  <c r="J16" i="1"/>
  <c r="L12" i="1"/>
  <c r="K12" i="1"/>
  <c r="J12" i="1"/>
  <c r="L11" i="1"/>
  <c r="K11" i="1"/>
  <c r="J11" i="1"/>
  <c r="L10" i="1"/>
  <c r="K10" i="1"/>
  <c r="J10" i="1"/>
  <c r="U46" i="1"/>
  <c r="U45" i="1"/>
  <c r="U39" i="1"/>
  <c r="T39" i="1"/>
  <c r="S39" i="1"/>
  <c r="U37" i="1"/>
  <c r="U19" i="1"/>
  <c r="I41" i="1"/>
  <c r="I28" i="1"/>
  <c r="I18" i="1"/>
  <c r="I13" i="1"/>
  <c r="T46" i="1"/>
  <c r="S46" i="1"/>
  <c r="R46" i="1"/>
  <c r="Q46" i="1"/>
  <c r="P46" i="1"/>
  <c r="T45" i="1"/>
  <c r="S45" i="1"/>
  <c r="R45" i="1"/>
  <c r="Q45" i="1"/>
  <c r="P45" i="1"/>
  <c r="O46" i="1"/>
  <c r="O45" i="1"/>
  <c r="G41" i="1"/>
  <c r="S47" i="1" s="1"/>
  <c r="F41" i="1"/>
  <c r="R47" i="1" s="1"/>
  <c r="E41" i="1"/>
  <c r="Q47" i="1" s="1"/>
  <c r="D41" i="1"/>
  <c r="P47" i="1" s="1"/>
  <c r="C41" i="1"/>
  <c r="O47" i="1" s="1"/>
  <c r="H41" i="1"/>
  <c r="T47" i="1" s="1"/>
  <c r="H28" i="1"/>
  <c r="G28" i="1"/>
  <c r="F28" i="1"/>
  <c r="E28" i="1"/>
  <c r="D28" i="1"/>
  <c r="H18" i="1"/>
  <c r="G18" i="1"/>
  <c r="F18" i="1"/>
  <c r="E18" i="1"/>
  <c r="D18" i="1"/>
  <c r="T37" i="1"/>
  <c r="S37" i="1"/>
  <c r="R37" i="1"/>
  <c r="R42" i="1" s="1"/>
  <c r="Q37" i="1"/>
  <c r="Q42" i="1" s="1"/>
  <c r="P37" i="1"/>
  <c r="P42" i="1" s="1"/>
  <c r="O37" i="1"/>
  <c r="O42" i="1" s="1"/>
  <c r="T19" i="1"/>
  <c r="S19" i="1"/>
  <c r="S25" i="1" s="1"/>
  <c r="R19" i="1"/>
  <c r="R25" i="1" s="1"/>
  <c r="Q19" i="1"/>
  <c r="Q25" i="1" s="1"/>
  <c r="P19" i="1"/>
  <c r="P25" i="1" s="1"/>
  <c r="O19" i="1"/>
  <c r="O25" i="1" s="1"/>
  <c r="C28" i="1"/>
  <c r="C18" i="1"/>
  <c r="H13" i="1"/>
  <c r="G13" i="1"/>
  <c r="F13" i="1"/>
  <c r="E13" i="1"/>
  <c r="D13" i="1"/>
  <c r="C13" i="1"/>
  <c r="U47" i="1" l="1"/>
  <c r="S42" i="1"/>
  <c r="W46" i="1"/>
  <c r="X46" i="1"/>
  <c r="V46" i="1"/>
  <c r="X45" i="1"/>
  <c r="V45" i="1"/>
  <c r="W45" i="1"/>
  <c r="X39" i="1"/>
  <c r="W39" i="1"/>
  <c r="V39" i="1"/>
  <c r="V37" i="1"/>
  <c r="U42" i="1"/>
  <c r="X37" i="1"/>
  <c r="W37" i="1"/>
  <c r="X19" i="1"/>
  <c r="V19" i="1"/>
  <c r="W19" i="1"/>
  <c r="U25" i="1"/>
  <c r="K41" i="1"/>
  <c r="J41" i="1"/>
  <c r="L41" i="1"/>
  <c r="L28" i="1"/>
  <c r="K28" i="1"/>
  <c r="J28" i="1"/>
  <c r="J18" i="1"/>
  <c r="K18" i="1"/>
  <c r="L18" i="1"/>
  <c r="L13" i="1"/>
  <c r="J13" i="1"/>
  <c r="I20" i="1"/>
  <c r="K13" i="1"/>
  <c r="C20" i="1"/>
  <c r="O44" i="1"/>
  <c r="H20" i="1"/>
  <c r="G20" i="1"/>
  <c r="T42" i="1"/>
  <c r="T44" i="1" s="1"/>
  <c r="T25" i="1"/>
  <c r="P44" i="1"/>
  <c r="D20" i="1"/>
  <c r="R44" i="1"/>
  <c r="Q44" i="1"/>
  <c r="E20" i="1"/>
  <c r="F20" i="1"/>
  <c r="S44" i="1"/>
  <c r="C4" i="1" a="1"/>
  <c r="W47" i="1" l="1"/>
  <c r="V47" i="1"/>
  <c r="X47" i="1"/>
  <c r="X42" i="1"/>
  <c r="V42" i="1"/>
  <c r="W42" i="1"/>
  <c r="X50" i="1"/>
  <c r="V50" i="1"/>
  <c r="W50" i="1"/>
  <c r="U44" i="1"/>
  <c r="X25" i="1"/>
  <c r="V25" i="1"/>
  <c r="W25" i="1"/>
  <c r="K20" i="1"/>
  <c r="I30" i="1"/>
  <c r="J20" i="1"/>
  <c r="L20" i="1"/>
  <c r="I43" i="1"/>
  <c r="C30" i="1"/>
  <c r="C43" i="1"/>
  <c r="H30" i="1"/>
  <c r="H43" i="1"/>
  <c r="G30" i="1"/>
  <c r="G43" i="1"/>
  <c r="D30" i="1"/>
  <c r="D43" i="1"/>
  <c r="E30" i="1"/>
  <c r="E43" i="1"/>
  <c r="F30" i="1"/>
  <c r="F43" i="1"/>
  <c r="T49" i="1"/>
  <c r="T48" i="1"/>
  <c r="C34" i="1"/>
  <c r="O48" i="1"/>
  <c r="O49" i="1"/>
  <c r="D34" i="1"/>
  <c r="P48" i="1"/>
  <c r="P49" i="1"/>
  <c r="E34" i="1"/>
  <c r="Q48" i="1"/>
  <c r="Q49" i="1"/>
  <c r="F34" i="1"/>
  <c r="R48" i="1"/>
  <c r="R49" i="1"/>
  <c r="G34" i="1"/>
  <c r="S48" i="1"/>
  <c r="S49" i="1"/>
  <c r="H34" i="1"/>
  <c r="H42" i="1" s="1"/>
  <c r="C6" i="1"/>
  <c r="X44" i="1" l="1"/>
  <c r="V44" i="1"/>
  <c r="W44" i="1"/>
  <c r="U48" i="1"/>
  <c r="U49" i="1"/>
  <c r="K30" i="1"/>
  <c r="J30" i="1"/>
  <c r="I34" i="1"/>
  <c r="L30" i="1"/>
  <c r="L43" i="1"/>
  <c r="J43" i="1"/>
  <c r="K43" i="1"/>
  <c r="C36" i="1"/>
  <c r="C42" i="1"/>
  <c r="D36" i="1"/>
  <c r="D42" i="1"/>
  <c r="E36" i="1"/>
  <c r="E42" i="1"/>
  <c r="F36" i="1"/>
  <c r="F42" i="1"/>
  <c r="G36" i="1"/>
  <c r="G42" i="1"/>
  <c r="H36" i="1"/>
  <c r="H44" i="1" s="1"/>
  <c r="V48" i="1" l="1"/>
  <c r="X48" i="1"/>
  <c r="W48" i="1"/>
  <c r="W49" i="1"/>
  <c r="V49" i="1"/>
  <c r="X49" i="1"/>
  <c r="I36" i="1"/>
  <c r="L34" i="1"/>
  <c r="I42" i="1"/>
  <c r="K34" i="1"/>
  <c r="J34" i="1"/>
  <c r="C44" i="1"/>
  <c r="C39" i="1"/>
  <c r="D44" i="1"/>
  <c r="D39" i="1"/>
  <c r="E44" i="1"/>
  <c r="E39" i="1"/>
  <c r="F44" i="1"/>
  <c r="F39" i="1"/>
  <c r="G44" i="1"/>
  <c r="G39" i="1"/>
  <c r="H39" i="1"/>
  <c r="I44" i="1" l="1"/>
  <c r="L36" i="1"/>
  <c r="I39" i="1"/>
  <c r="K36" i="1"/>
  <c r="J36" i="1"/>
  <c r="J42" i="1"/>
  <c r="L42" i="1"/>
  <c r="K42" i="1"/>
  <c r="L44" i="1" l="1"/>
  <c r="K44" i="1"/>
  <c r="J44" i="1"/>
  <c r="K39" i="1"/>
  <c r="J39" i="1"/>
  <c r="L3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<sst xmlns="http://schemas.openxmlformats.org/spreadsheetml/2006/main" count="115" uniqueCount="91">
  <si>
    <t>Price</t>
  </si>
  <si>
    <t>Shares outstanding</t>
  </si>
  <si>
    <t>Mkt cap</t>
  </si>
  <si>
    <t>Revenues</t>
  </si>
  <si>
    <t>1Y</t>
  </si>
  <si>
    <t>2Y</t>
  </si>
  <si>
    <t>Assets</t>
  </si>
  <si>
    <t>Current</t>
  </si>
  <si>
    <t>2019</t>
  </si>
  <si>
    <t>2020</t>
  </si>
  <si>
    <t>2021</t>
  </si>
  <si>
    <t>2022</t>
  </si>
  <si>
    <t>2023</t>
  </si>
  <si>
    <t>2024</t>
  </si>
  <si>
    <t>.</t>
  </si>
  <si>
    <t>Total Revenue</t>
  </si>
  <si>
    <t>EBT</t>
  </si>
  <si>
    <t>Taxes</t>
  </si>
  <si>
    <t>Net income</t>
  </si>
  <si>
    <t>EPS</t>
  </si>
  <si>
    <t>Gov. solutions, serivces</t>
  </si>
  <si>
    <t>Gov. solutions, product</t>
  </si>
  <si>
    <t>Unmanned systems</t>
  </si>
  <si>
    <t>Cost of Revenues</t>
  </si>
  <si>
    <t>Cost of services</t>
  </si>
  <si>
    <t>Cost of product sales</t>
  </si>
  <si>
    <t>Total Cost of Rev</t>
  </si>
  <si>
    <t>Gross profit</t>
  </si>
  <si>
    <t>Expenses</t>
  </si>
  <si>
    <t>SG&amp;A</t>
  </si>
  <si>
    <t>Merger &amp; acq related items</t>
  </si>
  <si>
    <t>R&amp;D</t>
  </si>
  <si>
    <t>Impr of goodwill</t>
  </si>
  <si>
    <t>Restructuring expenses</t>
  </si>
  <si>
    <t>Total expenses</t>
  </si>
  <si>
    <t>Interest expense, net</t>
  </si>
  <si>
    <t>Loss on exting of debt</t>
  </si>
  <si>
    <t>Other income</t>
  </si>
  <si>
    <t>EBITDA</t>
  </si>
  <si>
    <t>Cash</t>
  </si>
  <si>
    <t>Restricted cash</t>
  </si>
  <si>
    <t>AR</t>
  </si>
  <si>
    <t>Unbilled receivables</t>
  </si>
  <si>
    <t>Inventories</t>
  </si>
  <si>
    <t>Prepaids</t>
  </si>
  <si>
    <t>Other</t>
  </si>
  <si>
    <t>Discontinued ops, assets</t>
  </si>
  <si>
    <t>Total Current</t>
  </si>
  <si>
    <t>PPE, net</t>
  </si>
  <si>
    <t>Leases</t>
  </si>
  <si>
    <t>Goodwill</t>
  </si>
  <si>
    <t>Intangibles</t>
  </si>
  <si>
    <t>Total Assets</t>
  </si>
  <si>
    <t>Liabilities</t>
  </si>
  <si>
    <t>AP</t>
  </si>
  <si>
    <t>Accr exp</t>
  </si>
  <si>
    <t>Accr comp</t>
  </si>
  <si>
    <t>Accr intr</t>
  </si>
  <si>
    <t>Billings in excess costs</t>
  </si>
  <si>
    <t>Discontined ops</t>
  </si>
  <si>
    <t>LT debt</t>
  </si>
  <si>
    <t>Discontinued ops</t>
  </si>
  <si>
    <t>Total Liabilities</t>
  </si>
  <si>
    <t>Equity</t>
  </si>
  <si>
    <t>Kratos Defense Notes:</t>
  </si>
  <si>
    <t>Main aspects of business; unmanned systems (drones), space and satellite communications, microwave electronics, cybersecurity</t>
  </si>
  <si>
    <t>warfare, missile defense, hypersonice systems, C5ISR, turbine technologies, jet and rocket engines and training systems.</t>
  </si>
  <si>
    <r>
      <t xml:space="preserve">Primary provider of jet target drone systems to the US Navy, w/ the </t>
    </r>
    <r>
      <rPr>
        <i/>
        <sz val="12"/>
        <color theme="1"/>
        <rFont val="Arial"/>
        <family val="2"/>
      </rPr>
      <t>BQM-177</t>
    </r>
    <r>
      <rPr>
        <sz val="12"/>
        <color theme="1"/>
        <rFont val="Arial"/>
        <family val="2"/>
      </rPr>
      <t xml:space="preserve">, the US AirForce, and the US Army with the </t>
    </r>
    <r>
      <rPr>
        <i/>
        <sz val="12"/>
        <color theme="1"/>
        <rFont val="Arial"/>
        <family val="2"/>
      </rPr>
      <t>MQM-178</t>
    </r>
    <r>
      <rPr>
        <sz val="12"/>
        <color theme="1"/>
        <rFont val="Arial"/>
        <family val="2"/>
      </rPr>
      <t>.</t>
    </r>
  </si>
  <si>
    <t>Industry leader in the rapid development of low cost jet engines for missles, drones and other systems.</t>
  </si>
  <si>
    <r>
      <t xml:space="preserve">Awarded the </t>
    </r>
    <r>
      <rPr>
        <i/>
        <sz val="12"/>
        <color theme="1"/>
        <rFont val="Arial"/>
        <family val="2"/>
      </rPr>
      <t>Mach TB 2.0 Hypersonic System</t>
    </r>
    <r>
      <rPr>
        <sz val="12"/>
        <color theme="1"/>
        <rFont val="Arial"/>
        <family val="2"/>
      </rPr>
      <t xml:space="preserve"> related contract, the largest contract in Kratos history at $1.45B, over 5-years.</t>
    </r>
  </si>
  <si>
    <t>Debt</t>
  </si>
  <si>
    <t>EV</t>
  </si>
  <si>
    <t>EBITDA / EV</t>
  </si>
  <si>
    <t>EV / EBITDA</t>
  </si>
  <si>
    <t>Screening Score</t>
  </si>
  <si>
    <t>Column1</t>
  </si>
  <si>
    <t>2025</t>
  </si>
  <si>
    <t>Revenue (CAGR)</t>
  </si>
  <si>
    <t>EBITDA Margin</t>
  </si>
  <si>
    <t>ROE</t>
  </si>
  <si>
    <t>ROIC</t>
  </si>
  <si>
    <t>Debt-to-EBITDA</t>
  </si>
  <si>
    <t>EPS σ</t>
  </si>
  <si>
    <t>EV-to-EBITDA</t>
  </si>
  <si>
    <t>Industry</t>
  </si>
  <si>
    <t>6Y</t>
  </si>
  <si>
    <t>NOPAT</t>
  </si>
  <si>
    <t>Gross margin</t>
  </si>
  <si>
    <t>Net margin</t>
  </si>
  <si>
    <t>IC</t>
  </si>
  <si>
    <t>Aerospace &amp; Defense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</si>
</sst>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409]* #,##0.00_);_([$$-409]* \(#,##0.00\);_([$$-409]* &quot;-&quot;??_);_(@_)"/>
    <numFmt numFmtId="165" formatCode="_(* #,##0.0_);_(* \(#,##0.0\);_(* &quot;-&quot;??_);_(@_)"/>
    <numFmt numFmtId="166" formatCode="_(* #,##0_);_(* \(#,##0\);_(* &quot;-&quot;??_);_(@_)"/>
    <numFmt numFmtId="167" formatCode="0.0%"/>
    <numFmt numFmtId="168" formatCode="0.000"/>
    <numFmt numFmtId="169" formatCode="0.000%"/>
  </numFmts>
  <fonts count="21" x14ac:knownFonts="1">
    <font>
      <sz val="11"/>
      <color theme="1"/>
      <name val="Aptos Narrow"/>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sz val="10"/>
      <color theme="4"/>
      <name val="Arial"/>
      <family val="2"/>
    </font>
    <font>
      <b/>
      <sz val="10"/>
      <color theme="0"/>
      <name val="Arial"/>
      <family val="2"/>
    </font>
    <font>
      <sz val="10"/>
      <color theme="0"/>
      <name val="Arial"/>
      <family val="2"/>
    </font>
    <font>
      <sz val="12"/>
      <color theme="1"/>
      <name val="Arial"/>
      <family val="2"/>
    </font>
    <font>
      <b/>
      <sz val="16"/>
      <color theme="1"/>
      <name val="Arial"/>
      <family val="2"/>
    </font>
    <font>
      <sz val="11"/>
      <color theme="0"/>
      <name val="Aptos Narrow"/>
      <family val="2"/>
      <scheme val="minor"/>
    </font>
    <font>
      <i/>
      <sz val="12"/>
      <color theme="1"/>
      <name val="Arial"/>
      <family val="2"/>
    </font>
    <font>
      <b/>
      <sz val="12"/>
      <color theme="1"/>
      <name val="Arial"/>
      <family val="2"/>
    </font>
    <font>
      <sz val="12"/>
      <color theme="4"/>
      <name val="Arial"/>
      <family val="2"/>
    </font>
    <font>
      <sz val="12"/>
      <color theme="0"/>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43"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cellStyleXfs>
  <cellXfs count="87">
    <xf numFmtId="0" fontId="0" fillId="0" borderId="0" xfId="0"/>
    <xf numFmtId="0" fontId="9" fillId="0" borderId="0" xfId="0" applyFont="1"/>
    <xf numFmtId="164" fontId="9" fillId="0" borderId="0" xfId="0" applyNumberFormat="1" applyFont="1"/>
    <xf numFmtId="0" fontId="10" fillId="0" borderId="1" xfId="0" applyFont="1" applyBorder="1"/>
    <xf numFmtId="0" fontId="10" fillId="0" borderId="2" xfId="0" applyFont="1" applyBorder="1"/>
    <xf numFmtId="0" fontId="10" fillId="0" borderId="0" xfId="0" applyFont="1"/>
    <xf numFmtId="0" fontId="10" fillId="2" borderId="1" xfId="0" applyFont="1" applyFill="1" applyBorder="1" applyAlignment="1">
      <alignment horizontal="center"/>
    </xf>
    <xf numFmtId="0" fontId="10" fillId="3" borderId="1" xfId="0" applyFont="1" applyFill="1" applyBorder="1" applyAlignment="1">
      <alignment horizontal="center"/>
    </xf>
    <xf numFmtId="0" fontId="10" fillId="4" borderId="1" xfId="0" applyFont="1" applyFill="1" applyBorder="1" applyAlignment="1">
      <alignment horizontal="center"/>
    </xf>
    <xf numFmtId="0" fontId="9" fillId="2" borderId="0" xfId="0" applyFont="1" applyFill="1"/>
    <xf numFmtId="0" fontId="9" fillId="3" borderId="0" xfId="0" applyFont="1" applyFill="1"/>
    <xf numFmtId="0" fontId="9" fillId="4" borderId="0" xfId="0" applyFont="1" applyFill="1"/>
    <xf numFmtId="0" fontId="11" fillId="0" borderId="3" xfId="0" applyFont="1" applyBorder="1"/>
    <xf numFmtId="165" fontId="9" fillId="0" borderId="0" xfId="1" applyNumberFormat="1" applyFont="1" applyBorder="1"/>
    <xf numFmtId="166" fontId="6" fillId="0" borderId="0" xfId="1" applyNumberFormat="1" applyFont="1" applyBorder="1"/>
    <xf numFmtId="0" fontId="10" fillId="0" borderId="2" xfId="0" applyFont="1" applyBorder="1" applyAlignment="1">
      <alignment horizontal="left" indent="2"/>
    </xf>
    <xf numFmtId="0" fontId="5" fillId="0" borderId="0" xfId="0" applyFont="1"/>
    <xf numFmtId="0" fontId="14" fillId="0" borderId="0" xfId="0" applyFont="1"/>
    <xf numFmtId="0" fontId="15" fillId="0" borderId="0" xfId="0" applyFont="1"/>
    <xf numFmtId="166" fontId="9" fillId="0" borderId="0" xfId="1" applyNumberFormat="1" applyFont="1"/>
    <xf numFmtId="0" fontId="5" fillId="0" borderId="2" xfId="0" applyFont="1" applyBorder="1"/>
    <xf numFmtId="166" fontId="0" fillId="0" borderId="0" xfId="1" applyNumberFormat="1" applyFont="1"/>
    <xf numFmtId="166" fontId="9" fillId="0" borderId="0" xfId="1" applyNumberFormat="1" applyFont="1" applyBorder="1"/>
    <xf numFmtId="166" fontId="5" fillId="0" borderId="0" xfId="1" applyNumberFormat="1" applyFont="1"/>
    <xf numFmtId="44" fontId="7" fillId="0" borderId="0" xfId="2" applyFont="1" applyBorder="1"/>
    <xf numFmtId="0" fontId="10" fillId="0" borderId="4" xfId="0" applyFont="1" applyBorder="1" applyAlignment="1">
      <alignment horizontal="left"/>
    </xf>
    <xf numFmtId="0" fontId="4" fillId="0" borderId="2" xfId="0" applyFont="1" applyBorder="1" applyAlignment="1">
      <alignment horizontal="left" indent="1"/>
    </xf>
    <xf numFmtId="0" fontId="3" fillId="0" borderId="2" xfId="0" applyFont="1" applyBorder="1" applyAlignment="1">
      <alignment horizontal="left" indent="1"/>
    </xf>
    <xf numFmtId="0" fontId="10" fillId="0" borderId="6" xfId="0" applyFont="1" applyBorder="1" applyAlignment="1">
      <alignment horizontal="left" indent="1"/>
    </xf>
    <xf numFmtId="0" fontId="10" fillId="0" borderId="6" xfId="0" applyFont="1" applyBorder="1" applyAlignment="1">
      <alignment horizontal="left" indent="2"/>
    </xf>
    <xf numFmtId="0" fontId="3" fillId="0" borderId="2" xfId="0" applyFont="1" applyBorder="1" applyAlignment="1">
      <alignment horizontal="left" indent="2"/>
    </xf>
    <xf numFmtId="0" fontId="3" fillId="0" borderId="2" xfId="0" applyFont="1" applyBorder="1" applyAlignment="1">
      <alignment horizontal="left"/>
    </xf>
    <xf numFmtId="0" fontId="10" fillId="0" borderId="2" xfId="0" applyFont="1" applyBorder="1" applyAlignment="1">
      <alignment horizontal="left"/>
    </xf>
    <xf numFmtId="166" fontId="3" fillId="0" borderId="0" xfId="1" applyNumberFormat="1" applyFont="1" applyBorder="1"/>
    <xf numFmtId="0" fontId="10" fillId="0" borderId="6" xfId="0" applyFont="1" applyBorder="1" applyAlignment="1">
      <alignment horizontal="left"/>
    </xf>
    <xf numFmtId="44" fontId="3" fillId="0" borderId="0" xfId="2" applyFont="1" applyBorder="1"/>
    <xf numFmtId="0" fontId="3" fillId="0" borderId="0" xfId="0" applyFont="1"/>
    <xf numFmtId="0" fontId="13" fillId="0" borderId="0" xfId="0" applyFont="1"/>
    <xf numFmtId="165" fontId="3" fillId="0" borderId="0" xfId="1" applyNumberFormat="1" applyFont="1" applyBorder="1"/>
    <xf numFmtId="0" fontId="16" fillId="0" borderId="0" xfId="0" applyFont="1"/>
    <xf numFmtId="165" fontId="10" fillId="0" borderId="5" xfId="1" applyNumberFormat="1" applyFont="1" applyBorder="1"/>
    <xf numFmtId="165" fontId="3" fillId="0" borderId="0" xfId="2" applyNumberFormat="1" applyFont="1" applyBorder="1"/>
    <xf numFmtId="165" fontId="10" fillId="0" borderId="0" xfId="1" applyNumberFormat="1" applyFont="1" applyBorder="1"/>
    <xf numFmtId="165" fontId="5" fillId="0" borderId="0" xfId="1" applyNumberFormat="1" applyFont="1" applyBorder="1"/>
    <xf numFmtId="165" fontId="6" fillId="0" borderId="0" xfId="2" applyNumberFormat="1" applyFont="1" applyBorder="1"/>
    <xf numFmtId="165" fontId="6" fillId="0" borderId="0" xfId="1" applyNumberFormat="1" applyFont="1" applyBorder="1"/>
    <xf numFmtId="0" fontId="3" fillId="0" borderId="2" xfId="0" applyFont="1" applyBorder="1"/>
    <xf numFmtId="165" fontId="7" fillId="0" borderId="0" xfId="1" applyNumberFormat="1" applyFont="1" applyBorder="1"/>
    <xf numFmtId="165" fontId="3" fillId="0" borderId="0" xfId="1" applyNumberFormat="1" applyFont="1" applyBorder="1" applyAlignment="1">
      <alignment horizontal="left" indent="1"/>
    </xf>
    <xf numFmtId="0" fontId="3" fillId="0" borderId="2" xfId="0" quotePrefix="1" applyFont="1" applyBorder="1"/>
    <xf numFmtId="0" fontId="9" fillId="0" borderId="2" xfId="0" applyFont="1" applyBorder="1"/>
    <xf numFmtId="9" fontId="2" fillId="3" borderId="0" xfId="3" applyFont="1" applyFill="1" applyBorder="1"/>
    <xf numFmtId="165" fontId="2" fillId="0" borderId="0" xfId="1" applyNumberFormat="1" applyFont="1" applyBorder="1"/>
    <xf numFmtId="166" fontId="2" fillId="0" borderId="0" xfId="1" applyNumberFormat="1" applyFont="1"/>
    <xf numFmtId="9" fontId="2" fillId="2" borderId="0" xfId="3" applyFont="1" applyFill="1" applyBorder="1"/>
    <xf numFmtId="9" fontId="2" fillId="4" borderId="0" xfId="3" applyFont="1" applyFill="1" applyBorder="1"/>
    <xf numFmtId="9" fontId="2" fillId="0" borderId="0" xfId="3" applyFont="1" applyFill="1" applyBorder="1"/>
    <xf numFmtId="0" fontId="2" fillId="0" borderId="0" xfId="0" applyFont="1"/>
    <xf numFmtId="165" fontId="2" fillId="0" borderId="0" xfId="3" applyNumberFormat="1" applyFont="1" applyBorder="1"/>
    <xf numFmtId="0" fontId="2" fillId="0" borderId="2" xfId="0" applyFont="1" applyBorder="1"/>
    <xf numFmtId="167" fontId="2" fillId="0" borderId="0" xfId="3" applyNumberFormat="1" applyFont="1" applyBorder="1"/>
    <xf numFmtId="0" fontId="18" fillId="0" borderId="0" xfId="0" applyFont="1"/>
    <xf numFmtId="0" fontId="19" fillId="0" borderId="0" xfId="0" applyFont="1"/>
    <xf numFmtId="0" fontId="20" fillId="0" borderId="0" xfId="0" applyFont="1" applyAlignment="1">
      <alignment horizontal="right"/>
    </xf>
    <xf numFmtId="10" fontId="14" fillId="0" borderId="0" xfId="3" applyNumberFormat="1" applyFont="1"/>
    <xf numFmtId="168" fontId="14" fillId="0" borderId="0" xfId="0" applyNumberFormat="1" applyFont="1"/>
    <xf numFmtId="2" fontId="14" fillId="0" borderId="0" xfId="0" applyNumberFormat="1" applyFont="1"/>
    <xf numFmtId="0" fontId="14" fillId="0" borderId="0" xfId="0" applyFont="1" applyAlignment="1">
      <alignment horizontal="right"/>
    </xf>
    <xf numFmtId="166" fontId="1" fillId="0" borderId="0" xfId="1" applyNumberFormat="1" applyFont="1"/>
    <xf numFmtId="166" fontId="1" fillId="0" borderId="0" xfId="1" applyNumberFormat="1" applyFont="1" applyBorder="1"/>
    <xf numFmtId="0" fontId="1" fillId="0" borderId="2" xfId="0" applyFont="1" applyBorder="1"/>
    <xf numFmtId="169" fontId="1" fillId="0" borderId="0" xfId="3" applyNumberFormat="1" applyFont="1" applyBorder="1"/>
    <xf numFmtId="165" fontId="1" fillId="0" borderId="0" xfId="1" applyNumberFormat="1" applyFont="1" applyBorder="1"/>
    <xf numFmtId="165" fontId="1" fillId="0" borderId="0" xfId="1" applyNumberFormat="1" applyFont="1" applyBorder="1" applyAlignment="1">
      <alignment horizontal="left" indent="1"/>
    </xf>
    <xf numFmtId="167" fontId="9" fillId="2" borderId="0" xfId="3" applyNumberFormat="1" applyFont="1" applyFill="1"/>
    <xf numFmtId="167" fontId="9" fillId="3" borderId="0" xfId="3" applyNumberFormat="1" applyFont="1" applyFill="1"/>
    <xf numFmtId="167" fontId="9" fillId="4" borderId="0" xfId="3" applyNumberFormat="1" applyFont="1" applyFill="1"/>
    <xf numFmtId="167" fontId="10" fillId="3" borderId="0" xfId="3" applyNumberFormat="1" applyFont="1" applyFill="1"/>
    <xf numFmtId="167" fontId="10" fillId="2" borderId="5" xfId="3" applyNumberFormat="1" applyFont="1" applyFill="1" applyBorder="1"/>
    <xf numFmtId="167" fontId="10" fillId="3" borderId="5" xfId="3" applyNumberFormat="1" applyFont="1" applyFill="1" applyBorder="1"/>
    <xf numFmtId="167" fontId="10" fillId="4" borderId="5" xfId="3" applyNumberFormat="1" applyFont="1" applyFill="1" applyBorder="1"/>
    <xf numFmtId="167" fontId="2" fillId="2" borderId="0" xfId="3" applyNumberFormat="1" applyFont="1" applyFill="1" applyBorder="1"/>
    <xf numFmtId="167" fontId="2" fillId="3" borderId="0" xfId="3" applyNumberFormat="1" applyFont="1" applyFill="1" applyBorder="1"/>
    <xf numFmtId="167" fontId="2" fillId="4" borderId="0" xfId="3" applyNumberFormat="1" applyFont="1" applyFill="1" applyBorder="1"/>
    <xf numFmtId="167" fontId="12" fillId="5" borderId="0" xfId="3" applyNumberFormat="1" applyFont="1" applyFill="1"/>
    <xf numFmtId="167" fontId="12" fillId="5" borderId="5" xfId="3" applyNumberFormat="1" applyFont="1" applyFill="1" applyBorder="1"/>
    <xf numFmtId="167" fontId="12" fillId="5" borderId="0" xfId="3" applyNumberFormat="1" applyFont="1" applyFill="1" applyBorder="1"/>
  </cellXfs>
  <cellStyles count="4">
    <cellStyle name="Comma" xfId="1" builtinId="3"/>
    <cellStyle name="Currency" xfId="2" builtinId="4"/>
    <cellStyle name="Normal" xfId="0" builtinId="0"/>
    <cellStyle name="Percent" xfId="3" builtinId="5"/>
  </cellStyles>
  <dxfs count="27">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s>
  <tableStyles count="0" defaultTableStyle="TableStyleMedium2" defaultPivotStyle="PivotStyleLight16"/>
  <colors>
    <mruColors>
      <color rgb="FFB5E6A2"/>
      <color rgb="FFB5E600"/>
      <color rgb="FF94DCF8"/>
      <color rgb="FF94D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19" Type="http://schemas.microsoft.com/office/2006/relationships/vbaProject" Target="vbaProject.bin"/><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28574</xdr:colOff>
      <xdr:row>0</xdr:row>
      <xdr:rowOff>160288</xdr:rowOff>
    </xdr:from>
    <xdr:to>
      <xdr:col>9</xdr:col>
      <xdr:colOff>514349</xdr:colOff>
      <xdr:row>6</xdr:row>
      <xdr:rowOff>28576</xdr:rowOff>
    </xdr:to>
    <xdr:pic>
      <xdr:nvPicPr>
        <xdr:cNvPr id="3" name="Picture 2" descr="Kratos Defense &amp; Security Solutions - Selint">
          <a:extLst>
            <a:ext uri="{FF2B5EF4-FFF2-40B4-BE49-F238E27FC236}">
              <a16:creationId xmlns:a16="http://schemas.microsoft.com/office/drawing/2014/main" id="{928EFA48-6A15-3B60-DCC7-4266BE7825DA}"/>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36" t="16159" r="1826" b="14875"/>
        <a:stretch>
          <a:fillRect/>
        </a:stretch>
      </xdr:blipFill>
      <xdr:spPr bwMode="auto">
        <a:xfrm>
          <a:off x="4124324" y="160288"/>
          <a:ext cx="4010025" cy="8684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https://www.bing.com/financeapi/forcetrigger?t=a1wovh&amp;q=XNAS%3aKTOS&amp;form=skydnc</v>
    <v>Learn more on Bing</v>
  </rv>
  <rv s="1">
    <v>en-US</v>
    <v>a1wovh</v>
    <v>268435456</v>
    <v>1</v>
    <v>Powered by Refinitiv</v>
    <v>0</v>
    <v>KRATOS DEFENSE &amp; SECURITY SOLUTIONS, INC. (XNAS:KTOS)</v>
    <v>2</v>
    <v>3</v>
    <v>Finance</v>
    <v>4</v>
    <v>134</v>
    <v>41.87</v>
    <v>1.1107</v>
    <v>-0.26</v>
    <v>3.5357E-2</v>
    <v>-5.5069999999999997E-3</v>
    <v>1.66</v>
    <v>USD</v>
    <v>Kratos Defense &amp; Security Solutions, Inc. is a technology, products, system and software company addressing the defense, national security, and commercial markets. It operates through two segments: Kratos Government Solutions (KGS) and Unmanned Systems (US). The KGS segment includes its microwave electronic products, space, satellite and cyber, training solutions, command, control, communication, computing, combat, intelligence surveillance and reconnaissance (C5ISR)/modular systems, turbine technologies, and defense and rocket support services operating segments. The US segment consists of its unmanned aerial, unmanned ground, unmanned seaborne and related command, control and communications system businesses. Its KGS and US segments provide products, solutions and services for mission-critical National Security programs. KGS and US customers primarily include National Security-related agencies, the DoD, intelligence agencies and classified agencies, and others.</v>
    <v>4300</v>
    <v>Nasdaq Stock Market</v>
    <v>XNAS</v>
    <v>XNAS</v>
    <v>1 Chisholm Trail, ROUND ROCK, TX, 92131 US</v>
    <v>48.89</v>
    <v>Aerospace &amp; Defense</v>
    <v>Stock</v>
    <v>46202.917403008592</v>
    <v>0</v>
    <v>46.42</v>
    <v>8804064000</v>
    <v>KRATOS DEFENSE &amp; SECURITY SOLUTIONS, INC.</v>
    <v>KRATOS DEFENSE &amp; SECURITY SOLUTIONS, INC.</v>
    <v>48.35</v>
    <v>277.8107</v>
    <v>47.21</v>
    <v>46.95</v>
    <v>48.61</v>
    <v>187520000</v>
    <v>KTOS</v>
    <v>KRATOS DEFENSE &amp; SECURITY SOLUTIONS, INC. (XNAS:KTOS)</v>
    <v>5745944</v>
    <v>5551218</v>
    <v>1997</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836D17-CF5B-4D77-8F3B-A3DD174F8D54}" name="Table1" displayName="Table1" ref="B8:I44" totalsRowShown="0" headerRowDxfId="26" dataDxfId="24" headerRowBorderDxfId="25" dataCellStyle="Comma">
  <autoFilter ref="B8:I44" xr:uid="{23836D17-CF5B-4D77-8F3B-A3DD174F8D5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C56CB535-0884-4EB6-8247-BC7076E0F9ED}" name="." dataDxfId="23"/>
    <tableColumn id="2" xr3:uid="{5CB05335-81A4-4F9E-91AE-D7275C95F89C}" name="2019" dataDxfId="22" dataCellStyle="Comma"/>
    <tableColumn id="3" xr3:uid="{A67758F4-C8A9-49AB-B402-3C6C6623F38E}" name="2020" dataDxfId="21" dataCellStyle="Comma"/>
    <tableColumn id="4" xr3:uid="{D2EB0291-4E53-45C5-9A55-496776298FCF}" name="2021" dataDxfId="20" dataCellStyle="Comma"/>
    <tableColumn id="5" xr3:uid="{8BBF933F-D97B-42BA-9EF9-C011F65930FC}" name="2022" dataDxfId="19" dataCellStyle="Comma"/>
    <tableColumn id="6" xr3:uid="{5B24A045-0943-4881-8988-3CC50E6754BD}" name="2023" dataDxfId="18" dataCellStyle="Comma"/>
    <tableColumn id="7" xr3:uid="{0F4D0575-18E6-42CA-A6D9-2FCC3DD18D8B}" name="2024" dataDxfId="17" dataCellStyle="Comma"/>
    <tableColumn id="8" xr3:uid="{2AFC1257-00DA-41D0-A3E7-511E84DF0002}" name="2025" dataDxfId="16"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0BF547-D843-4B46-A130-6CFC2B9CD1F8}" name="Table2" displayName="Table2" ref="N8:U50" totalsRowShown="0" headerRowDxfId="15" dataDxfId="13" headerRowBorderDxfId="14" dataCellStyle="Comma">
  <autoFilter ref="N8:U50" xr:uid="{120BF547-D843-4B46-A130-6CFC2B9CD1F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B29C79D-FAB6-484C-9815-A2E8E1E77194}" name="." dataDxfId="12"/>
    <tableColumn id="2" xr3:uid="{3C41FD2C-CF3B-45B9-83D3-DF70DA3F9D5A}" name="2019" dataDxfId="11" dataCellStyle="Comma"/>
    <tableColumn id="3" xr3:uid="{2DFCE98E-C0C8-42EE-BB58-7255714974F0}" name="2020" dataDxfId="10" dataCellStyle="Comma"/>
    <tableColumn id="4" xr3:uid="{44C5D0A9-3EFA-4FEC-93F4-6F50F976863F}" name="2021" dataDxfId="9" dataCellStyle="Comma"/>
    <tableColumn id="5" xr3:uid="{4743886E-940B-4EE9-A1FC-1D090FB5B393}" name="2022" dataDxfId="8" dataCellStyle="Comma"/>
    <tableColumn id="6" xr3:uid="{64A6DC66-AB43-4E0F-8986-3CD831887B8C}" name="2023" dataDxfId="7" dataCellStyle="Comma"/>
    <tableColumn id="7" xr3:uid="{3B18363B-4162-4DCB-B417-6622816301E4}" name="2024" dataDxfId="6" dataCellStyle="Comma"/>
    <tableColumn id="8" xr3:uid="{20CD8C16-9534-4B67-A9DA-DA49439B6703}" name="2025" dataDxfId="5"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602438-789A-4D2E-AD2C-C221E6B22E7E}" name="Table810" displayName="Table810" ref="B4:D12" totalsRowShown="0" headerRowDxfId="4" dataDxfId="3">
  <autoFilter ref="B4:D12" xr:uid="{A9602438-789A-4D2E-AD2C-C221E6B22E7E}">
    <filterColumn colId="0" hiddenButton="1"/>
    <filterColumn colId="1" hiddenButton="1"/>
    <filterColumn colId="2" hiddenButton="1"/>
  </autoFilter>
  <tableColumns count="3">
    <tableColumn id="1" xr3:uid="{34F226A8-4824-414B-8185-5D568754E730}" name="Screening Score" dataDxfId="2"/>
    <tableColumn id="2" xr3:uid="{2CBAFB2B-3BEF-409B-B5A0-2EF1C23AE279}" name="Column1" dataDxfId="1"/>
    <tableColumn id="3" xr3:uid="{5FC6B4B1-FF55-49EB-8E7F-C76AA4BFF55B}"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32568-5640-4B84-AC29-1C6BDB0C1A0A}">
  <sheetPr>
    <pageSetUpPr fitToPage="1"/>
  </sheetPr>
  <dimension ref="A1:X50"/>
  <sheetViews>
    <sheetView tabSelected="1" topLeftCell="C19" zoomScale="115" zoomScaleNormal="115" workbookViewId="0">
      <selection activeCell="O50" sqref="O50"/>
    </sheetView>
  </sheetViews>
  <sheetFormatPr defaultColWidth="10.5703125" defaultRowHeight="12.75" x14ac:dyDescent="0.2"/>
  <cols>
    <col min="1" max="1" width="10.5703125" style="1"/>
    <col min="2" max="2" width="29.7109375" style="1" customWidth="1"/>
    <col min="3" max="3" width="10.5703125" style="13" customWidth="1"/>
    <col min="4" max="9" width="10.5703125" style="13"/>
    <col min="10" max="12" width="10.5703125" style="57"/>
    <col min="13" max="13" width="5.5703125" style="1" customWidth="1"/>
    <col min="14" max="14" width="25.5703125" style="1" customWidth="1"/>
    <col min="15" max="21" width="10.5703125" style="13"/>
    <col min="22" max="16384" width="10.5703125" style="57"/>
  </cols>
  <sheetData>
    <row r="1" spans="2:24" s="1" customFormat="1" x14ac:dyDescent="0.2"/>
    <row r="2" spans="2:24" s="1" customFormat="1" x14ac:dyDescent="0.2"/>
    <row r="3" spans="2:24" s="1" customFormat="1" ht="15" x14ac:dyDescent="0.25">
      <c r="B3" s="36" t="e" vm="1">
        <v>#VALUE!</v>
      </c>
      <c r="C3" s="37"/>
      <c r="D3" s="39" t="s">
        <v>14</v>
      </c>
      <c r="H3"/>
      <c r="I3"/>
    </row>
    <row r="4" spans="2:24" s="1" customFormat="1" x14ac:dyDescent="0.2">
      <c r="B4" s="1" t="s">
        <v>0</v>
      </c>
      <c r="C4" s="2" cm="1">
        <f t="array" aca="1" ref="C4" ca="1">_FV(B3,"Price")</f>
        <v>46.95</v>
      </c>
    </row>
    <row r="5" spans="2:24" s="1" customFormat="1" x14ac:dyDescent="0.2">
      <c r="B5" s="1" t="s">
        <v>1</v>
      </c>
      <c r="C5" s="19">
        <v>168.4</v>
      </c>
    </row>
    <row r="6" spans="2:24" s="1" customFormat="1" x14ac:dyDescent="0.2">
      <c r="B6" s="1" t="s">
        <v>2</v>
      </c>
      <c r="C6" s="19">
        <f ca="1">C4*C5</f>
        <v>7906.380000000001</v>
      </c>
    </row>
    <row r="7" spans="2:24" s="1" customFormat="1" x14ac:dyDescent="0.2"/>
    <row r="8" spans="2:24" s="1" customFormat="1" x14ac:dyDescent="0.2">
      <c r="B8" s="12" t="s">
        <v>14</v>
      </c>
      <c r="C8" s="3" t="s">
        <v>8</v>
      </c>
      <c r="D8" s="3" t="s">
        <v>9</v>
      </c>
      <c r="E8" s="3" t="s">
        <v>10</v>
      </c>
      <c r="F8" s="3" t="s">
        <v>11</v>
      </c>
      <c r="G8" s="3" t="s">
        <v>12</v>
      </c>
      <c r="H8" s="3" t="s">
        <v>13</v>
      </c>
      <c r="I8" s="3" t="s">
        <v>76</v>
      </c>
      <c r="J8" s="6" t="s">
        <v>4</v>
      </c>
      <c r="K8" s="7" t="s">
        <v>5</v>
      </c>
      <c r="L8" s="8" t="s">
        <v>85</v>
      </c>
      <c r="N8" s="12" t="s">
        <v>14</v>
      </c>
      <c r="O8" s="3" t="s">
        <v>8</v>
      </c>
      <c r="P8" s="3" t="s">
        <v>9</v>
      </c>
      <c r="Q8" s="3" t="s">
        <v>10</v>
      </c>
      <c r="R8" s="3" t="s">
        <v>11</v>
      </c>
      <c r="S8" s="3" t="s">
        <v>12</v>
      </c>
      <c r="T8" s="3" t="s">
        <v>13</v>
      </c>
      <c r="U8" s="3" t="s">
        <v>76</v>
      </c>
      <c r="V8" s="6" t="s">
        <v>4</v>
      </c>
      <c r="W8" s="7" t="s">
        <v>5</v>
      </c>
      <c r="X8" s="8" t="s">
        <v>85</v>
      </c>
    </row>
    <row r="9" spans="2:24" s="1" customFormat="1" ht="15" x14ac:dyDescent="0.25">
      <c r="B9" s="25" t="s">
        <v>3</v>
      </c>
      <c r="C9" s="19"/>
      <c r="D9" s="21"/>
      <c r="E9" s="19"/>
      <c r="F9" s="19"/>
      <c r="G9" s="19"/>
      <c r="H9" s="19"/>
      <c r="I9" s="68"/>
      <c r="J9" s="9"/>
      <c r="K9" s="10"/>
      <c r="L9" s="11"/>
      <c r="N9" s="25" t="s">
        <v>6</v>
      </c>
      <c r="O9" s="19"/>
      <c r="P9" s="21"/>
      <c r="Q9" s="19"/>
      <c r="R9" s="19"/>
      <c r="S9" s="19"/>
      <c r="T9" s="19"/>
      <c r="U9" s="68"/>
      <c r="V9" s="9"/>
      <c r="W9" s="10"/>
      <c r="X9" s="11"/>
    </row>
    <row r="10" spans="2:24" x14ac:dyDescent="0.2">
      <c r="B10" s="27" t="s">
        <v>20</v>
      </c>
      <c r="C10" s="38">
        <v>272.60000000000002</v>
      </c>
      <c r="D10" s="38">
        <v>248.7</v>
      </c>
      <c r="E10" s="38">
        <v>214.5</v>
      </c>
      <c r="F10" s="38">
        <v>320</v>
      </c>
      <c r="G10" s="38">
        <v>395.9</v>
      </c>
      <c r="H10" s="38">
        <v>416.3</v>
      </c>
      <c r="I10" s="72">
        <v>460.3</v>
      </c>
      <c r="J10" s="84">
        <f>LN(Table1[[#This Row],[2025]]/Table1[[#This Row],[2024]])</f>
        <v>0.10047229662226598</v>
      </c>
      <c r="K10" s="75">
        <f>LN(Table1[[#This Row],[2025]]/Table1[[#This Row],[2023]])</f>
        <v>0.15071679671111099</v>
      </c>
      <c r="L10" s="84">
        <f>LN(Table1[[#This Row],[2025]]/Table1[[#This Row],[2019]])</f>
        <v>0.52387293156076342</v>
      </c>
      <c r="N10" s="4" t="s">
        <v>7</v>
      </c>
      <c r="O10" s="22"/>
      <c r="P10" s="22"/>
      <c r="Q10" s="22"/>
      <c r="R10" s="22"/>
      <c r="S10" s="22"/>
      <c r="T10" s="22"/>
      <c r="U10" s="69"/>
      <c r="V10" s="54"/>
      <c r="W10" s="51"/>
      <c r="X10" s="55"/>
    </row>
    <row r="11" spans="2:24" x14ac:dyDescent="0.2">
      <c r="B11" s="27" t="s">
        <v>21</v>
      </c>
      <c r="C11" s="38">
        <v>283.5</v>
      </c>
      <c r="D11" s="38">
        <v>312</v>
      </c>
      <c r="E11" s="38">
        <v>365.1</v>
      </c>
      <c r="F11" s="38">
        <v>356.6</v>
      </c>
      <c r="G11" s="38">
        <v>429</v>
      </c>
      <c r="H11" s="38">
        <v>449.5</v>
      </c>
      <c r="I11" s="72">
        <v>594.5</v>
      </c>
      <c r="J11" s="84">
        <f>LN(Table1[[#This Row],[2025]]/Table1[[#This Row],[2024]])</f>
        <v>0.27958486221916151</v>
      </c>
      <c r="K11" s="75">
        <f>LN(Table1[[#This Row],[2025]]/Table1[[#This Row],[2023]])</f>
        <v>0.32626379720281956</v>
      </c>
      <c r="L11" s="84">
        <f>LN(Table1[[#This Row],[2025]]/Table1[[#This Row],[2019]])</f>
        <v>0.74050859296302973</v>
      </c>
      <c r="N11" s="27" t="s">
        <v>39</v>
      </c>
      <c r="O11" s="13">
        <v>172.6</v>
      </c>
      <c r="P11" s="13">
        <v>380.8</v>
      </c>
      <c r="Q11" s="13">
        <v>349.4</v>
      </c>
      <c r="R11" s="13">
        <v>81.3</v>
      </c>
      <c r="S11" s="13">
        <v>72.8</v>
      </c>
      <c r="T11" s="13">
        <v>329.3</v>
      </c>
      <c r="U11" s="72">
        <v>560.6</v>
      </c>
      <c r="V11" s="86">
        <f>LN(Table2[[#This Row],[2025]]/Table2[[#This Row],[2024]])</f>
        <v>0.5320384493483693</v>
      </c>
      <c r="W11" s="86">
        <f>LN(Table2[[#This Row],[2025]]/Table2[[#This Row],[2023]])</f>
        <v>2.0412916835280477</v>
      </c>
      <c r="X11" s="83">
        <f>LN(Table2[[#This Row],[2025]]/Table2[[#This Row],[2019]])</f>
        <v>1.1780308600813605</v>
      </c>
    </row>
    <row r="12" spans="2:24" x14ac:dyDescent="0.2">
      <c r="B12" s="27" t="s">
        <v>22</v>
      </c>
      <c r="C12" s="38">
        <v>161.4</v>
      </c>
      <c r="D12" s="38">
        <v>187</v>
      </c>
      <c r="E12" s="38">
        <v>231.9</v>
      </c>
      <c r="F12" s="38">
        <v>221.7</v>
      </c>
      <c r="G12" s="38">
        <v>212.2</v>
      </c>
      <c r="H12" s="38">
        <v>270.5</v>
      </c>
      <c r="I12" s="72">
        <v>292</v>
      </c>
      <c r="J12" s="74">
        <f>LN(Table1[[#This Row],[2025]]/Table1[[#This Row],[2024]])</f>
        <v>7.6481703981745433E-2</v>
      </c>
      <c r="K12" s="84">
        <f>LN(Table1[[#This Row],[2025]]/Table1[[#This Row],[2023]])</f>
        <v>0.3192245760883991</v>
      </c>
      <c r="L12" s="84">
        <f>LN(Table1[[#This Row],[2025]]/Table1[[#This Row],[2019]])</f>
        <v>0.59286804643243329</v>
      </c>
      <c r="N12" s="27" t="s">
        <v>40</v>
      </c>
      <c r="O12" s="13">
        <v>0</v>
      </c>
      <c r="P12" s="13">
        <v>0.7</v>
      </c>
      <c r="Q12" s="13">
        <v>0</v>
      </c>
      <c r="R12" s="52">
        <v>0</v>
      </c>
      <c r="S12" s="13">
        <v>0</v>
      </c>
      <c r="T12" s="13">
        <v>0</v>
      </c>
      <c r="U12" s="72">
        <v>0</v>
      </c>
      <c r="V12" s="81" t="e">
        <f>LN(Table2[[#This Row],[2025]]/Table2[[#This Row],[2024]])</f>
        <v>#DIV/0!</v>
      </c>
      <c r="W12" s="82" t="e">
        <f>LN(Table2[[#This Row],[2025]]/Table2[[#This Row],[2023]])</f>
        <v>#DIV/0!</v>
      </c>
      <c r="X12" s="83" t="e">
        <f>LN(Table2[[#This Row],[2025]]/Table2[[#This Row],[2019]])</f>
        <v>#DIV/0!</v>
      </c>
    </row>
    <row r="13" spans="2:24" ht="13.5" thickBot="1" x14ac:dyDescent="0.25">
      <c r="B13" s="29" t="s">
        <v>15</v>
      </c>
      <c r="C13" s="40">
        <f>SUM(C10:C12)</f>
        <v>717.5</v>
      </c>
      <c r="D13" s="40">
        <f t="shared" ref="D13:I13" si="0">SUM(D10:D12)</f>
        <v>747.7</v>
      </c>
      <c r="E13" s="40">
        <f t="shared" si="0"/>
        <v>811.5</v>
      </c>
      <c r="F13" s="40">
        <f t="shared" si="0"/>
        <v>898.3</v>
      </c>
      <c r="G13" s="40">
        <f t="shared" si="0"/>
        <v>1037.0999999999999</v>
      </c>
      <c r="H13" s="40">
        <f t="shared" si="0"/>
        <v>1136.3</v>
      </c>
      <c r="I13" s="40">
        <f t="shared" si="0"/>
        <v>1346.8</v>
      </c>
      <c r="J13" s="85">
        <f>LN(Table1[[#This Row],[2025]]/Table1[[#This Row],[2024]])</f>
        <v>0.16995403836295608</v>
      </c>
      <c r="K13" s="85">
        <f>LN(Table1[[#This Row],[2025]]/Table1[[#This Row],[2023]])</f>
        <v>0.26130305169123091</v>
      </c>
      <c r="L13" s="85">
        <f>LN(Table1[[#This Row],[2025]]/Table1[[#This Row],[2019]])</f>
        <v>0.62971373965314315</v>
      </c>
      <c r="N13" s="27" t="s">
        <v>41</v>
      </c>
      <c r="O13" s="13">
        <v>85</v>
      </c>
      <c r="P13" s="13">
        <v>95.3</v>
      </c>
      <c r="Q13" s="13">
        <v>93.9</v>
      </c>
      <c r="R13" s="13">
        <v>105.7</v>
      </c>
      <c r="S13" s="13">
        <v>128.80000000000001</v>
      </c>
      <c r="T13" s="13">
        <v>117.5</v>
      </c>
      <c r="U13" s="72">
        <v>165</v>
      </c>
      <c r="V13" s="86">
        <f>LN(Table2[[#This Row],[2025]]/Table2[[#This Row],[2024]])</f>
        <v>0.33950714031636697</v>
      </c>
      <c r="W13" s="82">
        <f>LN(Table2[[#This Row],[2025]]/Table2[[#This Row],[2023]])</f>
        <v>0.24768466023032734</v>
      </c>
      <c r="X13" s="83">
        <f>LN(Table2[[#This Row],[2025]]/Table2[[#This Row],[2019]])</f>
        <v>0.66329421741026418</v>
      </c>
    </row>
    <row r="14" spans="2:24" x14ac:dyDescent="0.2">
      <c r="B14" s="30"/>
      <c r="C14" s="38"/>
      <c r="D14" s="38"/>
      <c r="E14" s="38"/>
      <c r="F14" s="38"/>
      <c r="G14" s="38"/>
      <c r="H14" s="38"/>
      <c r="I14" s="72"/>
      <c r="J14" s="9"/>
      <c r="K14" s="10"/>
      <c r="L14" s="11"/>
      <c r="N14" s="27" t="s">
        <v>42</v>
      </c>
      <c r="O14" s="13">
        <v>179.4</v>
      </c>
      <c r="P14" s="13">
        <v>177</v>
      </c>
      <c r="Q14" s="13">
        <v>190.8</v>
      </c>
      <c r="R14" s="13">
        <v>222.8</v>
      </c>
      <c r="S14" s="13">
        <v>200.4</v>
      </c>
      <c r="T14" s="13">
        <v>206.3</v>
      </c>
      <c r="U14" s="72">
        <v>292.39999999999998</v>
      </c>
      <c r="V14" s="86">
        <f>LN(Table2[[#This Row],[2025]]/Table2[[#This Row],[2024]])</f>
        <v>0.34879130779841722</v>
      </c>
      <c r="W14" s="82">
        <f>LN(Table2[[#This Row],[2025]]/Table2[[#This Row],[2023]])</f>
        <v>0.37780735866491366</v>
      </c>
      <c r="X14" s="83">
        <f>LN(Table2[[#This Row],[2025]]/Table2[[#This Row],[2019]])</f>
        <v>0.48850477825092764</v>
      </c>
    </row>
    <row r="15" spans="2:24" x14ac:dyDescent="0.2">
      <c r="B15" s="32" t="s">
        <v>23</v>
      </c>
      <c r="C15" s="38"/>
      <c r="D15" s="38"/>
      <c r="E15" s="38"/>
      <c r="F15" s="38"/>
      <c r="G15" s="38"/>
      <c r="H15" s="38"/>
      <c r="I15" s="72"/>
      <c r="J15" s="9"/>
      <c r="K15" s="10"/>
      <c r="L15" s="11"/>
      <c r="N15" s="27" t="s">
        <v>43</v>
      </c>
      <c r="O15" s="38">
        <v>61.1</v>
      </c>
      <c r="P15" s="38">
        <v>81.2</v>
      </c>
      <c r="Q15" s="38">
        <v>91.7</v>
      </c>
      <c r="R15" s="38">
        <v>125.5</v>
      </c>
      <c r="S15" s="38">
        <v>156.19999999999999</v>
      </c>
      <c r="T15" s="38">
        <v>162.1</v>
      </c>
      <c r="U15" s="72">
        <v>188.2</v>
      </c>
      <c r="V15" s="81">
        <f>LN(Table2[[#This Row],[2025]]/Table2[[#This Row],[2024]])</f>
        <v>0.14929179840964885</v>
      </c>
      <c r="W15" s="82">
        <f>LN(Table2[[#This Row],[2025]]/Table2[[#This Row],[2023]])</f>
        <v>0.1863679897456936</v>
      </c>
      <c r="X15" s="83">
        <f>LN(Table2[[#This Row],[2025]]/Table2[[#This Row],[2019]])</f>
        <v>1.1249933609737295</v>
      </c>
    </row>
    <row r="16" spans="2:24" x14ac:dyDescent="0.2">
      <c r="B16" s="27" t="s">
        <v>24</v>
      </c>
      <c r="C16" s="38">
        <v>192</v>
      </c>
      <c r="D16" s="38">
        <v>182.5</v>
      </c>
      <c r="E16" s="38">
        <v>156.19999999999999</v>
      </c>
      <c r="F16" s="38">
        <v>239</v>
      </c>
      <c r="G16" s="38">
        <v>303.2</v>
      </c>
      <c r="H16" s="38">
        <v>310</v>
      </c>
      <c r="I16" s="72">
        <v>356.8</v>
      </c>
      <c r="J16" s="84">
        <f>LN(Table1[[#This Row],[2025]]/Table1[[#This Row],[2024]])</f>
        <v>0.1406031032266625</v>
      </c>
      <c r="K16" s="75">
        <f>LN(Table1[[#This Row],[2025]]/Table1[[#This Row],[2023]])</f>
        <v>0.16278274693763786</v>
      </c>
      <c r="L16" s="84">
        <f>LN(Table1[[#This Row],[2025]]/Table1[[#This Row],[2019]])</f>
        <v>0.61968002867807281</v>
      </c>
      <c r="N16" s="27" t="s">
        <v>44</v>
      </c>
      <c r="O16" s="13">
        <v>9.4</v>
      </c>
      <c r="P16" s="13">
        <v>12</v>
      </c>
      <c r="Q16" s="13">
        <v>9.8000000000000007</v>
      </c>
      <c r="R16" s="13">
        <v>11.9</v>
      </c>
      <c r="S16" s="13">
        <v>16</v>
      </c>
      <c r="T16" s="13">
        <v>18</v>
      </c>
      <c r="U16" s="72">
        <v>12.9</v>
      </c>
      <c r="V16" s="86">
        <f>LN(Table2[[#This Row],[2025]]/Table2[[#This Row],[2024]])</f>
        <v>-0.33314444652853825</v>
      </c>
      <c r="W16" s="82">
        <f>LN(Table2[[#This Row],[2025]]/Table2[[#This Row],[2023]])</f>
        <v>-0.21536141087215477</v>
      </c>
      <c r="X16" s="83">
        <f>LN(Table2[[#This Row],[2025]]/Table2[[#This Row],[2019]])</f>
        <v>0.31651762209166823</v>
      </c>
    </row>
    <row r="17" spans="1:24" x14ac:dyDescent="0.2">
      <c r="B17" s="27" t="s">
        <v>25</v>
      </c>
      <c r="C17" s="38">
        <v>335.5</v>
      </c>
      <c r="D17" s="38">
        <v>362</v>
      </c>
      <c r="E17" s="38">
        <v>430.2</v>
      </c>
      <c r="F17" s="38">
        <v>433.3</v>
      </c>
      <c r="G17" s="38">
        <v>465.3</v>
      </c>
      <c r="H17" s="38">
        <v>539.1</v>
      </c>
      <c r="I17" s="72">
        <v>682.1</v>
      </c>
      <c r="J17" s="84">
        <f>LN(Table1[[#This Row],[2025]]/Table1[[#This Row],[2024]])</f>
        <v>0.23527519220305057</v>
      </c>
      <c r="K17" s="75">
        <f>LN(Table1[[#This Row],[2025]]/Table1[[#This Row],[2023]])</f>
        <v>0.38249391581007081</v>
      </c>
      <c r="L17" s="84">
        <f>LN(Table1[[#This Row],[2025]]/Table1[[#This Row],[2019]])</f>
        <v>0.70955431824893733</v>
      </c>
      <c r="N17" s="27" t="s">
        <v>45</v>
      </c>
      <c r="O17" s="13">
        <v>11.4</v>
      </c>
      <c r="P17" s="13">
        <v>17.8</v>
      </c>
      <c r="Q17" s="13">
        <v>22.5</v>
      </c>
      <c r="R17" s="13">
        <v>35.4</v>
      </c>
      <c r="S17" s="13">
        <v>20</v>
      </c>
      <c r="T17" s="13">
        <v>38.9</v>
      </c>
      <c r="U17" s="72">
        <v>43.8</v>
      </c>
      <c r="V17" s="81">
        <f>LN(Table2[[#This Row],[2025]]/Table2[[#This Row],[2024]])</f>
        <v>0.11863956675799986</v>
      </c>
      <c r="W17" s="82">
        <f>LN(Table2[[#This Row],[2025]]/Table2[[#This Row],[2023]])</f>
        <v>0.78390154382840938</v>
      </c>
      <c r="X17" s="83">
        <f>LN(Table2[[#This Row],[2025]]/Table2[[#This Row],[2019]])</f>
        <v>1.3460204619819505</v>
      </c>
    </row>
    <row r="18" spans="1:24" ht="13.5" thickBot="1" x14ac:dyDescent="0.25">
      <c r="B18" s="29" t="s">
        <v>26</v>
      </c>
      <c r="C18" s="40">
        <f>SUM(C16:C17)</f>
        <v>527.5</v>
      </c>
      <c r="D18" s="40">
        <f t="shared" ref="D18:I18" si="1">SUM(D16:D17)</f>
        <v>544.5</v>
      </c>
      <c r="E18" s="40">
        <f t="shared" si="1"/>
        <v>586.4</v>
      </c>
      <c r="F18" s="40">
        <f t="shared" si="1"/>
        <v>672.3</v>
      </c>
      <c r="G18" s="40">
        <f t="shared" si="1"/>
        <v>768.5</v>
      </c>
      <c r="H18" s="40">
        <f t="shared" si="1"/>
        <v>849.1</v>
      </c>
      <c r="I18" s="40">
        <f t="shared" si="1"/>
        <v>1038.9000000000001</v>
      </c>
      <c r="J18" s="85">
        <f>LN(Table1[[#This Row],[2025]]/Table1[[#This Row],[2024]])</f>
        <v>0.20174077507116825</v>
      </c>
      <c r="K18" s="79">
        <f>LN(Table1[[#This Row],[2025]]/Table1[[#This Row],[2023]])</f>
        <v>0.30147717709783556</v>
      </c>
      <c r="L18" s="85">
        <f>LN(Table1[[#This Row],[2025]]/Table1[[#This Row],[2019]])</f>
        <v>0.67776887472626446</v>
      </c>
      <c r="N18" s="27" t="s">
        <v>46</v>
      </c>
      <c r="O18" s="13">
        <v>3.3</v>
      </c>
      <c r="P18" s="13">
        <v>0</v>
      </c>
      <c r="Q18" s="13">
        <v>0</v>
      </c>
      <c r="R18" s="13">
        <v>0</v>
      </c>
      <c r="S18" s="52">
        <v>0</v>
      </c>
      <c r="T18" s="13">
        <v>0</v>
      </c>
      <c r="U18" s="72">
        <v>0</v>
      </c>
      <c r="V18" s="81" t="e">
        <f>LN(Table2[[#This Row],[2025]]/Table2[[#This Row],[2024]])</f>
        <v>#DIV/0!</v>
      </c>
      <c r="W18" s="82" t="e">
        <f>LN(Table2[[#This Row],[2025]]/Table2[[#This Row],[2023]])</f>
        <v>#DIV/0!</v>
      </c>
      <c r="X18" s="83" t="e">
        <f>LN(Table2[[#This Row],[2025]]/Table2[[#This Row],[2019]])</f>
        <v>#NUM!</v>
      </c>
    </row>
    <row r="19" spans="1:24" ht="13.5" thickBot="1" x14ac:dyDescent="0.25">
      <c r="B19" s="27"/>
      <c r="C19" s="38"/>
      <c r="D19" s="38"/>
      <c r="E19" s="38"/>
      <c r="F19" s="38"/>
      <c r="G19" s="38"/>
      <c r="H19" s="38"/>
      <c r="I19" s="72"/>
      <c r="J19" s="9"/>
      <c r="K19" s="10"/>
      <c r="L19" s="11"/>
      <c r="N19" s="29" t="s">
        <v>47</v>
      </c>
      <c r="O19" s="40">
        <f>SUM(O11:O18)</f>
        <v>522.19999999999993</v>
      </c>
      <c r="P19" s="40">
        <f t="shared" ref="P19:U19" si="2">SUM(P11:P18)</f>
        <v>764.8</v>
      </c>
      <c r="Q19" s="40">
        <f t="shared" si="2"/>
        <v>758.09999999999991</v>
      </c>
      <c r="R19" s="40">
        <f t="shared" si="2"/>
        <v>582.59999999999991</v>
      </c>
      <c r="S19" s="40">
        <f t="shared" si="2"/>
        <v>594.20000000000005</v>
      </c>
      <c r="T19" s="40">
        <f t="shared" si="2"/>
        <v>872.1</v>
      </c>
      <c r="U19" s="40">
        <f t="shared" si="2"/>
        <v>1262.9000000000001</v>
      </c>
      <c r="V19" s="85">
        <f>LN(Table2[[#This Row],[2025]]/Table2[[#This Row],[2024]])</f>
        <v>0.37026184641918447</v>
      </c>
      <c r="W19" s="85">
        <f>LN(Table2[[#This Row],[2025]]/Table2[[#This Row],[2023]])</f>
        <v>0.75394997962361709</v>
      </c>
      <c r="X19" s="80">
        <f>LN(Table2[[#This Row],[2025]]/Table2[[#This Row],[2019]])</f>
        <v>0.88311528638709602</v>
      </c>
    </row>
    <row r="20" spans="1:24" s="5" customFormat="1" ht="13.5" thickBot="1" x14ac:dyDescent="0.25">
      <c r="A20" s="1"/>
      <c r="B20" s="34" t="s">
        <v>27</v>
      </c>
      <c r="C20" s="40">
        <f>C13-C18</f>
        <v>190</v>
      </c>
      <c r="D20" s="40">
        <f t="shared" ref="D20:I20" si="3">D13-D18</f>
        <v>203.20000000000005</v>
      </c>
      <c r="E20" s="40">
        <f t="shared" si="3"/>
        <v>225.10000000000002</v>
      </c>
      <c r="F20" s="40">
        <f t="shared" si="3"/>
        <v>226</v>
      </c>
      <c r="G20" s="40">
        <f t="shared" si="3"/>
        <v>268.59999999999991</v>
      </c>
      <c r="H20" s="40">
        <f t="shared" si="3"/>
        <v>287.19999999999993</v>
      </c>
      <c r="I20" s="40">
        <f t="shared" si="3"/>
        <v>307.89999999999986</v>
      </c>
      <c r="J20" s="85">
        <f>LN(Table1[[#This Row],[2025]]/Table1[[#This Row],[2024]])</f>
        <v>6.9596217756385276E-2</v>
      </c>
      <c r="K20" s="79">
        <f>LN(Table1[[#This Row],[2025]]/Table1[[#This Row],[2023]])</f>
        <v>0.13655177084131739</v>
      </c>
      <c r="L20" s="85">
        <f>LN(Table1[[#This Row],[2025]]/Table1[[#This Row],[2019]])</f>
        <v>0.48275098276996808</v>
      </c>
      <c r="M20" s="1"/>
      <c r="N20" s="31" t="s">
        <v>48</v>
      </c>
      <c r="O20" s="13">
        <v>116.9</v>
      </c>
      <c r="P20" s="13">
        <v>143.80000000000001</v>
      </c>
      <c r="Q20" s="13">
        <v>168.3</v>
      </c>
      <c r="R20" s="13">
        <v>213.1</v>
      </c>
      <c r="S20" s="13">
        <v>243.6</v>
      </c>
      <c r="T20" s="13">
        <v>288.2</v>
      </c>
      <c r="U20" s="72">
        <v>361.9</v>
      </c>
      <c r="V20" s="86">
        <f>LN(Table2[[#This Row],[2025]]/Table2[[#This Row],[2024]])</f>
        <v>0.22771324700427506</v>
      </c>
      <c r="W20" s="82">
        <f>LN(Table2[[#This Row],[2025]]/Table2[[#This Row],[2023]])</f>
        <v>0.39584039473395477</v>
      </c>
      <c r="X20" s="83">
        <f>LN(Table2[[#This Row],[2025]]/Table2[[#This Row],[2019]])</f>
        <v>1.1300490620916739</v>
      </c>
    </row>
    <row r="21" spans="1:24" x14ac:dyDescent="0.2">
      <c r="B21" s="31"/>
      <c r="C21" s="38"/>
      <c r="D21" s="38"/>
      <c r="E21" s="38"/>
      <c r="F21" s="38"/>
      <c r="G21" s="38"/>
      <c r="H21" s="38"/>
      <c r="I21" s="72"/>
      <c r="J21" s="9"/>
      <c r="K21" s="10"/>
      <c r="L21" s="11"/>
      <c r="N21" s="31" t="s">
        <v>49</v>
      </c>
      <c r="O21" s="48">
        <v>42.1</v>
      </c>
      <c r="P21" s="48">
        <v>42.9</v>
      </c>
      <c r="Q21" s="48">
        <v>38.5</v>
      </c>
      <c r="R21" s="48">
        <v>47.4</v>
      </c>
      <c r="S21" s="48">
        <v>45.7</v>
      </c>
      <c r="T21" s="48">
        <v>37.6</v>
      </c>
      <c r="U21" s="73">
        <v>43.4</v>
      </c>
      <c r="V21" s="81">
        <f>LN(Table2[[#This Row],[2025]]/Table2[[#This Row],[2024]])</f>
        <v>0.14345539071051036</v>
      </c>
      <c r="W21" s="82">
        <f>LN(Table2[[#This Row],[2025]]/Table2[[#This Row],[2023]])</f>
        <v>-5.1638856793799974E-2</v>
      </c>
      <c r="X21" s="83">
        <f>LN(Table2[[#This Row],[2025]]/Table2[[#This Row],[2019]])</f>
        <v>3.0411700418023328E-2</v>
      </c>
    </row>
    <row r="22" spans="1:24" x14ac:dyDescent="0.2">
      <c r="B22" s="32" t="s">
        <v>28</v>
      </c>
      <c r="C22" s="38"/>
      <c r="D22" s="38"/>
      <c r="E22" s="38"/>
      <c r="F22" s="38"/>
      <c r="G22" s="38"/>
      <c r="H22" s="38"/>
      <c r="I22" s="72"/>
      <c r="J22" s="9"/>
      <c r="K22" s="10"/>
      <c r="L22" s="11"/>
      <c r="N22" s="46" t="s">
        <v>50</v>
      </c>
      <c r="O22" s="13">
        <v>455.6</v>
      </c>
      <c r="P22" s="13">
        <v>483.9</v>
      </c>
      <c r="Q22" s="13">
        <v>493.9</v>
      </c>
      <c r="R22" s="13">
        <v>558.20000000000005</v>
      </c>
      <c r="S22" s="13">
        <v>569.1</v>
      </c>
      <c r="T22" s="13">
        <v>568.9</v>
      </c>
      <c r="U22" s="72">
        <v>595.70000000000005</v>
      </c>
      <c r="V22" s="81">
        <f>LN(Table2[[#This Row],[2025]]/Table2[[#This Row],[2024]])</f>
        <v>4.6032512878040159E-2</v>
      </c>
      <c r="W22" s="82">
        <f>LN(Table2[[#This Row],[2025]]/Table2[[#This Row],[2023]])</f>
        <v>4.5681019025563575E-2</v>
      </c>
      <c r="X22" s="83">
        <f>LN(Table2[[#This Row],[2025]]/Table2[[#This Row],[2019]])</f>
        <v>0.26812195306161474</v>
      </c>
    </row>
    <row r="23" spans="1:24" x14ac:dyDescent="0.2">
      <c r="B23" s="27" t="s">
        <v>29</v>
      </c>
      <c r="C23" s="38">
        <v>130.80000000000001</v>
      </c>
      <c r="D23" s="38">
        <v>144.5</v>
      </c>
      <c r="E23" s="38">
        <v>160.19999999999999</v>
      </c>
      <c r="F23" s="38">
        <v>182.5</v>
      </c>
      <c r="G23" s="38">
        <v>197.8</v>
      </c>
      <c r="H23" s="38">
        <v>214</v>
      </c>
      <c r="I23" s="72">
        <v>240.2</v>
      </c>
      <c r="J23" s="84">
        <f>LN(Table1[[#This Row],[2025]]/Table1[[#This Row],[2024]])</f>
        <v>0.11549589462403161</v>
      </c>
      <c r="K23" s="75">
        <f>LN(Table1[[#This Row],[2025]]/Table1[[#This Row],[2023]])</f>
        <v>0.19421549045727141</v>
      </c>
      <c r="L23" s="76">
        <f>LN(Table1[[#This Row],[2025]]/Table1[[#This Row],[2019]])</f>
        <v>0.6078024706227847</v>
      </c>
      <c r="N23" s="46" t="s">
        <v>51</v>
      </c>
      <c r="O23" s="13">
        <v>39.5</v>
      </c>
      <c r="P23" s="13">
        <v>43</v>
      </c>
      <c r="Q23" s="13">
        <v>43.2</v>
      </c>
      <c r="R23" s="13">
        <v>55.2</v>
      </c>
      <c r="S23" s="13">
        <v>62.4</v>
      </c>
      <c r="T23" s="13">
        <v>53.8</v>
      </c>
      <c r="U23" s="72">
        <v>53.9</v>
      </c>
      <c r="V23" s="81">
        <f>LN(Table2[[#This Row],[2025]]/Table2[[#This Row],[2024]])</f>
        <v>1.8570107472126892E-3</v>
      </c>
      <c r="W23" s="82">
        <f>LN(Table2[[#This Row],[2025]]/Table2[[#This Row],[2023]])</f>
        <v>-0.14643479746043048</v>
      </c>
      <c r="X23" s="83">
        <f>LN(Table2[[#This Row],[2025]]/Table2[[#This Row],[2019]])</f>
        <v>0.31082980600787524</v>
      </c>
    </row>
    <row r="24" spans="1:24" x14ac:dyDescent="0.2">
      <c r="B24" s="27" t="s">
        <v>30</v>
      </c>
      <c r="C24" s="38">
        <v>2.2999999999999998</v>
      </c>
      <c r="D24" s="38">
        <v>1.7</v>
      </c>
      <c r="E24" s="38">
        <v>1.8</v>
      </c>
      <c r="F24" s="38">
        <v>0.7</v>
      </c>
      <c r="G24" s="38">
        <v>0.4</v>
      </c>
      <c r="H24" s="38">
        <v>0.7</v>
      </c>
      <c r="I24" s="72">
        <v>2.1</v>
      </c>
      <c r="J24" s="74">
        <f>LN(Table1[[#This Row],[2025]]/Table1[[#This Row],[2024]])</f>
        <v>1.0986122886681098</v>
      </c>
      <c r="K24" s="75">
        <f>LN(Table1[[#This Row],[2025]]/Table1[[#This Row],[2023]])</f>
        <v>1.6582280766035324</v>
      </c>
      <c r="L24" s="76">
        <f>LN(Table1[[#This Row],[2025]]/Table1[[#This Row],[2019]])</f>
        <v>-9.0971778205726633E-2</v>
      </c>
      <c r="N24" s="46" t="s">
        <v>45</v>
      </c>
      <c r="O24" s="13">
        <v>9.6999999999999993</v>
      </c>
      <c r="P24" s="13">
        <v>84.4</v>
      </c>
      <c r="Q24" s="13">
        <v>87.5</v>
      </c>
      <c r="R24" s="13">
        <v>95</v>
      </c>
      <c r="S24" s="13">
        <v>117.5</v>
      </c>
      <c r="T24" s="13">
        <v>130.30000000000001</v>
      </c>
      <c r="U24" s="72">
        <v>149.4</v>
      </c>
      <c r="V24" s="81">
        <f>LN(Table2[[#This Row],[2025]]/Table2[[#This Row],[2024]])</f>
        <v>0.13678778856791735</v>
      </c>
      <c r="W24" s="82">
        <f>LN(Table2[[#This Row],[2025]]/Table2[[#This Row],[2023]])</f>
        <v>0.24018893911450329</v>
      </c>
      <c r="X24" s="83">
        <f>LN(Table2[[#This Row],[2025]]/Table2[[#This Row],[2019]])</f>
        <v>2.73450138718938</v>
      </c>
    </row>
    <row r="25" spans="1:24" ht="13.5" thickBot="1" x14ac:dyDescent="0.25">
      <c r="B25" s="27" t="s">
        <v>31</v>
      </c>
      <c r="C25" s="41">
        <v>18</v>
      </c>
      <c r="D25" s="41">
        <v>27</v>
      </c>
      <c r="E25" s="41">
        <v>35.200000000000003</v>
      </c>
      <c r="F25" s="41">
        <v>38.6</v>
      </c>
      <c r="G25" s="41">
        <v>38.4</v>
      </c>
      <c r="H25" s="41">
        <v>40.299999999999997</v>
      </c>
      <c r="I25" s="72">
        <v>40</v>
      </c>
      <c r="J25" s="74">
        <f>LN(Table1[[#This Row],[2025]]/Table1[[#This Row],[2024]])</f>
        <v>-7.4720148387009541E-3</v>
      </c>
      <c r="K25" s="75">
        <f>LN(Table1[[#This Row],[2025]]/Table1[[#This Row],[2023]])</f>
        <v>4.08219945202552E-2</v>
      </c>
      <c r="L25" s="76">
        <f>LN(Table1[[#This Row],[2025]]/Table1[[#This Row],[2019]])</f>
        <v>0.79850769621777162</v>
      </c>
      <c r="N25" s="29" t="s">
        <v>52</v>
      </c>
      <c r="O25" s="40">
        <f>SUM(O19:O24)</f>
        <v>1186</v>
      </c>
      <c r="P25" s="40">
        <f t="shared" ref="P25:U25" si="4">SUM(P19:P24)</f>
        <v>1562.8</v>
      </c>
      <c r="Q25" s="40">
        <f t="shared" si="4"/>
        <v>1589.4999999999998</v>
      </c>
      <c r="R25" s="40">
        <f t="shared" si="4"/>
        <v>1551.5</v>
      </c>
      <c r="S25" s="40">
        <f t="shared" si="4"/>
        <v>1632.5000000000002</v>
      </c>
      <c r="T25" s="40">
        <f t="shared" si="4"/>
        <v>1950.8999999999996</v>
      </c>
      <c r="U25" s="40">
        <f t="shared" si="4"/>
        <v>2467.2000000000007</v>
      </c>
      <c r="V25" s="85">
        <f>LN(Table2[[#This Row],[2025]]/Table2[[#This Row],[2024]])</f>
        <v>0.23479309982579508</v>
      </c>
      <c r="W25" s="79">
        <f>LN(Table2[[#This Row],[2025]]/Table2[[#This Row],[2023]])</f>
        <v>0.41297132221842442</v>
      </c>
      <c r="X25" s="80">
        <f>LN(Table2[[#This Row],[2025]]/Table2[[#This Row],[2019]])</f>
        <v>0.73249760381133999</v>
      </c>
    </row>
    <row r="26" spans="1:24" x14ac:dyDescent="0.2">
      <c r="B26" s="27" t="s">
        <v>32</v>
      </c>
      <c r="C26" s="38">
        <v>0</v>
      </c>
      <c r="D26" s="52">
        <v>0</v>
      </c>
      <c r="E26" s="38">
        <v>0</v>
      </c>
      <c r="F26" s="38">
        <v>0</v>
      </c>
      <c r="G26" s="38">
        <v>0</v>
      </c>
      <c r="H26" s="38">
        <v>0</v>
      </c>
      <c r="I26" s="72">
        <v>0</v>
      </c>
      <c r="J26" s="74" t="e">
        <f>LN(Table1[[#This Row],[2025]]/Table1[[#This Row],[2024]])</f>
        <v>#DIV/0!</v>
      </c>
      <c r="K26" s="75" t="e">
        <f>LN(Table1[[#This Row],[2025]]/Table1[[#This Row],[2023]])</f>
        <v>#DIV/0!</v>
      </c>
      <c r="L26" s="76" t="e">
        <f>LN(Table1[[#This Row],[2025]]/Table1[[#This Row],[2019]])</f>
        <v>#DIV/0!</v>
      </c>
      <c r="N26" s="26"/>
      <c r="U26" s="72"/>
      <c r="V26" s="54"/>
      <c r="W26" s="51"/>
      <c r="X26" s="55"/>
    </row>
    <row r="27" spans="1:24" s="5" customFormat="1" x14ac:dyDescent="0.2">
      <c r="A27" s="1"/>
      <c r="B27" s="27" t="s">
        <v>33</v>
      </c>
      <c r="C27" s="38">
        <v>0.9</v>
      </c>
      <c r="D27" s="38">
        <v>0.7</v>
      </c>
      <c r="E27" s="38">
        <v>0</v>
      </c>
      <c r="F27" s="38">
        <v>6.8</v>
      </c>
      <c r="G27" s="38">
        <v>0.9</v>
      </c>
      <c r="H27" s="38">
        <v>3.2</v>
      </c>
      <c r="I27" s="72">
        <v>0</v>
      </c>
      <c r="J27" s="74" t="e">
        <f>LN(Table1[[#This Row],[2025]]/Table1[[#This Row],[2024]])</f>
        <v>#NUM!</v>
      </c>
      <c r="K27" s="75" t="e">
        <f>LN(Table1[[#This Row],[2025]]/Table1[[#This Row],[2023]])</f>
        <v>#NUM!</v>
      </c>
      <c r="L27" s="76" t="e">
        <f>LN(Table1[[#This Row],[2025]]/Table1[[#This Row],[2019]])</f>
        <v>#NUM!</v>
      </c>
      <c r="M27" s="1"/>
      <c r="N27" s="32" t="s">
        <v>53</v>
      </c>
      <c r="O27" s="13"/>
      <c r="P27" s="13"/>
      <c r="Q27" s="13"/>
      <c r="R27" s="13"/>
      <c r="S27" s="13"/>
      <c r="T27" s="13"/>
      <c r="U27" s="72"/>
      <c r="V27" s="54"/>
      <c r="W27" s="51"/>
      <c r="X27" s="55"/>
    </row>
    <row r="28" spans="1:24" ht="13.5" thickBot="1" x14ac:dyDescent="0.25">
      <c r="B28" s="29" t="s">
        <v>34</v>
      </c>
      <c r="C28" s="40">
        <f>SUM(C23:C27)</f>
        <v>152.00000000000003</v>
      </c>
      <c r="D28" s="40">
        <f t="shared" ref="D28:I28" si="5">SUM(D23:D27)</f>
        <v>173.89999999999998</v>
      </c>
      <c r="E28" s="40">
        <f t="shared" si="5"/>
        <v>197.2</v>
      </c>
      <c r="F28" s="40">
        <f t="shared" si="5"/>
        <v>228.6</v>
      </c>
      <c r="G28" s="40">
        <f t="shared" si="5"/>
        <v>237.50000000000003</v>
      </c>
      <c r="H28" s="40">
        <f t="shared" si="5"/>
        <v>258.2</v>
      </c>
      <c r="I28" s="40">
        <f t="shared" si="5"/>
        <v>282.29999999999995</v>
      </c>
      <c r="J28" s="85">
        <f>LN(Table1[[#This Row],[2025]]/Table1[[#This Row],[2024]])</f>
        <v>8.9235856846901496E-2</v>
      </c>
      <c r="K28" s="79">
        <f>LN(Table1[[#This Row],[2025]]/Table1[[#This Row],[2023]])</f>
        <v>0.17280271178474743</v>
      </c>
      <c r="L28" s="85">
        <f>LN(Table1[[#This Row],[2025]]/Table1[[#This Row],[2019]])</f>
        <v>0.61908981441316691</v>
      </c>
      <c r="N28" s="32" t="s">
        <v>7</v>
      </c>
      <c r="O28" s="43"/>
      <c r="P28" s="43"/>
      <c r="Q28" s="43"/>
      <c r="R28" s="43"/>
      <c r="S28" s="43"/>
      <c r="T28" s="43"/>
      <c r="U28" s="72"/>
      <c r="V28" s="54"/>
      <c r="W28" s="51"/>
      <c r="X28" s="55"/>
    </row>
    <row r="29" spans="1:24" x14ac:dyDescent="0.2">
      <c r="B29" s="15"/>
      <c r="C29" s="42"/>
      <c r="D29" s="42"/>
      <c r="E29" s="42"/>
      <c r="F29" s="42"/>
      <c r="G29" s="42"/>
      <c r="H29" s="42"/>
      <c r="I29" s="72"/>
      <c r="J29" s="9"/>
      <c r="K29" s="10"/>
      <c r="L29" s="11"/>
      <c r="N29" s="27" t="s">
        <v>54</v>
      </c>
      <c r="O29" s="13">
        <v>53.8</v>
      </c>
      <c r="P29" s="13">
        <v>55.4</v>
      </c>
      <c r="Q29" s="13">
        <v>50.4</v>
      </c>
      <c r="R29" s="13">
        <v>57.3</v>
      </c>
      <c r="S29" s="13">
        <v>63.1</v>
      </c>
      <c r="T29" s="13">
        <v>82</v>
      </c>
      <c r="U29" s="72">
        <v>69.599999999999994</v>
      </c>
      <c r="V29" s="86">
        <f>LN(Table2[[#This Row],[2025]]/Table2[[#This Row],[2024]])</f>
        <v>-0.16395467992387919</v>
      </c>
      <c r="W29" s="82">
        <f>LN(Table2[[#This Row],[2025]]/Table2[[#This Row],[2023]])</f>
        <v>9.8043797793206447E-2</v>
      </c>
      <c r="X29" s="83">
        <f>LN(Table2[[#This Row],[2025]]/Table2[[#This Row],[2019]])</f>
        <v>0.25749110017263521</v>
      </c>
    </row>
    <row r="30" spans="1:24" x14ac:dyDescent="0.2">
      <c r="B30" s="4" t="s">
        <v>38</v>
      </c>
      <c r="C30" s="42">
        <f>C20-C28</f>
        <v>37.999999999999972</v>
      </c>
      <c r="D30" s="42">
        <f t="shared" ref="D30:I30" si="6">D20-D28</f>
        <v>29.300000000000068</v>
      </c>
      <c r="E30" s="42">
        <f t="shared" si="6"/>
        <v>27.900000000000034</v>
      </c>
      <c r="F30" s="42">
        <f t="shared" si="6"/>
        <v>-2.5999999999999943</v>
      </c>
      <c r="G30" s="42">
        <f t="shared" si="6"/>
        <v>31.099999999999881</v>
      </c>
      <c r="H30" s="42">
        <f t="shared" si="6"/>
        <v>28.999999999999943</v>
      </c>
      <c r="I30" s="42">
        <f t="shared" si="6"/>
        <v>25.599999999999909</v>
      </c>
      <c r="J30" s="84">
        <f>LN(Table1[[#This Row],[2025]]/Table1[[#This Row],[2024]])</f>
        <v>-0.12470347850095888</v>
      </c>
      <c r="K30" s="77">
        <f>LN(Table1[[#This Row],[2025]]/Table1[[#This Row],[2023]])</f>
        <v>-0.19461546769967139</v>
      </c>
      <c r="L30" s="84">
        <f>LN(Table1[[#This Row],[2025]]/Table1[[#This Row],[2019]])</f>
        <v>-0.39499380824087182</v>
      </c>
      <c r="N30" s="27" t="s">
        <v>55</v>
      </c>
      <c r="O30" s="13">
        <v>32.700000000000003</v>
      </c>
      <c r="P30" s="13">
        <v>34.700000000000003</v>
      </c>
      <c r="Q30" s="13">
        <v>27.2</v>
      </c>
      <c r="R30" s="13">
        <v>33.799999999999997</v>
      </c>
      <c r="S30" s="13">
        <v>35.4</v>
      </c>
      <c r="T30" s="13">
        <v>38.799999999999997</v>
      </c>
      <c r="U30" s="72">
        <v>60.5</v>
      </c>
      <c r="V30" s="81">
        <f>LN(Table2[[#This Row],[2025]]/Table2[[#This Row],[2024]])</f>
        <v>0.44422311840756801</v>
      </c>
      <c r="W30" s="82">
        <f>LN(Table2[[#This Row],[2025]]/Table2[[#This Row],[2023]])</f>
        <v>0.53593154489706696</v>
      </c>
      <c r="X30" s="83">
        <f>LN(Table2[[#This Row],[2025]]/Table2[[#This Row],[2019]])</f>
        <v>0.61526828713358794</v>
      </c>
    </row>
    <row r="31" spans="1:24" x14ac:dyDescent="0.2">
      <c r="B31" s="46" t="s">
        <v>35</v>
      </c>
      <c r="C31" s="13">
        <v>-21.6</v>
      </c>
      <c r="D31" s="13">
        <v>-22.8</v>
      </c>
      <c r="E31" s="13">
        <v>-23.4</v>
      </c>
      <c r="F31" s="13">
        <v>-17.7</v>
      </c>
      <c r="G31" s="13">
        <v>-20.5</v>
      </c>
      <c r="H31" s="13">
        <v>-3</v>
      </c>
      <c r="I31" s="72">
        <v>5.9</v>
      </c>
      <c r="J31" s="74" t="e">
        <f>LN(Table1[[#This Row],[2025]]/Table1[[#This Row],[2024]])</f>
        <v>#NUM!</v>
      </c>
      <c r="K31" s="75" t="e">
        <f>LN(Table1[[#This Row],[2025]]/Table1[[#This Row],[2023]])</f>
        <v>#NUM!</v>
      </c>
      <c r="L31" s="76" t="e">
        <f>LN(Table1[[#This Row],[2025]]/Table1[[#This Row],[2019]])</f>
        <v>#NUM!</v>
      </c>
      <c r="N31" s="27" t="s">
        <v>56</v>
      </c>
      <c r="O31" s="13">
        <v>37.1</v>
      </c>
      <c r="P31" s="13">
        <v>48.1</v>
      </c>
      <c r="Q31" s="13">
        <v>47.3</v>
      </c>
      <c r="R31" s="13">
        <v>52.2</v>
      </c>
      <c r="S31" s="13">
        <v>64.7</v>
      </c>
      <c r="T31" s="13">
        <v>71.900000000000006</v>
      </c>
      <c r="U31" s="72">
        <v>82.3</v>
      </c>
      <c r="V31" s="81">
        <f>LN(Table2[[#This Row],[2025]]/Table2[[#This Row],[2024]])</f>
        <v>0.13509484295602309</v>
      </c>
      <c r="W31" s="82">
        <f>LN(Table2[[#This Row],[2025]]/Table2[[#This Row],[2023]])</f>
        <v>0.24060990617616926</v>
      </c>
      <c r="X31" s="83">
        <f>LN(Table2[[#This Row],[2025]]/Table2[[#This Row],[2019]])</f>
        <v>0.79675413806963469</v>
      </c>
    </row>
    <row r="32" spans="1:24" x14ac:dyDescent="0.2">
      <c r="B32" s="31" t="s">
        <v>36</v>
      </c>
      <c r="C32" s="43">
        <v>0</v>
      </c>
      <c r="D32" s="43">
        <v>0</v>
      </c>
      <c r="E32" s="43">
        <v>0</v>
      </c>
      <c r="F32" s="43">
        <v>-13</v>
      </c>
      <c r="G32" s="43">
        <v>0</v>
      </c>
      <c r="H32" s="43">
        <v>0</v>
      </c>
      <c r="I32" s="72">
        <v>0</v>
      </c>
      <c r="J32" s="74" t="e">
        <f>LN(Table1[[#This Row],[2025]]/Table1[[#This Row],[2024]])</f>
        <v>#DIV/0!</v>
      </c>
      <c r="K32" s="75" t="e">
        <f>LN(Table1[[#This Row],[2025]]/Table1[[#This Row],[2023]])</f>
        <v>#DIV/0!</v>
      </c>
      <c r="L32" s="76" t="e">
        <f>LN(Table1[[#This Row],[2025]]/Table1[[#This Row],[2019]])</f>
        <v>#DIV/0!</v>
      </c>
      <c r="N32" s="27" t="s">
        <v>57</v>
      </c>
      <c r="O32" s="43">
        <v>1.6</v>
      </c>
      <c r="P32" s="43">
        <v>1.5</v>
      </c>
      <c r="Q32" s="43">
        <v>1.5</v>
      </c>
      <c r="R32" s="43">
        <v>1.5</v>
      </c>
      <c r="S32" s="53">
        <v>0</v>
      </c>
      <c r="T32" s="43">
        <v>0</v>
      </c>
      <c r="U32" s="72">
        <v>0</v>
      </c>
      <c r="V32" s="81" t="e">
        <f>LN(Table2[[#This Row],[2025]]/Table2[[#This Row],[2024]])</f>
        <v>#DIV/0!</v>
      </c>
      <c r="W32" s="82" t="e">
        <f>LN(Table2[[#This Row],[2025]]/Table2[[#This Row],[2023]])</f>
        <v>#DIV/0!</v>
      </c>
      <c r="X32" s="83" t="e">
        <f>LN(Table2[[#This Row],[2025]]/Table2[[#This Row],[2019]])</f>
        <v>#NUM!</v>
      </c>
    </row>
    <row r="33" spans="1:24" s="5" customFormat="1" x14ac:dyDescent="0.2">
      <c r="A33" s="1"/>
      <c r="B33" s="31" t="s">
        <v>37</v>
      </c>
      <c r="C33" s="43">
        <v>-0.7</v>
      </c>
      <c r="D33" s="43">
        <v>0.3</v>
      </c>
      <c r="E33" s="43">
        <v>-0.1</v>
      </c>
      <c r="F33" s="43">
        <v>0.6</v>
      </c>
      <c r="G33" s="43">
        <v>0.5</v>
      </c>
      <c r="H33" s="43">
        <v>0.5</v>
      </c>
      <c r="I33" s="72">
        <v>2.5</v>
      </c>
      <c r="J33" s="74">
        <f>LN(Table1[[#This Row],[2025]]/Table1[[#This Row],[2024]])</f>
        <v>1.6094379124341003</v>
      </c>
      <c r="K33" s="75">
        <f>LN(Table1[[#This Row],[2025]]/Table1[[#This Row],[2023]])</f>
        <v>1.6094379124341003</v>
      </c>
      <c r="L33" s="76" t="e">
        <f>LN(Table1[[#This Row],[2025]]/Table1[[#This Row],[2019]])</f>
        <v>#NUM!</v>
      </c>
      <c r="M33" s="1"/>
      <c r="N33" s="27" t="s">
        <v>58</v>
      </c>
      <c r="O33" s="13">
        <v>34.299999999999997</v>
      </c>
      <c r="P33" s="13">
        <v>34</v>
      </c>
      <c r="Q33" s="13">
        <v>58.1</v>
      </c>
      <c r="R33" s="13">
        <v>62.1</v>
      </c>
      <c r="S33" s="43">
        <v>101.8</v>
      </c>
      <c r="T33" s="43">
        <v>76.3</v>
      </c>
      <c r="U33" s="72">
        <v>73.400000000000006</v>
      </c>
      <c r="V33" s="81">
        <f>LN(Table2[[#This Row],[2025]]/Table2[[#This Row],[2024]])</f>
        <v>-3.8749002669941336E-2</v>
      </c>
      <c r="W33" s="82">
        <f>LN(Table2[[#This Row],[2025]]/Table2[[#This Row],[2023]])</f>
        <v>-0.32708616849595235</v>
      </c>
      <c r="X33" s="83">
        <f>LN(Table2[[#This Row],[2025]]/Table2[[#This Row],[2019]])</f>
        <v>0.7607785814485758</v>
      </c>
    </row>
    <row r="34" spans="1:24" ht="13.5" thickBot="1" x14ac:dyDescent="0.25">
      <c r="B34" s="28" t="s">
        <v>16</v>
      </c>
      <c r="C34" s="40">
        <f>SUM(C30:C33)</f>
        <v>15.699999999999971</v>
      </c>
      <c r="D34" s="40">
        <f t="shared" ref="D34:I34" si="7">SUM(D30:D33)</f>
        <v>6.8000000000000673</v>
      </c>
      <c r="E34" s="40">
        <f t="shared" si="7"/>
        <v>4.4000000000000359</v>
      </c>
      <c r="F34" s="40">
        <f t="shared" si="7"/>
        <v>-32.699999999999996</v>
      </c>
      <c r="G34" s="40">
        <f t="shared" si="7"/>
        <v>11.099999999999881</v>
      </c>
      <c r="H34" s="40">
        <f t="shared" si="7"/>
        <v>26.499999999999943</v>
      </c>
      <c r="I34" s="40">
        <f t="shared" si="7"/>
        <v>33.999999999999908</v>
      </c>
      <c r="J34" s="85">
        <f>LN(Table1[[#This Row],[2025]]/Table1[[#This Row],[2024]])</f>
        <v>0.2492157916239843</v>
      </c>
      <c r="K34" s="85">
        <f>LN(Table1[[#This Row],[2025]]/Table1[[#This Row],[2023]])</f>
        <v>1.1194154162978809</v>
      </c>
      <c r="L34" s="80">
        <f>LN(Table1[[#This Row],[2025]]/Table1[[#This Row],[2019]])</f>
        <v>0.77269981226189821</v>
      </c>
      <c r="N34" s="27" t="s">
        <v>49</v>
      </c>
      <c r="O34" s="38">
        <v>9.9</v>
      </c>
      <c r="P34" s="38">
        <v>8.9</v>
      </c>
      <c r="Q34" s="38">
        <v>10.1</v>
      </c>
      <c r="R34" s="38">
        <v>10.8</v>
      </c>
      <c r="S34" s="38">
        <v>12.1</v>
      </c>
      <c r="T34" s="38">
        <v>11.3</v>
      </c>
      <c r="U34" s="72">
        <v>12.8</v>
      </c>
      <c r="V34" s="81">
        <f>LN(Table2[[#This Row],[2025]]/Table2[[#This Row],[2024]])</f>
        <v>0.12464244520727659</v>
      </c>
      <c r="W34" s="82">
        <f>LN(Table2[[#This Row],[2025]]/Table2[[#This Row],[2023]])</f>
        <v>5.6239718322876109E-2</v>
      </c>
      <c r="X34" s="83">
        <f>LN(Table2[[#This Row],[2025]]/Table2[[#This Row],[2019]])</f>
        <v>0.25691041378502733</v>
      </c>
    </row>
    <row r="35" spans="1:24" x14ac:dyDescent="0.2">
      <c r="B35" s="27" t="s">
        <v>17</v>
      </c>
      <c r="C35" s="13">
        <v>4.8</v>
      </c>
      <c r="D35" s="13">
        <v>-73.5</v>
      </c>
      <c r="E35" s="13">
        <v>3.9</v>
      </c>
      <c r="F35" s="13">
        <v>1.4</v>
      </c>
      <c r="G35" s="13">
        <v>8.6999999999999993</v>
      </c>
      <c r="H35" s="13">
        <v>10.199999999999999</v>
      </c>
      <c r="I35" s="72">
        <v>12</v>
      </c>
      <c r="J35" s="74">
        <f>LN(Table1[[#This Row],[2025]]/Table1[[#This Row],[2024]])</f>
        <v>0.16251892949777494</v>
      </c>
      <c r="K35" s="75">
        <f>LN(Table1[[#This Row],[2025]]/Table1[[#This Row],[2023]])</f>
        <v>0.32158362412746233</v>
      </c>
      <c r="L35" s="76">
        <f>LN(Table1[[#This Row],[2025]]/Table1[[#This Row],[2019]])</f>
        <v>0.91629073187415511</v>
      </c>
      <c r="N35" s="27" t="s">
        <v>45</v>
      </c>
      <c r="O35" s="47">
        <v>10</v>
      </c>
      <c r="P35" s="47">
        <v>11.9</v>
      </c>
      <c r="Q35" s="47">
        <v>25.7</v>
      </c>
      <c r="R35" s="47">
        <v>15.6</v>
      </c>
      <c r="S35" s="47">
        <v>1.3</v>
      </c>
      <c r="T35" s="47">
        <v>1.9</v>
      </c>
      <c r="U35" s="72">
        <v>3.4</v>
      </c>
      <c r="V35" s="86">
        <f>LN(Table2[[#This Row],[2025]]/Table2[[#This Row],[2024]])</f>
        <v>0.58192154544972097</v>
      </c>
      <c r="W35" s="82">
        <f>LN(Table2[[#This Row],[2025]]/Table2[[#This Row],[2023]])</f>
        <v>0.96141116715462471</v>
      </c>
      <c r="X35" s="86">
        <f>LN(Table2[[#This Row],[2025]]/Table2[[#This Row],[2019]])</f>
        <v>-1.07880966137193</v>
      </c>
    </row>
    <row r="36" spans="1:24" ht="13.5" thickBot="1" x14ac:dyDescent="0.25">
      <c r="B36" s="29" t="s">
        <v>18</v>
      </c>
      <c r="C36" s="40">
        <f>C34-C35</f>
        <v>10.89999999999997</v>
      </c>
      <c r="D36" s="40">
        <f t="shared" ref="D36:I36" si="8">D34-D35</f>
        <v>80.300000000000068</v>
      </c>
      <c r="E36" s="40">
        <f t="shared" si="8"/>
        <v>0.50000000000003597</v>
      </c>
      <c r="F36" s="40">
        <f t="shared" si="8"/>
        <v>-34.099999999999994</v>
      </c>
      <c r="G36" s="40">
        <f t="shared" si="8"/>
        <v>2.3999999999998813</v>
      </c>
      <c r="H36" s="40">
        <f t="shared" si="8"/>
        <v>16.299999999999944</v>
      </c>
      <c r="I36" s="40">
        <f t="shared" si="8"/>
        <v>21.999999999999908</v>
      </c>
      <c r="J36" s="85">
        <f>LN(Table1[[#This Row],[2025]]/Table1[[#This Row],[2024]])</f>
        <v>0.29987734554559853</v>
      </c>
      <c r="K36" s="85">
        <f>LN(Table1[[#This Row],[2025]]/Table1[[#This Row],[2023]])</f>
        <v>2.2155737160044611</v>
      </c>
      <c r="L36" s="80">
        <f>LN(Table1[[#This Row],[2025]]/Table1[[#This Row],[2019]])</f>
        <v>0.70227966412321641</v>
      </c>
      <c r="N36" s="27" t="s">
        <v>59</v>
      </c>
      <c r="O36" s="47">
        <v>3.3</v>
      </c>
      <c r="P36" s="47">
        <v>3.1</v>
      </c>
      <c r="Q36" s="47">
        <v>0.8</v>
      </c>
      <c r="R36" s="47">
        <v>0.9</v>
      </c>
      <c r="S36" s="47">
        <v>14.1</v>
      </c>
      <c r="T36" s="47">
        <v>14.5</v>
      </c>
      <c r="U36" s="72">
        <v>9</v>
      </c>
      <c r="V36" s="86">
        <f>LN(Table2[[#This Row],[2025]]/Table2[[#This Row],[2024]])</f>
        <v>-0.47692407209030929</v>
      </c>
      <c r="W36" s="82">
        <f>LN(Table2[[#This Row],[2025]]/Table2[[#This Row],[2023]])</f>
        <v>-0.44895022004790314</v>
      </c>
      <c r="X36" s="86">
        <f>LN(Table2[[#This Row],[2025]]/Table2[[#This Row],[2019]])</f>
        <v>1.003302108863785</v>
      </c>
    </row>
    <row r="37" spans="1:24" ht="13.5" thickBot="1" x14ac:dyDescent="0.25">
      <c r="B37" s="20"/>
      <c r="C37" s="44"/>
      <c r="D37" s="44"/>
      <c r="E37" s="44"/>
      <c r="F37" s="44"/>
      <c r="G37" s="44"/>
      <c r="H37" s="44"/>
      <c r="I37" s="69"/>
      <c r="J37" s="9"/>
      <c r="K37" s="10"/>
      <c r="L37" s="11"/>
      <c r="N37" s="29" t="s">
        <v>47</v>
      </c>
      <c r="O37" s="40">
        <f>SUM(O29:O36)</f>
        <v>182.70000000000002</v>
      </c>
      <c r="P37" s="40">
        <f t="shared" ref="P37:U37" si="9">SUM(P29:P36)</f>
        <v>197.6</v>
      </c>
      <c r="Q37" s="40">
        <f t="shared" si="9"/>
        <v>221.1</v>
      </c>
      <c r="R37" s="40">
        <f t="shared" si="9"/>
        <v>234.20000000000002</v>
      </c>
      <c r="S37" s="40">
        <f t="shared" si="9"/>
        <v>292.50000000000006</v>
      </c>
      <c r="T37" s="40">
        <f t="shared" si="9"/>
        <v>296.7</v>
      </c>
      <c r="U37" s="40">
        <f t="shared" si="9"/>
        <v>310.99999999999994</v>
      </c>
      <c r="V37" s="78">
        <f>LN(Table2[[#This Row],[2025]]/Table2[[#This Row],[2024]])</f>
        <v>4.7071384882457892E-2</v>
      </c>
      <c r="W37" s="79">
        <f>LN(Table2[[#This Row],[2025]]/Table2[[#This Row],[2023]])</f>
        <v>6.1328245507322528E-2</v>
      </c>
      <c r="X37" s="80">
        <f>LN(Table2[[#This Row],[2025]]/Table2[[#This Row],[2019]])</f>
        <v>0.53194744879527289</v>
      </c>
    </row>
    <row r="38" spans="1:24" x14ac:dyDescent="0.2">
      <c r="B38" s="46" t="s">
        <v>1</v>
      </c>
      <c r="C38" s="45">
        <v>109.2</v>
      </c>
      <c r="D38" s="45">
        <v>118.7</v>
      </c>
      <c r="E38" s="45">
        <v>128</v>
      </c>
      <c r="F38" s="45">
        <v>126.7</v>
      </c>
      <c r="G38" s="45">
        <v>130.4</v>
      </c>
      <c r="H38" s="45">
        <v>150.9</v>
      </c>
      <c r="I38" s="45">
        <v>165.2</v>
      </c>
      <c r="J38" s="84">
        <f>LN(Table1[[#This Row],[2025]]/Table1[[#This Row],[2024]])</f>
        <v>9.0539495313074467E-2</v>
      </c>
      <c r="K38" s="84">
        <f>LN(Table1[[#This Row],[2025]]/Table1[[#This Row],[2023]])</f>
        <v>0.23655021159432496</v>
      </c>
      <c r="L38" s="84">
        <f>LN(Table1[[#This Row],[2025]]/Table1[[#This Row],[2019]])</f>
        <v>0.41397579777607302</v>
      </c>
      <c r="N38" s="46" t="s">
        <v>60</v>
      </c>
      <c r="O38" s="45">
        <v>295.10000000000002</v>
      </c>
      <c r="P38" s="45">
        <v>301</v>
      </c>
      <c r="Q38" s="45">
        <v>296.7</v>
      </c>
      <c r="R38" s="45">
        <v>250.2</v>
      </c>
      <c r="S38" s="45">
        <v>219.3</v>
      </c>
      <c r="T38" s="45">
        <v>174.6</v>
      </c>
      <c r="U38" s="72">
        <v>0</v>
      </c>
      <c r="V38" s="86">
        <v>-1</v>
      </c>
      <c r="W38" s="86">
        <v>-1</v>
      </c>
      <c r="X38" s="86">
        <v>-1</v>
      </c>
    </row>
    <row r="39" spans="1:24" x14ac:dyDescent="0.2">
      <c r="B39" s="31" t="s">
        <v>19</v>
      </c>
      <c r="C39" s="35">
        <f>C36/C38</f>
        <v>9.9816849816849545E-2</v>
      </c>
      <c r="D39" s="35">
        <f t="shared" ref="D39:I39" si="10">D36/D38</f>
        <v>0.67649536647009323</v>
      </c>
      <c r="E39" s="35">
        <f t="shared" si="10"/>
        <v>3.906250000000281E-3</v>
      </c>
      <c r="F39" s="35">
        <f t="shared" si="10"/>
        <v>-0.26913970007892657</v>
      </c>
      <c r="G39" s="35">
        <f t="shared" si="10"/>
        <v>1.8404907975459212E-2</v>
      </c>
      <c r="H39" s="35">
        <f t="shared" si="10"/>
        <v>0.10801855533465834</v>
      </c>
      <c r="I39" s="35">
        <f t="shared" si="10"/>
        <v>0.13317191283292923</v>
      </c>
      <c r="J39" s="74">
        <f>LN(Table1[[#This Row],[2025]]/Table1[[#This Row],[2024]])</f>
        <v>0.20933785023252399</v>
      </c>
      <c r="K39" s="75">
        <f>LN(Table1[[#This Row],[2025]]/Table1[[#This Row],[2023]])</f>
        <v>1.9790235044101363</v>
      </c>
      <c r="L39" s="76">
        <f>LN(Table1[[#This Row],[2025]]/Table1[[#This Row],[2019]])</f>
        <v>0.28830386634714339</v>
      </c>
      <c r="N39" s="31" t="s">
        <v>49</v>
      </c>
      <c r="O39" s="38">
        <v>37.6</v>
      </c>
      <c r="P39" s="38">
        <v>38.6</v>
      </c>
      <c r="Q39" s="38">
        <v>32.700000000000003</v>
      </c>
      <c r="R39" s="38">
        <v>40.799999999999997</v>
      </c>
      <c r="S39" s="38">
        <f>37.8+50.9</f>
        <v>88.699999999999989</v>
      </c>
      <c r="T39" s="38">
        <f>29.8+64.4</f>
        <v>94.2</v>
      </c>
      <c r="U39" s="72">
        <f>33.8+95.8</f>
        <v>129.6</v>
      </c>
      <c r="V39" s="81">
        <f>LN(Table2[[#This Row],[2025]]/Table2[[#This Row],[2024]])</f>
        <v>0.3190326023358569</v>
      </c>
      <c r="W39" s="82">
        <f>LN(Table2[[#This Row],[2025]]/Table2[[#This Row],[2023]])</f>
        <v>0.37919289460264061</v>
      </c>
      <c r="X39" s="83">
        <f>LN(Table2[[#This Row],[2025]]/Table2[[#This Row],[2019]])</f>
        <v>1.2374487335223254</v>
      </c>
    </row>
    <row r="40" spans="1:24" x14ac:dyDescent="0.2">
      <c r="B40" s="31" t="s">
        <v>0</v>
      </c>
      <c r="C40" s="24">
        <v>18.010000000000002</v>
      </c>
      <c r="D40" s="24">
        <v>27.43</v>
      </c>
      <c r="E40" s="24">
        <v>19.399999999999999</v>
      </c>
      <c r="F40" s="24">
        <v>10.32</v>
      </c>
      <c r="G40" s="24">
        <v>20.29</v>
      </c>
      <c r="H40" s="24">
        <v>26.38</v>
      </c>
      <c r="I40" s="24">
        <v>103.01</v>
      </c>
      <c r="J40" s="84">
        <f>LN(Table1[[#This Row],[2025]]/Table1[[#This Row],[2024]])</f>
        <v>1.3622199236064336</v>
      </c>
      <c r="K40" s="75">
        <f>LN(Table1[[#This Row],[2025]]/Table1[[#This Row],[2023]])</f>
        <v>1.6246979170578788</v>
      </c>
      <c r="L40" s="76">
        <f>LN(Table1[[#This Row],[2025]]/Table1[[#This Row],[2019]])</f>
        <v>1.7438989117077373</v>
      </c>
      <c r="N40" s="49" t="s">
        <v>45</v>
      </c>
      <c r="O40" s="43">
        <v>78.7</v>
      </c>
      <c r="P40" s="43">
        <v>83</v>
      </c>
      <c r="Q40" s="43">
        <v>76.2</v>
      </c>
      <c r="R40" s="43">
        <v>77.400000000000006</v>
      </c>
      <c r="S40" s="43">
        <v>33.5</v>
      </c>
      <c r="T40" s="38">
        <v>32.200000000000003</v>
      </c>
      <c r="U40" s="72">
        <v>30.3</v>
      </c>
      <c r="V40" s="81">
        <f>LN(Table2[[#This Row],[2025]]/Table2[[#This Row],[2024]])</f>
        <v>-6.0818740035039225E-2</v>
      </c>
      <c r="W40" s="82">
        <f>LN(Table2[[#This Row],[2025]]/Table2[[#This Row],[2023]])</f>
        <v>-0.10039772631569728</v>
      </c>
      <c r="X40" s="83">
        <f>LN(Table2[[#This Row],[2025]]/Table2[[#This Row],[2019]])</f>
        <v>-0.95449544290803412</v>
      </c>
    </row>
    <row r="41" spans="1:24" x14ac:dyDescent="0.2">
      <c r="B41" s="31" t="s">
        <v>2</v>
      </c>
      <c r="C41" s="58">
        <f t="shared" ref="C41:G41" si="11">C38*C40</f>
        <v>1966.6920000000002</v>
      </c>
      <c r="D41" s="58">
        <f t="shared" si="11"/>
        <v>3255.9410000000003</v>
      </c>
      <c r="E41" s="58">
        <f t="shared" si="11"/>
        <v>2483.1999999999998</v>
      </c>
      <c r="F41" s="58">
        <f t="shared" si="11"/>
        <v>1307.5440000000001</v>
      </c>
      <c r="G41" s="58">
        <f t="shared" si="11"/>
        <v>2645.8159999999998</v>
      </c>
      <c r="H41" s="58">
        <f>H38*H40</f>
        <v>3980.7420000000002</v>
      </c>
      <c r="I41" s="58">
        <f t="shared" ref="I41" si="12">I38*I40</f>
        <v>17017.252</v>
      </c>
      <c r="J41" s="74">
        <f>LN(Table1[[#This Row],[2025]]/Table1[[#This Row],[2024]])</f>
        <v>1.4527594189195079</v>
      </c>
      <c r="K41" s="75">
        <f>LN(Table1[[#This Row],[2025]]/Table1[[#This Row],[2023]])</f>
        <v>1.8612481286522038</v>
      </c>
      <c r="L41" s="76">
        <f>LN(Table1[[#This Row],[2025]]/Table1[[#This Row],[2019]])</f>
        <v>2.1578747094838104</v>
      </c>
      <c r="N41" s="46" t="s">
        <v>61</v>
      </c>
      <c r="O41" s="38">
        <v>2.8</v>
      </c>
      <c r="P41" s="38">
        <v>2.5</v>
      </c>
      <c r="Q41" s="38">
        <v>2.5</v>
      </c>
      <c r="R41" s="38">
        <v>1.4</v>
      </c>
      <c r="S41" s="38">
        <v>0</v>
      </c>
      <c r="T41" s="38">
        <v>0</v>
      </c>
      <c r="U41" s="72">
        <v>0</v>
      </c>
      <c r="V41" s="81" t="e">
        <f>LN(Table2[[#This Row],[2025]]/Table2[[#This Row],[2024]])</f>
        <v>#DIV/0!</v>
      </c>
      <c r="W41" s="82" t="e">
        <f>LN(Table2[[#This Row],[2025]]/Table2[[#This Row],[2023]])</f>
        <v>#DIV/0!</v>
      </c>
      <c r="X41" s="83" t="e">
        <f>LN(Table2[[#This Row],[2025]]/Table2[[#This Row],[2019]])</f>
        <v>#NUM!</v>
      </c>
    </row>
    <row r="42" spans="1:24" ht="13.5" thickBot="1" x14ac:dyDescent="0.25">
      <c r="B42" s="70" t="s">
        <v>86</v>
      </c>
      <c r="C42" s="38">
        <f>(C34-C31)*(1-(C35/C34))</f>
        <v>25.896178343949</v>
      </c>
      <c r="D42" s="38">
        <f t="shared" ref="D42:H42" si="13">(D34-D31)*(1-(D35/D34))</f>
        <v>349.54117647058587</v>
      </c>
      <c r="E42" s="38">
        <f t="shared" si="13"/>
        <v>3.1590909090911139</v>
      </c>
      <c r="F42" s="38">
        <f t="shared" si="13"/>
        <v>-15.642201834862382</v>
      </c>
      <c r="G42" s="38">
        <f t="shared" si="13"/>
        <v>6.8324324324321442</v>
      </c>
      <c r="H42" s="38">
        <f t="shared" si="13"/>
        <v>18.145283018867865</v>
      </c>
      <c r="I42" s="38">
        <f t="shared" ref="I42" si="14">(I34-I31)*(1-(I35/I34))</f>
        <v>18.182352941176383</v>
      </c>
      <c r="J42" s="74">
        <f>LN(Table1[[#This Row],[2025]]/Table1[[#This Row],[2024]])</f>
        <v>2.0408669155387331E-3</v>
      </c>
      <c r="K42" s="75">
        <f>LN(Table1[[#This Row],[2025]]/Table1[[#This Row],[2023]])</f>
        <v>0.97877075545341397</v>
      </c>
      <c r="L42" s="76">
        <f>LN(Table1[[#This Row],[2025]]/Table1[[#This Row],[2019]])</f>
        <v>-0.35364389844875405</v>
      </c>
      <c r="N42" s="29" t="s">
        <v>62</v>
      </c>
      <c r="O42" s="40">
        <f>SUM(O37:O41)</f>
        <v>596.90000000000009</v>
      </c>
      <c r="P42" s="40">
        <f t="shared" ref="P42:U42" si="15">SUM(P37:P41)</f>
        <v>622.70000000000005</v>
      </c>
      <c r="Q42" s="40">
        <f t="shared" si="15"/>
        <v>629.20000000000005</v>
      </c>
      <c r="R42" s="40">
        <f t="shared" si="15"/>
        <v>603.99999999999989</v>
      </c>
      <c r="S42" s="40">
        <f t="shared" si="15"/>
        <v>634</v>
      </c>
      <c r="T42" s="40">
        <f t="shared" si="15"/>
        <v>597.70000000000005</v>
      </c>
      <c r="U42" s="40">
        <f t="shared" si="15"/>
        <v>470.89999999999992</v>
      </c>
      <c r="V42" s="85">
        <f>LN(Table2[[#This Row],[2025]]/Table2[[#This Row],[2024]])</f>
        <v>-0.23844319858069993</v>
      </c>
      <c r="W42" s="79">
        <f>LN(Table2[[#This Row],[2025]]/Table2[[#This Row],[2023]])</f>
        <v>-0.29740319718771718</v>
      </c>
      <c r="X42" s="80">
        <f>LN(Table2[[#This Row],[2025]]/Table2[[#This Row],[2019]])</f>
        <v>-0.23710383792509557</v>
      </c>
    </row>
    <row r="43" spans="1:24" x14ac:dyDescent="0.2">
      <c r="B43" s="70" t="s">
        <v>87</v>
      </c>
      <c r="C43" s="71">
        <f>C20/C13</f>
        <v>0.26480836236933797</v>
      </c>
      <c r="D43" s="71">
        <f t="shared" ref="D43:H43" si="16">D20/D13</f>
        <v>0.2717667513708707</v>
      </c>
      <c r="E43" s="71">
        <f t="shared" si="16"/>
        <v>0.27738755391250774</v>
      </c>
      <c r="F43" s="71">
        <f t="shared" si="16"/>
        <v>0.2515863297339419</v>
      </c>
      <c r="G43" s="71">
        <f t="shared" si="16"/>
        <v>0.25899141837816986</v>
      </c>
      <c r="H43" s="71">
        <f t="shared" si="16"/>
        <v>0.25275015400862444</v>
      </c>
      <c r="I43" s="71">
        <f t="shared" ref="I43" si="17">I20/I13</f>
        <v>0.22861597861597852</v>
      </c>
      <c r="J43" s="84">
        <f>LN(Table1[[#This Row],[2025]]/Table1[[#This Row],[2024]])</f>
        <v>-0.10035782060657075</v>
      </c>
      <c r="K43" s="75">
        <f>LN(Table1[[#This Row],[2025]]/Table1[[#This Row],[2023]])</f>
        <v>-0.12475128084991363</v>
      </c>
      <c r="L43" s="76">
        <f>LN(Table1[[#This Row],[2025]]/Table1[[#This Row],[2019]])</f>
        <v>-0.14696275688317506</v>
      </c>
      <c r="N43" s="50"/>
      <c r="O43" s="33"/>
      <c r="P43" s="33"/>
      <c r="Q43" s="33"/>
      <c r="R43" s="33"/>
      <c r="S43" s="33"/>
      <c r="T43" s="33"/>
      <c r="U43" s="72"/>
      <c r="V43" s="54"/>
      <c r="W43" s="51"/>
      <c r="X43" s="55"/>
    </row>
    <row r="44" spans="1:24" s="5" customFormat="1" x14ac:dyDescent="0.2">
      <c r="A44" s="1"/>
      <c r="B44" s="70" t="s">
        <v>88</v>
      </c>
      <c r="C44" s="71">
        <f>C36/C13</f>
        <v>1.519163763066198E-2</v>
      </c>
      <c r="D44" s="71">
        <f t="shared" ref="D44:H44" si="18">D36/D13</f>
        <v>0.10739601444429593</v>
      </c>
      <c r="E44" s="71">
        <f t="shared" si="18"/>
        <v>6.1614294516332225E-4</v>
      </c>
      <c r="F44" s="71">
        <f t="shared" si="18"/>
        <v>-3.7960592229767331E-2</v>
      </c>
      <c r="G44" s="71">
        <f t="shared" si="18"/>
        <v>2.3141452126119772E-3</v>
      </c>
      <c r="H44" s="71">
        <f t="shared" si="18"/>
        <v>1.4344803308985254E-2</v>
      </c>
      <c r="I44" s="71">
        <f t="shared" ref="I44" si="19">I36/I13</f>
        <v>1.6335016335016266E-2</v>
      </c>
      <c r="J44" s="84">
        <f>LN(Table1[[#This Row],[2025]]/Table1[[#This Row],[2024]])</f>
        <v>0.12992330718264244</v>
      </c>
      <c r="K44" s="75">
        <f>LN(Table1[[#This Row],[2025]]/Table1[[#This Row],[2023]])</f>
        <v>1.9542706643132302</v>
      </c>
      <c r="L44" s="76">
        <f>LN(Table1[[#This Row],[2025]]/Table1[[#This Row],[2019]])</f>
        <v>7.256592447007304E-2</v>
      </c>
      <c r="M44" s="1"/>
      <c r="N44" s="4" t="s">
        <v>63</v>
      </c>
      <c r="O44" s="42">
        <f>O25-O42</f>
        <v>589.09999999999991</v>
      </c>
      <c r="P44" s="42">
        <f t="shared" ref="P44:U44" si="20">P25-P42</f>
        <v>940.09999999999991</v>
      </c>
      <c r="Q44" s="42">
        <f t="shared" si="20"/>
        <v>960.29999999999973</v>
      </c>
      <c r="R44" s="42">
        <f t="shared" si="20"/>
        <v>947.50000000000011</v>
      </c>
      <c r="S44" s="42">
        <f t="shared" si="20"/>
        <v>998.50000000000023</v>
      </c>
      <c r="T44" s="42">
        <f t="shared" si="20"/>
        <v>1353.1999999999996</v>
      </c>
      <c r="U44" s="42">
        <f t="shared" si="20"/>
        <v>1996.3000000000009</v>
      </c>
      <c r="V44" s="86">
        <f>LN(Table2[[#This Row],[2025]]/Table2[[#This Row],[2024]])</f>
        <v>0.38882330927205533</v>
      </c>
      <c r="W44" s="86">
        <f>LN(Table2[[#This Row],[2025]]/Table2[[#This Row],[2023]])</f>
        <v>0.69279659332273835</v>
      </c>
      <c r="X44" s="86">
        <f>LN(Table2[[#This Row],[2025]]/Table2[[#This Row],[2019]])</f>
        <v>1.220454797650967</v>
      </c>
    </row>
    <row r="45" spans="1:24" x14ac:dyDescent="0.2">
      <c r="B45" s="16"/>
      <c r="C45" s="14"/>
      <c r="D45" s="14"/>
      <c r="E45" s="14"/>
      <c r="F45" s="14"/>
      <c r="G45" s="14"/>
      <c r="H45" s="14"/>
      <c r="I45" s="14"/>
      <c r="J45" s="56"/>
      <c r="K45" s="56"/>
      <c r="L45" s="56"/>
      <c r="N45" s="59" t="s">
        <v>39</v>
      </c>
      <c r="O45" s="52">
        <f>O11+O12</f>
        <v>172.6</v>
      </c>
      <c r="P45" s="52">
        <f t="shared" ref="P45:T45" si="21">P11+P12</f>
        <v>381.5</v>
      </c>
      <c r="Q45" s="52">
        <f t="shared" si="21"/>
        <v>349.4</v>
      </c>
      <c r="R45" s="52">
        <f t="shared" si="21"/>
        <v>81.3</v>
      </c>
      <c r="S45" s="52">
        <f t="shared" si="21"/>
        <v>72.8</v>
      </c>
      <c r="T45" s="52">
        <f t="shared" si="21"/>
        <v>329.3</v>
      </c>
      <c r="U45" s="52">
        <f t="shared" ref="U45" si="22">U11+U12</f>
        <v>560.6</v>
      </c>
      <c r="V45" s="86">
        <f>LN(Table2[[#This Row],[2025]]/Table2[[#This Row],[2024]])</f>
        <v>0.5320384493483693</v>
      </c>
      <c r="W45" s="82">
        <f>LN(Table2[[#This Row],[2025]]/Table2[[#This Row],[2023]])</f>
        <v>2.0412916835280477</v>
      </c>
      <c r="X45" s="83">
        <f>LN(Table2[[#This Row],[2025]]/Table2[[#This Row],[2019]])</f>
        <v>1.1780308600813605</v>
      </c>
    </row>
    <row r="46" spans="1:24" x14ac:dyDescent="0.2">
      <c r="B46" s="16"/>
      <c r="C46" s="14"/>
      <c r="D46" s="14"/>
      <c r="E46" s="14"/>
      <c r="F46" s="14"/>
      <c r="G46" s="14"/>
      <c r="H46" s="14"/>
      <c r="I46" s="14"/>
      <c r="J46" s="56"/>
      <c r="K46" s="56"/>
      <c r="L46" s="56"/>
      <c r="N46" s="59" t="s">
        <v>70</v>
      </c>
      <c r="O46" s="52">
        <f>O38</f>
        <v>295.10000000000002</v>
      </c>
      <c r="P46" s="52">
        <f t="shared" ref="P46:T46" si="23">P38</f>
        <v>301</v>
      </c>
      <c r="Q46" s="52">
        <f t="shared" si="23"/>
        <v>296.7</v>
      </c>
      <c r="R46" s="52">
        <f t="shared" si="23"/>
        <v>250.2</v>
      </c>
      <c r="S46" s="52">
        <f t="shared" si="23"/>
        <v>219.3</v>
      </c>
      <c r="T46" s="52">
        <f t="shared" si="23"/>
        <v>174.6</v>
      </c>
      <c r="U46" s="52">
        <f t="shared" ref="U46" si="24">U38</f>
        <v>0</v>
      </c>
      <c r="V46" s="81" t="e">
        <f>LN(Table2[[#This Row],[2025]]/Table2[[#This Row],[2024]])</f>
        <v>#NUM!</v>
      </c>
      <c r="W46" s="82" t="e">
        <f>LN(Table2[[#This Row],[2025]]/Table2[[#This Row],[2023]])</f>
        <v>#NUM!</v>
      </c>
      <c r="X46" s="83" t="e">
        <f>LN(Table2[[#This Row],[2025]]/Table2[[#This Row],[2019]])</f>
        <v>#NUM!</v>
      </c>
    </row>
    <row r="47" spans="1:24" x14ac:dyDescent="0.2">
      <c r="B47" s="16"/>
      <c r="C47" s="14"/>
      <c r="D47" s="14"/>
      <c r="E47" s="14"/>
      <c r="F47" s="14"/>
      <c r="G47" s="14"/>
      <c r="H47" s="14"/>
      <c r="I47" s="14"/>
      <c r="J47" s="56"/>
      <c r="K47" s="56"/>
      <c r="L47" s="56"/>
      <c r="N47" s="59" t="s">
        <v>71</v>
      </c>
      <c r="O47" s="53">
        <f t="shared" ref="O47:T47" si="25">C41-O45+O46</f>
        <v>2089.1920000000005</v>
      </c>
      <c r="P47" s="53">
        <f t="shared" si="25"/>
        <v>3175.4410000000003</v>
      </c>
      <c r="Q47" s="53">
        <f t="shared" si="25"/>
        <v>2430.4999999999995</v>
      </c>
      <c r="R47" s="53">
        <f t="shared" si="25"/>
        <v>1476.4440000000002</v>
      </c>
      <c r="S47" s="53">
        <f t="shared" si="25"/>
        <v>2792.3159999999998</v>
      </c>
      <c r="T47" s="53">
        <f t="shared" si="25"/>
        <v>3826.0419999999999</v>
      </c>
      <c r="U47" s="53">
        <f t="shared" ref="U47" si="26">I41-U45+U46</f>
        <v>16456.652000000002</v>
      </c>
      <c r="V47" s="86">
        <f>LN(Table2[[#This Row],[2025]]/Table2[[#This Row],[2024]])</f>
        <v>1.4588989238927483</v>
      </c>
      <c r="W47" s="82">
        <f>LN(Table2[[#This Row],[2025]]/Table2[[#This Row],[2023]])</f>
        <v>1.7738584133613193</v>
      </c>
      <c r="X47" s="83">
        <f>LN(Table2[[#This Row],[2025]]/Table2[[#This Row],[2019]])</f>
        <v>2.0639523840170231</v>
      </c>
    </row>
    <row r="48" spans="1:24" x14ac:dyDescent="0.2">
      <c r="N48" s="59" t="s">
        <v>72</v>
      </c>
      <c r="O48" s="60">
        <f t="shared" ref="O48:T48" si="27">C30/O47</f>
        <v>1.8188850043461761E-2</v>
      </c>
      <c r="P48" s="60">
        <f t="shared" si="27"/>
        <v>9.2270648391829871E-3</v>
      </c>
      <c r="Q48" s="60">
        <f t="shared" si="27"/>
        <v>1.1479119522731965E-2</v>
      </c>
      <c r="R48" s="60">
        <f t="shared" si="27"/>
        <v>-1.7609878871125448E-3</v>
      </c>
      <c r="S48" s="60">
        <f t="shared" si="27"/>
        <v>1.1137707909849703E-2</v>
      </c>
      <c r="T48" s="60">
        <f t="shared" si="27"/>
        <v>7.5796345152509938E-3</v>
      </c>
      <c r="U48" s="60">
        <f t="shared" ref="U48" si="28">I30/U47</f>
        <v>1.5556019535443726E-3</v>
      </c>
      <c r="V48" s="81">
        <f>LN(Table2[[#This Row],[2025]]/Table2[[#This Row],[2024]])</f>
        <v>-1.583602402393707</v>
      </c>
      <c r="W48" s="82">
        <f>LN(Table2[[#This Row],[2025]]/Table2[[#This Row],[2023]])</f>
        <v>-1.9684738810609905</v>
      </c>
      <c r="X48" s="83">
        <f>LN(Table2[[#This Row],[2025]]/Table2[[#This Row],[2019]])</f>
        <v>-2.4589461922578946</v>
      </c>
    </row>
    <row r="49" spans="14:24" x14ac:dyDescent="0.2">
      <c r="N49" s="59" t="s">
        <v>73</v>
      </c>
      <c r="O49" s="52">
        <f t="shared" ref="O49:T49" si="29">O47/C30</f>
        <v>54.978736842105313</v>
      </c>
      <c r="P49" s="52">
        <f t="shared" si="29"/>
        <v>108.37682593856631</v>
      </c>
      <c r="Q49" s="52">
        <f t="shared" si="29"/>
        <v>87.114695340501669</v>
      </c>
      <c r="R49" s="52">
        <f t="shared" si="29"/>
        <v>-567.86307692307821</v>
      </c>
      <c r="S49" s="52">
        <f t="shared" si="29"/>
        <v>89.785080385852424</v>
      </c>
      <c r="T49" s="52">
        <f t="shared" si="29"/>
        <v>131.93248275862095</v>
      </c>
      <c r="U49" s="52">
        <f t="shared" ref="U49" si="30">U47/I30</f>
        <v>642.83796875000235</v>
      </c>
      <c r="V49" s="86">
        <f>LN(Table2[[#This Row],[2025]]/Table2[[#This Row],[2024]])</f>
        <v>1.583602402393707</v>
      </c>
      <c r="W49" s="82">
        <f>LN(Table2[[#This Row],[2025]]/Table2[[#This Row],[2023]])</f>
        <v>1.9684738810609907</v>
      </c>
      <c r="X49" s="83">
        <f>LN(Table2[[#This Row],[2025]]/Table2[[#This Row],[2019]])</f>
        <v>2.458946192257895</v>
      </c>
    </row>
    <row r="50" spans="14:24" x14ac:dyDescent="0.2">
      <c r="N50" s="70" t="s">
        <v>89</v>
      </c>
      <c r="O50" s="72">
        <f>O19-O37+O20+O22</f>
        <v>911.99999999999989</v>
      </c>
      <c r="P50" s="72">
        <f t="shared" ref="P50:U50" si="31">P19-P37+P20+P22</f>
        <v>1194.9000000000001</v>
      </c>
      <c r="Q50" s="72">
        <f t="shared" si="31"/>
        <v>1199.1999999999998</v>
      </c>
      <c r="R50" s="72">
        <f t="shared" si="31"/>
        <v>1119.6999999999998</v>
      </c>
      <c r="S50" s="72">
        <f t="shared" si="31"/>
        <v>1114.4000000000001</v>
      </c>
      <c r="T50" s="72">
        <f t="shared" si="31"/>
        <v>1432.5</v>
      </c>
      <c r="U50" s="72">
        <f t="shared" si="31"/>
        <v>1909.5000000000002</v>
      </c>
      <c r="V50" s="86">
        <f>LN(Table2[[#This Row],[2025]]/Table2[[#This Row],[2024]])</f>
        <v>0.28742025807667643</v>
      </c>
      <c r="W50" s="82">
        <f>LN(Table2[[#This Row],[2025]]/Table2[[#This Row],[2023]])</f>
        <v>0.53852528419997503</v>
      </c>
      <c r="X50" s="83">
        <f>LN(Table2[[#This Row],[2025]]/Table2[[#This Row],[2019]])</f>
        <v>0.73895671659123974</v>
      </c>
    </row>
  </sheetData>
  <pageMargins left="0.25" right="0.25" top="0.75" bottom="0.75" header="0.3" footer="0.3"/>
  <pageSetup paperSize="9" scale="55"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49CBD-D20C-47C9-870D-42F47DA51E8F}">
  <dimension ref="C5:E10"/>
  <sheetViews>
    <sheetView workbookViewId="0">
      <selection activeCell="E21" sqref="E21"/>
    </sheetView>
  </sheetViews>
  <sheetFormatPr defaultColWidth="10.7109375" defaultRowHeight="12.75" x14ac:dyDescent="0.2"/>
  <cols>
    <col min="1" max="2" width="10.7109375" style="16"/>
    <col min="3" max="3" width="11.28515625" style="16" bestFit="1" customWidth="1"/>
    <col min="4" max="4" width="10.85546875" style="16" bestFit="1" customWidth="1"/>
    <col min="5" max="16384" width="10.7109375" style="16"/>
  </cols>
  <sheetData>
    <row r="5" spans="3:5" x14ac:dyDescent="0.2">
      <c r="C5" s="23"/>
      <c r="D5" s="23"/>
      <c r="E5" s="23"/>
    </row>
    <row r="6" spans="3:5" x14ac:dyDescent="0.2">
      <c r="C6" s="23"/>
      <c r="D6" s="23"/>
      <c r="E6" s="23"/>
    </row>
    <row r="7" spans="3:5" x14ac:dyDescent="0.2">
      <c r="C7" s="23"/>
      <c r="D7" s="23"/>
      <c r="E7" s="23"/>
    </row>
    <row r="8" spans="3:5" x14ac:dyDescent="0.2">
      <c r="C8" s="23"/>
      <c r="D8" s="23"/>
      <c r="E8" s="23"/>
    </row>
    <row r="9" spans="3:5" x14ac:dyDescent="0.2">
      <c r="C9" s="23"/>
      <c r="D9" s="23"/>
      <c r="E9" s="23"/>
    </row>
    <row r="10" spans="3:5" x14ac:dyDescent="0.2">
      <c r="C10" s="23"/>
      <c r="D10" s="23"/>
      <c r="E10" s="2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2EB5-D16A-4954-8B3E-69D15147001F}">
  <dimension ref="B4:F13"/>
  <sheetViews>
    <sheetView showGridLines="0" zoomScale="140" zoomScaleNormal="140" workbookViewId="0">
      <selection activeCell="D8" sqref="D8"/>
    </sheetView>
  </sheetViews>
  <sheetFormatPr defaultColWidth="10.7109375" defaultRowHeight="15" x14ac:dyDescent="0.2"/>
  <cols>
    <col min="1" max="1" width="5.7109375" style="17" customWidth="1"/>
    <col min="2" max="2" width="19.140625" style="17" customWidth="1"/>
    <col min="3" max="4" width="12.28515625" style="17" customWidth="1"/>
    <col min="5" max="16384" width="10.7109375" style="17"/>
  </cols>
  <sheetData>
    <row r="4" spans="2:6" ht="20.25" x14ac:dyDescent="0.3">
      <c r="B4" s="61" t="s">
        <v>74</v>
      </c>
      <c r="C4" s="62" t="s">
        <v>75</v>
      </c>
      <c r="D4" s="63" t="s">
        <v>76</v>
      </c>
      <c r="F4" s="18" t="s">
        <v>64</v>
      </c>
    </row>
    <row r="5" spans="2:6" x14ac:dyDescent="0.2">
      <c r="B5" s="17" t="s">
        <v>77</v>
      </c>
      <c r="D5" s="64">
        <f>((Statements!I13/Statements!C13)^(1/7))-1</f>
        <v>9.4129539090120673E-2</v>
      </c>
    </row>
    <row r="6" spans="2:6" x14ac:dyDescent="0.2">
      <c r="B6" s="17" t="s">
        <v>78</v>
      </c>
      <c r="D6" s="64">
        <f>Statements!I30/Statements!I13</f>
        <v>1.9008019008018941E-2</v>
      </c>
      <c r="F6" s="17" t="s">
        <v>65</v>
      </c>
    </row>
    <row r="7" spans="2:6" x14ac:dyDescent="0.2">
      <c r="B7" s="17" t="s">
        <v>79</v>
      </c>
      <c r="D7" s="64">
        <f>Statements!I36/Statements!U44</f>
        <v>1.1020387717276911E-2</v>
      </c>
      <c r="F7" s="17" t="s">
        <v>66</v>
      </c>
    </row>
    <row r="8" spans="2:6" x14ac:dyDescent="0.2">
      <c r="B8" s="17" t="s">
        <v>80</v>
      </c>
      <c r="D8" s="64">
        <f>Statements!I42/Statements!U50</f>
        <v>9.5220491967407082E-3</v>
      </c>
    </row>
    <row r="9" spans="2:6" x14ac:dyDescent="0.2">
      <c r="B9" s="17" t="s">
        <v>81</v>
      </c>
      <c r="D9" s="65">
        <f>Statements!U46/Statements!I30</f>
        <v>0</v>
      </c>
      <c r="F9" s="17" t="s">
        <v>67</v>
      </c>
    </row>
    <row r="10" spans="2:6" x14ac:dyDescent="0.2">
      <c r="B10" s="17" t="s">
        <v>82</v>
      </c>
      <c r="D10" s="66">
        <f>_xlfn.STDEV.S(Statements!C39:I39)</f>
        <v>0.28429853803441502</v>
      </c>
    </row>
    <row r="11" spans="2:6" x14ac:dyDescent="0.2">
      <c r="B11" s="17" t="s">
        <v>83</v>
      </c>
      <c r="D11" s="66">
        <f>Statements!U49</f>
        <v>642.83796875000235</v>
      </c>
      <c r="F11" s="17" t="s">
        <v>68</v>
      </c>
    </row>
    <row r="12" spans="2:6" x14ac:dyDescent="0.2">
      <c r="B12" s="17" t="s">
        <v>84</v>
      </c>
      <c r="D12" s="67" t="s">
        <v>90</v>
      </c>
    </row>
    <row r="13" spans="2:6" x14ac:dyDescent="0.2">
      <c r="F13" s="17" t="s">
        <v>69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scriptIds xmlns="http://schemas.microsoft.com/office/extensibility/maker/v1.0" id="script-ids-node-id">
  <scriptId id="ms-officescript%3A%2F%2Fonedrive_business_itemlink%2F015GZNGIFWWM75CB5U5JDIZ463SE5DI453:ms-officescript%3A%2F%2Fonedrive_business_sharinglink%2Fu!aHR0cHM6Ly9zamVjY2QtbXkuc2hhcmVwb2ludC5jb20vOnU6L2cvcGVyc29uYWwvYWJnbzY0NzZfc3R1X2V2Y19lZHUvRWJhelA5RUh0T3BHalBQYmtUbzBjN3NCcFR0RHZRTGdlNjlZOWVEaWtxVDAydw"/>
</scriptIds>
</file>

<file path=customXml/item4.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9CA9D73-4B12-4830-B86F-A2C93BFFF30D}">
  <ds:schemaRefs>
    <ds:schemaRef ds:uri="http://schemas.microsoft.com/sharepoint/v3/contenttype/forms"/>
  </ds:schemaRefs>
</ds:datastoreItem>
</file>

<file path=customXml/itemProps2.xml><?xml version="1.0" encoding="utf-8"?>
<ds:datastoreItem xmlns:ds="http://schemas.openxmlformats.org/officeDocument/2006/customXml" ds:itemID="{80F213C5-F071-4E9E-9963-FC20199506E0}">
  <ds:schemaRefs>
    <ds:schemaRef ds:uri="http://purl.org/dc/elements/1.1/"/>
    <ds:schemaRef ds:uri="http://purl.org/dc/terms/"/>
    <ds:schemaRef ds:uri="http://www.w3.org/XML/1998/namespace"/>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36567613-e428-4167-ab55-a4f66cede826"/>
    <ds:schemaRef ds:uri="http://schemas.microsoft.com/office/2006/metadata/properties"/>
  </ds:schemaRefs>
</ds:datastoreItem>
</file>

<file path=customXml/itemProps3.xml><?xml version="1.0" encoding="utf-8"?>
<ds:datastoreItem xmlns:ds="http://schemas.openxmlformats.org/officeDocument/2006/customXml" ds:itemID="{09CC3DFF-8066-43A7-80F7-D82830EC8647}">
  <ds:schemaRefs>
    <ds:schemaRef ds:uri="http://schemas.microsoft.com/office/extensibility/maker/v1.0"/>
  </ds:schemaRefs>
</ds:datastoreItem>
</file>

<file path=customXml/itemProps4.xml><?xml version="1.0" encoding="utf-8"?>
<ds:datastoreItem xmlns:ds="http://schemas.openxmlformats.org/officeDocument/2006/customXml" ds:itemID="{F17312E7-BDAF-44C5-9DBF-26FD12E4B8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Statements</vt:lpstr>
      <vt:lpstr>Analysis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2025-06-20T18:38:11Z</cp:lastPrinted>
  <dcterms:created xsi:type="dcterms:W3CDTF">2025-02-19T20:24:26Z</dcterms:created>
  <dcterms:modified xsi:type="dcterms:W3CDTF">2026-06-29T22:04:37Z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2025-06-20T18:35:59Z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ee67d891-9c3e-44d0-a65b-82553e022ac4</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