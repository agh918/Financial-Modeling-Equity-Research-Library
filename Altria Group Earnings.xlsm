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848" documentId="8_{BBD02EE6-2E2D-4C67-B5DD-E7C9C1EBF50C}" xr6:coauthVersionLast="47" xr6:coauthVersionMax="47" xr10:uidLastSave="{5D164DFF-1432-4A71-B35A-3C3697C4856C}"/>
  <bookViews>
    <workbookView xWindow="-120" yWindow="-120" windowWidth="27930" windowHeight="16440" xr2:uid="{245BA574-BE09-405B-9109-92615ED308FF}"/>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9" i="1" l="1"/>
  <c r="Z9" i="1"/>
  <c r="Y9" i="1"/>
  <c r="X9" i="1"/>
  <c r="AA8" i="1"/>
  <c r="Z8" i="1"/>
  <c r="Y8" i="1"/>
  <c r="X8" i="1"/>
  <c r="AA7" i="1"/>
  <c r="Z7" i="1"/>
  <c r="Y7" i="1"/>
  <c r="X7" i="1"/>
  <c r="AA68" i="1"/>
  <c r="Z68" i="1"/>
  <c r="Y68" i="1"/>
  <c r="W68" i="1"/>
  <c r="V68" i="1"/>
  <c r="U68" i="1"/>
  <c r="T68" i="1"/>
  <c r="S68" i="1"/>
  <c r="R68" i="1"/>
  <c r="Q68" i="1"/>
  <c r="P68" i="1"/>
  <c r="O68" i="1"/>
  <c r="N68" i="1"/>
  <c r="M68" i="1"/>
  <c r="L68" i="1"/>
  <c r="K68" i="1"/>
  <c r="J68" i="1"/>
  <c r="I68" i="1"/>
  <c r="H68" i="1"/>
  <c r="G68" i="1"/>
  <c r="F68" i="1"/>
  <c r="E68" i="1"/>
  <c r="D68" i="1"/>
  <c r="C68" i="1"/>
  <c r="AA67" i="1"/>
  <c r="Z67" i="1"/>
  <c r="Y67" i="1"/>
  <c r="W67" i="1"/>
  <c r="V67" i="1"/>
  <c r="U67" i="1"/>
  <c r="T67" i="1"/>
  <c r="S67" i="1"/>
  <c r="R67" i="1"/>
  <c r="Q67" i="1"/>
  <c r="P67" i="1"/>
  <c r="O67" i="1"/>
  <c r="N67" i="1"/>
  <c r="M67" i="1"/>
  <c r="L67" i="1"/>
  <c r="K67" i="1"/>
  <c r="J67" i="1"/>
  <c r="I67" i="1"/>
  <c r="H67" i="1"/>
  <c r="G67" i="1"/>
  <c r="F67" i="1"/>
  <c r="E67" i="1"/>
  <c r="D67" i="1"/>
  <c r="C67" i="1"/>
  <c r="AA66" i="1"/>
  <c r="Z66" i="1"/>
  <c r="Y66" i="1"/>
  <c r="W66" i="1"/>
  <c r="V66" i="1"/>
  <c r="U66" i="1"/>
  <c r="T66" i="1"/>
  <c r="S66" i="1"/>
  <c r="R66" i="1"/>
  <c r="Q66" i="1"/>
  <c r="P66" i="1"/>
  <c r="O66" i="1"/>
  <c r="N66" i="1"/>
  <c r="M66" i="1"/>
  <c r="L66" i="1"/>
  <c r="K66" i="1"/>
  <c r="J66" i="1"/>
  <c r="I66" i="1"/>
  <c r="H66" i="1"/>
  <c r="G66" i="1"/>
  <c r="F66" i="1"/>
  <c r="E66" i="1"/>
  <c r="D66" i="1"/>
  <c r="C66" i="1"/>
  <c r="AA65" i="1"/>
  <c r="Z65" i="1"/>
  <c r="Y65" i="1"/>
  <c r="W65" i="1"/>
  <c r="V65" i="1"/>
  <c r="U65" i="1"/>
  <c r="T65" i="1"/>
  <c r="S65" i="1"/>
  <c r="R65" i="1"/>
  <c r="Q65" i="1"/>
  <c r="P65" i="1"/>
  <c r="O65" i="1"/>
  <c r="N65" i="1"/>
  <c r="M65" i="1"/>
  <c r="L65" i="1"/>
  <c r="K65" i="1"/>
  <c r="J65" i="1"/>
  <c r="I65" i="1"/>
  <c r="H65" i="1"/>
  <c r="G65" i="1"/>
  <c r="F65" i="1"/>
  <c r="E65" i="1"/>
  <c r="D65" i="1"/>
  <c r="C65" i="1"/>
  <c r="B68" i="1"/>
  <c r="B67" i="1"/>
  <c r="B66" i="1"/>
  <c r="B65" i="1"/>
  <c r="H7" i="1"/>
  <c r="V9" i="1"/>
  <c r="U9" i="1"/>
  <c r="T9" i="1"/>
  <c r="S9" i="1"/>
  <c r="R9" i="1"/>
  <c r="Q9" i="1"/>
  <c r="P9" i="1"/>
  <c r="O9" i="1"/>
  <c r="N9" i="1"/>
  <c r="M9" i="1"/>
  <c r="L9" i="1"/>
  <c r="K9" i="1"/>
  <c r="J9" i="1"/>
  <c r="I9" i="1"/>
  <c r="H9" i="1"/>
  <c r="G9" i="1"/>
  <c r="F9" i="1"/>
  <c r="E9" i="1"/>
  <c r="D9" i="1"/>
  <c r="C9" i="1"/>
  <c r="B9" i="1"/>
  <c r="V8" i="1"/>
  <c r="U8" i="1"/>
  <c r="T8" i="1"/>
  <c r="S8" i="1"/>
  <c r="R8" i="1"/>
  <c r="Q8" i="1"/>
  <c r="P8" i="1"/>
  <c r="O8" i="1"/>
  <c r="N8" i="1"/>
  <c r="M8" i="1"/>
  <c r="L8" i="1"/>
  <c r="K8" i="1"/>
  <c r="J8" i="1"/>
  <c r="I8" i="1"/>
  <c r="H8" i="1"/>
  <c r="G8" i="1"/>
  <c r="F8" i="1"/>
  <c r="E8" i="1"/>
  <c r="D8" i="1"/>
  <c r="C8" i="1"/>
  <c r="B8" i="1"/>
  <c r="V7" i="1"/>
  <c r="U7" i="1"/>
  <c r="T7" i="1"/>
  <c r="S7" i="1"/>
  <c r="R7" i="1"/>
  <c r="Q7" i="1"/>
  <c r="P7" i="1"/>
  <c r="O7" i="1"/>
  <c r="N7" i="1"/>
  <c r="M7" i="1"/>
  <c r="L7" i="1"/>
  <c r="K7" i="1"/>
  <c r="J7" i="1"/>
  <c r="I7" i="1"/>
  <c r="G7" i="1"/>
  <c r="F7" i="1"/>
  <c r="E7" i="1"/>
  <c r="D7" i="1"/>
  <c r="C7" i="1"/>
  <c r="B7" i="1"/>
  <c r="W9" i="1"/>
  <c r="W8" i="1"/>
  <c r="W7" i="1"/>
  <c r="U33" i="1"/>
  <c r="W33" i="1"/>
  <c r="W37" i="1" s="1"/>
  <c r="W43" i="1" s="1"/>
  <c r="AA56" i="1"/>
  <c r="AA62" i="1" s="1"/>
  <c r="Z56" i="1"/>
  <c r="Z62" i="1" s="1"/>
  <c r="Y56" i="1"/>
  <c r="Y62" i="1" s="1"/>
  <c r="X56" i="1"/>
  <c r="X62" i="1" s="1"/>
  <c r="W56" i="1"/>
  <c r="W62" i="1" s="1"/>
  <c r="AA37" i="1"/>
  <c r="AA43" i="1" s="1"/>
  <c r="Z37" i="1"/>
  <c r="Z43" i="1" s="1"/>
  <c r="Y37" i="1"/>
  <c r="Y43" i="1" s="1"/>
  <c r="X37" i="1"/>
  <c r="X43" i="1" s="1"/>
  <c r="X64" i="1" l="1"/>
  <c r="X68" i="1"/>
  <c r="Z64" i="1"/>
  <c r="Y64" i="1"/>
  <c r="AA64" i="1"/>
  <c r="W64" i="1"/>
  <c r="AA14" i="1"/>
  <c r="AA18" i="1" s="1"/>
  <c r="AA26" i="1" s="1"/>
  <c r="AA28" i="1" s="1"/>
  <c r="Z14" i="1"/>
  <c r="Z18" i="1" s="1"/>
  <c r="Z26" i="1" s="1"/>
  <c r="Z28" i="1" s="1"/>
  <c r="Y14" i="1"/>
  <c r="Y18" i="1" s="1"/>
  <c r="Y26" i="1" s="1"/>
  <c r="Y28" i="1" s="1"/>
  <c r="X14" i="1"/>
  <c r="W14" i="1"/>
  <c r="W18" i="1" s="1"/>
  <c r="W26" i="1" s="1"/>
  <c r="W28" i="1" s="1"/>
  <c r="X18" i="1" l="1"/>
  <c r="X26" i="1" s="1"/>
  <c r="X28" i="1" s="1"/>
  <c r="X65" i="1"/>
  <c r="A4" i="1" a="1"/>
  <c r="A4" i="1" s="1"/>
  <c r="V61" i="1"/>
  <c r="V56" i="1"/>
  <c r="V62" i="1" s="1"/>
  <c r="V33" i="1"/>
  <c r="V37" i="1" s="1"/>
  <c r="V43" i="1" s="1"/>
  <c r="U27" i="1"/>
  <c r="V14" i="1"/>
  <c r="V18" i="1" s="1"/>
  <c r="V26" i="1" s="1"/>
  <c r="V28" i="1" s="1"/>
  <c r="U61" i="1"/>
  <c r="U56" i="1"/>
  <c r="U37" i="1"/>
  <c r="U43" i="1" s="1"/>
  <c r="U25" i="1"/>
  <c r="U24" i="1"/>
  <c r="U23" i="1"/>
  <c r="U22" i="1"/>
  <c r="U21" i="1"/>
  <c r="U20" i="1"/>
  <c r="U19" i="1"/>
  <c r="U15" i="1"/>
  <c r="U13" i="1"/>
  <c r="U12" i="1"/>
  <c r="U11" i="1"/>
  <c r="T56" i="1"/>
  <c r="T62" i="1" s="1"/>
  <c r="T37" i="1"/>
  <c r="T43" i="1" s="1"/>
  <c r="T14" i="1"/>
  <c r="T18" i="1" s="1"/>
  <c r="T26" i="1" s="1"/>
  <c r="T28" i="1" s="1"/>
  <c r="S56" i="1"/>
  <c r="S62" i="1" s="1"/>
  <c r="S37" i="1"/>
  <c r="S43" i="1" s="1"/>
  <c r="S14" i="1"/>
  <c r="S18" i="1" s="1"/>
  <c r="S26" i="1" s="1"/>
  <c r="S28" i="1" s="1"/>
  <c r="R56" i="1"/>
  <c r="R62" i="1" s="1"/>
  <c r="R37" i="1"/>
  <c r="R43" i="1" s="1"/>
  <c r="R14" i="1"/>
  <c r="R18" i="1" s="1"/>
  <c r="R26" i="1" s="1"/>
  <c r="R28" i="1" s="1"/>
  <c r="Q56" i="1"/>
  <c r="Q62" i="1" s="1"/>
  <c r="Q37" i="1"/>
  <c r="Q43" i="1" s="1"/>
  <c r="Q27" i="1"/>
  <c r="Q25" i="1"/>
  <c r="Q24" i="1"/>
  <c r="Q23" i="1"/>
  <c r="Q22" i="1"/>
  <c r="Q21" i="1"/>
  <c r="Q20" i="1"/>
  <c r="Q19" i="1"/>
  <c r="Q16" i="1"/>
  <c r="Q15" i="1"/>
  <c r="Q13" i="1"/>
  <c r="Q12" i="1"/>
  <c r="Q11" i="1"/>
  <c r="P55" i="1"/>
  <c r="P56" i="1" s="1"/>
  <c r="P62" i="1" s="1"/>
  <c r="P36" i="1"/>
  <c r="P37" i="1" s="1"/>
  <c r="P43" i="1" s="1"/>
  <c r="P14" i="1"/>
  <c r="P18" i="1" s="1"/>
  <c r="P26" i="1" s="1"/>
  <c r="P28" i="1" s="1"/>
  <c r="O56" i="1"/>
  <c r="O62" i="1" s="1"/>
  <c r="O37" i="1"/>
  <c r="O43" i="1" s="1"/>
  <c r="O14" i="1"/>
  <c r="O18" i="1" s="1"/>
  <c r="O26" i="1" s="1"/>
  <c r="O28" i="1" s="1"/>
  <c r="N56" i="1"/>
  <c r="N62" i="1" s="1"/>
  <c r="N37" i="1"/>
  <c r="N43" i="1" s="1"/>
  <c r="N14" i="1"/>
  <c r="N18" i="1" s="1"/>
  <c r="N26" i="1" s="1"/>
  <c r="N28" i="1" s="1"/>
  <c r="M56" i="1"/>
  <c r="M62" i="1" s="1"/>
  <c r="M37" i="1"/>
  <c r="M43" i="1" s="1"/>
  <c r="M27" i="1"/>
  <c r="M25" i="1"/>
  <c r="M24" i="1"/>
  <c r="M23" i="1"/>
  <c r="M22" i="1"/>
  <c r="M20" i="1"/>
  <c r="M19" i="1"/>
  <c r="M16" i="1"/>
  <c r="M15" i="1"/>
  <c r="M13" i="1"/>
  <c r="M12" i="1"/>
  <c r="M11" i="1"/>
  <c r="L56" i="1"/>
  <c r="L62" i="1" s="1"/>
  <c r="L37" i="1"/>
  <c r="L43" i="1" s="1"/>
  <c r="L14" i="1"/>
  <c r="L18" i="1" s="1"/>
  <c r="L26" i="1" s="1"/>
  <c r="L28" i="1" s="1"/>
  <c r="K53" i="1"/>
  <c r="K56" i="1" s="1"/>
  <c r="K62" i="1" s="1"/>
  <c r="K37" i="1"/>
  <c r="K43" i="1" s="1"/>
  <c r="K14" i="1"/>
  <c r="K18" i="1" s="1"/>
  <c r="K26" i="1" s="1"/>
  <c r="K28" i="1" s="1"/>
  <c r="J53" i="1"/>
  <c r="J56" i="1" s="1"/>
  <c r="J62" i="1" s="1"/>
  <c r="J37" i="1"/>
  <c r="J43" i="1" s="1"/>
  <c r="J14" i="1"/>
  <c r="J18" i="1" s="1"/>
  <c r="J26" i="1" s="1"/>
  <c r="J28" i="1" s="1"/>
  <c r="I56" i="1"/>
  <c r="I62" i="1" s="1"/>
  <c r="I37" i="1"/>
  <c r="I43" i="1" s="1"/>
  <c r="I27" i="1"/>
  <c r="I24" i="1"/>
  <c r="I23" i="1"/>
  <c r="I25" i="1"/>
  <c r="I22" i="1"/>
  <c r="I20" i="1"/>
  <c r="I19" i="1"/>
  <c r="I16" i="1"/>
  <c r="I15" i="1"/>
  <c r="I13" i="1"/>
  <c r="I12" i="1"/>
  <c r="I11" i="1"/>
  <c r="H56" i="1"/>
  <c r="H62" i="1" s="1"/>
  <c r="H37" i="1"/>
  <c r="H43" i="1" s="1"/>
  <c r="H14" i="1"/>
  <c r="H18" i="1" s="1"/>
  <c r="H26" i="1" s="1"/>
  <c r="H28" i="1" s="1"/>
  <c r="G56" i="1"/>
  <c r="G62" i="1" s="1"/>
  <c r="G37" i="1"/>
  <c r="G43" i="1" s="1"/>
  <c r="G14" i="1"/>
  <c r="G18" i="1" s="1"/>
  <c r="G26" i="1" s="1"/>
  <c r="G28" i="1" s="1"/>
  <c r="F56" i="1"/>
  <c r="F62" i="1" s="1"/>
  <c r="B53" i="1"/>
  <c r="B56" i="1" s="1"/>
  <c r="B62" i="1" s="1"/>
  <c r="C53" i="1"/>
  <c r="C56" i="1" s="1"/>
  <c r="C62" i="1" s="1"/>
  <c r="D53" i="1"/>
  <c r="D56" i="1" s="1"/>
  <c r="D62" i="1" s="1"/>
  <c r="E53" i="1"/>
  <c r="E56" i="1" s="1"/>
  <c r="E62" i="1" s="1"/>
  <c r="E41" i="1"/>
  <c r="F37" i="1"/>
  <c r="F43" i="1" s="1"/>
  <c r="F14" i="1"/>
  <c r="F18" i="1" s="1"/>
  <c r="F26" i="1" s="1"/>
  <c r="F28" i="1" s="1"/>
  <c r="B42" i="1"/>
  <c r="C42" i="1"/>
  <c r="D42" i="1"/>
  <c r="E37" i="1"/>
  <c r="E27" i="1"/>
  <c r="E25" i="1"/>
  <c r="E22" i="1"/>
  <c r="E20" i="1"/>
  <c r="E19" i="1"/>
  <c r="E16" i="1"/>
  <c r="E15" i="1"/>
  <c r="E13" i="1"/>
  <c r="E12" i="1"/>
  <c r="E11" i="1"/>
  <c r="D37" i="1"/>
  <c r="D14" i="1"/>
  <c r="D18" i="1" s="1"/>
  <c r="D26" i="1" s="1"/>
  <c r="D28" i="1" s="1"/>
  <c r="C37" i="1"/>
  <c r="C14" i="1"/>
  <c r="C18" i="1" s="1"/>
  <c r="C26" i="1" s="1"/>
  <c r="C28" i="1" s="1"/>
  <c r="B37" i="1"/>
  <c r="B43" i="1" s="1"/>
  <c r="B14" i="1"/>
  <c r="B18" i="1" s="1"/>
  <c r="B26" i="1" s="1"/>
  <c r="X67" i="1" l="1"/>
  <c r="X66" i="1"/>
  <c r="V64" i="1"/>
  <c r="U62" i="1"/>
  <c r="H64" i="1"/>
  <c r="M14" i="1"/>
  <c r="M18" i="1" s="1"/>
  <c r="M26" i="1" s="1"/>
  <c r="M28" i="1" s="1"/>
  <c r="L64" i="1"/>
  <c r="S64" i="1"/>
  <c r="U64" i="1"/>
  <c r="N64" i="1"/>
  <c r="T64" i="1"/>
  <c r="O64" i="1"/>
  <c r="G64" i="1"/>
  <c r="I64" i="1"/>
  <c r="P64" i="1"/>
  <c r="Q64" i="1"/>
  <c r="B64" i="1"/>
  <c r="J64" i="1"/>
  <c r="K64" i="1"/>
  <c r="R64" i="1"/>
  <c r="F64" i="1"/>
  <c r="M64" i="1"/>
  <c r="U14" i="1"/>
  <c r="U18" i="1" s="1"/>
  <c r="U26" i="1" s="1"/>
  <c r="U28" i="1" s="1"/>
  <c r="Q14" i="1"/>
  <c r="Q18" i="1" s="1"/>
  <c r="Q26" i="1" s="1"/>
  <c r="Q28" i="1" s="1"/>
  <c r="I14" i="1"/>
  <c r="I18" i="1" s="1"/>
  <c r="I26" i="1" s="1"/>
  <c r="I28" i="1" s="1"/>
  <c r="E43" i="1"/>
  <c r="E64" i="1" s="1"/>
  <c r="B28" i="1"/>
  <c r="D43" i="1"/>
  <c r="D64" i="1" s="1"/>
  <c r="C43" i="1"/>
  <c r="C64" i="1" s="1"/>
  <c r="E14" i="1"/>
  <c r="E18" i="1" s="1"/>
  <c r="E26" i="1" s="1"/>
  <c r="E2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Abraham</author>
  </authors>
  <commentList>
    <comment ref="A22" authorId="0" shapeId="0" xr:uid="{E6538500-72BC-46CA-8DF2-79790B7F4F83}">
      <text>
        <r>
          <rPr>
            <b/>
            <sz val="9"/>
            <color indexed="81"/>
            <rFont val="Tahoma"/>
            <family val="2"/>
          </rPr>
          <t>Abraham:</t>
        </r>
        <r>
          <rPr>
            <sz val="9"/>
            <color indexed="81"/>
            <rFont val="Tahoma"/>
            <family val="2"/>
          </rPr>
          <t xml:space="preserve">
AB InBev: brewing company (Altria owns equity in company)</t>
        </r>
      </text>
    </comment>
    <comment ref="A25" authorId="0" shapeId="0" xr:uid="{762CAF16-B5B5-4631-AE49-34B49E9E32A5}">
      <text>
        <r>
          <rPr>
            <b/>
            <sz val="9"/>
            <color indexed="81"/>
            <rFont val="Tahoma"/>
            <family val="2"/>
          </rPr>
          <t>Abraham:</t>
        </r>
        <r>
          <rPr>
            <sz val="9"/>
            <color indexed="81"/>
            <rFont val="Tahoma"/>
            <family val="2"/>
          </rPr>
          <t xml:space="preserve">
Loss on both brewing companies that Altria has equity on; SABMiller &amp; AB InBev</t>
        </r>
      </text>
    </comment>
    <comment ref="U33" authorId="0" shapeId="0" xr:uid="{D56A22E6-C191-484B-ACDB-FA2509F5F4EE}">
      <text>
        <r>
          <rPr>
            <b/>
            <sz val="9"/>
            <color indexed="81"/>
            <rFont val="Tahoma"/>
            <family val="2"/>
          </rPr>
          <t>Abraham:</t>
        </r>
        <r>
          <rPr>
            <sz val="9"/>
            <color indexed="81"/>
            <rFont val="Tahoma"/>
            <family val="2"/>
          </rPr>
          <t xml:space="preserve">
Receivable from the sale of IQOS System commercialization rights to Philip Morris ($1.7B)</t>
        </r>
      </text>
    </comment>
    <comment ref="V33" authorId="0" shapeId="0" xr:uid="{FCF27432-064C-4B7D-B9BE-40B2E2BF68FE}">
      <text>
        <r>
          <rPr>
            <b/>
            <sz val="9"/>
            <color indexed="81"/>
            <rFont val="Tahoma"/>
            <charset val="1"/>
          </rPr>
          <t>Abraham:</t>
        </r>
        <r>
          <rPr>
            <sz val="9"/>
            <color indexed="81"/>
            <rFont val="Tahoma"/>
            <charset val="1"/>
          </rPr>
          <t xml:space="preserve">
$58M in receivables from sale of IQOS System commercialization rights</t>
        </r>
      </text>
    </comment>
    <comment ref="W33" authorId="0" shapeId="0" xr:uid="{95DD0D90-F52E-4C30-8D1A-E2793941E224}">
      <text>
        <r>
          <rPr>
            <b/>
            <sz val="9"/>
            <color indexed="81"/>
            <rFont val="Tahoma"/>
            <family val="2"/>
          </rPr>
          <t>Abraham:</t>
        </r>
        <r>
          <rPr>
            <sz val="9"/>
            <color indexed="81"/>
            <rFont val="Tahoma"/>
            <family val="2"/>
          </rPr>
          <t xml:space="preserve">
Receivable from the sale of IQOS System commercialization rights to Philip Morris ($1.7B)</t>
        </r>
      </text>
    </comment>
    <comment ref="A41" authorId="0" shapeId="0" xr:uid="{672333FA-59EA-4E8E-87BF-2C8BE061EB95}">
      <text>
        <r>
          <rPr>
            <b/>
            <sz val="9"/>
            <color indexed="81"/>
            <rFont val="Tahoma"/>
            <family val="2"/>
          </rPr>
          <t>Abraham:</t>
        </r>
        <r>
          <rPr>
            <sz val="9"/>
            <color indexed="81"/>
            <rFont val="Tahoma"/>
            <family val="2"/>
          </rPr>
          <t xml:space="preserve">
Investment in AB InBev &amp; JUUL (Brewing &amp; etobacco)</t>
        </r>
      </text>
    </comment>
    <comment ref="U61" authorId="0" shapeId="0" xr:uid="{805756CC-959E-48BA-A4C2-19B65AC23853}">
      <text>
        <r>
          <rPr>
            <b/>
            <sz val="9"/>
            <color indexed="81"/>
            <rFont val="Tahoma"/>
            <family val="2"/>
          </rPr>
          <t>Abraham:</t>
        </r>
        <r>
          <rPr>
            <sz val="9"/>
            <color indexed="81"/>
            <rFont val="Tahoma"/>
            <family val="2"/>
          </rPr>
          <t xml:space="preserve">
Deferred gain from the sale of IQOS System commercialization rights</t>
        </r>
      </text>
    </comment>
    <comment ref="V61" authorId="0" shapeId="0" xr:uid="{D339E1B3-2840-4358-9082-989B98DCEE14}">
      <text>
        <r>
          <rPr>
            <b/>
            <sz val="9"/>
            <color indexed="81"/>
            <rFont val="Tahoma"/>
            <charset val="1"/>
          </rPr>
          <t>Abraham:</t>
        </r>
        <r>
          <rPr>
            <sz val="9"/>
            <color indexed="81"/>
            <rFont val="Tahoma"/>
            <charset val="1"/>
          </rPr>
          <t xml:space="preserve">
$2.7B in deferred gains from sale of IQOS rights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<sst xmlns="http://schemas.openxmlformats.org/spreadsheetml/2006/main" count="88" uniqueCount="84">
  <si>
    <t>Reporting Date</t>
  </si>
  <si>
    <t>Quarter and Year</t>
  </si>
  <si>
    <t>Q118</t>
  </si>
  <si>
    <t xml:space="preserve">Net revenues </t>
  </si>
  <si>
    <t>Cost of sales</t>
  </si>
  <si>
    <t>Excise taxes on products</t>
  </si>
  <si>
    <t>Gross profit</t>
  </si>
  <si>
    <t>Marketing, administration &amp; research costs</t>
  </si>
  <si>
    <t>Asset impairment &amp; exit costs</t>
  </si>
  <si>
    <t>Interest &amp; other debt expense, net</t>
  </si>
  <si>
    <t>Net periodic benefit income</t>
  </si>
  <si>
    <t>Assets</t>
  </si>
  <si>
    <t>Current assets</t>
  </si>
  <si>
    <t>Cash &amp; cash equivalents</t>
  </si>
  <si>
    <t xml:space="preserve">Receivables </t>
  </si>
  <si>
    <t>Inventory</t>
  </si>
  <si>
    <t>Income taxes</t>
  </si>
  <si>
    <t>Other</t>
  </si>
  <si>
    <t>Total current assets</t>
  </si>
  <si>
    <t>Property, plant &amp; equipment</t>
  </si>
  <si>
    <t>Goodwill</t>
  </si>
  <si>
    <t>Other intangible assets</t>
  </si>
  <si>
    <t>Total assets</t>
  </si>
  <si>
    <t>Liabilities</t>
  </si>
  <si>
    <t>Current liabilities</t>
  </si>
  <si>
    <t>Current portion of long-term debt</t>
  </si>
  <si>
    <t>Accounts payable</t>
  </si>
  <si>
    <t>Marketing</t>
  </si>
  <si>
    <t>Settlement chargers</t>
  </si>
  <si>
    <t>Accrued liabilities:</t>
  </si>
  <si>
    <t>Dividends payable</t>
  </si>
  <si>
    <t>Total current liabilities</t>
  </si>
  <si>
    <t>Long-term debt</t>
  </si>
  <si>
    <t>Deferred income taxes</t>
  </si>
  <si>
    <t>Accrued pension costs</t>
  </si>
  <si>
    <t>Accrued postretirement health care costs</t>
  </si>
  <si>
    <t>Total liabilities</t>
  </si>
  <si>
    <t>Q218</t>
  </si>
  <si>
    <t>Q318</t>
  </si>
  <si>
    <t>Q418</t>
  </si>
  <si>
    <t>Loss (gain) on AB InBev/SABMiller business combination</t>
  </si>
  <si>
    <t>Operating (expense) income</t>
  </si>
  <si>
    <t>Short-term borrowings</t>
  </si>
  <si>
    <t>Q119</t>
  </si>
  <si>
    <t>Q219</t>
  </si>
  <si>
    <t>Q319</t>
  </si>
  <si>
    <t>Q419</t>
  </si>
  <si>
    <t>-</t>
  </si>
  <si>
    <t>Investments in equity securities</t>
  </si>
  <si>
    <t>Impairment of JUUL equity securities</t>
  </si>
  <si>
    <t>Q120</t>
  </si>
  <si>
    <t>Q220</t>
  </si>
  <si>
    <t>Q320</t>
  </si>
  <si>
    <t>Q420</t>
  </si>
  <si>
    <t>Loss (gain) on Cronos-related financial instruments</t>
  </si>
  <si>
    <t>Earnings (losses) from equity investments</t>
  </si>
  <si>
    <t>Q121</t>
  </si>
  <si>
    <t>Q221</t>
  </si>
  <si>
    <t>Q321</t>
  </si>
  <si>
    <t>Q421</t>
  </si>
  <si>
    <t>Loss on early extinguishment of debt</t>
  </si>
  <si>
    <t>Q122</t>
  </si>
  <si>
    <t>Q222</t>
  </si>
  <si>
    <t>Q322</t>
  </si>
  <si>
    <t>Q422</t>
  </si>
  <si>
    <t>Q123</t>
  </si>
  <si>
    <t>Total equity/deficit</t>
  </si>
  <si>
    <t>Shares outstanding</t>
  </si>
  <si>
    <t>Market cap</t>
  </si>
  <si>
    <t>Cash</t>
  </si>
  <si>
    <t>Debt</t>
  </si>
  <si>
    <t>Q223</t>
  </si>
  <si>
    <t>Q323</t>
  </si>
  <si>
    <t>Q423</t>
  </si>
  <si>
    <t>Q124</t>
  </si>
  <si>
    <t>Q224</t>
  </si>
  <si>
    <t>Price</t>
  </si>
  <si>
    <t>Income before income taxes</t>
  </si>
  <si>
    <t>Net income (loss)</t>
  </si>
  <si>
    <t>Deferred gain from the sale IQOS</t>
  </si>
  <si>
    <t>Gross profit margin</t>
  </si>
  <si>
    <t>Profit margin</t>
  </si>
  <si>
    <t>ROE</t>
  </si>
  <si>
    <t>Current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</si>
</sst>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_([$$-409]* #,##0.00_);_([$$-409]* \(#,##0.00\);_([$$-409]* &quot;-&quot;??_);_(@_)"/>
    <numFmt numFmtId="166" formatCode="_(* #,##0.000_);_(* \(#,##0.000\);_(* &quot;-&quot;??_);_(@_)"/>
  </numFmts>
  <fonts count="8" x14ac:knownFonts="1">
    <font>
      <sz val="10"/>
      <color theme="1"/>
      <name val="Arial"/>
      <family val="2"/>
    </font>
    <font>
      <sz val="10"/>
      <color theme="1"/>
      <name val="Arial"/>
      <family val="2"/>
    </font>
    <font>
      <b/>
      <sz val="10"/>
      <color theme="0"/>
      <name val="Arial"/>
      <family val="2"/>
    </font>
    <font>
      <b/>
      <sz val="10"/>
      <color theme="1"/>
      <name val="Arial"/>
      <family val="2"/>
    </font>
    <font>
      <sz val="9"/>
      <color indexed="81"/>
      <name val="Tahoma"/>
      <family val="2"/>
    </font>
    <font>
      <b/>
      <sz val="9"/>
      <color indexed="81"/>
      <name val="Tahoma"/>
      <family val="2"/>
    </font>
    <font>
      <sz val="9"/>
      <color indexed="81"/>
      <name val="Tahoma"/>
      <charset val="1"/>
    </font>
    <font>
      <b/>
      <sz val="9"/>
      <color indexed="81"/>
      <name val="Tahoma"/>
      <charset val="1"/>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2">
    <xf numFmtId="0" fontId="0" fillId="0" borderId="0" xfId="0"/>
    <xf numFmtId="0" fontId="2" fillId="2" borderId="0" xfId="0" applyFont="1" applyFill="1" applyAlignment="1">
      <alignment horizontal="center"/>
    </xf>
    <xf numFmtId="0" fontId="2" fillId="2" borderId="0" xfId="0" applyFont="1" applyFill="1" applyAlignment="1">
      <alignment horizontal="left"/>
    </xf>
    <xf numFmtId="14" fontId="2" fillId="2" borderId="0" xfId="0" applyNumberFormat="1" applyFont="1" applyFill="1" applyAlignment="1">
      <alignment horizontal="center"/>
    </xf>
    <xf numFmtId="0" fontId="3" fillId="0" borderId="0" xfId="0" applyFont="1" applyAlignment="1">
      <alignment horizontal="left" indent="1"/>
    </xf>
    <xf numFmtId="0" fontId="0" fillId="0" borderId="0" xfId="0" applyAlignment="1">
      <alignment horizontal="left" indent="2"/>
    </xf>
    <xf numFmtId="0" fontId="3" fillId="0" borderId="0" xfId="0" applyFont="1" applyAlignment="1">
      <alignment horizontal="left" indent="2"/>
    </xf>
    <xf numFmtId="164" fontId="3" fillId="0" borderId="0" xfId="1" applyNumberFormat="1" applyFont="1"/>
    <xf numFmtId="164" fontId="0" fillId="0" borderId="0" xfId="1" applyNumberFormat="1" applyFont="1"/>
    <xf numFmtId="0" fontId="3" fillId="0" borderId="0" xfId="0" applyFont="1" applyAlignment="1">
      <alignment horizontal="left"/>
    </xf>
    <xf numFmtId="0" fontId="0" fillId="0" borderId="0" xfId="0" applyAlignment="1">
      <alignment horizontal="left" indent="3"/>
    </xf>
    <xf numFmtId="0" fontId="3" fillId="0" borderId="0" xfId="0" applyFont="1" applyAlignment="1">
      <alignment horizontal="left" indent="3"/>
    </xf>
    <xf numFmtId="164" fontId="1" fillId="0" borderId="0" xfId="1" applyNumberFormat="1" applyFont="1"/>
    <xf numFmtId="10" fontId="0" fillId="0" borderId="0" xfId="2" applyNumberFormat="1" applyFont="1"/>
    <xf numFmtId="0" fontId="0" fillId="0" borderId="0" xfId="0" applyAlignment="1">
      <alignment horizontal="center"/>
    </xf>
    <xf numFmtId="0" fontId="0" fillId="0" borderId="0" xfId="0" applyAlignment="1">
      <alignment horizontal="left"/>
    </xf>
    <xf numFmtId="165" fontId="0" fillId="0" borderId="0" xfId="0" applyNumberFormat="1" applyAlignment="1">
      <alignment horizontal="left"/>
    </xf>
    <xf numFmtId="44" fontId="0" fillId="0" borderId="0" xfId="3" applyFont="1" applyFill="1" applyAlignment="1">
      <alignment horizontal="right"/>
    </xf>
    <xf numFmtId="0" fontId="0" fillId="0" borderId="0" xfId="0" applyAlignment="1">
      <alignment horizontal="left" indent="1"/>
    </xf>
    <xf numFmtId="164" fontId="0" fillId="0" borderId="0" xfId="1" applyNumberFormat="1" applyFont="1" applyFill="1" applyAlignment="1">
      <alignment horizontal="right"/>
    </xf>
    <xf numFmtId="9" fontId="0" fillId="0" borderId="0" xfId="2" applyFont="1"/>
    <xf numFmtId="166" fontId="0" fillId="0" borderId="0" xfId="1" applyNumberFormat="1" applyFont="1"/>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https://www.bing.com/financeapi/forcetrigger?t=a1xtpr&amp;q=XNYS%3aMO&amp;form=skydnc</v>
    <v>Learn more on Bing</v>
  </rv>
  <rv s="1">
    <v>en-US</v>
    <v>a1xtpr</v>
    <v>268435456</v>
    <v>1</v>
    <v>Powered by Refinitiv</v>
    <v>0</v>
    <v>Altria Group, Inc. (XNYS:MO)</v>
    <v>2</v>
    <v>3</v>
    <v>Finance</v>
    <v>4</v>
    <v>48.11</v>
    <v>39.064999999999998</v>
    <v>0.68369999999999997</v>
    <v>-0.36</v>
    <v>-9.6710000000000003E-4</v>
    <v>-8.6289999999999995E-3</v>
    <v>-0.04</v>
    <v>USD</v>
    <v>Altria Group, Inc. is a holding company that provides a portfolio of tobacco products for United States tobacco consumers aged 21+. The Company operates through two segments: smokeable tobacco products and oral tobacco products. The smokeable tobacco products consist of combustible cigarettes manufactured and sold by Philip Morris USA Inc. (PM USA ), and machine-made large cigars and pipe tobacco manufactured and sold by John Middleton Co. (Middleton). The oral tobacco products consist of moist smokeless tobacco (MST) and snus products manufactured and sold by U.S. Smokeless Tobacco Company LLC (USSTC), and oral nicotine pouches manufactured and sold by Helix Innovations LLC (Helix). The Company’s e-vapor products are marketed by NJOY, LLC (NJOY), a wholly owned subsidiary of the Company. The Company’s brand portfolio of its tobacco operating companies include Marlboro, Black &amp; Mild, Copenhagen, Skoal, on! and NJOY ACE.</v>
    <v>6300</v>
    <v>New York Stock Exchange</v>
    <v>XNYS</v>
    <v>XNYS</v>
    <v>6601 W Broad St, RICHMOND, VA, 23230 US</v>
    <v>41.61</v>
    <v>Food &amp; Tobacco</v>
    <v>Stock</v>
    <v>45324.937434316409</v>
    <v>0</v>
    <v>40.92</v>
    <v>73151230000</v>
    <v>Altria Group, Inc.</v>
    <v>Altria Group, Inc.</v>
    <v>41.49</v>
    <v>9.1374999999999993</v>
    <v>41.72</v>
    <v>41.36</v>
    <v>41.32</v>
    <v>1768647000</v>
    <v>MO</v>
    <v>Altria Group, Inc. (XNYS:MO)</v>
    <v>10858891</v>
    <v>9123374</v>
    <v>1985</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7815-6D09-4EA3-AC97-CA00F720E766}">
  <dimension ref="A1:AA86"/>
  <sheetViews>
    <sheetView tabSelected="1" zoomScale="130" zoomScaleNormal="130" workbookViewId="0">
      <pane xSplit="1" topLeftCell="R1" activePane="topRight" state="frozen"/>
      <selection pane="topRight" activeCell="Y5" sqref="Y5"/>
    </sheetView>
  </sheetViews>
  <sheetFormatPr defaultColWidth="12.7109375" defaultRowHeight="12.75" x14ac:dyDescent="0.2"/>
  <cols>
    <col min="1" max="1" width="38.85546875" customWidth="1"/>
    <col min="2" max="25" width="12.7109375" style="8" customWidth="1"/>
    <col min="26" max="16384" width="12.7109375" style="8"/>
  </cols>
  <sheetData>
    <row r="1" spans="1:27" s="1" customFormat="1" ht="15" customHeight="1" x14ac:dyDescent="0.2">
      <c r="A1" s="2" t="s">
        <v>0</v>
      </c>
      <c r="B1" s="3">
        <v>43190</v>
      </c>
      <c r="C1" s="3">
        <v>43281</v>
      </c>
      <c r="D1" s="3">
        <v>43373</v>
      </c>
      <c r="E1" s="3">
        <v>43465</v>
      </c>
      <c r="F1" s="3">
        <v>43555</v>
      </c>
      <c r="G1" s="3">
        <v>43646</v>
      </c>
      <c r="H1" s="3">
        <v>43738</v>
      </c>
      <c r="I1" s="3">
        <v>43830</v>
      </c>
      <c r="J1" s="3">
        <v>43921</v>
      </c>
      <c r="K1" s="3">
        <v>44012</v>
      </c>
      <c r="L1" s="3">
        <v>44104</v>
      </c>
      <c r="M1" s="3">
        <v>44196</v>
      </c>
      <c r="N1" s="3">
        <v>44286</v>
      </c>
      <c r="O1" s="3">
        <v>44377</v>
      </c>
      <c r="P1" s="3">
        <v>44469</v>
      </c>
      <c r="Q1" s="3">
        <v>44561</v>
      </c>
      <c r="R1" s="3">
        <v>44651</v>
      </c>
      <c r="S1" s="3">
        <v>44742</v>
      </c>
      <c r="T1" s="3">
        <v>44834</v>
      </c>
      <c r="U1" s="3">
        <v>44926</v>
      </c>
      <c r="V1" s="3">
        <v>45016</v>
      </c>
      <c r="W1" s="3">
        <v>45107</v>
      </c>
      <c r="X1" s="3">
        <v>45199</v>
      </c>
      <c r="Y1" s="3">
        <v>45291</v>
      </c>
      <c r="Z1" s="3">
        <v>45382</v>
      </c>
      <c r="AA1" s="3">
        <v>45473</v>
      </c>
    </row>
    <row r="2" spans="1:27" s="1" customFormat="1" ht="15" customHeight="1" x14ac:dyDescent="0.2">
      <c r="A2" s="2" t="s">
        <v>1</v>
      </c>
      <c r="B2" s="1" t="s">
        <v>2</v>
      </c>
      <c r="C2" s="1" t="s">
        <v>37</v>
      </c>
      <c r="D2" s="1" t="s">
        <v>38</v>
      </c>
      <c r="E2" s="1" t="s">
        <v>39</v>
      </c>
      <c r="F2" s="1" t="s">
        <v>43</v>
      </c>
      <c r="G2" s="1" t="s">
        <v>44</v>
      </c>
      <c r="H2" s="1" t="s">
        <v>45</v>
      </c>
      <c r="I2" s="1" t="s">
        <v>46</v>
      </c>
      <c r="J2" s="1" t="s">
        <v>50</v>
      </c>
      <c r="K2" s="1" t="s">
        <v>51</v>
      </c>
      <c r="L2" s="1" t="s">
        <v>52</v>
      </c>
      <c r="M2" s="1" t="s">
        <v>53</v>
      </c>
      <c r="N2" s="1" t="s">
        <v>56</v>
      </c>
      <c r="O2" s="1" t="s">
        <v>57</v>
      </c>
      <c r="P2" s="1" t="s">
        <v>58</v>
      </c>
      <c r="Q2" s="1" t="s">
        <v>59</v>
      </c>
      <c r="R2" s="1" t="s">
        <v>61</v>
      </c>
      <c r="S2" s="1" t="s">
        <v>62</v>
      </c>
      <c r="T2" s="1" t="s">
        <v>63</v>
      </c>
      <c r="U2" s="1" t="s">
        <v>64</v>
      </c>
      <c r="V2" s="1" t="s">
        <v>65</v>
      </c>
      <c r="W2" s="1" t="s">
        <v>71</v>
      </c>
      <c r="X2" s="1" t="s">
        <v>72</v>
      </c>
      <c r="Y2" s="1" t="s">
        <v>73</v>
      </c>
      <c r="Z2" s="1" t="s">
        <v>74</v>
      </c>
      <c r="AA2" s="1" t="s">
        <v>75</v>
      </c>
    </row>
    <row r="3" spans="1:27" s="14" customFormat="1" ht="12.75" customHeight="1" x14ac:dyDescent="0.2">
      <c r="A3" s="15" t="e" vm="1">
        <v>#VALUE!</v>
      </c>
    </row>
    <row r="4" spans="1:27" s="14" customFormat="1" ht="12.75" customHeight="1" x14ac:dyDescent="0.2">
      <c r="A4" s="16" cm="1">
        <f t="array" ref="A4">_FV(A3,"Price")</f>
        <v>41.36</v>
      </c>
    </row>
    <row r="5" spans="1:27" s="17" customFormat="1" ht="12.75" customHeight="1" x14ac:dyDescent="0.2">
      <c r="A5" s="15" t="s">
        <v>76</v>
      </c>
      <c r="B5" s="17">
        <v>62.32</v>
      </c>
      <c r="C5" s="17">
        <v>56.79</v>
      </c>
      <c r="D5" s="17">
        <v>60.31</v>
      </c>
      <c r="E5" s="17">
        <v>49.39</v>
      </c>
      <c r="F5" s="17">
        <v>57.43</v>
      </c>
      <c r="G5" s="17">
        <v>47.35</v>
      </c>
      <c r="H5" s="17">
        <v>40.9</v>
      </c>
      <c r="I5" s="17">
        <v>49.91</v>
      </c>
      <c r="J5" s="17">
        <v>38.67</v>
      </c>
      <c r="K5" s="17">
        <v>39.25</v>
      </c>
      <c r="L5" s="17">
        <v>38.64</v>
      </c>
      <c r="M5" s="17">
        <v>41</v>
      </c>
      <c r="N5" s="17">
        <v>51.16</v>
      </c>
      <c r="O5" s="17">
        <v>47.68</v>
      </c>
      <c r="P5" s="17">
        <v>45.52</v>
      </c>
      <c r="Q5" s="17">
        <v>47.39</v>
      </c>
      <c r="R5" s="17">
        <v>52.25</v>
      </c>
      <c r="S5" s="17">
        <v>41.77</v>
      </c>
      <c r="T5" s="17">
        <v>40.380000000000003</v>
      </c>
      <c r="U5" s="17">
        <v>45.71</v>
      </c>
      <c r="V5" s="17">
        <v>44.62</v>
      </c>
      <c r="W5" s="17">
        <v>45.3</v>
      </c>
      <c r="X5" s="17">
        <v>42.05</v>
      </c>
    </row>
    <row r="6" spans="1:27" s="19" customFormat="1" ht="12.75" customHeight="1" x14ac:dyDescent="0.2">
      <c r="A6" s="15" t="s">
        <v>67</v>
      </c>
      <c r="B6" s="19">
        <v>1899</v>
      </c>
      <c r="C6" s="19">
        <v>1891</v>
      </c>
      <c r="D6" s="19">
        <v>1883</v>
      </c>
      <c r="E6" s="19">
        <v>1888</v>
      </c>
      <c r="F6" s="19">
        <v>1874</v>
      </c>
      <c r="G6" s="19">
        <v>1870</v>
      </c>
      <c r="H6" s="19">
        <v>1868</v>
      </c>
      <c r="I6" s="19">
        <v>1869</v>
      </c>
      <c r="J6" s="19">
        <v>1858</v>
      </c>
      <c r="K6" s="19">
        <v>1859</v>
      </c>
      <c r="L6" s="19">
        <v>1859</v>
      </c>
      <c r="M6" s="19">
        <v>1859</v>
      </c>
      <c r="N6" s="19">
        <v>1857</v>
      </c>
      <c r="O6" s="19">
        <v>1849</v>
      </c>
      <c r="P6" s="19">
        <v>1842</v>
      </c>
      <c r="Q6" s="19">
        <v>1845</v>
      </c>
      <c r="R6" s="19">
        <v>1818</v>
      </c>
      <c r="S6" s="19">
        <v>1809</v>
      </c>
      <c r="T6" s="19">
        <v>1799</v>
      </c>
      <c r="U6" s="19">
        <v>1804</v>
      </c>
      <c r="V6" s="19">
        <v>1786</v>
      </c>
      <c r="W6" s="19">
        <v>1774</v>
      </c>
      <c r="X6" s="19">
        <v>1773</v>
      </c>
    </row>
    <row r="7" spans="1:27" s="19" customFormat="1" ht="12.75" customHeight="1" x14ac:dyDescent="0.2">
      <c r="A7" s="15" t="s">
        <v>68</v>
      </c>
      <c r="B7" s="19">
        <f t="shared" ref="B7:V7" si="0">B5*B6</f>
        <v>118345.68000000001</v>
      </c>
      <c r="C7" s="19">
        <f t="shared" si="0"/>
        <v>107389.89</v>
      </c>
      <c r="D7" s="19">
        <f t="shared" si="0"/>
        <v>113563.73000000001</v>
      </c>
      <c r="E7" s="19">
        <f t="shared" si="0"/>
        <v>93248.320000000007</v>
      </c>
      <c r="F7" s="19">
        <f t="shared" si="0"/>
        <v>107623.81999999999</v>
      </c>
      <c r="G7" s="19">
        <f t="shared" si="0"/>
        <v>88544.5</v>
      </c>
      <c r="H7" s="19">
        <f t="shared" si="0"/>
        <v>76401.2</v>
      </c>
      <c r="I7" s="19">
        <f t="shared" si="0"/>
        <v>93281.79</v>
      </c>
      <c r="J7" s="19">
        <f t="shared" si="0"/>
        <v>71848.86</v>
      </c>
      <c r="K7" s="19">
        <f t="shared" si="0"/>
        <v>72965.75</v>
      </c>
      <c r="L7" s="19">
        <f t="shared" si="0"/>
        <v>71831.759999999995</v>
      </c>
      <c r="M7" s="19">
        <f t="shared" si="0"/>
        <v>76219</v>
      </c>
      <c r="N7" s="19">
        <f t="shared" si="0"/>
        <v>95004.12</v>
      </c>
      <c r="O7" s="19">
        <f t="shared" si="0"/>
        <v>88160.319999999992</v>
      </c>
      <c r="P7" s="19">
        <f t="shared" si="0"/>
        <v>83847.840000000011</v>
      </c>
      <c r="Q7" s="19">
        <f t="shared" si="0"/>
        <v>87434.55</v>
      </c>
      <c r="R7" s="19">
        <f t="shared" si="0"/>
        <v>94990.5</v>
      </c>
      <c r="S7" s="19">
        <f t="shared" si="0"/>
        <v>75561.930000000008</v>
      </c>
      <c r="T7" s="19">
        <f t="shared" si="0"/>
        <v>72643.62000000001</v>
      </c>
      <c r="U7" s="19">
        <f t="shared" si="0"/>
        <v>82460.84</v>
      </c>
      <c r="V7" s="19">
        <f t="shared" si="0"/>
        <v>79691.319999999992</v>
      </c>
      <c r="W7" s="19">
        <f>W5*W6</f>
        <v>80362.2</v>
      </c>
      <c r="X7" s="19">
        <f t="shared" ref="X7:AA7" si="1">X5*X6</f>
        <v>74554.649999999994</v>
      </c>
      <c r="Y7" s="19">
        <f t="shared" si="1"/>
        <v>0</v>
      </c>
      <c r="Z7" s="19">
        <f t="shared" si="1"/>
        <v>0</v>
      </c>
      <c r="AA7" s="19">
        <f t="shared" si="1"/>
        <v>0</v>
      </c>
    </row>
    <row r="8" spans="1:27" s="19" customFormat="1" ht="12.75" customHeight="1" x14ac:dyDescent="0.2">
      <c r="A8" s="15" t="s">
        <v>69</v>
      </c>
      <c r="B8" s="19">
        <f t="shared" ref="B8:V8" si="2">B32</f>
        <v>2191</v>
      </c>
      <c r="C8" s="19">
        <f t="shared" si="2"/>
        <v>1430</v>
      </c>
      <c r="D8" s="19">
        <f t="shared" si="2"/>
        <v>2393</v>
      </c>
      <c r="E8" s="19">
        <f t="shared" si="2"/>
        <v>1333</v>
      </c>
      <c r="F8" s="19">
        <f t="shared" si="2"/>
        <v>3352</v>
      </c>
      <c r="G8" s="19">
        <f t="shared" si="2"/>
        <v>1796</v>
      </c>
      <c r="H8" s="19">
        <f t="shared" si="2"/>
        <v>1604</v>
      </c>
      <c r="I8" s="19">
        <f t="shared" si="2"/>
        <v>2117</v>
      </c>
      <c r="J8" s="19">
        <f t="shared" si="2"/>
        <v>5616</v>
      </c>
      <c r="K8" s="19">
        <f t="shared" si="2"/>
        <v>4826</v>
      </c>
      <c r="L8" s="19">
        <f t="shared" si="2"/>
        <v>4123</v>
      </c>
      <c r="M8" s="19">
        <f t="shared" si="2"/>
        <v>4945</v>
      </c>
      <c r="N8" s="19">
        <f t="shared" si="2"/>
        <v>5792</v>
      </c>
      <c r="O8" s="19">
        <f t="shared" si="2"/>
        <v>1877</v>
      </c>
      <c r="P8" s="19">
        <f t="shared" si="2"/>
        <v>2957</v>
      </c>
      <c r="Q8" s="19">
        <f t="shared" si="2"/>
        <v>4544</v>
      </c>
      <c r="R8" s="19">
        <f t="shared" si="2"/>
        <v>5353</v>
      </c>
      <c r="S8" s="19">
        <f t="shared" si="2"/>
        <v>2567</v>
      </c>
      <c r="T8" s="19">
        <f t="shared" si="2"/>
        <v>2483</v>
      </c>
      <c r="U8" s="19">
        <f t="shared" si="2"/>
        <v>4030</v>
      </c>
      <c r="V8" s="19">
        <f t="shared" si="2"/>
        <v>3913</v>
      </c>
      <c r="W8" s="19">
        <f>W32</f>
        <v>874</v>
      </c>
      <c r="X8" s="19">
        <f t="shared" ref="X8:AA8" si="3">X32</f>
        <v>1537</v>
      </c>
      <c r="Y8" s="19">
        <f t="shared" si="3"/>
        <v>0</v>
      </c>
      <c r="Z8" s="19">
        <f t="shared" si="3"/>
        <v>0</v>
      </c>
      <c r="AA8" s="19">
        <f t="shared" si="3"/>
        <v>0</v>
      </c>
    </row>
    <row r="9" spans="1:27" s="19" customFormat="1" ht="12.75" customHeight="1" x14ac:dyDescent="0.2">
      <c r="A9" s="15" t="s">
        <v>70</v>
      </c>
      <c r="B9" s="19">
        <f t="shared" ref="B9:V9" si="4">B47+B48+B57</f>
        <v>13897</v>
      </c>
      <c r="C9" s="19">
        <f t="shared" si="4"/>
        <v>13900</v>
      </c>
      <c r="D9" s="19">
        <f t="shared" si="4"/>
        <v>13903</v>
      </c>
      <c r="E9" s="19">
        <f t="shared" si="4"/>
        <v>25746</v>
      </c>
      <c r="F9" s="19">
        <f t="shared" si="4"/>
        <v>29168</v>
      </c>
      <c r="G9" s="19">
        <f t="shared" si="4"/>
        <v>29240</v>
      </c>
      <c r="H9" s="19">
        <f t="shared" si="4"/>
        <v>27903</v>
      </c>
      <c r="I9" s="19">
        <f t="shared" si="4"/>
        <v>28042</v>
      </c>
      <c r="J9" s="19">
        <f t="shared" si="4"/>
        <v>29971</v>
      </c>
      <c r="K9" s="19">
        <f t="shared" si="4"/>
        <v>29042</v>
      </c>
      <c r="L9" s="19">
        <f t="shared" si="4"/>
        <v>29255</v>
      </c>
      <c r="M9" s="19">
        <f t="shared" si="4"/>
        <v>29471</v>
      </c>
      <c r="N9" s="19">
        <f t="shared" si="4"/>
        <v>29680</v>
      </c>
      <c r="O9" s="19">
        <f t="shared" si="4"/>
        <v>28241</v>
      </c>
      <c r="P9" s="19">
        <f t="shared" si="4"/>
        <v>28127</v>
      </c>
      <c r="Q9" s="19">
        <f t="shared" si="4"/>
        <v>28044</v>
      </c>
      <c r="R9" s="19">
        <f t="shared" si="4"/>
        <v>27922</v>
      </c>
      <c r="S9" s="19">
        <f t="shared" si="4"/>
        <v>27680</v>
      </c>
      <c r="T9" s="19">
        <f t="shared" si="4"/>
        <v>26291</v>
      </c>
      <c r="U9" s="19">
        <f t="shared" si="4"/>
        <v>26680</v>
      </c>
      <c r="V9" s="19">
        <f t="shared" si="4"/>
        <v>25387</v>
      </c>
      <c r="W9" s="19">
        <f>W47+W48+W57</f>
        <v>27195</v>
      </c>
      <c r="X9" s="19">
        <f t="shared" ref="X9:AA9" si="5">X47+X48+X57</f>
        <v>25098</v>
      </c>
      <c r="Y9" s="19">
        <f t="shared" si="5"/>
        <v>0</v>
      </c>
      <c r="Z9" s="19">
        <f t="shared" si="5"/>
        <v>0</v>
      </c>
      <c r="AA9" s="19">
        <f t="shared" si="5"/>
        <v>0</v>
      </c>
    </row>
    <row r="10" spans="1:27" s="14" customFormat="1" ht="12.75" customHeight="1" x14ac:dyDescent="0.2">
      <c r="A10" s="15"/>
    </row>
    <row r="11" spans="1:27" s="12" customFormat="1" x14ac:dyDescent="0.2">
      <c r="A11" t="s">
        <v>3</v>
      </c>
      <c r="B11" s="12">
        <v>6108</v>
      </c>
      <c r="C11" s="12">
        <v>6305</v>
      </c>
      <c r="D11" s="12">
        <v>6837</v>
      </c>
      <c r="E11" s="12">
        <f>25364-SUM(B11:D11)</f>
        <v>6114</v>
      </c>
      <c r="F11" s="12">
        <v>5628</v>
      </c>
      <c r="G11" s="12">
        <v>6619</v>
      </c>
      <c r="H11" s="12">
        <v>6856</v>
      </c>
      <c r="I11" s="12">
        <f>25110-SUM(F11:H11)</f>
        <v>6007</v>
      </c>
      <c r="J11" s="12">
        <v>6359</v>
      </c>
      <c r="K11" s="12">
        <v>6367</v>
      </c>
      <c r="L11" s="12">
        <v>7123</v>
      </c>
      <c r="M11" s="12">
        <f>26153-SUM(J11:L11)</f>
        <v>6304</v>
      </c>
      <c r="N11" s="12">
        <v>6036</v>
      </c>
      <c r="O11" s="12">
        <v>6936</v>
      </c>
      <c r="P11" s="12">
        <v>6786</v>
      </c>
      <c r="Q11" s="12">
        <f>26013-SUM(N11:P11)</f>
        <v>6255</v>
      </c>
      <c r="R11" s="12">
        <v>5892</v>
      </c>
      <c r="S11" s="12">
        <v>6543</v>
      </c>
      <c r="T11" s="12">
        <v>6550</v>
      </c>
      <c r="U11" s="12">
        <f>25096-SUM(R11:T11)</f>
        <v>6111</v>
      </c>
      <c r="V11" s="12">
        <v>5719</v>
      </c>
      <c r="W11" s="12">
        <v>6508</v>
      </c>
      <c r="X11" s="12">
        <v>6281</v>
      </c>
    </row>
    <row r="12" spans="1:27" s="12" customFormat="1" x14ac:dyDescent="0.2">
      <c r="A12" t="s">
        <v>4</v>
      </c>
      <c r="B12" s="12">
        <v>1734</v>
      </c>
      <c r="C12" s="12">
        <v>1738</v>
      </c>
      <c r="D12" s="12">
        <v>2037</v>
      </c>
      <c r="E12" s="12">
        <f>7373-SUM(B12:D12)</f>
        <v>1864</v>
      </c>
      <c r="F12" s="12">
        <v>1578</v>
      </c>
      <c r="G12" s="12">
        <v>1874</v>
      </c>
      <c r="H12" s="12">
        <v>1915</v>
      </c>
      <c r="I12" s="12">
        <f>7085-SUM(F12:H12)</f>
        <v>1718</v>
      </c>
      <c r="J12" s="12">
        <v>2173</v>
      </c>
      <c r="K12" s="12">
        <v>1775</v>
      </c>
      <c r="L12" s="12">
        <v>1961</v>
      </c>
      <c r="M12" s="12">
        <f>7818-SUM(J12:L12)</f>
        <v>1909</v>
      </c>
      <c r="N12" s="12">
        <v>1608</v>
      </c>
      <c r="O12" s="12">
        <v>1882</v>
      </c>
      <c r="P12" s="12">
        <v>1858</v>
      </c>
      <c r="Q12" s="12">
        <f>7119-SUM(N12:P12)</f>
        <v>1771</v>
      </c>
      <c r="R12" s="12">
        <v>1446</v>
      </c>
      <c r="S12" s="12">
        <v>1708</v>
      </c>
      <c r="T12" s="12">
        <v>1715</v>
      </c>
      <c r="U12" s="12">
        <f>6442-SUM(R12:T12)</f>
        <v>1573</v>
      </c>
      <c r="V12" s="12">
        <v>1434</v>
      </c>
      <c r="W12" s="12">
        <v>1681</v>
      </c>
      <c r="X12" s="12">
        <v>1578</v>
      </c>
    </row>
    <row r="13" spans="1:27" x14ac:dyDescent="0.2">
      <c r="A13" t="s">
        <v>5</v>
      </c>
      <c r="B13" s="8">
        <v>1438</v>
      </c>
      <c r="C13" s="8">
        <v>1426</v>
      </c>
      <c r="D13" s="8">
        <v>1545</v>
      </c>
      <c r="E13" s="12">
        <f>5737-SUM(B13:D13)</f>
        <v>1328</v>
      </c>
      <c r="F13" s="8">
        <v>1239</v>
      </c>
      <c r="G13" s="8">
        <v>1426</v>
      </c>
      <c r="H13" s="8">
        <v>1444</v>
      </c>
      <c r="I13" s="12">
        <f>5314-SUM(F13:H13)</f>
        <v>1205</v>
      </c>
      <c r="J13" s="8">
        <v>1313</v>
      </c>
      <c r="K13" s="8">
        <v>1305</v>
      </c>
      <c r="L13" s="8">
        <v>1445</v>
      </c>
      <c r="M13" s="12">
        <f>5312-SUM(J13:L13)</f>
        <v>1249</v>
      </c>
      <c r="N13" s="12">
        <v>1156</v>
      </c>
      <c r="O13" s="8">
        <v>1322</v>
      </c>
      <c r="P13" s="8">
        <v>1255</v>
      </c>
      <c r="Q13" s="12">
        <f>4902-SUM(N13:P13)</f>
        <v>1169</v>
      </c>
      <c r="R13" s="8">
        <v>1073</v>
      </c>
      <c r="S13" s="8">
        <v>1169</v>
      </c>
      <c r="T13" s="8">
        <v>1138</v>
      </c>
      <c r="U13" s="12">
        <f>4408-SUM(R13:T13)</f>
        <v>1028</v>
      </c>
      <c r="V13" s="8">
        <v>956</v>
      </c>
      <c r="W13" s="8">
        <v>1070</v>
      </c>
      <c r="X13" s="8">
        <v>1004</v>
      </c>
    </row>
    <row r="14" spans="1:27" s="7" customFormat="1" x14ac:dyDescent="0.2">
      <c r="A14" s="4" t="s">
        <v>6</v>
      </c>
      <c r="B14" s="7">
        <f t="shared" ref="B14:AA14" si="6">B11-SUM(B12:B13)</f>
        <v>2936</v>
      </c>
      <c r="C14" s="7">
        <f t="shared" si="6"/>
        <v>3141</v>
      </c>
      <c r="D14" s="7">
        <f t="shared" si="6"/>
        <v>3255</v>
      </c>
      <c r="E14" s="7">
        <f t="shared" si="6"/>
        <v>2922</v>
      </c>
      <c r="F14" s="7">
        <f t="shared" si="6"/>
        <v>2811</v>
      </c>
      <c r="G14" s="7">
        <f t="shared" si="6"/>
        <v>3319</v>
      </c>
      <c r="H14" s="7">
        <f t="shared" si="6"/>
        <v>3497</v>
      </c>
      <c r="I14" s="7">
        <f t="shared" si="6"/>
        <v>3084</v>
      </c>
      <c r="J14" s="7">
        <f t="shared" si="6"/>
        <v>2873</v>
      </c>
      <c r="K14" s="7">
        <f t="shared" si="6"/>
        <v>3287</v>
      </c>
      <c r="L14" s="7">
        <f t="shared" si="6"/>
        <v>3717</v>
      </c>
      <c r="M14" s="7">
        <f t="shared" si="6"/>
        <v>3146</v>
      </c>
      <c r="N14" s="7">
        <f t="shared" si="6"/>
        <v>3272</v>
      </c>
      <c r="O14" s="7">
        <f t="shared" si="6"/>
        <v>3732</v>
      </c>
      <c r="P14" s="7">
        <f t="shared" si="6"/>
        <v>3673</v>
      </c>
      <c r="Q14" s="7">
        <f t="shared" si="6"/>
        <v>3315</v>
      </c>
      <c r="R14" s="7">
        <f t="shared" si="6"/>
        <v>3373</v>
      </c>
      <c r="S14" s="7">
        <f t="shared" si="6"/>
        <v>3666</v>
      </c>
      <c r="T14" s="7">
        <f t="shared" si="6"/>
        <v>3697</v>
      </c>
      <c r="U14" s="7">
        <f t="shared" si="6"/>
        <v>3510</v>
      </c>
      <c r="V14" s="7">
        <f t="shared" si="6"/>
        <v>3329</v>
      </c>
      <c r="W14" s="7">
        <f t="shared" si="6"/>
        <v>3757</v>
      </c>
      <c r="X14" s="7">
        <f t="shared" si="6"/>
        <v>3699</v>
      </c>
      <c r="Y14" s="7">
        <f t="shared" si="6"/>
        <v>0</v>
      </c>
      <c r="Z14" s="7">
        <f t="shared" si="6"/>
        <v>0</v>
      </c>
      <c r="AA14" s="7">
        <f t="shared" si="6"/>
        <v>0</v>
      </c>
    </row>
    <row r="15" spans="1:27" x14ac:dyDescent="0.2">
      <c r="A15" t="s">
        <v>7</v>
      </c>
      <c r="B15" s="8">
        <v>618</v>
      </c>
      <c r="C15" s="8">
        <v>641</v>
      </c>
      <c r="D15" s="8">
        <v>700</v>
      </c>
      <c r="E15" s="12">
        <f>2756-SUM(B15:D15)</f>
        <v>797</v>
      </c>
      <c r="F15" s="8">
        <v>533</v>
      </c>
      <c r="G15" s="8">
        <v>569</v>
      </c>
      <c r="H15" s="8">
        <v>552</v>
      </c>
      <c r="I15" s="12">
        <f>2226-SUM(F15:H15)</f>
        <v>572</v>
      </c>
      <c r="J15" s="8">
        <v>537</v>
      </c>
      <c r="K15" s="8">
        <v>491</v>
      </c>
      <c r="L15" s="8">
        <v>557</v>
      </c>
      <c r="M15" s="12">
        <f>2154-SUM(J15:L15)</f>
        <v>569</v>
      </c>
      <c r="N15" s="8">
        <v>582</v>
      </c>
      <c r="O15" s="8">
        <v>546</v>
      </c>
      <c r="P15" s="8">
        <v>722</v>
      </c>
      <c r="Q15" s="12">
        <f>2432-SUM(N15:P15)</f>
        <v>582</v>
      </c>
      <c r="R15" s="8">
        <v>489</v>
      </c>
      <c r="S15" s="8">
        <v>561</v>
      </c>
      <c r="T15" s="8">
        <v>585</v>
      </c>
      <c r="U15" s="12">
        <f>2327-SUM(R15:T15)</f>
        <v>692</v>
      </c>
      <c r="V15" s="8">
        <v>572</v>
      </c>
      <c r="W15" s="8">
        <v>852</v>
      </c>
      <c r="X15" s="8">
        <v>610</v>
      </c>
    </row>
    <row r="16" spans="1:27" hidden="1" x14ac:dyDescent="0.2">
      <c r="A16" t="s">
        <v>8</v>
      </c>
      <c r="B16" s="8">
        <v>2</v>
      </c>
      <c r="C16" s="8">
        <v>2</v>
      </c>
      <c r="D16" s="8">
        <v>-2</v>
      </c>
      <c r="E16" s="12">
        <f>383-SUM(B16:D16)</f>
        <v>381</v>
      </c>
      <c r="F16" s="8">
        <v>40</v>
      </c>
      <c r="G16" s="8">
        <v>33</v>
      </c>
      <c r="H16" s="8">
        <v>1</v>
      </c>
      <c r="I16" s="12">
        <f>159-SUM(F16:H16)</f>
        <v>85</v>
      </c>
      <c r="J16" s="8">
        <v>0</v>
      </c>
      <c r="K16" s="8">
        <v>0</v>
      </c>
      <c r="L16" s="8">
        <v>0</v>
      </c>
      <c r="M16" s="12">
        <f>-4-SUM(J16:L16)</f>
        <v>-4</v>
      </c>
      <c r="N16" s="8">
        <v>0</v>
      </c>
      <c r="O16" s="8">
        <v>0</v>
      </c>
      <c r="P16" s="8">
        <v>0</v>
      </c>
      <c r="Q16" s="12">
        <f>0-SUM(N16:P16)</f>
        <v>0</v>
      </c>
      <c r="R16" s="8">
        <v>0</v>
      </c>
      <c r="S16" s="8">
        <v>0</v>
      </c>
      <c r="T16" s="8">
        <v>0</v>
      </c>
      <c r="U16" s="12">
        <v>0</v>
      </c>
      <c r="V16" s="8">
        <v>0</v>
      </c>
    </row>
    <row r="17" spans="1:27" x14ac:dyDescent="0.2">
      <c r="E17" s="12"/>
      <c r="I17" s="12"/>
      <c r="M17" s="12"/>
      <c r="Q17" s="12"/>
      <c r="U17" s="12"/>
    </row>
    <row r="18" spans="1:27" s="12" customFormat="1" x14ac:dyDescent="0.2">
      <c r="A18" s="15" t="s">
        <v>41</v>
      </c>
      <c r="B18" s="12">
        <f t="shared" ref="B18:AA18" si="7">B14-SUM(B15:B16)</f>
        <v>2316</v>
      </c>
      <c r="C18" s="12">
        <f t="shared" si="7"/>
        <v>2498</v>
      </c>
      <c r="D18" s="12">
        <f t="shared" si="7"/>
        <v>2557</v>
      </c>
      <c r="E18" s="12">
        <f t="shared" si="7"/>
        <v>1744</v>
      </c>
      <c r="F18" s="12">
        <f t="shared" si="7"/>
        <v>2238</v>
      </c>
      <c r="G18" s="12">
        <f t="shared" si="7"/>
        <v>2717</v>
      </c>
      <c r="H18" s="12">
        <f t="shared" si="7"/>
        <v>2944</v>
      </c>
      <c r="I18" s="12">
        <f t="shared" si="7"/>
        <v>2427</v>
      </c>
      <c r="J18" s="12">
        <f t="shared" si="7"/>
        <v>2336</v>
      </c>
      <c r="K18" s="12">
        <f t="shared" si="7"/>
        <v>2796</v>
      </c>
      <c r="L18" s="12">
        <f t="shared" si="7"/>
        <v>3160</v>
      </c>
      <c r="M18" s="12">
        <f t="shared" si="7"/>
        <v>2581</v>
      </c>
      <c r="N18" s="12">
        <f t="shared" si="7"/>
        <v>2690</v>
      </c>
      <c r="O18" s="12">
        <f t="shared" si="7"/>
        <v>3186</v>
      </c>
      <c r="P18" s="12">
        <f t="shared" si="7"/>
        <v>2951</v>
      </c>
      <c r="Q18" s="12">
        <f t="shared" si="7"/>
        <v>2733</v>
      </c>
      <c r="R18" s="12">
        <f t="shared" si="7"/>
        <v>2884</v>
      </c>
      <c r="S18" s="12">
        <f t="shared" si="7"/>
        <v>3105</v>
      </c>
      <c r="T18" s="12">
        <f t="shared" si="7"/>
        <v>3112</v>
      </c>
      <c r="U18" s="12">
        <f t="shared" si="7"/>
        <v>2818</v>
      </c>
      <c r="V18" s="12">
        <f t="shared" si="7"/>
        <v>2757</v>
      </c>
      <c r="W18" s="12">
        <f t="shared" si="7"/>
        <v>2905</v>
      </c>
      <c r="X18" s="12">
        <f t="shared" si="7"/>
        <v>3089</v>
      </c>
      <c r="Y18" s="12">
        <f t="shared" si="7"/>
        <v>0</v>
      </c>
      <c r="Z18" s="12">
        <f t="shared" si="7"/>
        <v>0</v>
      </c>
      <c r="AA18" s="12">
        <f t="shared" si="7"/>
        <v>0</v>
      </c>
    </row>
    <row r="19" spans="1:27" x14ac:dyDescent="0.2">
      <c r="A19" t="s">
        <v>9</v>
      </c>
      <c r="B19" s="8">
        <v>166</v>
      </c>
      <c r="C19" s="8">
        <v>178</v>
      </c>
      <c r="D19" s="8">
        <v>159</v>
      </c>
      <c r="E19" s="12">
        <f>665-SUM(B19:D19)</f>
        <v>162</v>
      </c>
      <c r="F19" s="8">
        <v>384</v>
      </c>
      <c r="G19" s="8">
        <v>312</v>
      </c>
      <c r="H19" s="8">
        <v>293</v>
      </c>
      <c r="I19" s="12">
        <f>1280-SUM(F19:H19)</f>
        <v>291</v>
      </c>
      <c r="J19" s="8">
        <v>275</v>
      </c>
      <c r="K19" s="8">
        <v>308</v>
      </c>
      <c r="L19" s="8">
        <v>310</v>
      </c>
      <c r="M19" s="12">
        <f>1209-SUM(J19:L19)</f>
        <v>316</v>
      </c>
      <c r="N19" s="8">
        <v>308</v>
      </c>
      <c r="O19" s="8">
        <v>295</v>
      </c>
      <c r="P19" s="8">
        <v>266</v>
      </c>
      <c r="Q19" s="12">
        <f>1162-SUM(N19:P19)</f>
        <v>293</v>
      </c>
      <c r="R19" s="8">
        <v>281</v>
      </c>
      <c r="S19" s="8">
        <v>280</v>
      </c>
      <c r="T19" s="8">
        <v>271</v>
      </c>
      <c r="U19" s="12">
        <f>1058-SUM(R19:T19)</f>
        <v>226</v>
      </c>
      <c r="V19" s="8">
        <v>229</v>
      </c>
      <c r="W19" s="8">
        <v>257</v>
      </c>
      <c r="X19" s="8">
        <v>272</v>
      </c>
    </row>
    <row r="20" spans="1:27" x14ac:dyDescent="0.2">
      <c r="A20" t="s">
        <v>10</v>
      </c>
      <c r="B20" s="8">
        <v>-7</v>
      </c>
      <c r="C20" s="8">
        <v>-9</v>
      </c>
      <c r="D20" s="8">
        <v>-21</v>
      </c>
      <c r="E20" s="12">
        <f>-34-SUM(B20:D20)</f>
        <v>3</v>
      </c>
      <c r="F20" s="8">
        <v>-1</v>
      </c>
      <c r="G20" s="8">
        <v>-15</v>
      </c>
      <c r="H20" s="8">
        <v>-24</v>
      </c>
      <c r="I20" s="12">
        <f>-37-SUM(F20:H20)</f>
        <v>3</v>
      </c>
      <c r="J20" s="8">
        <v>-27</v>
      </c>
      <c r="K20" s="8">
        <v>-28</v>
      </c>
      <c r="L20" s="8">
        <v>-3</v>
      </c>
      <c r="M20" s="12">
        <f>-77-SUM(J20:L20)</f>
        <v>-19</v>
      </c>
      <c r="N20" s="8">
        <v>-43</v>
      </c>
      <c r="O20" s="8">
        <v>-46</v>
      </c>
      <c r="P20" s="8">
        <v>-63</v>
      </c>
      <c r="Q20" s="12">
        <f>-202-SUM(N20:P20)</f>
        <v>-50</v>
      </c>
      <c r="R20" s="8">
        <v>-46</v>
      </c>
      <c r="S20" s="8">
        <v>-47</v>
      </c>
      <c r="T20" s="8">
        <v>-44</v>
      </c>
      <c r="U20" s="12">
        <f>-184-SUM(R20:T20)</f>
        <v>-47</v>
      </c>
      <c r="V20" s="8">
        <v>-31</v>
      </c>
      <c r="W20" s="8">
        <v>-31</v>
      </c>
      <c r="X20" s="8">
        <v>-33</v>
      </c>
    </row>
    <row r="21" spans="1:27" hidden="1" x14ac:dyDescent="0.2">
      <c r="A21" t="s">
        <v>60</v>
      </c>
      <c r="B21" s="8">
        <v>0</v>
      </c>
      <c r="C21" s="8">
        <v>0</v>
      </c>
      <c r="D21" s="8">
        <v>0</v>
      </c>
      <c r="E21" s="12">
        <v>0</v>
      </c>
      <c r="F21" s="8">
        <v>0</v>
      </c>
      <c r="G21" s="8">
        <v>0</v>
      </c>
      <c r="H21" s="8">
        <v>0</v>
      </c>
      <c r="I21" s="12">
        <v>0</v>
      </c>
      <c r="J21" s="8">
        <v>0</v>
      </c>
      <c r="K21" s="8">
        <v>0</v>
      </c>
      <c r="L21" s="8">
        <v>0</v>
      </c>
      <c r="M21" s="12">
        <v>0</v>
      </c>
      <c r="N21" s="8">
        <v>649</v>
      </c>
      <c r="O21" s="8">
        <v>0</v>
      </c>
      <c r="P21" s="8">
        <v>0</v>
      </c>
      <c r="Q21" s="12">
        <f>649-SUM(N21:P21)</f>
        <v>0</v>
      </c>
      <c r="R21" s="8">
        <v>0</v>
      </c>
      <c r="S21" s="8">
        <v>0</v>
      </c>
      <c r="T21" s="8">
        <v>0</v>
      </c>
      <c r="U21" s="12">
        <f>0-SUM(R21:T21)</f>
        <v>0</v>
      </c>
      <c r="V21" s="8">
        <v>0</v>
      </c>
      <c r="W21" s="8">
        <v>0</v>
      </c>
    </row>
    <row r="22" spans="1:27" x14ac:dyDescent="0.2">
      <c r="A22" t="s">
        <v>55</v>
      </c>
      <c r="B22" s="8">
        <v>-342</v>
      </c>
      <c r="C22" s="8">
        <v>-228</v>
      </c>
      <c r="D22" s="8">
        <v>-189</v>
      </c>
      <c r="E22" s="12">
        <f>-890-SUM(B22:D22)</f>
        <v>-131</v>
      </c>
      <c r="F22" s="8">
        <v>-86</v>
      </c>
      <c r="G22" s="8">
        <v>-447</v>
      </c>
      <c r="H22" s="8">
        <v>-333</v>
      </c>
      <c r="I22" s="12">
        <f>-1725-SUM(F22:H22)</f>
        <v>-859</v>
      </c>
      <c r="J22" s="8">
        <v>-157</v>
      </c>
      <c r="K22" s="8">
        <v>-9</v>
      </c>
      <c r="L22" s="8">
        <v>472</v>
      </c>
      <c r="M22" s="12">
        <f>111-SUM(J22:L22)</f>
        <v>-195</v>
      </c>
      <c r="N22" s="8">
        <v>-51</v>
      </c>
      <c r="O22" s="8">
        <v>-75</v>
      </c>
      <c r="P22" s="8">
        <v>5915</v>
      </c>
      <c r="Q22" s="12">
        <f>5979-SUM(N22:P22)</f>
        <v>190</v>
      </c>
      <c r="R22" s="8">
        <v>-34</v>
      </c>
      <c r="S22" s="8">
        <v>1263</v>
      </c>
      <c r="T22" s="8">
        <v>2478</v>
      </c>
      <c r="U22" s="12">
        <f>3641-SUM(R22:T22)</f>
        <v>-66</v>
      </c>
      <c r="V22" s="8">
        <v>80</v>
      </c>
      <c r="W22" s="8">
        <v>-127</v>
      </c>
      <c r="X22" s="8">
        <v>-58</v>
      </c>
    </row>
    <row r="23" spans="1:27" hidden="1" x14ac:dyDescent="0.2">
      <c r="A23" t="s">
        <v>49</v>
      </c>
      <c r="B23" s="8">
        <v>0</v>
      </c>
      <c r="C23" s="8">
        <v>0</v>
      </c>
      <c r="D23" s="8">
        <v>0</v>
      </c>
      <c r="E23" s="12">
        <v>0</v>
      </c>
      <c r="F23" s="8">
        <v>0</v>
      </c>
      <c r="G23" s="8">
        <v>0</v>
      </c>
      <c r="H23" s="8">
        <v>4500</v>
      </c>
      <c r="I23" s="12">
        <f>8600-SUM(F23:H23)</f>
        <v>4100</v>
      </c>
      <c r="J23" s="8">
        <v>0</v>
      </c>
      <c r="K23" s="8">
        <v>0</v>
      </c>
      <c r="L23" s="8">
        <v>2600</v>
      </c>
      <c r="M23" s="12">
        <f>2600-SUM(J23:L23)</f>
        <v>0</v>
      </c>
      <c r="N23" s="8">
        <v>0</v>
      </c>
      <c r="O23" s="8">
        <v>0</v>
      </c>
      <c r="P23" s="8">
        <v>0</v>
      </c>
      <c r="Q23" s="12">
        <f>0-SUM(N23:P23)</f>
        <v>0</v>
      </c>
      <c r="R23" s="8">
        <v>0</v>
      </c>
      <c r="S23" s="8">
        <v>0</v>
      </c>
      <c r="T23" s="8">
        <v>0</v>
      </c>
      <c r="U23" s="12">
        <f>0-SUM(R23:T23)</f>
        <v>0</v>
      </c>
      <c r="V23" s="8">
        <v>0</v>
      </c>
      <c r="W23" s="8">
        <v>0</v>
      </c>
    </row>
    <row r="24" spans="1:27" hidden="1" x14ac:dyDescent="0.2">
      <c r="A24" t="s">
        <v>54</v>
      </c>
      <c r="B24" s="8">
        <v>0</v>
      </c>
      <c r="C24" s="8">
        <v>0</v>
      </c>
      <c r="D24" s="8">
        <v>0</v>
      </c>
      <c r="E24" s="12">
        <v>0</v>
      </c>
      <c r="F24" s="8">
        <v>425</v>
      </c>
      <c r="G24" s="8">
        <v>266</v>
      </c>
      <c r="H24" s="8">
        <v>636</v>
      </c>
      <c r="I24" s="12">
        <f>1442-SUM(F24:H24)</f>
        <v>115</v>
      </c>
      <c r="J24" s="8">
        <v>137</v>
      </c>
      <c r="K24" s="8">
        <v>-40</v>
      </c>
      <c r="L24" s="8">
        <v>105</v>
      </c>
      <c r="M24" s="12">
        <f>140-SUM(J24:L24)</f>
        <v>-62</v>
      </c>
      <c r="N24" s="8">
        <v>-110</v>
      </c>
      <c r="O24" s="8">
        <v>103</v>
      </c>
      <c r="P24" s="8">
        <v>135</v>
      </c>
      <c r="Q24" s="12">
        <f>148-SUM(N24:P24)</f>
        <v>20</v>
      </c>
      <c r="R24" s="8">
        <v>10</v>
      </c>
      <c r="S24" s="8">
        <v>4</v>
      </c>
      <c r="T24" s="8">
        <v>0</v>
      </c>
      <c r="U24" s="12">
        <f>15-SUM(R24:T24)</f>
        <v>1</v>
      </c>
      <c r="V24" s="8">
        <v>0</v>
      </c>
      <c r="W24" s="8">
        <v>0</v>
      </c>
    </row>
    <row r="25" spans="1:27" hidden="1" x14ac:dyDescent="0.2">
      <c r="A25" t="s">
        <v>40</v>
      </c>
      <c r="B25" s="8">
        <v>33</v>
      </c>
      <c r="C25" s="8">
        <v>0</v>
      </c>
      <c r="D25" s="8">
        <v>0</v>
      </c>
      <c r="E25" s="12">
        <f>33-SUM(B25:D25)</f>
        <v>0</v>
      </c>
      <c r="F25" s="8">
        <v>0</v>
      </c>
      <c r="G25" s="8">
        <v>0</v>
      </c>
      <c r="H25" s="8">
        <v>0</v>
      </c>
      <c r="I25" s="12">
        <f>0-SUM(F25:H25)</f>
        <v>0</v>
      </c>
      <c r="J25" s="8">
        <v>0</v>
      </c>
      <c r="K25" s="8">
        <v>0</v>
      </c>
      <c r="L25" s="8" t="s">
        <v>47</v>
      </c>
      <c r="M25" s="12">
        <f>0-SUM(J25:L25)</f>
        <v>0</v>
      </c>
      <c r="N25" s="8">
        <v>0</v>
      </c>
      <c r="O25" s="8">
        <v>0</v>
      </c>
      <c r="P25" s="8">
        <v>0</v>
      </c>
      <c r="Q25" s="12">
        <f>0-SUM(N25:P25)</f>
        <v>0</v>
      </c>
      <c r="R25" s="8">
        <v>0</v>
      </c>
      <c r="S25" s="8">
        <v>0</v>
      </c>
      <c r="T25" s="8">
        <v>0</v>
      </c>
      <c r="U25" s="12">
        <f>0-SUM(R25:T25)</f>
        <v>0</v>
      </c>
      <c r="V25" s="8">
        <v>0</v>
      </c>
      <c r="W25" s="8">
        <v>0</v>
      </c>
    </row>
    <row r="26" spans="1:27" s="12" customFormat="1" x14ac:dyDescent="0.2">
      <c r="A26" s="18" t="s">
        <v>77</v>
      </c>
      <c r="B26" s="12">
        <f t="shared" ref="B26:AA26" si="8">B18-SUM(B19:B25)</f>
        <v>2466</v>
      </c>
      <c r="C26" s="12">
        <f t="shared" si="8"/>
        <v>2557</v>
      </c>
      <c r="D26" s="12">
        <f t="shared" si="8"/>
        <v>2608</v>
      </c>
      <c r="E26" s="12">
        <f t="shared" si="8"/>
        <v>1710</v>
      </c>
      <c r="F26" s="12">
        <f t="shared" si="8"/>
        <v>1516</v>
      </c>
      <c r="G26" s="12">
        <f t="shared" si="8"/>
        <v>2601</v>
      </c>
      <c r="H26" s="12">
        <f t="shared" si="8"/>
        <v>-2128</v>
      </c>
      <c r="I26" s="12">
        <f t="shared" si="8"/>
        <v>-1223</v>
      </c>
      <c r="J26" s="12">
        <f t="shared" si="8"/>
        <v>2108</v>
      </c>
      <c r="K26" s="12">
        <f t="shared" si="8"/>
        <v>2565</v>
      </c>
      <c r="L26" s="12">
        <f t="shared" si="8"/>
        <v>-324</v>
      </c>
      <c r="M26" s="12">
        <f t="shared" si="8"/>
        <v>2541</v>
      </c>
      <c r="N26" s="12">
        <f t="shared" si="8"/>
        <v>1937</v>
      </c>
      <c r="O26" s="12">
        <f t="shared" si="8"/>
        <v>2909</v>
      </c>
      <c r="P26" s="12">
        <f t="shared" si="8"/>
        <v>-3302</v>
      </c>
      <c r="Q26" s="12">
        <f t="shared" si="8"/>
        <v>2280</v>
      </c>
      <c r="R26" s="12">
        <f t="shared" si="8"/>
        <v>2673</v>
      </c>
      <c r="S26" s="12">
        <f t="shared" si="8"/>
        <v>1605</v>
      </c>
      <c r="T26" s="12">
        <f t="shared" si="8"/>
        <v>407</v>
      </c>
      <c r="U26" s="12">
        <f t="shared" si="8"/>
        <v>2704</v>
      </c>
      <c r="V26" s="12">
        <f t="shared" si="8"/>
        <v>2479</v>
      </c>
      <c r="W26" s="12">
        <f t="shared" si="8"/>
        <v>2806</v>
      </c>
      <c r="X26" s="12">
        <f t="shared" si="8"/>
        <v>2908</v>
      </c>
      <c r="Y26" s="12">
        <f t="shared" si="8"/>
        <v>0</v>
      </c>
      <c r="Z26" s="12">
        <f t="shared" si="8"/>
        <v>0</v>
      </c>
      <c r="AA26" s="12">
        <f t="shared" si="8"/>
        <v>0</v>
      </c>
    </row>
    <row r="27" spans="1:27" x14ac:dyDescent="0.2">
      <c r="A27" s="18" t="s">
        <v>16</v>
      </c>
      <c r="B27" s="8">
        <v>571</v>
      </c>
      <c r="C27" s="8">
        <v>680</v>
      </c>
      <c r="D27" s="8">
        <v>664</v>
      </c>
      <c r="E27" s="12">
        <f>2374-SUM(B27:D27)</f>
        <v>459</v>
      </c>
      <c r="F27" s="8">
        <v>395</v>
      </c>
      <c r="G27" s="8">
        <v>604</v>
      </c>
      <c r="H27" s="8">
        <v>474</v>
      </c>
      <c r="I27" s="12">
        <f>2064-SUM(F27:H27)</f>
        <v>591</v>
      </c>
      <c r="J27" s="8">
        <v>558</v>
      </c>
      <c r="K27" s="8">
        <v>627</v>
      </c>
      <c r="L27" s="8">
        <v>632</v>
      </c>
      <c r="M27" s="12">
        <f>2436-SUM(J27:L27)</f>
        <v>619</v>
      </c>
      <c r="N27" s="8">
        <v>516</v>
      </c>
      <c r="O27" s="8">
        <v>759</v>
      </c>
      <c r="P27" s="8">
        <v>-582</v>
      </c>
      <c r="Q27" s="12">
        <f>1349-SUM(N27:P27)</f>
        <v>656</v>
      </c>
      <c r="R27" s="8">
        <v>714</v>
      </c>
      <c r="S27" s="8">
        <v>714</v>
      </c>
      <c r="T27" s="8">
        <v>183</v>
      </c>
      <c r="U27" s="12">
        <f>1625-SUM(R27:T27)</f>
        <v>14</v>
      </c>
      <c r="V27" s="8">
        <v>692</v>
      </c>
      <c r="W27" s="8">
        <v>689</v>
      </c>
      <c r="X27" s="8">
        <v>742</v>
      </c>
    </row>
    <row r="28" spans="1:27" s="7" customFormat="1" x14ac:dyDescent="0.2">
      <c r="A28" s="6" t="s">
        <v>78</v>
      </c>
      <c r="B28" s="7">
        <f t="shared" ref="B28:AA28" si="9">B26-B27</f>
        <v>1895</v>
      </c>
      <c r="C28" s="7">
        <f t="shared" si="9"/>
        <v>1877</v>
      </c>
      <c r="D28" s="7">
        <f t="shared" si="9"/>
        <v>1944</v>
      </c>
      <c r="E28" s="7">
        <f t="shared" si="9"/>
        <v>1251</v>
      </c>
      <c r="F28" s="7">
        <f t="shared" si="9"/>
        <v>1121</v>
      </c>
      <c r="G28" s="7">
        <f t="shared" si="9"/>
        <v>1997</v>
      </c>
      <c r="H28" s="7">
        <f t="shared" si="9"/>
        <v>-2602</v>
      </c>
      <c r="I28" s="7">
        <f t="shared" si="9"/>
        <v>-1814</v>
      </c>
      <c r="J28" s="7">
        <f t="shared" si="9"/>
        <v>1550</v>
      </c>
      <c r="K28" s="7">
        <f t="shared" si="9"/>
        <v>1938</v>
      </c>
      <c r="L28" s="7">
        <f t="shared" si="9"/>
        <v>-956</v>
      </c>
      <c r="M28" s="7">
        <f t="shared" si="9"/>
        <v>1922</v>
      </c>
      <c r="N28" s="7">
        <f t="shared" si="9"/>
        <v>1421</v>
      </c>
      <c r="O28" s="7">
        <f t="shared" si="9"/>
        <v>2150</v>
      </c>
      <c r="P28" s="7">
        <f t="shared" si="9"/>
        <v>-2720</v>
      </c>
      <c r="Q28" s="7">
        <f t="shared" si="9"/>
        <v>1624</v>
      </c>
      <c r="R28" s="7">
        <f t="shared" si="9"/>
        <v>1959</v>
      </c>
      <c r="S28" s="7">
        <f t="shared" si="9"/>
        <v>891</v>
      </c>
      <c r="T28" s="7">
        <f t="shared" si="9"/>
        <v>224</v>
      </c>
      <c r="U28" s="7">
        <f t="shared" si="9"/>
        <v>2690</v>
      </c>
      <c r="V28" s="7">
        <f t="shared" si="9"/>
        <v>1787</v>
      </c>
      <c r="W28" s="7">
        <f t="shared" si="9"/>
        <v>2117</v>
      </c>
      <c r="X28" s="7">
        <f t="shared" si="9"/>
        <v>2166</v>
      </c>
      <c r="Y28" s="7">
        <f t="shared" si="9"/>
        <v>0</v>
      </c>
      <c r="Z28" s="7">
        <f t="shared" si="9"/>
        <v>0</v>
      </c>
      <c r="AA28" s="7">
        <f t="shared" si="9"/>
        <v>0</v>
      </c>
    </row>
    <row r="30" spans="1:27" x14ac:dyDescent="0.2">
      <c r="A30" s="9" t="s">
        <v>11</v>
      </c>
    </row>
    <row r="31" spans="1:27" x14ac:dyDescent="0.2">
      <c r="A31" s="4" t="s">
        <v>12</v>
      </c>
    </row>
    <row r="32" spans="1:27" x14ac:dyDescent="0.2">
      <c r="A32" s="5" t="s">
        <v>13</v>
      </c>
      <c r="B32" s="8">
        <v>2191</v>
      </c>
      <c r="C32" s="8">
        <v>1430</v>
      </c>
      <c r="D32" s="8">
        <v>2393</v>
      </c>
      <c r="E32" s="8">
        <v>1333</v>
      </c>
      <c r="F32" s="8">
        <v>3352</v>
      </c>
      <c r="G32" s="8">
        <v>1796</v>
      </c>
      <c r="H32" s="8">
        <v>1604</v>
      </c>
      <c r="I32" s="8">
        <v>2117</v>
      </c>
      <c r="J32" s="8">
        <v>5616</v>
      </c>
      <c r="K32" s="8">
        <v>4826</v>
      </c>
      <c r="L32" s="8">
        <v>4123</v>
      </c>
      <c r="M32" s="8">
        <v>4945</v>
      </c>
      <c r="N32" s="8">
        <v>5792</v>
      </c>
      <c r="O32" s="8">
        <v>1877</v>
      </c>
      <c r="P32" s="8">
        <v>2957</v>
      </c>
      <c r="Q32" s="8">
        <v>4544</v>
      </c>
      <c r="R32" s="8">
        <v>5353</v>
      </c>
      <c r="S32" s="8">
        <v>2567</v>
      </c>
      <c r="T32" s="8">
        <v>2483</v>
      </c>
      <c r="U32" s="8">
        <v>4030</v>
      </c>
      <c r="V32" s="8">
        <v>3913</v>
      </c>
      <c r="W32" s="8">
        <v>874</v>
      </c>
      <c r="X32" s="8">
        <v>1537</v>
      </c>
    </row>
    <row r="33" spans="1:27" x14ac:dyDescent="0.2">
      <c r="A33" s="5" t="s">
        <v>14</v>
      </c>
      <c r="B33" s="8">
        <v>133</v>
      </c>
      <c r="C33" s="8">
        <v>144</v>
      </c>
      <c r="D33" s="8">
        <v>187</v>
      </c>
      <c r="E33" s="8">
        <v>142</v>
      </c>
      <c r="F33" s="8">
        <v>158</v>
      </c>
      <c r="G33" s="8">
        <v>163</v>
      </c>
      <c r="H33" s="8">
        <v>165</v>
      </c>
      <c r="I33" s="8">
        <v>152</v>
      </c>
      <c r="J33" s="8">
        <v>147</v>
      </c>
      <c r="K33" s="8">
        <v>140</v>
      </c>
      <c r="L33" s="8">
        <v>151</v>
      </c>
      <c r="M33" s="8">
        <v>137</v>
      </c>
      <c r="N33" s="8">
        <v>142</v>
      </c>
      <c r="O33" s="8">
        <v>132</v>
      </c>
      <c r="P33" s="8">
        <v>36</v>
      </c>
      <c r="Q33" s="8">
        <v>47</v>
      </c>
      <c r="R33" s="8">
        <v>46</v>
      </c>
      <c r="S33" s="8">
        <v>43</v>
      </c>
      <c r="T33" s="8">
        <v>52</v>
      </c>
      <c r="U33" s="8">
        <f>1721+48</f>
        <v>1769</v>
      </c>
      <c r="V33" s="8">
        <f>1746+58</f>
        <v>1804</v>
      </c>
      <c r="W33" s="8">
        <f>1772+63</f>
        <v>1835</v>
      </c>
      <c r="X33" s="8">
        <v>57</v>
      </c>
    </row>
    <row r="34" spans="1:27" x14ac:dyDescent="0.2">
      <c r="A34" s="5" t="s">
        <v>15</v>
      </c>
      <c r="B34" s="8">
        <v>2257</v>
      </c>
      <c r="C34" s="8">
        <v>2123</v>
      </c>
      <c r="D34" s="8">
        <v>2077</v>
      </c>
      <c r="E34" s="8">
        <v>2331</v>
      </c>
      <c r="F34" s="8">
        <v>2356</v>
      </c>
      <c r="G34" s="8">
        <v>2235</v>
      </c>
      <c r="H34" s="8">
        <v>2188</v>
      </c>
      <c r="I34" s="8">
        <v>2293</v>
      </c>
      <c r="J34" s="8">
        <v>2006</v>
      </c>
      <c r="K34" s="8">
        <v>1914</v>
      </c>
      <c r="L34" s="8">
        <v>1862</v>
      </c>
      <c r="M34" s="8">
        <v>1966</v>
      </c>
      <c r="N34" s="8">
        <v>1948</v>
      </c>
      <c r="O34" s="8">
        <v>1794</v>
      </c>
      <c r="P34" s="8">
        <v>1133</v>
      </c>
      <c r="Q34" s="8">
        <v>1194</v>
      </c>
      <c r="R34" s="8">
        <v>1214</v>
      </c>
      <c r="S34" s="8">
        <v>1144</v>
      </c>
      <c r="T34" s="8">
        <v>1106</v>
      </c>
      <c r="U34" s="8">
        <v>1180</v>
      </c>
      <c r="V34" s="8">
        <v>1252</v>
      </c>
      <c r="W34" s="8">
        <v>1191</v>
      </c>
      <c r="X34" s="8">
        <v>1174</v>
      </c>
    </row>
    <row r="35" spans="1:27" hidden="1" x14ac:dyDescent="0.2">
      <c r="A35" s="5" t="s">
        <v>16</v>
      </c>
      <c r="B35" s="8">
        <v>0</v>
      </c>
      <c r="C35" s="8">
        <v>182</v>
      </c>
      <c r="D35" s="8">
        <v>84</v>
      </c>
      <c r="E35" s="8">
        <v>167</v>
      </c>
      <c r="F35" s="8">
        <v>3</v>
      </c>
      <c r="G35" s="8">
        <v>79</v>
      </c>
      <c r="H35" s="8">
        <v>15</v>
      </c>
      <c r="I35" s="8">
        <v>116</v>
      </c>
      <c r="J35" s="8">
        <v>0</v>
      </c>
      <c r="K35" s="8">
        <v>0</v>
      </c>
      <c r="L35" s="8">
        <v>0</v>
      </c>
      <c r="M35" s="8">
        <v>0</v>
      </c>
      <c r="N35" s="8">
        <v>0</v>
      </c>
      <c r="O35" s="8">
        <v>0</v>
      </c>
      <c r="P35" s="8">
        <v>0</v>
      </c>
      <c r="Q35" s="8">
        <v>0</v>
      </c>
      <c r="R35" s="8">
        <v>0</v>
      </c>
      <c r="S35" s="8">
        <v>0</v>
      </c>
      <c r="T35" s="8">
        <v>0</v>
      </c>
      <c r="U35" s="8">
        <v>0</v>
      </c>
      <c r="V35" s="8">
        <v>0</v>
      </c>
      <c r="W35" s="8">
        <v>0</v>
      </c>
    </row>
    <row r="36" spans="1:27" x14ac:dyDescent="0.2">
      <c r="A36" s="5" t="s">
        <v>17</v>
      </c>
      <c r="B36" s="8">
        <v>243</v>
      </c>
      <c r="C36" s="8">
        <v>252</v>
      </c>
      <c r="D36" s="8">
        <v>424</v>
      </c>
      <c r="E36" s="8">
        <v>326</v>
      </c>
      <c r="F36" s="8">
        <v>393</v>
      </c>
      <c r="G36" s="8">
        <v>210</v>
      </c>
      <c r="H36" s="8">
        <v>319</v>
      </c>
      <c r="I36" s="8">
        <v>146</v>
      </c>
      <c r="J36" s="8">
        <v>166</v>
      </c>
      <c r="K36" s="8">
        <v>124</v>
      </c>
      <c r="L36" s="8">
        <v>263</v>
      </c>
      <c r="M36" s="8">
        <v>69</v>
      </c>
      <c r="N36" s="8">
        <v>147</v>
      </c>
      <c r="O36" s="8">
        <v>381</v>
      </c>
      <c r="P36" s="8">
        <f>1490+404</f>
        <v>1894</v>
      </c>
      <c r="Q36" s="8">
        <v>298</v>
      </c>
      <c r="R36" s="8">
        <v>149</v>
      </c>
      <c r="S36" s="8">
        <v>332</v>
      </c>
      <c r="T36" s="8">
        <v>379</v>
      </c>
      <c r="U36" s="8">
        <v>241</v>
      </c>
      <c r="V36" s="8">
        <v>183</v>
      </c>
      <c r="W36" s="8">
        <v>438</v>
      </c>
      <c r="X36" s="8">
        <v>622</v>
      </c>
    </row>
    <row r="37" spans="1:27" s="7" customFormat="1" x14ac:dyDescent="0.2">
      <c r="A37" s="11" t="s">
        <v>18</v>
      </c>
      <c r="B37" s="7">
        <f t="shared" ref="B37:AA37" si="10">SUM(B32:B36)</f>
        <v>4824</v>
      </c>
      <c r="C37" s="7">
        <f t="shared" si="10"/>
        <v>4131</v>
      </c>
      <c r="D37" s="7">
        <f t="shared" si="10"/>
        <v>5165</v>
      </c>
      <c r="E37" s="7">
        <f t="shared" si="10"/>
        <v>4299</v>
      </c>
      <c r="F37" s="7">
        <f t="shared" si="10"/>
        <v>6262</v>
      </c>
      <c r="G37" s="7">
        <f t="shared" si="10"/>
        <v>4483</v>
      </c>
      <c r="H37" s="7">
        <f t="shared" si="10"/>
        <v>4291</v>
      </c>
      <c r="I37" s="7">
        <f t="shared" si="10"/>
        <v>4824</v>
      </c>
      <c r="J37" s="7">
        <f t="shared" si="10"/>
        <v>7935</v>
      </c>
      <c r="K37" s="7">
        <f t="shared" si="10"/>
        <v>7004</v>
      </c>
      <c r="L37" s="7">
        <f t="shared" si="10"/>
        <v>6399</v>
      </c>
      <c r="M37" s="7">
        <f t="shared" si="10"/>
        <v>7117</v>
      </c>
      <c r="N37" s="7">
        <f t="shared" si="10"/>
        <v>8029</v>
      </c>
      <c r="O37" s="7">
        <f t="shared" si="10"/>
        <v>4184</v>
      </c>
      <c r="P37" s="7">
        <f t="shared" si="10"/>
        <v>6020</v>
      </c>
      <c r="Q37" s="7">
        <f t="shared" si="10"/>
        <v>6083</v>
      </c>
      <c r="R37" s="7">
        <f t="shared" si="10"/>
        <v>6762</v>
      </c>
      <c r="S37" s="7">
        <f t="shared" si="10"/>
        <v>4086</v>
      </c>
      <c r="T37" s="7">
        <f t="shared" si="10"/>
        <v>4020</v>
      </c>
      <c r="U37" s="7">
        <f t="shared" si="10"/>
        <v>7220</v>
      </c>
      <c r="V37" s="7">
        <f t="shared" si="10"/>
        <v>7152</v>
      </c>
      <c r="W37" s="7">
        <f t="shared" si="10"/>
        <v>4338</v>
      </c>
      <c r="X37" s="7">
        <f t="shared" si="10"/>
        <v>3390</v>
      </c>
      <c r="Y37" s="7">
        <f t="shared" si="10"/>
        <v>0</v>
      </c>
      <c r="Z37" s="7">
        <f t="shared" si="10"/>
        <v>0</v>
      </c>
      <c r="AA37" s="7">
        <f t="shared" si="10"/>
        <v>0</v>
      </c>
    </row>
    <row r="38" spans="1:27" x14ac:dyDescent="0.2">
      <c r="A38" s="18" t="s">
        <v>19</v>
      </c>
      <c r="B38" s="8">
        <v>1891</v>
      </c>
      <c r="C38" s="8">
        <v>1878</v>
      </c>
      <c r="D38" s="8">
        <v>1891</v>
      </c>
      <c r="E38" s="8">
        <v>1938</v>
      </c>
      <c r="F38" s="8">
        <v>1922</v>
      </c>
      <c r="G38" s="8">
        <v>1917</v>
      </c>
      <c r="H38" s="8">
        <v>1962</v>
      </c>
      <c r="I38" s="8">
        <v>1999</v>
      </c>
      <c r="J38" s="8">
        <v>1997</v>
      </c>
      <c r="K38" s="8">
        <v>2002</v>
      </c>
      <c r="L38" s="8">
        <v>2009</v>
      </c>
      <c r="M38" s="8">
        <v>2012</v>
      </c>
      <c r="N38" s="8">
        <v>1982</v>
      </c>
      <c r="O38" s="8">
        <v>1933</v>
      </c>
      <c r="P38" s="8">
        <v>1518</v>
      </c>
      <c r="Q38" s="8">
        <v>1553</v>
      </c>
      <c r="R38" s="8">
        <v>1547</v>
      </c>
      <c r="S38" s="8">
        <v>1557</v>
      </c>
      <c r="T38" s="8">
        <v>1587</v>
      </c>
      <c r="U38" s="8">
        <v>1608</v>
      </c>
      <c r="V38" s="8">
        <v>1593</v>
      </c>
      <c r="W38" s="8">
        <v>1626</v>
      </c>
      <c r="X38" s="8">
        <v>1629</v>
      </c>
    </row>
    <row r="39" spans="1:27" x14ac:dyDescent="0.2">
      <c r="A39" s="18" t="s">
        <v>20</v>
      </c>
      <c r="B39" s="8">
        <v>5307</v>
      </c>
      <c r="C39" s="8">
        <v>5307</v>
      </c>
      <c r="D39" s="8">
        <v>5307</v>
      </c>
      <c r="E39" s="8">
        <v>5196</v>
      </c>
      <c r="F39" s="8">
        <v>5196</v>
      </c>
      <c r="G39" s="8">
        <v>5196</v>
      </c>
      <c r="H39" s="8">
        <v>5262</v>
      </c>
      <c r="I39" s="8">
        <v>5177</v>
      </c>
      <c r="J39" s="8">
        <v>5177</v>
      </c>
      <c r="K39" s="8">
        <v>5177</v>
      </c>
      <c r="L39" s="8">
        <v>5177</v>
      </c>
      <c r="M39" s="8">
        <v>5177</v>
      </c>
      <c r="N39" s="8">
        <v>5177</v>
      </c>
      <c r="O39" s="8">
        <v>5177</v>
      </c>
      <c r="P39" s="8">
        <v>5177</v>
      </c>
      <c r="Q39" s="8">
        <v>5177</v>
      </c>
      <c r="R39" s="8">
        <v>5177</v>
      </c>
      <c r="S39" s="8">
        <v>5177</v>
      </c>
      <c r="T39" s="8">
        <v>5177</v>
      </c>
      <c r="U39" s="8">
        <v>5177</v>
      </c>
      <c r="V39" s="8">
        <v>5177</v>
      </c>
      <c r="W39" s="8">
        <v>6790</v>
      </c>
      <c r="X39" s="8">
        <v>6791</v>
      </c>
    </row>
    <row r="40" spans="1:27" x14ac:dyDescent="0.2">
      <c r="A40" s="18" t="s">
        <v>21</v>
      </c>
      <c r="B40" s="8">
        <v>12400</v>
      </c>
      <c r="C40" s="8">
        <v>12405</v>
      </c>
      <c r="D40" s="8">
        <v>12385</v>
      </c>
      <c r="E40" s="8">
        <v>12279</v>
      </c>
      <c r="F40" s="8">
        <v>12327</v>
      </c>
      <c r="G40" s="8">
        <v>12331</v>
      </c>
      <c r="H40" s="8">
        <v>12688</v>
      </c>
      <c r="I40" s="8">
        <v>12687</v>
      </c>
      <c r="J40" s="8">
        <v>12668</v>
      </c>
      <c r="K40" s="8">
        <v>12650</v>
      </c>
      <c r="L40" s="8">
        <v>12633</v>
      </c>
      <c r="M40" s="8">
        <v>12615</v>
      </c>
      <c r="N40" s="8">
        <v>12598</v>
      </c>
      <c r="O40" s="8">
        <v>12580</v>
      </c>
      <c r="P40" s="8">
        <v>12326</v>
      </c>
      <c r="Q40" s="8">
        <v>12306</v>
      </c>
      <c r="R40" s="8">
        <v>12289</v>
      </c>
      <c r="S40" s="8">
        <v>12372</v>
      </c>
      <c r="T40" s="8">
        <v>12353</v>
      </c>
      <c r="U40" s="8">
        <v>12384</v>
      </c>
      <c r="V40" s="8">
        <v>12366</v>
      </c>
      <c r="W40" s="8">
        <v>13749</v>
      </c>
      <c r="X40" s="8">
        <v>13727</v>
      </c>
    </row>
    <row r="41" spans="1:27" x14ac:dyDescent="0.2">
      <c r="A41" s="18" t="s">
        <v>48</v>
      </c>
      <c r="B41" s="8">
        <v>18199</v>
      </c>
      <c r="C41" s="8">
        <v>18178</v>
      </c>
      <c r="D41" s="8">
        <v>17825</v>
      </c>
      <c r="E41" s="8">
        <f>17696+12800</f>
        <v>30496</v>
      </c>
      <c r="F41" s="8">
        <v>32015</v>
      </c>
      <c r="G41" s="8">
        <v>32094</v>
      </c>
      <c r="H41" s="8">
        <v>27346</v>
      </c>
      <c r="I41" s="8">
        <v>23581</v>
      </c>
      <c r="J41" s="8">
        <v>23861</v>
      </c>
      <c r="K41" s="8">
        <v>22319</v>
      </c>
      <c r="L41" s="8">
        <v>19408</v>
      </c>
      <c r="M41" s="8">
        <v>19529</v>
      </c>
      <c r="N41" s="8">
        <v>20133</v>
      </c>
      <c r="O41" s="8">
        <v>19831</v>
      </c>
      <c r="P41" s="8">
        <v>13874</v>
      </c>
      <c r="Q41" s="8">
        <v>13481</v>
      </c>
      <c r="R41" s="8">
        <v>13479</v>
      </c>
      <c r="S41" s="8">
        <v>12590</v>
      </c>
      <c r="T41" s="8">
        <v>9814</v>
      </c>
      <c r="U41" s="8">
        <v>9600</v>
      </c>
      <c r="V41" s="8">
        <v>9559</v>
      </c>
      <c r="W41" s="8">
        <v>9643</v>
      </c>
      <c r="X41" s="8">
        <v>9907</v>
      </c>
    </row>
    <row r="42" spans="1:27" x14ac:dyDescent="0.2">
      <c r="A42" s="18" t="s">
        <v>17</v>
      </c>
      <c r="B42" s="8">
        <f>854+424</f>
        <v>1278</v>
      </c>
      <c r="C42" s="8">
        <f>856+422</f>
        <v>1278</v>
      </c>
      <c r="D42" s="8">
        <f>848+532</f>
        <v>1380</v>
      </c>
      <c r="E42" s="8">
        <v>1430</v>
      </c>
      <c r="F42" s="8">
        <v>1511</v>
      </c>
      <c r="G42" s="8">
        <v>1480</v>
      </c>
      <c r="H42" s="8">
        <v>1364</v>
      </c>
      <c r="I42" s="8">
        <v>1003</v>
      </c>
      <c r="J42" s="8">
        <v>980</v>
      </c>
      <c r="K42" s="8">
        <v>1048</v>
      </c>
      <c r="L42" s="8">
        <v>1025</v>
      </c>
      <c r="M42" s="8">
        <v>964</v>
      </c>
      <c r="N42" s="8">
        <v>857</v>
      </c>
      <c r="O42" s="8">
        <v>683</v>
      </c>
      <c r="P42" s="8">
        <v>649</v>
      </c>
      <c r="Q42" s="8">
        <v>923</v>
      </c>
      <c r="R42" s="8">
        <v>981</v>
      </c>
      <c r="S42" s="8">
        <v>964</v>
      </c>
      <c r="T42" s="8">
        <v>1002</v>
      </c>
      <c r="U42" s="8">
        <v>965</v>
      </c>
      <c r="V42" s="8">
        <v>979</v>
      </c>
      <c r="W42" s="8">
        <v>1005</v>
      </c>
      <c r="X42" s="8">
        <v>1025</v>
      </c>
    </row>
    <row r="43" spans="1:27" s="7" customFormat="1" x14ac:dyDescent="0.2">
      <c r="A43" s="11" t="s">
        <v>22</v>
      </c>
      <c r="B43" s="7">
        <f t="shared" ref="B43:AA43" si="11">SUM(B37:B42)</f>
        <v>43899</v>
      </c>
      <c r="C43" s="7">
        <f t="shared" si="11"/>
        <v>43177</v>
      </c>
      <c r="D43" s="7">
        <f t="shared" si="11"/>
        <v>43953</v>
      </c>
      <c r="E43" s="7">
        <f t="shared" si="11"/>
        <v>55638</v>
      </c>
      <c r="F43" s="7">
        <f t="shared" si="11"/>
        <v>59233</v>
      </c>
      <c r="G43" s="7">
        <f t="shared" si="11"/>
        <v>57501</v>
      </c>
      <c r="H43" s="7">
        <f t="shared" si="11"/>
        <v>52913</v>
      </c>
      <c r="I43" s="7">
        <f t="shared" si="11"/>
        <v>49271</v>
      </c>
      <c r="J43" s="7">
        <f t="shared" si="11"/>
        <v>52618</v>
      </c>
      <c r="K43" s="7">
        <f t="shared" si="11"/>
        <v>50200</v>
      </c>
      <c r="L43" s="7">
        <f t="shared" si="11"/>
        <v>46651</v>
      </c>
      <c r="M43" s="7">
        <f t="shared" si="11"/>
        <v>47414</v>
      </c>
      <c r="N43" s="7">
        <f t="shared" si="11"/>
        <v>48776</v>
      </c>
      <c r="O43" s="7">
        <f t="shared" si="11"/>
        <v>44388</v>
      </c>
      <c r="P43" s="7">
        <f t="shared" si="11"/>
        <v>39564</v>
      </c>
      <c r="Q43" s="7">
        <f t="shared" si="11"/>
        <v>39523</v>
      </c>
      <c r="R43" s="7">
        <f t="shared" si="11"/>
        <v>40235</v>
      </c>
      <c r="S43" s="7">
        <f t="shared" si="11"/>
        <v>36746</v>
      </c>
      <c r="T43" s="7">
        <f t="shared" si="11"/>
        <v>33953</v>
      </c>
      <c r="U43" s="7">
        <f t="shared" si="11"/>
        <v>36954</v>
      </c>
      <c r="V43" s="7">
        <f t="shared" si="11"/>
        <v>36826</v>
      </c>
      <c r="W43" s="7">
        <f t="shared" si="11"/>
        <v>37151</v>
      </c>
      <c r="X43" s="7">
        <f t="shared" si="11"/>
        <v>36469</v>
      </c>
      <c r="Y43" s="7">
        <f t="shared" si="11"/>
        <v>0</v>
      </c>
      <c r="Z43" s="7">
        <f t="shared" si="11"/>
        <v>0</v>
      </c>
      <c r="AA43" s="7">
        <f t="shared" si="11"/>
        <v>0</v>
      </c>
    </row>
    <row r="45" spans="1:27" x14ac:dyDescent="0.2">
      <c r="A45" s="9" t="s">
        <v>23</v>
      </c>
    </row>
    <row r="46" spans="1:27" x14ac:dyDescent="0.2">
      <c r="A46" s="4" t="s">
        <v>24</v>
      </c>
    </row>
    <row r="47" spans="1:27" x14ac:dyDescent="0.2">
      <c r="A47" s="5" t="s">
        <v>42</v>
      </c>
      <c r="B47" s="8">
        <v>0</v>
      </c>
      <c r="C47" s="8">
        <v>0</v>
      </c>
      <c r="D47" s="8">
        <v>0</v>
      </c>
      <c r="E47" s="8">
        <v>12704</v>
      </c>
      <c r="F47" s="8">
        <v>0</v>
      </c>
      <c r="G47" s="8">
        <v>0</v>
      </c>
      <c r="H47" s="8">
        <v>0</v>
      </c>
      <c r="I47" s="8">
        <v>0</v>
      </c>
      <c r="J47" s="8">
        <v>3000</v>
      </c>
      <c r="K47" s="8">
        <v>0</v>
      </c>
      <c r="L47" s="8">
        <v>0</v>
      </c>
      <c r="M47" s="8">
        <v>0</v>
      </c>
      <c r="N47" s="8">
        <v>0</v>
      </c>
      <c r="O47" s="8">
        <v>0</v>
      </c>
      <c r="P47" s="8">
        <v>0</v>
      </c>
      <c r="Q47" s="8">
        <v>0</v>
      </c>
      <c r="R47" s="8">
        <v>0</v>
      </c>
      <c r="S47" s="8">
        <v>0</v>
      </c>
      <c r="T47" s="8">
        <v>0</v>
      </c>
      <c r="U47" s="8">
        <v>0</v>
      </c>
      <c r="V47" s="8">
        <v>0</v>
      </c>
      <c r="W47" s="8">
        <v>2000</v>
      </c>
      <c r="X47" s="8">
        <v>0</v>
      </c>
    </row>
    <row r="48" spans="1:27" x14ac:dyDescent="0.2">
      <c r="A48" s="5" t="s">
        <v>25</v>
      </c>
      <c r="B48" s="8">
        <v>864</v>
      </c>
      <c r="C48" s="8">
        <v>864</v>
      </c>
      <c r="D48" s="8">
        <v>2007</v>
      </c>
      <c r="E48" s="8">
        <v>1144</v>
      </c>
      <c r="F48" s="8">
        <v>2144</v>
      </c>
      <c r="G48" s="8">
        <v>2144</v>
      </c>
      <c r="H48" s="8">
        <v>1000</v>
      </c>
      <c r="I48" s="8">
        <v>1000</v>
      </c>
      <c r="J48" s="8">
        <v>0</v>
      </c>
      <c r="K48" s="8">
        <v>1500</v>
      </c>
      <c r="L48" s="8">
        <v>1500</v>
      </c>
      <c r="M48" s="8">
        <v>1500</v>
      </c>
      <c r="N48" s="8">
        <v>1500</v>
      </c>
      <c r="O48" s="8">
        <v>0</v>
      </c>
      <c r="P48" s="8">
        <v>1105</v>
      </c>
      <c r="Q48" s="8">
        <v>1105</v>
      </c>
      <c r="R48" s="8">
        <v>2517</v>
      </c>
      <c r="S48" s="8">
        <v>2634</v>
      </c>
      <c r="T48" s="8">
        <v>1443</v>
      </c>
      <c r="U48" s="8">
        <v>1556</v>
      </c>
      <c r="V48" s="8">
        <v>1339</v>
      </c>
      <c r="W48" s="8">
        <v>1121</v>
      </c>
      <c r="X48" s="8">
        <v>1121</v>
      </c>
    </row>
    <row r="49" spans="1:27" x14ac:dyDescent="0.2">
      <c r="A49" s="5" t="s">
        <v>26</v>
      </c>
      <c r="B49" s="8">
        <v>203</v>
      </c>
      <c r="C49" s="8">
        <v>209</v>
      </c>
      <c r="D49" s="8">
        <v>289</v>
      </c>
      <c r="E49" s="8">
        <v>399</v>
      </c>
      <c r="F49" s="8">
        <v>205</v>
      </c>
      <c r="G49" s="8">
        <v>224</v>
      </c>
      <c r="H49" s="8">
        <v>246</v>
      </c>
      <c r="I49" s="8">
        <v>325</v>
      </c>
      <c r="J49" s="8">
        <v>278</v>
      </c>
      <c r="K49" s="8">
        <v>273</v>
      </c>
      <c r="L49" s="8">
        <v>348</v>
      </c>
      <c r="M49" s="8">
        <v>380</v>
      </c>
      <c r="N49" s="8">
        <v>271</v>
      </c>
      <c r="O49" s="8">
        <v>260</v>
      </c>
      <c r="P49" s="8">
        <v>266</v>
      </c>
      <c r="Q49" s="8">
        <v>449</v>
      </c>
      <c r="R49" s="8">
        <v>379</v>
      </c>
      <c r="S49" s="8">
        <v>396</v>
      </c>
      <c r="T49" s="8">
        <v>417</v>
      </c>
      <c r="U49" s="8">
        <v>552</v>
      </c>
      <c r="V49" s="8">
        <v>412</v>
      </c>
      <c r="W49" s="8">
        <v>454</v>
      </c>
      <c r="X49" s="8">
        <v>490</v>
      </c>
    </row>
    <row r="50" spans="1:27" x14ac:dyDescent="0.2">
      <c r="A50" s="5" t="s">
        <v>29</v>
      </c>
    </row>
    <row r="51" spans="1:27" x14ac:dyDescent="0.2">
      <c r="A51" s="10" t="s">
        <v>27</v>
      </c>
      <c r="B51" s="8">
        <v>707</v>
      </c>
      <c r="C51" s="8">
        <v>699</v>
      </c>
      <c r="D51" s="8">
        <v>690</v>
      </c>
      <c r="E51" s="8">
        <v>586</v>
      </c>
      <c r="F51" s="8">
        <v>490</v>
      </c>
      <c r="G51" s="8">
        <v>576</v>
      </c>
      <c r="H51" s="8">
        <v>554</v>
      </c>
      <c r="I51" s="8">
        <v>393</v>
      </c>
      <c r="J51" s="8">
        <v>467</v>
      </c>
      <c r="K51" s="8">
        <v>488</v>
      </c>
      <c r="L51" s="8">
        <v>521</v>
      </c>
      <c r="M51" s="8">
        <v>523</v>
      </c>
      <c r="N51" s="8">
        <v>546</v>
      </c>
      <c r="O51" s="8">
        <v>684</v>
      </c>
      <c r="P51" s="8">
        <v>680</v>
      </c>
      <c r="Q51" s="8">
        <v>664</v>
      </c>
      <c r="R51" s="8">
        <v>658</v>
      </c>
      <c r="S51" s="8">
        <v>708</v>
      </c>
      <c r="T51" s="8">
        <v>691</v>
      </c>
      <c r="U51" s="8">
        <v>599</v>
      </c>
      <c r="V51" s="8">
        <v>587</v>
      </c>
      <c r="W51" s="8">
        <v>691</v>
      </c>
      <c r="X51" s="8">
        <v>663</v>
      </c>
    </row>
    <row r="52" spans="1:27" x14ac:dyDescent="0.2">
      <c r="A52" s="10" t="s">
        <v>28</v>
      </c>
      <c r="B52" s="8">
        <v>3458</v>
      </c>
      <c r="C52" s="8">
        <v>2105</v>
      </c>
      <c r="D52" s="8">
        <v>3230</v>
      </c>
      <c r="E52" s="8">
        <v>3454</v>
      </c>
      <c r="F52" s="8">
        <v>4367</v>
      </c>
      <c r="G52" s="8">
        <v>2019</v>
      </c>
      <c r="H52" s="8">
        <v>3094</v>
      </c>
      <c r="I52" s="8">
        <v>3346</v>
      </c>
      <c r="J52" s="8">
        <v>4419</v>
      </c>
      <c r="K52" s="8">
        <v>2071</v>
      </c>
      <c r="L52" s="8">
        <v>3206</v>
      </c>
      <c r="M52" s="8">
        <v>3564</v>
      </c>
      <c r="N52" s="8">
        <v>4539</v>
      </c>
      <c r="O52" s="8">
        <v>1980</v>
      </c>
      <c r="P52" s="8">
        <v>2996</v>
      </c>
      <c r="Q52" s="8">
        <v>3349</v>
      </c>
      <c r="R52" s="8">
        <v>4229</v>
      </c>
      <c r="S52" s="8">
        <v>1749</v>
      </c>
      <c r="T52" s="8">
        <v>2731</v>
      </c>
      <c r="U52" s="8">
        <v>2925</v>
      </c>
      <c r="V52" s="8">
        <v>3820</v>
      </c>
      <c r="W52" s="8">
        <v>1562</v>
      </c>
      <c r="X52" s="8">
        <v>2388</v>
      </c>
    </row>
    <row r="53" spans="1:27" x14ac:dyDescent="0.2">
      <c r="A53" s="10" t="s">
        <v>17</v>
      </c>
      <c r="B53" s="8">
        <f>68+845</f>
        <v>913</v>
      </c>
      <c r="C53" s="8">
        <f>108+1078</f>
        <v>1186</v>
      </c>
      <c r="D53" s="8">
        <f>147+775</f>
        <v>922</v>
      </c>
      <c r="E53" s="8">
        <f>189+1214</f>
        <v>1403</v>
      </c>
      <c r="F53" s="8">
        <v>1412</v>
      </c>
      <c r="G53" s="8">
        <v>1491</v>
      </c>
      <c r="H53" s="8">
        <v>1195</v>
      </c>
      <c r="I53" s="8">
        <v>1545</v>
      </c>
      <c r="J53" s="8">
        <f>393+1032</f>
        <v>1425</v>
      </c>
      <c r="K53" s="8">
        <f>1112+1325+1066</f>
        <v>3503</v>
      </c>
      <c r="L53" s="8">
        <v>1113</v>
      </c>
      <c r="M53" s="8">
        <v>1494</v>
      </c>
      <c r="N53" s="8">
        <v>1550</v>
      </c>
      <c r="O53" s="8">
        <v>1266</v>
      </c>
      <c r="P53" s="8">
        <v>1109</v>
      </c>
      <c r="Q53" s="8">
        <v>1365</v>
      </c>
      <c r="R53" s="8">
        <v>1508</v>
      </c>
      <c r="S53" s="8">
        <v>1194</v>
      </c>
      <c r="T53" s="8">
        <v>1122</v>
      </c>
      <c r="U53" s="8">
        <v>1299</v>
      </c>
      <c r="V53" s="8">
        <v>1303</v>
      </c>
      <c r="W53" s="8">
        <v>1459</v>
      </c>
      <c r="X53" s="8">
        <v>1277</v>
      </c>
    </row>
    <row r="54" spans="1:27" x14ac:dyDescent="0.2">
      <c r="A54" s="5" t="s">
        <v>79</v>
      </c>
      <c r="B54" s="8">
        <v>0</v>
      </c>
      <c r="C54" s="8">
        <v>0</v>
      </c>
      <c r="D54" s="8">
        <v>0</v>
      </c>
      <c r="E54" s="8">
        <v>0</v>
      </c>
      <c r="F54" s="8">
        <v>0</v>
      </c>
      <c r="G54" s="8">
        <v>0</v>
      </c>
      <c r="H54" s="8">
        <v>0</v>
      </c>
      <c r="I54" s="8">
        <v>0</v>
      </c>
      <c r="J54" s="8">
        <v>0</v>
      </c>
      <c r="K54" s="8">
        <v>0</v>
      </c>
      <c r="L54" s="8">
        <v>0</v>
      </c>
      <c r="M54" s="8">
        <v>0</v>
      </c>
      <c r="N54" s="8">
        <v>0</v>
      </c>
      <c r="O54" s="8">
        <v>0</v>
      </c>
      <c r="P54" s="8">
        <v>0</v>
      </c>
      <c r="Q54" s="8">
        <v>0</v>
      </c>
      <c r="R54" s="8">
        <v>0</v>
      </c>
      <c r="S54" s="8">
        <v>0</v>
      </c>
      <c r="T54" s="8">
        <v>0</v>
      </c>
      <c r="U54" s="8">
        <v>0</v>
      </c>
      <c r="V54" s="8">
        <v>0</v>
      </c>
      <c r="W54" s="8">
        <v>2700</v>
      </c>
      <c r="X54" s="8">
        <v>2700</v>
      </c>
    </row>
    <row r="55" spans="1:27" x14ac:dyDescent="0.2">
      <c r="A55" s="5" t="s">
        <v>30</v>
      </c>
      <c r="B55" s="8">
        <v>1330</v>
      </c>
      <c r="C55" s="8">
        <v>1325</v>
      </c>
      <c r="D55" s="8">
        <v>1508</v>
      </c>
      <c r="E55" s="8">
        <v>1503</v>
      </c>
      <c r="F55" s="8">
        <v>1501</v>
      </c>
      <c r="G55" s="8">
        <v>1498</v>
      </c>
      <c r="H55" s="8">
        <v>1573</v>
      </c>
      <c r="I55" s="8">
        <v>1565</v>
      </c>
      <c r="J55" s="8">
        <v>1565</v>
      </c>
      <c r="K55" s="8">
        <v>1565</v>
      </c>
      <c r="L55" s="8">
        <v>1602</v>
      </c>
      <c r="M55" s="8">
        <v>1602</v>
      </c>
      <c r="N55" s="8">
        <v>1598</v>
      </c>
      <c r="O55" s="8">
        <v>1593</v>
      </c>
      <c r="P55" s="8">
        <f>295+1661</f>
        <v>1956</v>
      </c>
      <c r="Q55" s="8">
        <v>1647</v>
      </c>
      <c r="R55" s="8">
        <v>1637</v>
      </c>
      <c r="S55" s="8">
        <v>1630</v>
      </c>
      <c r="T55" s="8">
        <v>1693</v>
      </c>
      <c r="U55" s="8">
        <v>1685</v>
      </c>
      <c r="V55" s="8">
        <v>1685</v>
      </c>
      <c r="W55" s="8">
        <v>1677</v>
      </c>
      <c r="X55" s="8">
        <v>1742</v>
      </c>
    </row>
    <row r="56" spans="1:27" s="7" customFormat="1" x14ac:dyDescent="0.2">
      <c r="A56" s="11" t="s">
        <v>31</v>
      </c>
      <c r="B56" s="7">
        <f t="shared" ref="B56:AA56" si="12">SUM(B47:B55)</f>
        <v>7475</v>
      </c>
      <c r="C56" s="7">
        <f t="shared" si="12"/>
        <v>6388</v>
      </c>
      <c r="D56" s="7">
        <f t="shared" si="12"/>
        <v>8646</v>
      </c>
      <c r="E56" s="7">
        <f t="shared" si="12"/>
        <v>21193</v>
      </c>
      <c r="F56" s="7">
        <f t="shared" si="12"/>
        <v>10119</v>
      </c>
      <c r="G56" s="7">
        <f t="shared" si="12"/>
        <v>7952</v>
      </c>
      <c r="H56" s="7">
        <f t="shared" si="12"/>
        <v>7662</v>
      </c>
      <c r="I56" s="7">
        <f t="shared" si="12"/>
        <v>8174</v>
      </c>
      <c r="J56" s="7">
        <f t="shared" si="12"/>
        <v>11154</v>
      </c>
      <c r="K56" s="7">
        <f t="shared" si="12"/>
        <v>9400</v>
      </c>
      <c r="L56" s="7">
        <f t="shared" si="12"/>
        <v>8290</v>
      </c>
      <c r="M56" s="7">
        <f t="shared" si="12"/>
        <v>9063</v>
      </c>
      <c r="N56" s="7">
        <f t="shared" si="12"/>
        <v>10004</v>
      </c>
      <c r="O56" s="7">
        <f t="shared" si="12"/>
        <v>5783</v>
      </c>
      <c r="P56" s="7">
        <f t="shared" si="12"/>
        <v>8112</v>
      </c>
      <c r="Q56" s="7">
        <f t="shared" si="12"/>
        <v>8579</v>
      </c>
      <c r="R56" s="7">
        <f t="shared" si="12"/>
        <v>10928</v>
      </c>
      <c r="S56" s="7">
        <f t="shared" si="12"/>
        <v>8311</v>
      </c>
      <c r="T56" s="7">
        <f t="shared" si="12"/>
        <v>8097</v>
      </c>
      <c r="U56" s="7">
        <f t="shared" si="12"/>
        <v>8616</v>
      </c>
      <c r="V56" s="7">
        <f t="shared" si="12"/>
        <v>9146</v>
      </c>
      <c r="W56" s="7">
        <f t="shared" si="12"/>
        <v>11664</v>
      </c>
      <c r="X56" s="7">
        <f t="shared" si="12"/>
        <v>10381</v>
      </c>
      <c r="Y56" s="7">
        <f t="shared" si="12"/>
        <v>0</v>
      </c>
      <c r="Z56" s="7">
        <f t="shared" si="12"/>
        <v>0</v>
      </c>
      <c r="AA56" s="7">
        <f t="shared" si="12"/>
        <v>0</v>
      </c>
    </row>
    <row r="57" spans="1:27" x14ac:dyDescent="0.2">
      <c r="A57" s="18" t="s">
        <v>32</v>
      </c>
      <c r="B57" s="8">
        <v>13033</v>
      </c>
      <c r="C57" s="8">
        <v>13036</v>
      </c>
      <c r="D57" s="8">
        <v>11896</v>
      </c>
      <c r="E57" s="8">
        <v>11898</v>
      </c>
      <c r="F57" s="8">
        <v>27024</v>
      </c>
      <c r="G57" s="8">
        <v>27096</v>
      </c>
      <c r="H57" s="8">
        <v>26903</v>
      </c>
      <c r="I57" s="8">
        <v>27042</v>
      </c>
      <c r="J57" s="8">
        <v>26971</v>
      </c>
      <c r="K57" s="8">
        <v>27542</v>
      </c>
      <c r="L57" s="8">
        <v>27755</v>
      </c>
      <c r="M57" s="8">
        <v>27971</v>
      </c>
      <c r="N57" s="8">
        <v>28180</v>
      </c>
      <c r="O57" s="8">
        <v>28241</v>
      </c>
      <c r="P57" s="8">
        <v>27022</v>
      </c>
      <c r="Q57" s="8">
        <v>26939</v>
      </c>
      <c r="R57" s="8">
        <v>25405</v>
      </c>
      <c r="S57" s="8">
        <v>25046</v>
      </c>
      <c r="T57" s="8">
        <v>24848</v>
      </c>
      <c r="U57" s="8">
        <v>25124</v>
      </c>
      <c r="V57" s="8">
        <v>24048</v>
      </c>
      <c r="W57" s="8">
        <v>24074</v>
      </c>
      <c r="X57" s="8">
        <v>23977</v>
      </c>
    </row>
    <row r="58" spans="1:27" x14ac:dyDescent="0.2">
      <c r="A58" s="18" t="s">
        <v>33</v>
      </c>
      <c r="B58" s="8">
        <v>5292</v>
      </c>
      <c r="C58" s="8">
        <v>5376</v>
      </c>
      <c r="D58" s="8">
        <v>5427</v>
      </c>
      <c r="E58" s="8">
        <v>5172</v>
      </c>
      <c r="F58" s="8">
        <v>5353</v>
      </c>
      <c r="G58" s="8">
        <v>5378</v>
      </c>
      <c r="H58" s="8">
        <v>5240</v>
      </c>
      <c r="I58" s="8">
        <v>5083</v>
      </c>
      <c r="J58" s="8">
        <v>5191</v>
      </c>
      <c r="K58" s="8">
        <v>4847</v>
      </c>
      <c r="L58" s="8">
        <v>4724</v>
      </c>
      <c r="M58" s="8">
        <v>4532</v>
      </c>
      <c r="N58" s="8">
        <v>4727</v>
      </c>
      <c r="O58" s="8">
        <v>4779</v>
      </c>
      <c r="P58" s="8">
        <v>3557</v>
      </c>
      <c r="Q58" s="8">
        <v>3692</v>
      </c>
      <c r="R58" s="8">
        <v>3766</v>
      </c>
      <c r="S58" s="8">
        <v>3898</v>
      </c>
      <c r="T58" s="8">
        <v>3330</v>
      </c>
      <c r="U58" s="8">
        <v>2897</v>
      </c>
      <c r="V58" s="8">
        <v>2735</v>
      </c>
      <c r="W58" s="8">
        <v>2646</v>
      </c>
      <c r="X58" s="8">
        <v>2527</v>
      </c>
    </row>
    <row r="59" spans="1:27" x14ac:dyDescent="0.2">
      <c r="A59" s="18" t="s">
        <v>34</v>
      </c>
      <c r="B59" s="8">
        <v>382</v>
      </c>
      <c r="C59" s="8">
        <v>323</v>
      </c>
      <c r="D59" s="8">
        <v>260</v>
      </c>
      <c r="E59" s="8">
        <v>544</v>
      </c>
      <c r="F59" s="8">
        <v>497</v>
      </c>
      <c r="G59" s="8">
        <v>439</v>
      </c>
      <c r="H59" s="8">
        <v>352</v>
      </c>
      <c r="I59" s="8">
        <v>473</v>
      </c>
      <c r="J59" s="8">
        <v>427</v>
      </c>
      <c r="K59" s="8">
        <v>377</v>
      </c>
      <c r="L59" s="8">
        <v>404</v>
      </c>
      <c r="M59" s="8">
        <v>551</v>
      </c>
      <c r="N59" s="8">
        <v>481</v>
      </c>
      <c r="O59" s="8">
        <v>413</v>
      </c>
      <c r="P59" s="8">
        <v>280</v>
      </c>
      <c r="Q59" s="8">
        <v>200</v>
      </c>
      <c r="R59" s="8">
        <v>199</v>
      </c>
      <c r="S59" s="8">
        <v>197</v>
      </c>
      <c r="T59" s="8">
        <v>196</v>
      </c>
      <c r="U59" s="8">
        <v>133</v>
      </c>
      <c r="V59" s="8">
        <v>128</v>
      </c>
      <c r="W59" s="8">
        <v>128</v>
      </c>
      <c r="X59" s="8">
        <v>127</v>
      </c>
    </row>
    <row r="60" spans="1:27" x14ac:dyDescent="0.2">
      <c r="A60" s="18" t="s">
        <v>35</v>
      </c>
      <c r="B60" s="8">
        <v>1987</v>
      </c>
      <c r="C60" s="8">
        <v>1989</v>
      </c>
      <c r="D60" s="8">
        <v>1983</v>
      </c>
      <c r="E60" s="8">
        <v>1749</v>
      </c>
      <c r="F60" s="8">
        <v>1764</v>
      </c>
      <c r="G60" s="8">
        <v>1768</v>
      </c>
      <c r="H60" s="8">
        <v>1764</v>
      </c>
      <c r="I60" s="8">
        <v>1797</v>
      </c>
      <c r="J60" s="8">
        <v>1798</v>
      </c>
      <c r="K60" s="8">
        <v>1800</v>
      </c>
      <c r="L60" s="8">
        <v>1798</v>
      </c>
      <c r="M60" s="8">
        <v>1951</v>
      </c>
      <c r="N60" s="8">
        <v>1952</v>
      </c>
      <c r="O60" s="8">
        <v>1515</v>
      </c>
      <c r="P60" s="8">
        <v>1512</v>
      </c>
      <c r="Q60" s="8">
        <v>1436</v>
      </c>
      <c r="R60" s="8">
        <v>1438</v>
      </c>
      <c r="S60" s="8">
        <v>1437</v>
      </c>
      <c r="T60" s="8">
        <v>1436</v>
      </c>
      <c r="U60" s="8">
        <v>1083</v>
      </c>
      <c r="V60" s="8">
        <v>1086</v>
      </c>
      <c r="W60" s="8">
        <v>1092</v>
      </c>
      <c r="X60" s="8">
        <v>1096</v>
      </c>
    </row>
    <row r="61" spans="1:27" x14ac:dyDescent="0.2">
      <c r="A61" s="18" t="s">
        <v>17</v>
      </c>
      <c r="B61" s="8">
        <v>296</v>
      </c>
      <c r="C61" s="8">
        <v>230</v>
      </c>
      <c r="D61" s="8">
        <v>207</v>
      </c>
      <c r="E61" s="8">
        <v>254</v>
      </c>
      <c r="F61" s="8">
        <v>357</v>
      </c>
      <c r="G61" s="8">
        <v>364</v>
      </c>
      <c r="H61" s="8">
        <v>316</v>
      </c>
      <c r="I61" s="8">
        <v>345</v>
      </c>
      <c r="J61" s="8">
        <v>402</v>
      </c>
      <c r="K61" s="8">
        <v>410</v>
      </c>
      <c r="L61" s="8">
        <v>409</v>
      </c>
      <c r="M61" s="8">
        <v>381</v>
      </c>
      <c r="N61" s="8">
        <v>397</v>
      </c>
      <c r="O61" s="8">
        <v>357</v>
      </c>
      <c r="P61" s="8">
        <v>307</v>
      </c>
      <c r="Q61" s="8">
        <v>283</v>
      </c>
      <c r="R61" s="8">
        <v>259</v>
      </c>
      <c r="S61" s="8">
        <v>260</v>
      </c>
      <c r="T61" s="8">
        <v>278</v>
      </c>
      <c r="U61" s="8">
        <f>2700+324</f>
        <v>3024</v>
      </c>
      <c r="V61" s="8">
        <f>809+2700</f>
        <v>3509</v>
      </c>
      <c r="W61" s="8">
        <v>1324</v>
      </c>
      <c r="X61" s="8">
        <v>1718</v>
      </c>
    </row>
    <row r="62" spans="1:27" s="7" customFormat="1" x14ac:dyDescent="0.2">
      <c r="A62" s="11" t="s">
        <v>36</v>
      </c>
      <c r="B62" s="7">
        <f t="shared" ref="B62:S62" si="13">SUM(B56:B61)</f>
        <v>28465</v>
      </c>
      <c r="C62" s="7">
        <f t="shared" si="13"/>
        <v>27342</v>
      </c>
      <c r="D62" s="7">
        <f t="shared" si="13"/>
        <v>28419</v>
      </c>
      <c r="E62" s="7">
        <f t="shared" si="13"/>
        <v>40810</v>
      </c>
      <c r="F62" s="7">
        <f t="shared" si="13"/>
        <v>45114</v>
      </c>
      <c r="G62" s="7">
        <f t="shared" si="13"/>
        <v>42997</v>
      </c>
      <c r="H62" s="7">
        <f t="shared" si="13"/>
        <v>42237</v>
      </c>
      <c r="I62" s="7">
        <f t="shared" si="13"/>
        <v>42914</v>
      </c>
      <c r="J62" s="7">
        <f t="shared" si="13"/>
        <v>45943</v>
      </c>
      <c r="K62" s="7">
        <f t="shared" si="13"/>
        <v>44376</v>
      </c>
      <c r="L62" s="7">
        <f t="shared" si="13"/>
        <v>43380</v>
      </c>
      <c r="M62" s="7">
        <f t="shared" si="13"/>
        <v>44449</v>
      </c>
      <c r="N62" s="7">
        <f t="shared" si="13"/>
        <v>45741</v>
      </c>
      <c r="O62" s="7">
        <f t="shared" si="13"/>
        <v>41088</v>
      </c>
      <c r="P62" s="7">
        <f t="shared" si="13"/>
        <v>40790</v>
      </c>
      <c r="Q62" s="7">
        <f t="shared" si="13"/>
        <v>41129</v>
      </c>
      <c r="R62" s="7">
        <f t="shared" si="13"/>
        <v>41995</v>
      </c>
      <c r="S62" s="7">
        <f t="shared" si="13"/>
        <v>39149</v>
      </c>
      <c r="T62" s="7">
        <f>SUM(T56:T61)</f>
        <v>38185</v>
      </c>
      <c r="U62" s="7">
        <f>SUM(U56:U61)</f>
        <v>40877</v>
      </c>
      <c r="V62" s="7">
        <f>SUM(V56:V61)</f>
        <v>40652</v>
      </c>
      <c r="W62" s="7">
        <f t="shared" ref="W62:AA62" si="14">SUM(W56:W61)</f>
        <v>40928</v>
      </c>
      <c r="X62" s="7">
        <f t="shared" si="14"/>
        <v>39826</v>
      </c>
      <c r="Y62" s="7">
        <f t="shared" si="14"/>
        <v>0</v>
      </c>
      <c r="Z62" s="7">
        <f t="shared" si="14"/>
        <v>0</v>
      </c>
      <c r="AA62" s="7">
        <f t="shared" si="14"/>
        <v>0</v>
      </c>
    </row>
    <row r="64" spans="1:27" s="7" customFormat="1" x14ac:dyDescent="0.2">
      <c r="A64" s="9" t="s">
        <v>66</v>
      </c>
      <c r="B64" s="7">
        <f>B43-B62</f>
        <v>15434</v>
      </c>
      <c r="C64" s="7">
        <f t="shared" ref="C64:AA64" si="15">C43-C62</f>
        <v>15835</v>
      </c>
      <c r="D64" s="7">
        <f t="shared" si="15"/>
        <v>15534</v>
      </c>
      <c r="E64" s="7">
        <f t="shared" si="15"/>
        <v>14828</v>
      </c>
      <c r="F64" s="7">
        <f t="shared" si="15"/>
        <v>14119</v>
      </c>
      <c r="G64" s="7">
        <f t="shared" si="15"/>
        <v>14504</v>
      </c>
      <c r="H64" s="7">
        <f t="shared" si="15"/>
        <v>10676</v>
      </c>
      <c r="I64" s="7">
        <f t="shared" si="15"/>
        <v>6357</v>
      </c>
      <c r="J64" s="7">
        <f t="shared" si="15"/>
        <v>6675</v>
      </c>
      <c r="K64" s="7">
        <f t="shared" si="15"/>
        <v>5824</v>
      </c>
      <c r="L64" s="7">
        <f t="shared" si="15"/>
        <v>3271</v>
      </c>
      <c r="M64" s="7">
        <f t="shared" si="15"/>
        <v>2965</v>
      </c>
      <c r="N64" s="7">
        <f t="shared" si="15"/>
        <v>3035</v>
      </c>
      <c r="O64" s="7">
        <f t="shared" si="15"/>
        <v>3300</v>
      </c>
      <c r="P64" s="7">
        <f t="shared" si="15"/>
        <v>-1226</v>
      </c>
      <c r="Q64" s="7">
        <f t="shared" si="15"/>
        <v>-1606</v>
      </c>
      <c r="R64" s="7">
        <f t="shared" si="15"/>
        <v>-1760</v>
      </c>
      <c r="S64" s="7">
        <f t="shared" si="15"/>
        <v>-2403</v>
      </c>
      <c r="T64" s="7">
        <f t="shared" si="15"/>
        <v>-4232</v>
      </c>
      <c r="U64" s="7">
        <f t="shared" si="15"/>
        <v>-3923</v>
      </c>
      <c r="V64" s="7">
        <f t="shared" si="15"/>
        <v>-3826</v>
      </c>
      <c r="W64" s="7">
        <f t="shared" si="15"/>
        <v>-3777</v>
      </c>
      <c r="X64" s="7">
        <f t="shared" si="15"/>
        <v>-3357</v>
      </c>
      <c r="Y64" s="7">
        <f t="shared" si="15"/>
        <v>0</v>
      </c>
      <c r="Z64" s="7">
        <f t="shared" si="15"/>
        <v>0</v>
      </c>
      <c r="AA64" s="7">
        <f t="shared" si="15"/>
        <v>0</v>
      </c>
    </row>
    <row r="65" spans="1:27" x14ac:dyDescent="0.2">
      <c r="A65" t="s">
        <v>80</v>
      </c>
      <c r="B65" s="20">
        <f>B14/B11</f>
        <v>0.48068107400130977</v>
      </c>
      <c r="C65" s="20">
        <f t="shared" ref="C65:AA65" si="16">C14/C11</f>
        <v>0.49817605075337035</v>
      </c>
      <c r="D65" s="20">
        <f t="shared" si="16"/>
        <v>0.47608600263273365</v>
      </c>
      <c r="E65" s="20">
        <f t="shared" si="16"/>
        <v>0.47791952894995093</v>
      </c>
      <c r="F65" s="20">
        <f t="shared" si="16"/>
        <v>0.49946695095948829</v>
      </c>
      <c r="G65" s="20">
        <f t="shared" si="16"/>
        <v>0.50143526212418799</v>
      </c>
      <c r="H65" s="20">
        <f t="shared" si="16"/>
        <v>0.51006417736289378</v>
      </c>
      <c r="I65" s="20">
        <f t="shared" si="16"/>
        <v>0.51340103212918264</v>
      </c>
      <c r="J65" s="20">
        <f t="shared" si="16"/>
        <v>0.4518005975782356</v>
      </c>
      <c r="K65" s="20">
        <f t="shared" si="16"/>
        <v>0.51625569341919275</v>
      </c>
      <c r="L65" s="20">
        <f t="shared" si="16"/>
        <v>0.52183068931629928</v>
      </c>
      <c r="M65" s="20">
        <f t="shared" si="16"/>
        <v>0.49904822335025378</v>
      </c>
      <c r="N65" s="20">
        <f t="shared" si="16"/>
        <v>0.54208084824387015</v>
      </c>
      <c r="O65" s="20">
        <f t="shared" si="16"/>
        <v>0.53806228373702425</v>
      </c>
      <c r="P65" s="20">
        <f t="shared" si="16"/>
        <v>0.54126142057176541</v>
      </c>
      <c r="Q65" s="20">
        <f t="shared" si="16"/>
        <v>0.52997601918465231</v>
      </c>
      <c r="R65" s="20">
        <f t="shared" si="16"/>
        <v>0.57247114731839788</v>
      </c>
      <c r="S65" s="20">
        <f t="shared" si="16"/>
        <v>0.56029344337459885</v>
      </c>
      <c r="T65" s="20">
        <f t="shared" si="16"/>
        <v>0.56442748091603057</v>
      </c>
      <c r="U65" s="20">
        <f t="shared" si="16"/>
        <v>0.57437407952871866</v>
      </c>
      <c r="V65" s="20">
        <f t="shared" si="16"/>
        <v>0.58209477181325409</v>
      </c>
      <c r="W65" s="20">
        <f t="shared" si="16"/>
        <v>0.57728948985863549</v>
      </c>
      <c r="X65" s="20">
        <f t="shared" si="16"/>
        <v>0.58891896194873428</v>
      </c>
      <c r="Y65" s="20" t="e">
        <f t="shared" si="16"/>
        <v>#DIV/0!</v>
      </c>
      <c r="Z65" s="20" t="e">
        <f t="shared" si="16"/>
        <v>#DIV/0!</v>
      </c>
      <c r="AA65" s="20" t="e">
        <f t="shared" si="16"/>
        <v>#DIV/0!</v>
      </c>
    </row>
    <row r="66" spans="1:27" x14ac:dyDescent="0.2">
      <c r="A66" t="s">
        <v>81</v>
      </c>
      <c r="B66" s="20">
        <f>B28/B11</f>
        <v>0.31024885396201701</v>
      </c>
      <c r="C66" s="20">
        <f t="shared" ref="C66:AA66" si="17">C28/C11</f>
        <v>0.29770023790642347</v>
      </c>
      <c r="D66" s="20">
        <f t="shared" si="17"/>
        <v>0.28433523475208422</v>
      </c>
      <c r="E66" s="20">
        <f t="shared" si="17"/>
        <v>0.20461236506378802</v>
      </c>
      <c r="F66" s="20">
        <f t="shared" si="17"/>
        <v>0.19918265813788202</v>
      </c>
      <c r="G66" s="20">
        <f t="shared" si="17"/>
        <v>0.30170720652666566</v>
      </c>
      <c r="H66" s="20">
        <f t="shared" si="17"/>
        <v>-0.37952158693115517</v>
      </c>
      <c r="I66" s="20">
        <f t="shared" si="17"/>
        <v>-0.30198102214083566</v>
      </c>
      <c r="J66" s="20">
        <f t="shared" si="17"/>
        <v>0.24374901714105993</v>
      </c>
      <c r="K66" s="20">
        <f t="shared" si="17"/>
        <v>0.30438196953039109</v>
      </c>
      <c r="L66" s="20">
        <f t="shared" si="17"/>
        <v>-0.13421311245261827</v>
      </c>
      <c r="M66" s="20">
        <f t="shared" si="17"/>
        <v>0.30488578680203043</v>
      </c>
      <c r="N66" s="20">
        <f t="shared" si="17"/>
        <v>0.23542080848243871</v>
      </c>
      <c r="O66" s="20">
        <f t="shared" si="17"/>
        <v>0.3099769319492503</v>
      </c>
      <c r="P66" s="20">
        <f t="shared" si="17"/>
        <v>-0.40082522841143531</v>
      </c>
      <c r="Q66" s="20">
        <f t="shared" si="17"/>
        <v>0.25963229416466826</v>
      </c>
      <c r="R66" s="20">
        <f t="shared" si="17"/>
        <v>0.33248472505091647</v>
      </c>
      <c r="S66" s="20">
        <f t="shared" si="17"/>
        <v>0.13617606602475929</v>
      </c>
      <c r="T66" s="20">
        <f t="shared" si="17"/>
        <v>3.419847328244275E-2</v>
      </c>
      <c r="U66" s="20">
        <f t="shared" si="17"/>
        <v>0.44018982163312059</v>
      </c>
      <c r="V66" s="20">
        <f t="shared" si="17"/>
        <v>0.31246721454799792</v>
      </c>
      <c r="W66" s="20">
        <f t="shared" si="17"/>
        <v>0.32529194837123543</v>
      </c>
      <c r="X66" s="20">
        <f t="shared" si="17"/>
        <v>0.34484954625059705</v>
      </c>
      <c r="Y66" s="20" t="e">
        <f t="shared" si="17"/>
        <v>#DIV/0!</v>
      </c>
      <c r="Z66" s="20" t="e">
        <f t="shared" si="17"/>
        <v>#DIV/0!</v>
      </c>
      <c r="AA66" s="20" t="e">
        <f t="shared" si="17"/>
        <v>#DIV/0!</v>
      </c>
    </row>
    <row r="67" spans="1:27" x14ac:dyDescent="0.2">
      <c r="A67" t="s">
        <v>82</v>
      </c>
      <c r="B67" s="20">
        <f>B28/B64</f>
        <v>0.12278087339639757</v>
      </c>
      <c r="C67" s="20">
        <f t="shared" ref="C67:AA67" si="18">C28/C64</f>
        <v>0.11853489106409852</v>
      </c>
      <c r="D67" s="20">
        <f t="shared" si="18"/>
        <v>0.12514484356894554</v>
      </c>
      <c r="E67" s="20">
        <f t="shared" si="18"/>
        <v>8.4367413002427838E-2</v>
      </c>
      <c r="F67" s="20">
        <f t="shared" si="18"/>
        <v>7.9396557829874634E-2</v>
      </c>
      <c r="G67" s="20">
        <f t="shared" si="18"/>
        <v>0.13768615554329841</v>
      </c>
      <c r="H67" s="20">
        <f t="shared" si="18"/>
        <v>-0.24372424128887224</v>
      </c>
      <c r="I67" s="20">
        <f t="shared" si="18"/>
        <v>-0.28535472707251847</v>
      </c>
      <c r="J67" s="20">
        <f t="shared" si="18"/>
        <v>0.23220973782771537</v>
      </c>
      <c r="K67" s="20">
        <f t="shared" si="18"/>
        <v>0.33276098901098899</v>
      </c>
      <c r="L67" s="20">
        <f t="shared" si="18"/>
        <v>-0.29226536227453376</v>
      </c>
      <c r="M67" s="20">
        <f t="shared" si="18"/>
        <v>0.64822934232715013</v>
      </c>
      <c r="N67" s="20">
        <f t="shared" si="18"/>
        <v>0.46820428336079079</v>
      </c>
      <c r="O67" s="20">
        <f t="shared" si="18"/>
        <v>0.65151515151515149</v>
      </c>
      <c r="P67" s="20">
        <f t="shared" si="18"/>
        <v>2.2185970636215333</v>
      </c>
      <c r="Q67" s="20">
        <f t="shared" si="18"/>
        <v>-1.0112079701120797</v>
      </c>
      <c r="R67" s="20">
        <f t="shared" si="18"/>
        <v>-1.1130681818181818</v>
      </c>
      <c r="S67" s="20">
        <f t="shared" si="18"/>
        <v>-0.3707865168539326</v>
      </c>
      <c r="T67" s="20">
        <f t="shared" si="18"/>
        <v>-5.2930056710775046E-2</v>
      </c>
      <c r="U67" s="20">
        <f t="shared" si="18"/>
        <v>-0.6856997196023451</v>
      </c>
      <c r="V67" s="20">
        <f t="shared" si="18"/>
        <v>-0.46706743335075795</v>
      </c>
      <c r="W67" s="20">
        <f t="shared" si="18"/>
        <v>-0.56049774953666931</v>
      </c>
      <c r="X67" s="20">
        <f t="shared" si="18"/>
        <v>-0.64521894548704195</v>
      </c>
      <c r="Y67" s="20" t="e">
        <f t="shared" si="18"/>
        <v>#DIV/0!</v>
      </c>
      <c r="Z67" s="20" t="e">
        <f t="shared" si="18"/>
        <v>#DIV/0!</v>
      </c>
      <c r="AA67" s="20" t="e">
        <f t="shared" si="18"/>
        <v>#DIV/0!</v>
      </c>
    </row>
    <row r="68" spans="1:27" x14ac:dyDescent="0.2">
      <c r="A68" t="s">
        <v>83</v>
      </c>
      <c r="B68" s="21">
        <f>B37/B56</f>
        <v>0.64535117056856184</v>
      </c>
      <c r="C68" s="21">
        <f t="shared" ref="C68:AA68" si="19">C37/C56</f>
        <v>0.64668127739511583</v>
      </c>
      <c r="D68" s="21">
        <f t="shared" si="19"/>
        <v>0.59738607448531111</v>
      </c>
      <c r="E68" s="21">
        <f t="shared" si="19"/>
        <v>0.20284999764073042</v>
      </c>
      <c r="F68" s="21">
        <f t="shared" si="19"/>
        <v>0.6188358533451922</v>
      </c>
      <c r="G68" s="21">
        <f t="shared" si="19"/>
        <v>0.5637575452716298</v>
      </c>
      <c r="H68" s="21">
        <f t="shared" si="19"/>
        <v>0.56003654398329417</v>
      </c>
      <c r="I68" s="21">
        <f t="shared" si="19"/>
        <v>0.5901639344262295</v>
      </c>
      <c r="J68" s="21">
        <f t="shared" si="19"/>
        <v>0.71140398063474986</v>
      </c>
      <c r="K68" s="21">
        <f t="shared" si="19"/>
        <v>0.74510638297872345</v>
      </c>
      <c r="L68" s="21">
        <f t="shared" si="19"/>
        <v>0.77189384800965022</v>
      </c>
      <c r="M68" s="21">
        <f t="shared" si="19"/>
        <v>0.78528081209312595</v>
      </c>
      <c r="N68" s="21">
        <f t="shared" si="19"/>
        <v>0.80257896841263499</v>
      </c>
      <c r="O68" s="21">
        <f t="shared" si="19"/>
        <v>0.72349991353968524</v>
      </c>
      <c r="P68" s="21">
        <f t="shared" si="19"/>
        <v>0.74211045364891515</v>
      </c>
      <c r="Q68" s="21">
        <f t="shared" si="19"/>
        <v>0.70905699965030888</v>
      </c>
      <c r="R68" s="21">
        <f t="shared" si="19"/>
        <v>0.61877745241581261</v>
      </c>
      <c r="S68" s="21">
        <f t="shared" si="19"/>
        <v>0.49163758873781738</v>
      </c>
      <c r="T68" s="21">
        <f t="shared" si="19"/>
        <v>0.49648017784364579</v>
      </c>
      <c r="U68" s="21">
        <f t="shared" si="19"/>
        <v>0.83797585886722381</v>
      </c>
      <c r="V68" s="21">
        <f t="shared" si="19"/>
        <v>0.78198119396457466</v>
      </c>
      <c r="W68" s="21">
        <f t="shared" si="19"/>
        <v>0.37191358024691357</v>
      </c>
      <c r="X68" s="21">
        <f t="shared" si="19"/>
        <v>0.32655813505442638</v>
      </c>
      <c r="Y68" s="21" t="e">
        <f t="shared" si="19"/>
        <v>#DIV/0!</v>
      </c>
      <c r="Z68" s="21" t="e">
        <f t="shared" si="19"/>
        <v>#DIV/0!</v>
      </c>
      <c r="AA68" s="21" t="e">
        <f t="shared" si="19"/>
        <v>#DIV/0!</v>
      </c>
    </row>
    <row r="69" spans="1:27" x14ac:dyDescent="0.2">
      <c r="D69" s="13"/>
    </row>
    <row r="70" spans="1:27" x14ac:dyDescent="0.2">
      <c r="D70" s="13"/>
    </row>
    <row r="71" spans="1:27" x14ac:dyDescent="0.2">
      <c r="D71" s="13"/>
    </row>
    <row r="72" spans="1:27" x14ac:dyDescent="0.2">
      <c r="D72" s="13"/>
    </row>
    <row r="73" spans="1:27" x14ac:dyDescent="0.2">
      <c r="D73" s="13"/>
    </row>
    <row r="74" spans="1:27" x14ac:dyDescent="0.2">
      <c r="D74" s="13"/>
    </row>
    <row r="75" spans="1:27" x14ac:dyDescent="0.2">
      <c r="D75" s="13"/>
    </row>
    <row r="76" spans="1:27" x14ac:dyDescent="0.2">
      <c r="D76" s="13"/>
    </row>
    <row r="77" spans="1:27" x14ac:dyDescent="0.2">
      <c r="D77" s="13"/>
    </row>
    <row r="78" spans="1:27" x14ac:dyDescent="0.2">
      <c r="D78" s="13"/>
    </row>
    <row r="79" spans="1:27" x14ac:dyDescent="0.2">
      <c r="D79" s="13"/>
    </row>
    <row r="80" spans="1:27" x14ac:dyDescent="0.2">
      <c r="D80" s="13"/>
    </row>
    <row r="81" spans="4:4" x14ac:dyDescent="0.2">
      <c r="D81" s="13"/>
    </row>
    <row r="82" spans="4:4" x14ac:dyDescent="0.2">
      <c r="D82" s="13"/>
    </row>
    <row r="83" spans="4:4" x14ac:dyDescent="0.2">
      <c r="D83" s="13"/>
    </row>
    <row r="84" spans="4:4" x14ac:dyDescent="0.2">
      <c r="D84" s="13"/>
    </row>
    <row r="85" spans="4:4" x14ac:dyDescent="0.2">
      <c r="D85" s="13"/>
    </row>
    <row r="86" spans="4:4" x14ac:dyDescent="0.2">
      <c r="D86" s="13"/>
    </row>
  </sheetData>
  <pageMargins left="0.7" right="0.7" top="0.75" bottom="0.75" header="0.3" footer="0.3"/>
  <pageSetup orientation="portrait" r:id="rId1"/>
  <ignoredErrors>
    <ignoredError sqref="I23:I24" formulaRange="1"/>
    <ignoredError sqref="Q24 U24 U22"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9510FB-1292-40C8-8AA2-7157C4155AAC}">
  <ds:schemaRefs>
    <ds:schemaRef ds:uri="http://schemas.microsoft.com/sharepoint/v3/contenttype/forms"/>
  </ds:schemaRefs>
</ds:datastoreItem>
</file>

<file path=customXml/itemProps2.xml><?xml version="1.0" encoding="utf-8"?>
<ds:datastoreItem xmlns:ds="http://schemas.openxmlformats.org/officeDocument/2006/customXml" ds:itemID="{E6543ABE-2898-4906-A3E0-2136A9260992}">
  <ds:schemaRefs>
    <ds:schemaRef ds:uri="http://purl.org/dc/terms/"/>
    <ds:schemaRef ds:uri="http://schemas.microsoft.com/office/infopath/2007/PartnerControls"/>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36567613-e428-4167-ab55-a4f66cede826"/>
    <ds:schemaRef ds:uri="http://www.w3.org/XML/1998/namespace"/>
    <ds:schemaRef ds:uri="http://purl.org/dc/dcmitype/"/>
  </ds:schemaRefs>
</ds:datastoreItem>
</file>

<file path=customXml/itemProps3.xml><?xml version="1.0" encoding="utf-8"?>
<ds:datastoreItem xmlns:ds="http://schemas.openxmlformats.org/officeDocument/2006/customXml" ds:itemID="{8A5A71A6-E8AF-4E94-8AF0-E3DE9B2F87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2023-02-15T00:54:29Z</dcterms:created>
  <dcterms:modified xsi:type="dcterms:W3CDTF">2024-02-03T20:16:56Z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