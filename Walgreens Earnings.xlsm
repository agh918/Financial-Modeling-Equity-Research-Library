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1340" documentId="8_{B5C8B0F2-588B-48B9-89A9-C5309DE0971B}" xr6:coauthVersionLast="47" xr6:coauthVersionMax="47" xr10:uidLastSave="{C382B11F-1A97-4DA1-99A1-2EAAE8A98534}"/>
  <bookViews>
    <workbookView xWindow="780" yWindow="780" windowWidth="13545" windowHeight="11835"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61" i="1" l="1"/>
  <c r="AE68" i="1"/>
  <c r="AE67" i="1"/>
  <c r="AE66" i="1"/>
  <c r="AE65" i="1"/>
  <c r="AE64" i="1"/>
  <c r="AE63" i="1"/>
  <c r="AE62" i="1"/>
  <c r="AE61" i="1"/>
  <c r="AE60" i="1"/>
  <c r="AE58" i="1"/>
  <c r="AE57" i="1"/>
  <c r="AE56" i="1"/>
  <c r="AE55" i="1"/>
  <c r="AE54" i="1"/>
  <c r="AE53" i="1"/>
  <c r="AE52" i="1"/>
  <c r="AE51" i="1"/>
  <c r="AE50" i="1"/>
  <c r="AE49" i="1"/>
  <c r="AE48" i="1"/>
  <c r="AE47" i="1"/>
  <c r="AE46" i="1"/>
  <c r="AE42" i="1"/>
  <c r="AE41" i="1"/>
  <c r="AE40" i="1"/>
  <c r="AE39" i="1"/>
  <c r="AE38" i="1"/>
  <c r="AE37" i="1"/>
  <c r="AE36" i="1"/>
  <c r="AE35" i="1"/>
  <c r="AE34" i="1"/>
  <c r="AE33" i="1"/>
  <c r="AE32" i="1"/>
  <c r="AE31" i="1"/>
  <c r="AE30" i="1"/>
  <c r="AE29" i="1"/>
  <c r="AE28" i="1"/>
  <c r="AE24" i="1"/>
  <c r="AE23" i="1"/>
  <c r="AE22" i="1"/>
  <c r="AE21" i="1"/>
  <c r="AE20" i="1"/>
  <c r="AE19" i="1"/>
  <c r="AE18" i="1"/>
  <c r="AE16" i="1"/>
  <c r="AE15" i="1"/>
  <c r="AE13" i="1"/>
  <c r="AE12" i="1"/>
  <c r="AE11" i="1"/>
  <c r="AE9" i="1"/>
  <c r="AE8" i="1"/>
  <c r="AE7" i="1"/>
  <c r="AE6" i="1"/>
  <c r="AE5" i="1"/>
  <c r="AD57" i="1"/>
  <c r="AD56" i="1"/>
  <c r="AD55" i="1"/>
  <c r="AD54" i="1"/>
  <c r="AD53" i="1"/>
  <c r="AD51" i="1"/>
  <c r="AD50" i="1"/>
  <c r="AD49" i="1"/>
  <c r="AD48" i="1"/>
  <c r="AD47" i="1"/>
  <c r="AD46" i="1"/>
  <c r="AD41" i="1"/>
  <c r="AD40" i="1"/>
  <c r="AD39" i="1"/>
  <c r="AD38" i="1"/>
  <c r="AD37" i="1"/>
  <c r="AD36" i="1"/>
  <c r="AD35" i="1"/>
  <c r="AD33" i="1"/>
  <c r="AD32" i="1"/>
  <c r="AD31" i="1"/>
  <c r="AD30" i="1"/>
  <c r="AD29" i="1"/>
  <c r="AD28" i="1"/>
  <c r="AD6" i="1"/>
  <c r="AD5" i="1"/>
  <c r="AC23" i="1"/>
  <c r="AC22" i="1"/>
  <c r="AC20" i="1"/>
  <c r="AC19" i="1"/>
  <c r="AC16" i="1"/>
  <c r="AC15" i="1"/>
  <c r="AC12" i="1"/>
  <c r="AC67" i="1" s="1"/>
  <c r="AC68" i="1" s="1"/>
  <c r="AC11" i="1"/>
  <c r="V6" i="1"/>
  <c r="V28" i="1"/>
  <c r="V29" i="1"/>
  <c r="V30" i="1"/>
  <c r="V31" i="1"/>
  <c r="V32" i="1"/>
  <c r="V33" i="1"/>
  <c r="V35" i="1"/>
  <c r="V36" i="1"/>
  <c r="V37" i="1"/>
  <c r="V38" i="1"/>
  <c r="V39" i="1"/>
  <c r="V40" i="1"/>
  <c r="V41" i="1"/>
  <c r="V46" i="1"/>
  <c r="V47" i="1"/>
  <c r="V48" i="1"/>
  <c r="V49" i="1"/>
  <c r="V50" i="1"/>
  <c r="V51" i="1"/>
  <c r="V53" i="1"/>
  <c r="V54" i="1"/>
  <c r="V55" i="1"/>
  <c r="V56" i="1"/>
  <c r="V57" i="1"/>
  <c r="V5" i="1"/>
  <c r="X6" i="1"/>
  <c r="X11" i="1"/>
  <c r="X12" i="1"/>
  <c r="X15" i="1"/>
  <c r="X16" i="1"/>
  <c r="X19" i="1"/>
  <c r="X20" i="1"/>
  <c r="X22" i="1"/>
  <c r="X23" i="1"/>
  <c r="X28" i="1"/>
  <c r="X29" i="1"/>
  <c r="X30" i="1"/>
  <c r="X31" i="1"/>
  <c r="X32" i="1"/>
  <c r="X33" i="1"/>
  <c r="X35" i="1"/>
  <c r="X36" i="1"/>
  <c r="X37" i="1"/>
  <c r="X38" i="1"/>
  <c r="X39" i="1"/>
  <c r="X40" i="1"/>
  <c r="X41" i="1"/>
  <c r="X46" i="1"/>
  <c r="X47" i="1"/>
  <c r="X48" i="1"/>
  <c r="X49" i="1"/>
  <c r="X50" i="1"/>
  <c r="X51" i="1"/>
  <c r="X53" i="1"/>
  <c r="X54" i="1"/>
  <c r="X55" i="1"/>
  <c r="X56" i="1"/>
  <c r="X57" i="1"/>
  <c r="X5" i="1"/>
  <c r="Z6" i="1"/>
  <c r="Z11" i="1"/>
  <c r="Z12" i="1"/>
  <c r="Z15" i="1"/>
  <c r="Z16" i="1"/>
  <c r="Z19" i="1"/>
  <c r="Z20" i="1"/>
  <c r="Z22" i="1"/>
  <c r="Z23" i="1"/>
  <c r="Z28" i="1"/>
  <c r="Z29" i="1"/>
  <c r="Z30" i="1"/>
  <c r="Z31" i="1"/>
  <c r="Z32" i="1"/>
  <c r="Z33" i="1"/>
  <c r="Z35" i="1"/>
  <c r="Z36" i="1"/>
  <c r="Z37" i="1"/>
  <c r="Z38" i="1"/>
  <c r="Z39" i="1"/>
  <c r="Z40" i="1"/>
  <c r="Z41" i="1"/>
  <c r="Z46" i="1"/>
  <c r="Z47" i="1"/>
  <c r="Z48" i="1"/>
  <c r="Z49" i="1"/>
  <c r="Z50" i="1"/>
  <c r="Z51" i="1"/>
  <c r="Z53" i="1"/>
  <c r="Z54" i="1"/>
  <c r="Z55" i="1"/>
  <c r="Z56" i="1"/>
  <c r="Z57" i="1"/>
  <c r="Z5" i="1"/>
  <c r="T67" i="1"/>
  <c r="T68" i="1" s="1"/>
  <c r="S67" i="1"/>
  <c r="S68" i="1" s="1"/>
  <c r="R67" i="1"/>
  <c r="R68" i="1" s="1"/>
  <c r="P67" i="1"/>
  <c r="P68" i="1" s="1"/>
  <c r="O67" i="1"/>
  <c r="O68" i="1" s="1"/>
  <c r="N67" i="1"/>
  <c r="N68" i="1" s="1"/>
  <c r="L67" i="1"/>
  <c r="L68" i="1" s="1"/>
  <c r="K67" i="1"/>
  <c r="K68" i="1" s="1"/>
  <c r="J67" i="1"/>
  <c r="J68" i="1" s="1"/>
  <c r="H67" i="1"/>
  <c r="H68" i="1" s="1"/>
  <c r="G67" i="1"/>
  <c r="G68" i="1" s="1"/>
  <c r="F67" i="1"/>
  <c r="F68" i="1" s="1"/>
  <c r="D67" i="1"/>
  <c r="D68" i="1" s="1"/>
  <c r="C67" i="1"/>
  <c r="C68" i="1" s="1"/>
  <c r="W67" i="1"/>
  <c r="W68" i="1" s="1"/>
  <c r="Y67" i="1"/>
  <c r="AA67" i="1"/>
  <c r="AA68" i="1" s="1"/>
  <c r="AB68" i="1" s="1"/>
  <c r="AG65" i="1"/>
  <c r="AF65" i="1"/>
  <c r="AA65" i="1"/>
  <c r="Y65" i="1"/>
  <c r="W65" i="1"/>
  <c r="T65" i="1"/>
  <c r="S65" i="1"/>
  <c r="R65" i="1"/>
  <c r="P65" i="1"/>
  <c r="O65" i="1"/>
  <c r="N65" i="1"/>
  <c r="L65" i="1"/>
  <c r="K65" i="1"/>
  <c r="J65" i="1"/>
  <c r="H65" i="1"/>
  <c r="G65" i="1"/>
  <c r="F65" i="1"/>
  <c r="D65" i="1"/>
  <c r="C65" i="1"/>
  <c r="B65" i="1"/>
  <c r="AB65" i="1" l="1"/>
  <c r="AC65" i="1"/>
  <c r="X68" i="1"/>
  <c r="X65" i="1"/>
  <c r="Z67" i="1"/>
  <c r="X67" i="1"/>
  <c r="Z65" i="1"/>
  <c r="AB67" i="1"/>
  <c r="Y68" i="1"/>
  <c r="Z68" i="1" s="1"/>
  <c r="AB15" i="1" l="1"/>
  <c r="AB19" i="1"/>
  <c r="AB12" i="1"/>
  <c r="AB16" i="1"/>
  <c r="AB20" i="1"/>
  <c r="AB22" i="1"/>
  <c r="AB23" i="1"/>
  <c r="AB28" i="1"/>
  <c r="AB29" i="1"/>
  <c r="AB30" i="1"/>
  <c r="AB31" i="1"/>
  <c r="AB32" i="1"/>
  <c r="AB33" i="1"/>
  <c r="AB35" i="1"/>
  <c r="AB36" i="1"/>
  <c r="AB37" i="1"/>
  <c r="AB38" i="1"/>
  <c r="AB39" i="1"/>
  <c r="AB40" i="1"/>
  <c r="AB41" i="1"/>
  <c r="AB46" i="1"/>
  <c r="AB47" i="1"/>
  <c r="AB48" i="1"/>
  <c r="AB49" i="1"/>
  <c r="AB50" i="1"/>
  <c r="AB51" i="1"/>
  <c r="AB53" i="1"/>
  <c r="AB54" i="1"/>
  <c r="AB55" i="1"/>
  <c r="AB56" i="1"/>
  <c r="AB57" i="1"/>
  <c r="AB5" i="1"/>
  <c r="AB6" i="1"/>
  <c r="AB11" i="1"/>
  <c r="U23" i="1"/>
  <c r="U22" i="1"/>
  <c r="AD22" i="1" s="1"/>
  <c r="U20" i="1"/>
  <c r="AD20" i="1" s="1"/>
  <c r="U19" i="1"/>
  <c r="U16" i="1"/>
  <c r="AD16" i="1" s="1"/>
  <c r="U15" i="1"/>
  <c r="AD15" i="1" s="1"/>
  <c r="U12" i="1"/>
  <c r="AD12" i="1" s="1"/>
  <c r="U11" i="1"/>
  <c r="AD11" i="1" s="1"/>
  <c r="U8" i="1"/>
  <c r="W8" i="1"/>
  <c r="Y8" i="1"/>
  <c r="AA8" i="1"/>
  <c r="AC8" i="1"/>
  <c r="AF8" i="1"/>
  <c r="AG8" i="1"/>
  <c r="T8" i="1"/>
  <c r="Q34" i="1"/>
  <c r="Q23" i="1"/>
  <c r="Q22" i="1"/>
  <c r="Q20" i="1"/>
  <c r="Q19" i="1"/>
  <c r="Q16" i="1"/>
  <c r="Q15" i="1"/>
  <c r="Q12" i="1"/>
  <c r="Q11" i="1"/>
  <c r="P52" i="1"/>
  <c r="P58" i="1" s="1"/>
  <c r="P34" i="1"/>
  <c r="O52" i="1"/>
  <c r="O58" i="1" s="1"/>
  <c r="O34" i="1"/>
  <c r="M23" i="1"/>
  <c r="M22" i="1"/>
  <c r="M20" i="1"/>
  <c r="M19" i="1"/>
  <c r="M16" i="1"/>
  <c r="M15" i="1"/>
  <c r="M12" i="1"/>
  <c r="M11" i="1"/>
  <c r="I23" i="1"/>
  <c r="I22" i="1"/>
  <c r="I20" i="1"/>
  <c r="I19" i="1"/>
  <c r="I16" i="1"/>
  <c r="I15" i="1"/>
  <c r="I12" i="1"/>
  <c r="I11" i="1"/>
  <c r="E23" i="1"/>
  <c r="E22" i="1"/>
  <c r="E20" i="1"/>
  <c r="E19" i="1"/>
  <c r="E16" i="1"/>
  <c r="E15" i="1"/>
  <c r="E12" i="1"/>
  <c r="E11" i="1"/>
  <c r="AG52" i="1"/>
  <c r="AG58" i="1" s="1"/>
  <c r="AF52" i="1"/>
  <c r="AF58" i="1" s="1"/>
  <c r="AC52" i="1"/>
  <c r="AA52" i="1"/>
  <c r="AA58" i="1" s="1"/>
  <c r="Y52" i="1"/>
  <c r="W52" i="1"/>
  <c r="X52" i="1" s="1"/>
  <c r="U52" i="1"/>
  <c r="T52" i="1"/>
  <c r="T58" i="1" s="1"/>
  <c r="S52" i="1"/>
  <c r="S58" i="1" s="1"/>
  <c r="R52" i="1"/>
  <c r="R58" i="1" s="1"/>
  <c r="Q52" i="1"/>
  <c r="Q58" i="1" s="1"/>
  <c r="N52" i="1"/>
  <c r="N58" i="1" s="1"/>
  <c r="M52" i="1"/>
  <c r="M58" i="1" s="1"/>
  <c r="L52" i="1"/>
  <c r="L58" i="1" s="1"/>
  <c r="K52" i="1"/>
  <c r="K58" i="1" s="1"/>
  <c r="J52" i="1"/>
  <c r="J58" i="1" s="1"/>
  <c r="I52" i="1"/>
  <c r="I58" i="1" s="1"/>
  <c r="H52" i="1"/>
  <c r="H58" i="1" s="1"/>
  <c r="G52" i="1"/>
  <c r="G58" i="1" s="1"/>
  <c r="F52" i="1"/>
  <c r="F58" i="1" s="1"/>
  <c r="E52" i="1"/>
  <c r="E58" i="1" s="1"/>
  <c r="D52" i="1"/>
  <c r="D58" i="1" s="1"/>
  <c r="AG34" i="1"/>
  <c r="AF34" i="1"/>
  <c r="AC34" i="1"/>
  <c r="AA34" i="1"/>
  <c r="Y34" i="1"/>
  <c r="W34" i="1"/>
  <c r="X34" i="1" s="1"/>
  <c r="U34" i="1"/>
  <c r="T34" i="1"/>
  <c r="S34" i="1"/>
  <c r="R34" i="1"/>
  <c r="N34" i="1"/>
  <c r="M34" i="1"/>
  <c r="L34" i="1"/>
  <c r="K34" i="1"/>
  <c r="J34" i="1"/>
  <c r="I34" i="1"/>
  <c r="H34" i="1"/>
  <c r="G34" i="1"/>
  <c r="F34" i="1"/>
  <c r="E34" i="1"/>
  <c r="D34" i="1"/>
  <c r="AG13" i="1"/>
  <c r="AF13" i="1"/>
  <c r="AC13" i="1"/>
  <c r="AA13" i="1"/>
  <c r="Y13" i="1"/>
  <c r="W13" i="1"/>
  <c r="T13" i="1"/>
  <c r="S13" i="1"/>
  <c r="R13" i="1"/>
  <c r="P13" i="1"/>
  <c r="O13" i="1"/>
  <c r="N13" i="1"/>
  <c r="L13" i="1"/>
  <c r="K13" i="1"/>
  <c r="J13" i="1"/>
  <c r="H13" i="1"/>
  <c r="G13" i="1"/>
  <c r="F13" i="1"/>
  <c r="D13" i="1"/>
  <c r="AG9" i="1"/>
  <c r="AF9" i="1"/>
  <c r="AC9" i="1"/>
  <c r="AA9" i="1"/>
  <c r="Y9" i="1"/>
  <c r="W9" i="1"/>
  <c r="U9" i="1"/>
  <c r="T9" i="1"/>
  <c r="S9" i="1"/>
  <c r="R9" i="1"/>
  <c r="Q9" i="1"/>
  <c r="P9" i="1"/>
  <c r="O9" i="1"/>
  <c r="N9" i="1"/>
  <c r="M9" i="1"/>
  <c r="L9" i="1"/>
  <c r="K9" i="1"/>
  <c r="J9" i="1"/>
  <c r="I9" i="1"/>
  <c r="H9" i="1"/>
  <c r="G9" i="1"/>
  <c r="F9" i="1"/>
  <c r="E9" i="1"/>
  <c r="D9" i="1"/>
  <c r="S8" i="1"/>
  <c r="R8" i="1"/>
  <c r="Q8" i="1"/>
  <c r="P8" i="1"/>
  <c r="O8" i="1"/>
  <c r="N8" i="1"/>
  <c r="M8" i="1"/>
  <c r="L8" i="1"/>
  <c r="K8" i="1"/>
  <c r="J8" i="1"/>
  <c r="I8" i="1"/>
  <c r="H8" i="1"/>
  <c r="G8" i="1"/>
  <c r="F8" i="1"/>
  <c r="E8" i="1"/>
  <c r="D8" i="1"/>
  <c r="AG7" i="1"/>
  <c r="AF7" i="1"/>
  <c r="AC7" i="1"/>
  <c r="AA7" i="1"/>
  <c r="Y7" i="1"/>
  <c r="W7" i="1"/>
  <c r="X7" i="1" s="1"/>
  <c r="U7" i="1"/>
  <c r="V7" i="1" s="1"/>
  <c r="T7" i="1"/>
  <c r="S7" i="1"/>
  <c r="R7" i="1"/>
  <c r="Q7" i="1"/>
  <c r="P7" i="1"/>
  <c r="O7" i="1"/>
  <c r="N7" i="1"/>
  <c r="M7" i="1"/>
  <c r="L7" i="1"/>
  <c r="K7" i="1"/>
  <c r="J7" i="1"/>
  <c r="I7" i="1"/>
  <c r="H7" i="1"/>
  <c r="G7" i="1"/>
  <c r="F7" i="1"/>
  <c r="E7" i="1"/>
  <c r="D7" i="1"/>
  <c r="C9" i="1"/>
  <c r="C8" i="1"/>
  <c r="C34" i="1"/>
  <c r="C52" i="1"/>
  <c r="C58" i="1" s="1"/>
  <c r="B9" i="1"/>
  <c r="B8" i="1"/>
  <c r="B52" i="1"/>
  <c r="B58" i="1" s="1"/>
  <c r="B34" i="1"/>
  <c r="C7" i="1"/>
  <c r="C13" i="1"/>
  <c r="B13" i="1"/>
  <c r="B7" i="1"/>
  <c r="A4" i="1" a="1"/>
  <c r="A4" i="1" s="1"/>
  <c r="Y1" i="1"/>
  <c r="W1" i="1" s="1"/>
  <c r="AD7" i="1" l="1"/>
  <c r="AD34" i="1"/>
  <c r="AD8" i="1"/>
  <c r="V52" i="1"/>
  <c r="V23" i="1"/>
  <c r="AD23" i="1"/>
  <c r="AC58" i="1"/>
  <c r="AD52" i="1"/>
  <c r="AD9" i="1"/>
  <c r="V19" i="1"/>
  <c r="AD19" i="1"/>
  <c r="V12" i="1"/>
  <c r="V8" i="1"/>
  <c r="V15" i="1"/>
  <c r="V9" i="1"/>
  <c r="V11" i="1"/>
  <c r="M13" i="1"/>
  <c r="M63" i="1" s="1"/>
  <c r="V16" i="1"/>
  <c r="V20" i="1"/>
  <c r="V34" i="1"/>
  <c r="V22" i="1"/>
  <c r="X9" i="1"/>
  <c r="AB58" i="1"/>
  <c r="X8" i="1"/>
  <c r="Z9" i="1"/>
  <c r="AB9" i="1"/>
  <c r="X13" i="1"/>
  <c r="U58" i="1"/>
  <c r="V58" i="1" s="1"/>
  <c r="Z7" i="1"/>
  <c r="AB7" i="1"/>
  <c r="Z34" i="1"/>
  <c r="Z13" i="1"/>
  <c r="AB34" i="1"/>
  <c r="AB8" i="1"/>
  <c r="W58" i="1"/>
  <c r="X58" i="1" s="1"/>
  <c r="Z8" i="1"/>
  <c r="Q13" i="1"/>
  <c r="Q63" i="1" s="1"/>
  <c r="Z52" i="1"/>
  <c r="P42" i="1"/>
  <c r="P60" i="1" s="1"/>
  <c r="P66" i="1"/>
  <c r="R18" i="1"/>
  <c r="R21" i="1" s="1"/>
  <c r="R24" i="1" s="1"/>
  <c r="R63" i="1"/>
  <c r="K42" i="1"/>
  <c r="K60" i="1" s="1"/>
  <c r="K66" i="1"/>
  <c r="P18" i="1"/>
  <c r="P21" i="1" s="1"/>
  <c r="P24" i="1" s="1"/>
  <c r="P63" i="1"/>
  <c r="Q67" i="1"/>
  <c r="Q65" i="1"/>
  <c r="M42" i="1"/>
  <c r="M60" i="1" s="1"/>
  <c r="M66" i="1"/>
  <c r="W18" i="1"/>
  <c r="W63" i="1"/>
  <c r="N42" i="1"/>
  <c r="N60" i="1" s="1"/>
  <c r="N66" i="1"/>
  <c r="AG42" i="1"/>
  <c r="AG60" i="1" s="1"/>
  <c r="AG66" i="1"/>
  <c r="D18" i="1"/>
  <c r="D21" i="1" s="1"/>
  <c r="D24" i="1" s="1"/>
  <c r="D63" i="1"/>
  <c r="AA18" i="1"/>
  <c r="AA63" i="1"/>
  <c r="E67" i="1"/>
  <c r="E68" i="1" s="1"/>
  <c r="E65" i="1"/>
  <c r="M65" i="1"/>
  <c r="M67" i="1"/>
  <c r="M68" i="1" s="1"/>
  <c r="AB13" i="1"/>
  <c r="T18" i="1"/>
  <c r="T21" i="1" s="1"/>
  <c r="T24" i="1" s="1"/>
  <c r="T63" i="1"/>
  <c r="Y18" i="1"/>
  <c r="Y63" i="1"/>
  <c r="F18" i="1"/>
  <c r="F21" i="1" s="1"/>
  <c r="F24" i="1" s="1"/>
  <c r="F63" i="1"/>
  <c r="S42" i="1"/>
  <c r="S60" i="1" s="1"/>
  <c r="S66" i="1"/>
  <c r="G18" i="1"/>
  <c r="G21" i="1" s="1"/>
  <c r="G24" i="1" s="1"/>
  <c r="G63" i="1"/>
  <c r="AC18" i="1"/>
  <c r="AC63" i="1"/>
  <c r="T42" i="1"/>
  <c r="T60" i="1" s="1"/>
  <c r="T66" i="1"/>
  <c r="H18" i="1"/>
  <c r="H21" i="1" s="1"/>
  <c r="H24" i="1" s="1"/>
  <c r="H63" i="1"/>
  <c r="AF18" i="1"/>
  <c r="AF21" i="1" s="1"/>
  <c r="AF24" i="1" s="1"/>
  <c r="AF63" i="1"/>
  <c r="U42" i="1"/>
  <c r="V42" i="1" s="1"/>
  <c r="U66" i="1"/>
  <c r="V66" i="1" s="1"/>
  <c r="O18" i="1"/>
  <c r="O21" i="1" s="1"/>
  <c r="O24" i="1" s="1"/>
  <c r="O63" i="1"/>
  <c r="C42" i="1"/>
  <c r="C60" i="1" s="1"/>
  <c r="C66" i="1"/>
  <c r="R42" i="1"/>
  <c r="R66" i="1"/>
  <c r="J18" i="1"/>
  <c r="J21" i="1" s="1"/>
  <c r="J24" i="1" s="1"/>
  <c r="J63" i="1"/>
  <c r="AG18" i="1"/>
  <c r="AG21" i="1" s="1"/>
  <c r="AG24" i="1" s="1"/>
  <c r="AG63" i="1"/>
  <c r="W42" i="1"/>
  <c r="W66" i="1"/>
  <c r="Q42" i="1"/>
  <c r="Q60" i="1" s="1"/>
  <c r="Q66" i="1"/>
  <c r="AB52" i="1"/>
  <c r="H42" i="1"/>
  <c r="H60" i="1" s="1"/>
  <c r="H66" i="1"/>
  <c r="S18" i="1"/>
  <c r="S21" i="1" s="1"/>
  <c r="S24" i="1" s="1"/>
  <c r="S63" i="1"/>
  <c r="U13" i="1"/>
  <c r="V13" i="1" s="1"/>
  <c r="U67" i="1"/>
  <c r="AD67" i="1" s="1"/>
  <c r="U65" i="1"/>
  <c r="AD65" i="1" s="1"/>
  <c r="Y42" i="1"/>
  <c r="Y66" i="1"/>
  <c r="C18" i="1"/>
  <c r="C21" i="1" s="1"/>
  <c r="C24" i="1" s="1"/>
  <c r="C63" i="1"/>
  <c r="L18" i="1"/>
  <c r="L21" i="1" s="1"/>
  <c r="L24" i="1" s="1"/>
  <c r="L63" i="1"/>
  <c r="E42" i="1"/>
  <c r="E60" i="1" s="1"/>
  <c r="E66" i="1"/>
  <c r="AA42" i="1"/>
  <c r="AA60" i="1" s="1"/>
  <c r="AA66" i="1"/>
  <c r="I42" i="1"/>
  <c r="I60" i="1" s="1"/>
  <c r="I66" i="1"/>
  <c r="J42" i="1"/>
  <c r="J60" i="1" s="1"/>
  <c r="J66" i="1"/>
  <c r="L42" i="1"/>
  <c r="L60" i="1" s="1"/>
  <c r="L66" i="1"/>
  <c r="K18" i="1"/>
  <c r="K21" i="1" s="1"/>
  <c r="K24" i="1" s="1"/>
  <c r="K63" i="1"/>
  <c r="F42" i="1"/>
  <c r="F60" i="1" s="1"/>
  <c r="F66" i="1"/>
  <c r="AC42" i="1"/>
  <c r="AC66" i="1"/>
  <c r="I65" i="1"/>
  <c r="I67" i="1"/>
  <c r="I68" i="1" s="1"/>
  <c r="Y58" i="1"/>
  <c r="Z58" i="1" s="1"/>
  <c r="B18" i="1"/>
  <c r="B21" i="1" s="1"/>
  <c r="B24" i="1" s="1"/>
  <c r="B63" i="1"/>
  <c r="D42" i="1"/>
  <c r="D60" i="1" s="1"/>
  <c r="D66" i="1"/>
  <c r="B42" i="1"/>
  <c r="B60" i="1" s="1"/>
  <c r="B66" i="1"/>
  <c r="N18" i="1"/>
  <c r="N21" i="1" s="1"/>
  <c r="N24" i="1" s="1"/>
  <c r="N63" i="1"/>
  <c r="G42" i="1"/>
  <c r="G60" i="1" s="1"/>
  <c r="G66" i="1"/>
  <c r="AF42" i="1"/>
  <c r="AF60" i="1" s="1"/>
  <c r="AF66" i="1"/>
  <c r="O42" i="1"/>
  <c r="O60" i="1" s="1"/>
  <c r="O66" i="1"/>
  <c r="Q61" i="1"/>
  <c r="I13" i="1"/>
  <c r="I63" i="1" s="1"/>
  <c r="AA61" i="1"/>
  <c r="AF61" i="1"/>
  <c r="E13" i="1"/>
  <c r="K61" i="1"/>
  <c r="AG61" i="1"/>
  <c r="L61" i="1"/>
  <c r="M61" i="1"/>
  <c r="B61" i="1"/>
  <c r="N61" i="1"/>
  <c r="O61" i="1"/>
  <c r="P61" i="1"/>
  <c r="J61" i="1"/>
  <c r="R61" i="1"/>
  <c r="S61" i="1"/>
  <c r="T61" i="1"/>
  <c r="V61" i="1"/>
  <c r="W61" i="1"/>
  <c r="Y61" i="1"/>
  <c r="AC61" i="1"/>
  <c r="AD61" i="1" s="1"/>
  <c r="I61" i="1"/>
  <c r="H61" i="1"/>
  <c r="G61" i="1"/>
  <c r="F61" i="1"/>
  <c r="E61" i="1"/>
  <c r="D61" i="1"/>
  <c r="R60" i="1"/>
  <c r="C61" i="1"/>
  <c r="AC21" i="1" l="1"/>
  <c r="AD18" i="1"/>
  <c r="AD58" i="1"/>
  <c r="AD13" i="1"/>
  <c r="AD66" i="1"/>
  <c r="X66" i="1"/>
  <c r="AC60" i="1"/>
  <c r="AD42" i="1"/>
  <c r="X42" i="1"/>
  <c r="Q18" i="1"/>
  <c r="Q21" i="1" s="1"/>
  <c r="Q24" i="1" s="1"/>
  <c r="Q62" i="1" s="1"/>
  <c r="X18" i="1"/>
  <c r="V65" i="1"/>
  <c r="V67" i="1"/>
  <c r="M18" i="1"/>
  <c r="M21" i="1" s="1"/>
  <c r="M24" i="1" s="1"/>
  <c r="M62" i="1" s="1"/>
  <c r="Z66" i="1"/>
  <c r="Y60" i="1"/>
  <c r="Z60" i="1" s="1"/>
  <c r="X61" i="1"/>
  <c r="U68" i="1"/>
  <c r="AD68" i="1" s="1"/>
  <c r="U63" i="1"/>
  <c r="V63" i="1" s="1"/>
  <c r="U60" i="1"/>
  <c r="V60" i="1" s="1"/>
  <c r="X63" i="1"/>
  <c r="Z63" i="1"/>
  <c r="Z18" i="1"/>
  <c r="W21" i="1"/>
  <c r="X21" i="1" s="1"/>
  <c r="W60" i="1"/>
  <c r="X60" i="1" s="1"/>
  <c r="Q68" i="1"/>
  <c r="I18" i="1"/>
  <c r="I21" i="1" s="1"/>
  <c r="I24" i="1" s="1"/>
  <c r="I62" i="1" s="1"/>
  <c r="Z42" i="1"/>
  <c r="Z61" i="1"/>
  <c r="L62" i="1"/>
  <c r="L64" i="1"/>
  <c r="H62" i="1"/>
  <c r="H64" i="1"/>
  <c r="T62" i="1"/>
  <c r="T64" i="1"/>
  <c r="E18" i="1"/>
  <c r="E21" i="1" s="1"/>
  <c r="E24" i="1" s="1"/>
  <c r="E63" i="1"/>
  <c r="C62" i="1"/>
  <c r="C64" i="1"/>
  <c r="AG62" i="1"/>
  <c r="AG64" i="1"/>
  <c r="J62" i="1"/>
  <c r="J64" i="1"/>
  <c r="P62" i="1"/>
  <c r="P64" i="1"/>
  <c r="K62" i="1"/>
  <c r="K64" i="1"/>
  <c r="AB61" i="1"/>
  <c r="AB63" i="1"/>
  <c r="AF62" i="1"/>
  <c r="AF64" i="1"/>
  <c r="G62" i="1"/>
  <c r="G64" i="1"/>
  <c r="AA21" i="1"/>
  <c r="AB18" i="1"/>
  <c r="N62" i="1"/>
  <c r="N64" i="1"/>
  <c r="AB60" i="1"/>
  <c r="Y21" i="1"/>
  <c r="Z21" i="1" s="1"/>
  <c r="B62" i="1"/>
  <c r="B64" i="1"/>
  <c r="R62" i="1"/>
  <c r="R64" i="1"/>
  <c r="AB66" i="1"/>
  <c r="O62" i="1"/>
  <c r="O64" i="1"/>
  <c r="S62" i="1"/>
  <c r="S64" i="1"/>
  <c r="D62" i="1"/>
  <c r="D64" i="1"/>
  <c r="U18" i="1"/>
  <c r="AB42" i="1"/>
  <c r="F62" i="1"/>
  <c r="F64" i="1"/>
  <c r="AC24" i="1" l="1"/>
  <c r="M64" i="1"/>
  <c r="AD63" i="1"/>
  <c r="AD60" i="1"/>
  <c r="Q64" i="1"/>
  <c r="V68" i="1"/>
  <c r="V18" i="1"/>
  <c r="U21" i="1"/>
  <c r="V21" i="1" s="1"/>
  <c r="W24" i="1"/>
  <c r="X24" i="1" s="1"/>
  <c r="I64" i="1"/>
  <c r="AA24" i="1"/>
  <c r="AB21" i="1"/>
  <c r="Y24" i="1"/>
  <c r="Z24" i="1" s="1"/>
  <c r="E62" i="1"/>
  <c r="E64" i="1"/>
  <c r="AD21" i="1" l="1"/>
  <c r="AC62" i="1"/>
  <c r="AC64" i="1"/>
  <c r="U24" i="1"/>
  <c r="V24" i="1" s="1"/>
  <c r="W64" i="1"/>
  <c r="X64" i="1" s="1"/>
  <c r="W62" i="1"/>
  <c r="X62" i="1" s="1"/>
  <c r="Y62" i="1"/>
  <c r="Z62" i="1" s="1"/>
  <c r="Y64" i="1"/>
  <c r="Z64" i="1" s="1"/>
  <c r="AA62" i="1"/>
  <c r="AB62" i="1" s="1"/>
  <c r="AA64" i="1"/>
  <c r="AB64" i="1" s="1"/>
  <c r="AB24" i="1"/>
  <c r="AD24" i="1" l="1"/>
  <c r="U62" i="1"/>
  <c r="V62" i="1" s="1"/>
  <c r="U64" i="1"/>
  <c r="V64" i="1" s="1"/>
  <c r="AD62" i="1" l="1"/>
  <c r="AD6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<sst xmlns="http://schemas.openxmlformats.org/spreadsheetml/2006/main" count="98" uniqueCount="85">
  <si>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</si>
  <si>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</si>
  <si>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</si>
  <si>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</si>
  <si>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</si>
  <si>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</si>
  <si>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</si>
  <si>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</si>
  <si>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</si>
  <si>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</si>
  <si>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</si>
  <si>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</si>
  <si>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</si>
  <si>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</si>
  <si>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</si>
  <si>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</si>
  <si>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</si>
  <si>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</si>
  <si>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</si>
  <si>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</si>
  <si>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</si>
  <si>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</si>
  <si>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</si>
  <si>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</si>
  <si>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Q323</t>
  </si>
  <si>
    <t>Q423</t>
  </si>
  <si>
    <t>Q124</t>
  </si>
  <si>
    <t>Q224</t>
  </si>
  <si>
    <t>Price</t>
  </si>
  <si>
    <t>Shares outstanding</t>
  </si>
  <si>
    <t>Market cap</t>
  </si>
  <si>
    <t>Cash</t>
  </si>
  <si>
    <t>Debt</t>
  </si>
  <si>
    <t>Sales</t>
  </si>
  <si>
    <t>Cost of sales</t>
  </si>
  <si>
    <t>Gross profit</t>
  </si>
  <si>
    <t>Selling, general &amp; administrative expenses</t>
  </si>
  <si>
    <t>Equtiy earnings (loss) in AmerisourceBergen</t>
  </si>
  <si>
    <t>Income from operations</t>
  </si>
  <si>
    <t>Other income (expense)</t>
  </si>
  <si>
    <t>Income before income taxes</t>
  </si>
  <si>
    <t>Income taxes (benefit)</t>
  </si>
  <si>
    <t>Net income (loss)</t>
  </si>
  <si>
    <t>Interest expense</t>
  </si>
  <si>
    <t>Post tax earnings from other investments</t>
  </si>
  <si>
    <t>Assets</t>
  </si>
  <si>
    <t>Current assets</t>
  </si>
  <si>
    <t>Accounts receivable, net</t>
  </si>
  <si>
    <t>Inventories</t>
  </si>
  <si>
    <t>Other</t>
  </si>
  <si>
    <t>Total current assets</t>
  </si>
  <si>
    <t>Property, plant &amp; equipment, net</t>
  </si>
  <si>
    <t>Goodwill</t>
  </si>
  <si>
    <t>Intangible assets</t>
  </si>
  <si>
    <t>Equity method investments</t>
  </si>
  <si>
    <t>Total assets</t>
  </si>
  <si>
    <t>Liabilities</t>
  </si>
  <si>
    <t>Current liabilities</t>
  </si>
  <si>
    <t>Short-term borrowings</t>
  </si>
  <si>
    <t>Trade accounts payable</t>
  </si>
  <si>
    <t>Accrued expenses &amp; other</t>
  </si>
  <si>
    <t>Income taxes</t>
  </si>
  <si>
    <t>Total current liabilities</t>
  </si>
  <si>
    <t>Long-term debt</t>
  </si>
  <si>
    <t>Deferred income taxes</t>
  </si>
  <si>
    <t>Total liabilities</t>
  </si>
  <si>
    <t>Equity</t>
  </si>
  <si>
    <t>Enterprise value</t>
  </si>
  <si>
    <t>EPS</t>
  </si>
  <si>
    <t>Operating lease right-of-use assets</t>
  </si>
  <si>
    <t>Operating lease obligation</t>
  </si>
  <si>
    <t>Assets of discounted operations</t>
  </si>
  <si>
    <t>Marketable securities</t>
  </si>
  <si>
    <t>Accrued litigation obligations</t>
  </si>
  <si>
    <t>% Change</t>
  </si>
  <si>
    <t>Y/Y</t>
  </si>
  <si>
    <t>Gross profit margin</t>
  </si>
  <si>
    <t>Net profit margin</t>
  </si>
  <si>
    <t>Cost of goods ratio</t>
  </si>
  <si>
    <t>Current ratio</t>
  </si>
  <si>
    <t>Inventory turnover</t>
  </si>
  <si>
    <t>Quarterly inventory turnover</t>
  </si>
  <si>
    <t>XXXXXXXXX</t>
  </si>
  <si>
    <t>YoY</t>
  </si>
  <si>
    <t>QoQ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</si>
</sst>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_(* #,##0_);_(* \(#,##0\);_(* &quot;-&quot;??_);_(@_)"/>
    <numFmt numFmtId="165" formatCode="_([$$-409]* #,##0.00_);_([$$-409]* \(#,##0.00\);_([$$-409]* &quot;-&quot;??_);_(@_)"/>
    <numFmt numFmtId="166" formatCode="0.0%"/>
    <numFmt numFmtId="167" formatCode="_(* #,##0.000_);_(* \(#,##0.000\);_(* &quot;-&quot;??_);_(@_)"/>
  </numFmts>
  <fonts count="11"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1"/>
      <color theme="10"/>
      <name val="Calibri"/>
      <family val="2"/>
      <scheme val="minor"/>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5">
    <xf numFmtId="0" fontId="0" fillId="0" borderId="0"/>
    <xf numFmtId="43" fontId="7" fillId="0" borderId="0" applyFont="0" applyFill="0" applyBorder="0" applyAlignment="0" applyProtection="0"/>
    <xf numFmtId="44" fontId="7" fillId="0" borderId="0" applyFont="0" applyFill="0" applyBorder="0" applyAlignment="0" applyProtection="0"/>
    <xf numFmtId="0" fontId="9" fillId="0" borderId="0" applyNumberFormat="0" applyFill="0" applyBorder="0" applyAlignment="0" applyProtection="0"/>
    <xf numFmtId="9" fontId="7" fillId="0" borderId="0" applyFont="0" applyFill="0" applyBorder="0" applyAlignment="0" applyProtection="0"/>
  </cellStyleXfs>
  <cellXfs count="33">
    <xf numFmtId="0" fontId="0" fillId="0" borderId="0" xfId="0"/>
    <xf numFmtId="14" fontId="5" fillId="2" borderId="0" xfId="0" applyNumberFormat="1" applyFont="1" applyFill="1" applyAlignment="1">
      <alignment horizontal="center" vertical="center"/>
    </xf>
    <xf numFmtId="0" fontId="6" fillId="0" borderId="0" xfId="0" applyFont="1"/>
    <xf numFmtId="0" fontId="5" fillId="2" borderId="0" xfId="0" applyFont="1" applyFill="1" applyAlignment="1">
      <alignment horizontal="center" vertical="center"/>
    </xf>
    <xf numFmtId="0" fontId="5" fillId="2" borderId="0" xfId="0" applyFont="1" applyFill="1" applyAlignment="1">
      <alignment vertical="center"/>
    </xf>
    <xf numFmtId="164" fontId="6" fillId="0" borderId="0" xfId="1" applyNumberFormat="1" applyFont="1"/>
    <xf numFmtId="0" fontId="5" fillId="2" borderId="0" xfId="0" applyFont="1" applyFill="1" applyAlignment="1">
      <alignment horizontal="center"/>
    </xf>
    <xf numFmtId="0" fontId="4" fillId="0" borderId="0" xfId="0" applyFont="1" applyAlignment="1">
      <alignment horizontal="left"/>
    </xf>
    <xf numFmtId="165" fontId="6" fillId="0" borderId="0" xfId="0" applyNumberFormat="1" applyFont="1"/>
    <xf numFmtId="0" fontId="4" fillId="0" borderId="0" xfId="0" applyFont="1"/>
    <xf numFmtId="44" fontId="6" fillId="0" borderId="0" xfId="2" applyFont="1"/>
    <xf numFmtId="0" fontId="8" fillId="0" borderId="0" xfId="0" applyFont="1"/>
    <xf numFmtId="164" fontId="8" fillId="0" borderId="0" xfId="1" applyNumberFormat="1" applyFont="1"/>
    <xf numFmtId="0" fontId="8" fillId="0" borderId="0" xfId="0" applyFont="1" applyAlignment="1">
      <alignment horizontal="left" indent="1"/>
    </xf>
    <xf numFmtId="0" fontId="4" fillId="0" borderId="0" xfId="0" applyFont="1" applyAlignment="1">
      <alignment horizontal="left" indent="1"/>
    </xf>
    <xf numFmtId="0" fontId="8" fillId="0" borderId="0" xfId="0" applyFont="1" applyAlignment="1">
      <alignment horizontal="left" indent="2"/>
    </xf>
    <xf numFmtId="0" fontId="4" fillId="0" borderId="0" xfId="0" applyFont="1" applyAlignment="1">
      <alignment horizontal="left" indent="2"/>
    </xf>
    <xf numFmtId="0" fontId="8" fillId="0" borderId="0" xfId="0" applyFont="1" applyAlignment="1">
      <alignment horizontal="left" indent="3"/>
    </xf>
    <xf numFmtId="164" fontId="8" fillId="0" borderId="0" xfId="1" applyNumberFormat="1" applyFont="1" applyAlignment="1">
      <alignment horizontal="left" indent="1"/>
    </xf>
    <xf numFmtId="43" fontId="6" fillId="0" borderId="0" xfId="1" applyFont="1"/>
    <xf numFmtId="164" fontId="4" fillId="0" borderId="0" xfId="1" applyNumberFormat="1" applyFont="1"/>
    <xf numFmtId="164" fontId="3" fillId="0" borderId="0" xfId="1" applyNumberFormat="1" applyFont="1"/>
    <xf numFmtId="0" fontId="3" fillId="0" borderId="0" xfId="0" applyFont="1" applyAlignment="1">
      <alignment horizontal="left" indent="1"/>
    </xf>
    <xf numFmtId="0" fontId="3" fillId="0" borderId="0" xfId="0" applyFont="1" applyAlignment="1">
      <alignment horizontal="left" indent="2"/>
    </xf>
    <xf numFmtId="0" fontId="2" fillId="0" borderId="0" xfId="0" applyFont="1" applyAlignment="1">
      <alignment horizontal="left" indent="2"/>
    </xf>
    <xf numFmtId="164" fontId="2" fillId="0" borderId="0" xfId="1" applyNumberFormat="1" applyFont="1"/>
    <xf numFmtId="0" fontId="2" fillId="0" borderId="0" xfId="0" applyFont="1" applyAlignment="1">
      <alignment horizontal="left" indent="1"/>
    </xf>
    <xf numFmtId="166" fontId="10" fillId="0" borderId="0" xfId="4" applyNumberFormat="1" applyFont="1" applyAlignment="1">
      <alignment horizontal="center"/>
    </xf>
    <xf numFmtId="0" fontId="1" fillId="0" borderId="0" xfId="0" applyFont="1"/>
    <xf numFmtId="0" fontId="1" fillId="0" borderId="0" xfId="3" applyFont="1"/>
    <xf numFmtId="166" fontId="6" fillId="0" borderId="0" xfId="4" applyNumberFormat="1" applyFont="1"/>
    <xf numFmtId="167" fontId="6" fillId="0" borderId="0" xfId="1" applyNumberFormat="1" applyFont="1"/>
    <xf numFmtId="164" fontId="1" fillId="0" borderId="0" xfId="1" applyNumberFormat="1" applyFont="1" applyAlignment="1">
      <alignment horizontal="center"/>
    </xf>
  </cellXfs>
  <cellStyles count="5">
    <cellStyle name="Comma" xfId="1" builtinId="3"/>
    <cellStyle name="Currency" xfId="2" builtinId="4"/>
    <cellStyle name="Hyperlink" xfId="3" builtinId="8"/>
    <cellStyle name="Normal" xfId="0" builtinId="0"/>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https://www.bing.com/financeapi/forcetrigger?t=a25pm7&amp;q=XNAS%3aWBA&amp;form=skydnc</v>
    <v>Learn more on Bing</v>
  </rv>
  <rv s="1">
    <v>en-US</v>
    <v>a25pm7</v>
    <v>268435456</v>
    <v>1</v>
    <v>Powered by Refinitiv</v>
    <v>0</v>
    <v>WALGREENS BOOTS ALLIANCE, INC. (XNAS:WBA)</v>
    <v>2</v>
    <v>3</v>
    <v>Finance</v>
    <v>4</v>
    <v>37.954999999999998</v>
    <v>19.683900000000001</v>
    <v>0.74239999999999995</v>
    <v>-0.76</v>
    <v>-1.5040000000000001E-3</v>
    <v>-3.1627000000000002E-2</v>
    <v>-3.5000000000000003E-2</v>
    <v>USD</v>
    <v>Walgreens Boots Alliance, Inc. is an integrated healthcare, pharmacy and retailing company. Its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the Benavides brand in Mexico and the Ahumada brand in Chile. The U.S. Healthcare segment is a consumer-centric, technology-enabled healthcare business that engages consumers through a personalized, omni-channel experience across the care journey.</v>
    <v>206000</v>
    <v>Nasdaq Stock Market</v>
    <v>XNAS</v>
    <v>XNAS</v>
    <v>108 Wilmot Rd, DEERFIELD, IL, 60015 US</v>
    <v>24.2</v>
    <v>Food &amp; Drug Retailing</v>
    <v>Stock</v>
    <v>45303.877154108595</v>
    <v>0</v>
    <v>23.175000000000001</v>
    <v>20067480000</v>
    <v>WALGREENS BOOTS ALLIANCE, INC.</v>
    <v>WALGREENS BOOTS ALLIANCE, INC.</v>
    <v>23.97</v>
    <v>36.149500000000003</v>
    <v>24.03</v>
    <v>23.27</v>
    <v>23.234999999999999</v>
    <v>862375500</v>
    <v>WBA</v>
    <v>WALGREENS BOOTS ALLIANCE, INC. (XNAS:WBA)</v>
    <v>17446911</v>
    <v>17831679</v>
    <v>2014</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O68"/>
  <sheetViews>
    <sheetView tabSelected="1" zoomScale="125" zoomScaleNormal="125" workbookViewId="0">
      <pane xSplit="1" topLeftCell="U1" activePane="topRight" state="frozen"/>
      <selection pane="topRight" activeCell="U61" sqref="U61"/>
    </sheetView>
  </sheetViews>
  <sheetFormatPr defaultColWidth="12.7109375" defaultRowHeight="12.75" x14ac:dyDescent="0.2"/>
  <cols>
    <col min="1" max="1" width="48.28515625" style="2" customWidth="1"/>
    <col min="2" max="21" width="12.7109375" style="5" customWidth="1"/>
    <col min="22" max="22" width="10.7109375" style="5" hidden="1" customWidth="1"/>
    <col min="23" max="23" width="12.7109375" style="5" customWidth="1"/>
    <col min="24" max="24" width="10.7109375" style="5" hidden="1" customWidth="1"/>
    <col min="25" max="25" width="12.7109375" style="5"/>
    <col min="26" max="26" width="10.7109375" style="5" hidden="1" customWidth="1"/>
    <col min="27" max="27" width="12.7109375" style="5"/>
    <col min="28" max="28" width="10.7109375" style="5" hidden="1" customWidth="1"/>
    <col min="29" max="29" width="12.7109375" style="5"/>
    <col min="30" max="31" width="10.5703125" style="5" customWidth="1"/>
    <col min="32" max="16384" width="12.7109375" style="5"/>
  </cols>
  <sheetData>
    <row r="1" spans="1:41" s="6" customFormat="1" ht="15" customHeight="1" x14ac:dyDescent="0.2">
      <c r="A1" s="4" t="s">
        <v>1</v>
      </c>
      <c r="B1" s="1">
        <v>43069</v>
      </c>
      <c r="C1" s="1">
        <v>43159</v>
      </c>
      <c r="D1" s="1">
        <v>43251</v>
      </c>
      <c r="E1" s="1">
        <v>43343</v>
      </c>
      <c r="F1" s="1">
        <v>43434</v>
      </c>
      <c r="G1" s="1">
        <v>43524</v>
      </c>
      <c r="H1" s="1">
        <v>43616</v>
      </c>
      <c r="I1" s="1">
        <v>43708</v>
      </c>
      <c r="J1" s="1">
        <v>43799</v>
      </c>
      <c r="K1" s="1">
        <v>43890</v>
      </c>
      <c r="L1" s="1">
        <v>43982</v>
      </c>
      <c r="M1" s="1">
        <v>44074</v>
      </c>
      <c r="N1" s="1">
        <v>44165</v>
      </c>
      <c r="O1" s="1">
        <v>44255</v>
      </c>
      <c r="P1" s="1">
        <v>44347</v>
      </c>
      <c r="Q1" s="1">
        <v>44439</v>
      </c>
      <c r="R1" s="1">
        <v>44530</v>
      </c>
      <c r="S1" s="1">
        <v>44620</v>
      </c>
      <c r="T1" s="1">
        <v>44712</v>
      </c>
      <c r="U1" s="1">
        <v>44804</v>
      </c>
      <c r="V1" s="1" t="s">
        <v>74</v>
      </c>
      <c r="W1" s="1">
        <f>Y1-90</f>
        <v>44895</v>
      </c>
      <c r="X1" s="1" t="s">
        <v>74</v>
      </c>
      <c r="Y1" s="1">
        <f>AA1-92</f>
        <v>44985</v>
      </c>
      <c r="Z1" s="1" t="s">
        <v>74</v>
      </c>
      <c r="AA1" s="1">
        <v>45077</v>
      </c>
      <c r="AB1" s="1" t="s">
        <v>74</v>
      </c>
      <c r="AC1" s="1">
        <v>45169</v>
      </c>
      <c r="AD1" s="1" t="s">
        <v>74</v>
      </c>
      <c r="AE1" s="1" t="s">
        <v>74</v>
      </c>
      <c r="AF1" s="1"/>
      <c r="AG1" s="1"/>
      <c r="AH1" s="3"/>
      <c r="AI1" s="3"/>
      <c r="AJ1" s="3"/>
      <c r="AK1" s="3"/>
      <c r="AL1" s="3"/>
      <c r="AM1" s="3"/>
      <c r="AN1" s="3"/>
      <c r="AO1" s="3"/>
    </row>
    <row r="2" spans="1:41" s="6" customFormat="1" ht="15" customHeight="1" x14ac:dyDescent="0.2">
      <c r="A2" s="4" t="s">
        <v>0</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75</v>
      </c>
      <c r="W2" s="3" t="s">
        <v>22</v>
      </c>
      <c r="X2" s="3" t="s">
        <v>75</v>
      </c>
      <c r="Y2" s="3" t="s">
        <v>23</v>
      </c>
      <c r="Z2" s="3" t="s">
        <v>75</v>
      </c>
      <c r="AA2" s="3" t="s">
        <v>24</v>
      </c>
      <c r="AB2" s="3" t="s">
        <v>75</v>
      </c>
      <c r="AC2" s="3" t="s">
        <v>25</v>
      </c>
      <c r="AD2" s="3" t="s">
        <v>83</v>
      </c>
      <c r="AE2" s="3" t="s">
        <v>84</v>
      </c>
      <c r="AF2" s="3" t="s">
        <v>26</v>
      </c>
      <c r="AG2" s="3" t="s">
        <v>27</v>
      </c>
      <c r="AH2" s="3"/>
      <c r="AI2" s="3"/>
      <c r="AJ2" s="3"/>
      <c r="AK2" s="3"/>
      <c r="AL2" s="3"/>
      <c r="AM2" s="3"/>
      <c r="AN2" s="3"/>
      <c r="AO2" s="3"/>
    </row>
    <row r="3" spans="1:41" x14ac:dyDescent="0.2">
      <c r="A3" s="7" t="e" vm="1">
        <v>#VALUE!</v>
      </c>
    </row>
    <row r="4" spans="1:41" x14ac:dyDescent="0.2">
      <c r="A4" s="8" cm="1">
        <f t="array" ref="A4">_FV(A3,"Price")</f>
        <v>23.27</v>
      </c>
    </row>
    <row r="5" spans="1:41" s="10" customFormat="1" x14ac:dyDescent="0.2">
      <c r="A5" s="9" t="s">
        <v>28</v>
      </c>
      <c r="B5" s="10">
        <v>72.760000000000005</v>
      </c>
      <c r="C5" s="10">
        <v>68.89</v>
      </c>
      <c r="D5" s="10">
        <v>62.39</v>
      </c>
      <c r="E5" s="10">
        <v>68.56</v>
      </c>
      <c r="F5" s="10">
        <v>84.67</v>
      </c>
      <c r="G5" s="10">
        <v>71.19</v>
      </c>
      <c r="H5" s="10">
        <v>49.34</v>
      </c>
      <c r="I5" s="10">
        <v>51.19</v>
      </c>
      <c r="J5" s="10">
        <v>59.6</v>
      </c>
      <c r="K5" s="10">
        <v>45.76</v>
      </c>
      <c r="L5" s="10">
        <v>42.94</v>
      </c>
      <c r="M5" s="10">
        <v>38.020000000000003</v>
      </c>
      <c r="N5" s="10">
        <v>38.01</v>
      </c>
      <c r="O5" s="10">
        <v>47.93</v>
      </c>
      <c r="P5" s="10">
        <v>52.66</v>
      </c>
      <c r="Q5" s="10">
        <v>50.75</v>
      </c>
      <c r="R5" s="10">
        <v>44.8</v>
      </c>
      <c r="S5" s="10">
        <v>46.09</v>
      </c>
      <c r="T5" s="10">
        <v>43.83</v>
      </c>
      <c r="U5" s="10">
        <v>35.06</v>
      </c>
      <c r="V5" s="27">
        <f>(U5-Q5)/Q5</f>
        <v>-0.30916256157635463</v>
      </c>
      <c r="W5" s="10">
        <v>41.5</v>
      </c>
      <c r="X5" s="27">
        <f>(W5-R5)/R5</f>
        <v>-7.3660714285714232E-2</v>
      </c>
      <c r="Y5" s="10">
        <v>35.53</v>
      </c>
      <c r="Z5" s="27">
        <f>(Y5-S5)/S5</f>
        <v>-0.22911694510739861</v>
      </c>
      <c r="AA5" s="10">
        <v>30.37</v>
      </c>
      <c r="AB5" s="27">
        <f>(AA5-T5)/T5</f>
        <v>-0.30709559662331731</v>
      </c>
      <c r="AC5" s="10">
        <v>25.31</v>
      </c>
      <c r="AD5" s="27">
        <f>(AC5-U5)/AC5</f>
        <v>-0.38522323192414082</v>
      </c>
      <c r="AE5" s="27">
        <f>(AC5-AA5)/AC5</f>
        <v>-0.19992097984986182</v>
      </c>
    </row>
    <row r="6" spans="1:41" x14ac:dyDescent="0.2">
      <c r="A6" s="7" t="s">
        <v>29</v>
      </c>
      <c r="B6" s="5">
        <v>1011.1</v>
      </c>
      <c r="C6" s="5">
        <v>995.5</v>
      </c>
      <c r="D6" s="5">
        <v>995</v>
      </c>
      <c r="E6" s="5">
        <v>995</v>
      </c>
      <c r="F6" s="5">
        <v>951.4</v>
      </c>
      <c r="G6" s="5">
        <v>930.7</v>
      </c>
      <c r="H6" s="5">
        <v>911.2</v>
      </c>
      <c r="I6" s="5">
        <v>923.5</v>
      </c>
      <c r="J6" s="5">
        <v>892.6</v>
      </c>
      <c r="K6" s="5">
        <v>885.5</v>
      </c>
      <c r="L6" s="5">
        <v>875.4</v>
      </c>
      <c r="M6" s="5">
        <v>880.3</v>
      </c>
      <c r="N6" s="5">
        <v>865.3</v>
      </c>
      <c r="O6" s="5">
        <v>865.6</v>
      </c>
      <c r="P6" s="5">
        <v>867</v>
      </c>
      <c r="Q6" s="5">
        <v>866.4</v>
      </c>
      <c r="R6" s="5">
        <v>867.6</v>
      </c>
      <c r="S6" s="5">
        <v>865.2</v>
      </c>
      <c r="T6" s="5">
        <v>865.2</v>
      </c>
      <c r="U6" s="5">
        <v>865.9</v>
      </c>
      <c r="V6" s="27">
        <f t="shared" ref="V6:V68" si="0">(U6-Q6)/Q6</f>
        <v>-5.7710064635272393E-4</v>
      </c>
      <c r="W6" s="5">
        <v>863.6</v>
      </c>
      <c r="X6" s="27">
        <f>(W6-R6)/R6</f>
        <v>-4.6104195481788844E-3</v>
      </c>
      <c r="Y6" s="5">
        <v>863.4</v>
      </c>
      <c r="Z6" s="27">
        <f>(Y6-S6)/S6</f>
        <v>-2.0804438280167224E-3</v>
      </c>
      <c r="AA6" s="5">
        <v>864</v>
      </c>
      <c r="AB6" s="27">
        <f>(AA6-T6)/T6</f>
        <v>-1.3869625520111482E-3</v>
      </c>
      <c r="AC6" s="5">
        <v>863</v>
      </c>
      <c r="AD6" s="27">
        <f t="shared" ref="AD6:AD68" si="1">(AC6-U6)/AC6</f>
        <v>-3.360370799536474E-3</v>
      </c>
      <c r="AE6" s="27">
        <f t="shared" ref="AE6:AE68" si="2">(AC6-AA6)/AC6</f>
        <v>-1.1587485515643105E-3</v>
      </c>
    </row>
    <row r="7" spans="1:41" x14ac:dyDescent="0.2">
      <c r="A7" s="9" t="s">
        <v>30</v>
      </c>
      <c r="B7" s="5">
        <f>B5*B6</f>
        <v>73567.636000000013</v>
      </c>
      <c r="C7" s="5">
        <f>C5*C6</f>
        <v>68579.994999999995</v>
      </c>
      <c r="D7" s="5">
        <f t="shared" ref="D7:AG7" si="3">D5*D6</f>
        <v>62078.05</v>
      </c>
      <c r="E7" s="5">
        <f t="shared" si="3"/>
        <v>68217.2</v>
      </c>
      <c r="F7" s="5">
        <f t="shared" si="3"/>
        <v>80555.038</v>
      </c>
      <c r="G7" s="5">
        <f t="shared" si="3"/>
        <v>66256.532999999996</v>
      </c>
      <c r="H7" s="5">
        <f t="shared" si="3"/>
        <v>44958.608000000007</v>
      </c>
      <c r="I7" s="5">
        <f t="shared" si="3"/>
        <v>47273.964999999997</v>
      </c>
      <c r="J7" s="5">
        <f t="shared" si="3"/>
        <v>53198.96</v>
      </c>
      <c r="K7" s="5">
        <f t="shared" si="3"/>
        <v>40520.479999999996</v>
      </c>
      <c r="L7" s="5">
        <f t="shared" si="3"/>
        <v>37589.675999999999</v>
      </c>
      <c r="M7" s="5">
        <f t="shared" si="3"/>
        <v>33469.006000000001</v>
      </c>
      <c r="N7" s="5">
        <f t="shared" si="3"/>
        <v>32890.053</v>
      </c>
      <c r="O7" s="5">
        <f t="shared" si="3"/>
        <v>41488.207999999999</v>
      </c>
      <c r="P7" s="5">
        <f t="shared" si="3"/>
        <v>45656.219999999994</v>
      </c>
      <c r="Q7" s="5">
        <f t="shared" si="3"/>
        <v>43969.799999999996</v>
      </c>
      <c r="R7" s="5">
        <f t="shared" si="3"/>
        <v>38868.479999999996</v>
      </c>
      <c r="S7" s="5">
        <f t="shared" si="3"/>
        <v>39877.068000000007</v>
      </c>
      <c r="T7" s="5">
        <f t="shared" si="3"/>
        <v>37921.716</v>
      </c>
      <c r="U7" s="5">
        <f t="shared" si="3"/>
        <v>30358.454000000002</v>
      </c>
      <c r="V7" s="27">
        <f t="shared" si="0"/>
        <v>-0.3095612443085935</v>
      </c>
      <c r="W7" s="5">
        <f t="shared" si="3"/>
        <v>35839.4</v>
      </c>
      <c r="X7" s="27">
        <f>(W7-R7)/R7</f>
        <v>-7.7931527036817355E-2</v>
      </c>
      <c r="Y7" s="5">
        <f t="shared" si="3"/>
        <v>30676.601999999999</v>
      </c>
      <c r="Z7" s="27">
        <f>(Y7-S7)/S7</f>
        <v>-0.23072072400107266</v>
      </c>
      <c r="AA7" s="5">
        <f t="shared" si="3"/>
        <v>26239.68</v>
      </c>
      <c r="AB7" s="27">
        <f>(AA7-T7)/T7</f>
        <v>-0.30805662908292442</v>
      </c>
      <c r="AC7" s="5">
        <f t="shared" si="3"/>
        <v>21842.53</v>
      </c>
      <c r="AD7" s="27">
        <f t="shared" si="1"/>
        <v>-0.38987809562353826</v>
      </c>
      <c r="AE7" s="27">
        <f t="shared" si="2"/>
        <v>-0.20131138654725445</v>
      </c>
      <c r="AF7" s="5">
        <f t="shared" si="3"/>
        <v>0</v>
      </c>
      <c r="AG7" s="5">
        <f t="shared" si="3"/>
        <v>0</v>
      </c>
    </row>
    <row r="8" spans="1:41" x14ac:dyDescent="0.2">
      <c r="A8" s="9" t="s">
        <v>31</v>
      </c>
      <c r="B8" s="5">
        <f>B28</f>
        <v>1830</v>
      </c>
      <c r="C8" s="5">
        <f>C28</f>
        <v>1749</v>
      </c>
      <c r="D8" s="5">
        <f t="shared" ref="D8:S8" si="4">D28</f>
        <v>1818</v>
      </c>
      <c r="E8" s="5">
        <f t="shared" si="4"/>
        <v>785</v>
      </c>
      <c r="F8" s="5">
        <f t="shared" si="4"/>
        <v>980</v>
      </c>
      <c r="G8" s="5">
        <f t="shared" si="4"/>
        <v>818</v>
      </c>
      <c r="H8" s="5">
        <f t="shared" si="4"/>
        <v>839</v>
      </c>
      <c r="I8" s="5">
        <f t="shared" si="4"/>
        <v>1023</v>
      </c>
      <c r="J8" s="5">
        <f t="shared" si="4"/>
        <v>811</v>
      </c>
      <c r="K8" s="5">
        <f t="shared" si="4"/>
        <v>792</v>
      </c>
      <c r="L8" s="5">
        <f t="shared" si="4"/>
        <v>768</v>
      </c>
      <c r="M8" s="5">
        <f t="shared" si="4"/>
        <v>516</v>
      </c>
      <c r="N8" s="5">
        <f t="shared" si="4"/>
        <v>1111</v>
      </c>
      <c r="O8" s="5">
        <f t="shared" si="4"/>
        <v>1030</v>
      </c>
      <c r="P8" s="5">
        <f t="shared" si="4"/>
        <v>1345</v>
      </c>
      <c r="Q8" s="5">
        <f t="shared" si="4"/>
        <v>1193</v>
      </c>
      <c r="R8" s="5">
        <f t="shared" si="4"/>
        <v>4135</v>
      </c>
      <c r="S8" s="5">
        <f t="shared" si="4"/>
        <v>1887</v>
      </c>
      <c r="T8" s="5">
        <f>T28+T29</f>
        <v>4458</v>
      </c>
      <c r="U8" s="5">
        <f t="shared" ref="U8:AG8" si="5">U28+U29</f>
        <v>2472</v>
      </c>
      <c r="V8" s="27">
        <f t="shared" si="0"/>
        <v>1.0720871751886001</v>
      </c>
      <c r="W8" s="5">
        <f t="shared" si="5"/>
        <v>4232</v>
      </c>
      <c r="X8" s="27">
        <f>(W8-R8)/R8</f>
        <v>2.3458282950423216E-2</v>
      </c>
      <c r="Y8" s="5">
        <f t="shared" si="5"/>
        <v>1840</v>
      </c>
      <c r="Z8" s="27">
        <f>(Y8-S8)/S8</f>
        <v>-2.4907260201377849E-2</v>
      </c>
      <c r="AA8" s="5">
        <f t="shared" si="5"/>
        <v>970</v>
      </c>
      <c r="AB8" s="27">
        <f>(AA8-T8)/T8</f>
        <v>-0.78241363840287126</v>
      </c>
      <c r="AC8" s="5">
        <f t="shared" si="5"/>
        <v>739</v>
      </c>
      <c r="AD8" s="27">
        <f t="shared" si="1"/>
        <v>-2.3450608930987822</v>
      </c>
      <c r="AE8" s="27">
        <f t="shared" si="2"/>
        <v>-0.3125845737483085</v>
      </c>
      <c r="AF8" s="5">
        <f t="shared" si="5"/>
        <v>0</v>
      </c>
      <c r="AG8" s="5">
        <f t="shared" si="5"/>
        <v>0</v>
      </c>
    </row>
    <row r="9" spans="1:41" x14ac:dyDescent="0.2">
      <c r="A9" s="9" t="s">
        <v>32</v>
      </c>
      <c r="B9" s="5">
        <f>B46+B53</f>
        <v>14005</v>
      </c>
      <c r="C9" s="5">
        <f>C46+C53</f>
        <v>15672</v>
      </c>
      <c r="D9" s="5">
        <f t="shared" ref="D9:AG9" si="6">D46+D53</f>
        <v>15043</v>
      </c>
      <c r="E9" s="5">
        <f t="shared" si="6"/>
        <v>14397</v>
      </c>
      <c r="F9" s="5">
        <f t="shared" si="6"/>
        <v>15990</v>
      </c>
      <c r="G9" s="5">
        <f t="shared" si="6"/>
        <v>18041</v>
      </c>
      <c r="H9" s="5">
        <f t="shared" si="6"/>
        <v>17610</v>
      </c>
      <c r="I9" s="5">
        <f t="shared" si="6"/>
        <v>16836</v>
      </c>
      <c r="J9" s="5">
        <f t="shared" si="6"/>
        <v>16853</v>
      </c>
      <c r="K9" s="5">
        <f t="shared" si="6"/>
        <v>16609</v>
      </c>
      <c r="L9" s="5">
        <f t="shared" si="6"/>
        <v>16490</v>
      </c>
      <c r="M9" s="5">
        <f t="shared" si="6"/>
        <v>15741</v>
      </c>
      <c r="N9" s="5">
        <f t="shared" si="6"/>
        <v>16218</v>
      </c>
      <c r="O9" s="5">
        <f t="shared" si="6"/>
        <v>16159</v>
      </c>
      <c r="P9" s="5">
        <f t="shared" si="6"/>
        <v>15695</v>
      </c>
      <c r="Q9" s="5">
        <f t="shared" si="6"/>
        <v>8980</v>
      </c>
      <c r="R9" s="5">
        <f t="shared" si="6"/>
        <v>13846</v>
      </c>
      <c r="S9" s="5">
        <f t="shared" si="6"/>
        <v>13308</v>
      </c>
      <c r="T9" s="5">
        <f t="shared" si="6"/>
        <v>13457</v>
      </c>
      <c r="U9" s="5">
        <f t="shared" si="6"/>
        <v>11674</v>
      </c>
      <c r="V9" s="27">
        <f t="shared" si="0"/>
        <v>0.3</v>
      </c>
      <c r="W9" s="5">
        <f t="shared" si="6"/>
        <v>11727</v>
      </c>
      <c r="X9" s="27">
        <f>(W9-R9)/R9</f>
        <v>-0.15304058933988154</v>
      </c>
      <c r="Y9" s="5">
        <f t="shared" si="6"/>
        <v>13042</v>
      </c>
      <c r="Z9" s="27">
        <f>(Y9-S9)/S9</f>
        <v>-1.9987977156597534E-2</v>
      </c>
      <c r="AA9" s="5">
        <f t="shared" si="6"/>
        <v>11902</v>
      </c>
      <c r="AB9" s="27">
        <f>(AA9-T9)/T9</f>
        <v>-0.11555324366500706</v>
      </c>
      <c r="AC9" s="5">
        <f t="shared" si="6"/>
        <v>9062</v>
      </c>
      <c r="AD9" s="27">
        <f t="shared" si="1"/>
        <v>-0.28823659236371663</v>
      </c>
      <c r="AE9" s="27">
        <f t="shared" si="2"/>
        <v>-0.31339660119178991</v>
      </c>
      <c r="AF9" s="5">
        <f t="shared" si="6"/>
        <v>0</v>
      </c>
      <c r="AG9" s="5">
        <f t="shared" si="6"/>
        <v>0</v>
      </c>
    </row>
    <row r="10" spans="1:41" x14ac:dyDescent="0.2">
      <c r="V10" s="27"/>
      <c r="X10" s="27"/>
      <c r="Z10" s="27"/>
      <c r="AB10" s="27"/>
      <c r="AD10" s="27"/>
      <c r="AE10" s="27"/>
    </row>
    <row r="11" spans="1:41" s="12" customFormat="1" x14ac:dyDescent="0.2">
      <c r="A11" s="11" t="s">
        <v>33</v>
      </c>
      <c r="B11" s="12">
        <v>30740</v>
      </c>
      <c r="C11" s="12">
        <v>33021</v>
      </c>
      <c r="D11" s="12">
        <v>34334</v>
      </c>
      <c r="E11" s="12">
        <f>131537-D11-C11-B11</f>
        <v>33442</v>
      </c>
      <c r="F11" s="12">
        <v>33793</v>
      </c>
      <c r="G11" s="12">
        <v>34528</v>
      </c>
      <c r="H11" s="12">
        <v>34591</v>
      </c>
      <c r="I11" s="12">
        <f>136866-H11-G11-F11</f>
        <v>33954</v>
      </c>
      <c r="J11" s="12">
        <v>34339</v>
      </c>
      <c r="K11" s="12">
        <v>35820</v>
      </c>
      <c r="L11" s="12">
        <v>34631</v>
      </c>
      <c r="M11" s="12">
        <f>139537-L11-K11-J11</f>
        <v>34747</v>
      </c>
      <c r="N11" s="12">
        <v>36307</v>
      </c>
      <c r="O11" s="12">
        <v>32779</v>
      </c>
      <c r="P11" s="12">
        <v>34030</v>
      </c>
      <c r="Q11" s="12">
        <f>132509-P11-O11-N11</f>
        <v>29393</v>
      </c>
      <c r="R11" s="12">
        <v>33901</v>
      </c>
      <c r="S11" s="12">
        <v>33756</v>
      </c>
      <c r="T11" s="12">
        <v>32597</v>
      </c>
      <c r="U11" s="12">
        <f>132703-T11-S11-R11</f>
        <v>32449</v>
      </c>
      <c r="V11" s="27">
        <f t="shared" si="0"/>
        <v>0.10397033307250025</v>
      </c>
      <c r="W11" s="12">
        <v>33382</v>
      </c>
      <c r="X11" s="27">
        <f>(W11-R11)/R11</f>
        <v>-1.5309282912008495E-2</v>
      </c>
      <c r="Y11" s="12">
        <v>34862</v>
      </c>
      <c r="Z11" s="27">
        <f>(Y11-S11)/S11</f>
        <v>3.276454556227041E-2</v>
      </c>
      <c r="AA11" s="12">
        <v>35415</v>
      </c>
      <c r="AB11" s="27">
        <f>(AA11-T11)/T11</f>
        <v>8.6449673282817441E-2</v>
      </c>
      <c r="AC11" s="12">
        <f>139081-AA11-Y11-W11</f>
        <v>35422</v>
      </c>
      <c r="AD11" s="27">
        <f t="shared" si="1"/>
        <v>8.3930890407091632E-2</v>
      </c>
      <c r="AE11" s="27">
        <f t="shared" si="2"/>
        <v>1.9761729998306137E-4</v>
      </c>
    </row>
    <row r="12" spans="1:41" s="12" customFormat="1" x14ac:dyDescent="0.2">
      <c r="A12" s="11" t="s">
        <v>34</v>
      </c>
      <c r="B12" s="12">
        <v>23399</v>
      </c>
      <c r="C12" s="12">
        <v>24925</v>
      </c>
      <c r="D12" s="12">
        <v>26554</v>
      </c>
      <c r="E12" s="12">
        <f>100745-D12-C12-B12</f>
        <v>25867</v>
      </c>
      <c r="F12" s="12">
        <v>26152</v>
      </c>
      <c r="G12" s="12">
        <v>26773</v>
      </c>
      <c r="H12" s="12">
        <v>27138</v>
      </c>
      <c r="I12" s="12">
        <f>106790-H12-G12-F12</f>
        <v>26727</v>
      </c>
      <c r="J12" s="12">
        <v>27077</v>
      </c>
      <c r="K12" s="12">
        <v>28307</v>
      </c>
      <c r="L12" s="12">
        <v>28193</v>
      </c>
      <c r="M12" s="12">
        <f>111520-L12-K12-J12</f>
        <v>27943</v>
      </c>
      <c r="N12" s="12">
        <v>29168</v>
      </c>
      <c r="O12" s="12">
        <v>25998</v>
      </c>
      <c r="P12" s="12">
        <v>26877</v>
      </c>
      <c r="Q12" s="12">
        <f>104442-P12-O12-N12</f>
        <v>22399</v>
      </c>
      <c r="R12" s="12">
        <v>26326</v>
      </c>
      <c r="S12" s="12">
        <v>26047</v>
      </c>
      <c r="T12" s="12">
        <v>26025</v>
      </c>
      <c r="U12" s="12">
        <f>104437-T12-S12-R12</f>
        <v>26039</v>
      </c>
      <c r="V12" s="27">
        <f t="shared" si="0"/>
        <v>0.16250725478816019</v>
      </c>
      <c r="W12" s="12">
        <v>26429</v>
      </c>
      <c r="X12" s="27">
        <f>(W12-R12)/R12</f>
        <v>3.9124819570006833E-3</v>
      </c>
      <c r="Y12" s="12">
        <v>27807</v>
      </c>
      <c r="Z12" s="27">
        <f>(Y12-S12)/S12</f>
        <v>6.757016163089799E-2</v>
      </c>
      <c r="AA12" s="12">
        <v>28826</v>
      </c>
      <c r="AB12" s="27">
        <f>(AA12-T12)/T12</f>
        <v>0.10762728146013449</v>
      </c>
      <c r="AC12" s="12">
        <f>112009-AA12-Y12-W12</f>
        <v>28947</v>
      </c>
      <c r="AD12" s="27">
        <f t="shared" si="1"/>
        <v>0.10045946039313228</v>
      </c>
      <c r="AE12" s="27">
        <f t="shared" si="2"/>
        <v>4.1800532006770995E-3</v>
      </c>
    </row>
    <row r="13" spans="1:41" s="12" customFormat="1" x14ac:dyDescent="0.2">
      <c r="A13" s="11" t="s">
        <v>35</v>
      </c>
      <c r="B13" s="12">
        <f>B11-B12</f>
        <v>7341</v>
      </c>
      <c r="C13" s="12">
        <f>C11-C12</f>
        <v>8096</v>
      </c>
      <c r="D13" s="12">
        <f t="shared" ref="D13:AG13" si="7">D11-D12</f>
        <v>7780</v>
      </c>
      <c r="E13" s="12">
        <f t="shared" si="7"/>
        <v>7575</v>
      </c>
      <c r="F13" s="12">
        <f t="shared" si="7"/>
        <v>7641</v>
      </c>
      <c r="G13" s="12">
        <f t="shared" si="7"/>
        <v>7755</v>
      </c>
      <c r="H13" s="12">
        <f t="shared" si="7"/>
        <v>7453</v>
      </c>
      <c r="I13" s="12">
        <f t="shared" si="7"/>
        <v>7227</v>
      </c>
      <c r="J13" s="12">
        <f t="shared" si="7"/>
        <v>7262</v>
      </c>
      <c r="K13" s="12">
        <f t="shared" si="7"/>
        <v>7513</v>
      </c>
      <c r="L13" s="12">
        <f t="shared" si="7"/>
        <v>6438</v>
      </c>
      <c r="M13" s="12">
        <f t="shared" si="7"/>
        <v>6804</v>
      </c>
      <c r="N13" s="12">
        <f t="shared" si="7"/>
        <v>7139</v>
      </c>
      <c r="O13" s="12">
        <f t="shared" si="7"/>
        <v>6781</v>
      </c>
      <c r="P13" s="12">
        <f t="shared" si="7"/>
        <v>7153</v>
      </c>
      <c r="Q13" s="12">
        <f t="shared" si="7"/>
        <v>6994</v>
      </c>
      <c r="R13" s="12">
        <f t="shared" si="7"/>
        <v>7575</v>
      </c>
      <c r="S13" s="12">
        <f t="shared" si="7"/>
        <v>7709</v>
      </c>
      <c r="T13" s="12">
        <f t="shared" si="7"/>
        <v>6572</v>
      </c>
      <c r="U13" s="12">
        <f t="shared" si="7"/>
        <v>6410</v>
      </c>
      <c r="V13" s="27">
        <f t="shared" si="0"/>
        <v>-8.3500142979696879E-2</v>
      </c>
      <c r="W13" s="12">
        <f t="shared" si="7"/>
        <v>6953</v>
      </c>
      <c r="X13" s="27">
        <f>(W13-R13)/R13</f>
        <v>-8.2112211221122111E-2</v>
      </c>
      <c r="Y13" s="12">
        <f t="shared" si="7"/>
        <v>7055</v>
      </c>
      <c r="Z13" s="27">
        <f>(Y13-S13)/S13</f>
        <v>-8.4835906083798152E-2</v>
      </c>
      <c r="AA13" s="12">
        <f t="shared" si="7"/>
        <v>6589</v>
      </c>
      <c r="AB13" s="27">
        <f>(AA13-T13)/T13</f>
        <v>2.5867315885575166E-3</v>
      </c>
      <c r="AC13" s="12">
        <f t="shared" si="7"/>
        <v>6475</v>
      </c>
      <c r="AD13" s="27">
        <f t="shared" si="1"/>
        <v>1.0038610038610039E-2</v>
      </c>
      <c r="AE13" s="27">
        <f t="shared" si="2"/>
        <v>-1.7606177606177605E-2</v>
      </c>
      <c r="AF13" s="12">
        <f t="shared" si="7"/>
        <v>0</v>
      </c>
      <c r="AG13" s="12">
        <f t="shared" si="7"/>
        <v>0</v>
      </c>
    </row>
    <row r="14" spans="1:41" x14ac:dyDescent="0.2">
      <c r="V14" s="27"/>
      <c r="X14" s="27"/>
      <c r="Z14" s="27"/>
      <c r="AB14" s="27"/>
      <c r="AD14" s="27"/>
      <c r="AE14" s="27"/>
    </row>
    <row r="15" spans="1:41" x14ac:dyDescent="0.2">
      <c r="A15" s="9" t="s">
        <v>36</v>
      </c>
      <c r="B15" s="5">
        <v>5907</v>
      </c>
      <c r="C15" s="5">
        <v>6318</v>
      </c>
      <c r="D15" s="5">
        <v>6231</v>
      </c>
      <c r="E15" s="20">
        <f>24569-D15-C15-B15</f>
        <v>6113</v>
      </c>
      <c r="F15" s="5">
        <v>6280</v>
      </c>
      <c r="G15" s="5">
        <v>6320</v>
      </c>
      <c r="H15" s="5">
        <v>6235</v>
      </c>
      <c r="I15" s="21">
        <f>25242-H15-G15-F15</f>
        <v>6407</v>
      </c>
      <c r="J15" s="5">
        <v>6262</v>
      </c>
      <c r="K15" s="5">
        <v>6308</v>
      </c>
      <c r="L15" s="5">
        <v>8265</v>
      </c>
      <c r="M15" s="21">
        <f>27045-L15-K15-J15</f>
        <v>6210</v>
      </c>
      <c r="N15" s="5">
        <v>6207</v>
      </c>
      <c r="O15" s="5">
        <v>6029</v>
      </c>
      <c r="P15" s="5">
        <v>6116</v>
      </c>
      <c r="Q15" s="21">
        <f>24586-P15-O15-N15</f>
        <v>6234</v>
      </c>
      <c r="R15" s="5">
        <v>6391</v>
      </c>
      <c r="S15" s="5">
        <v>6565</v>
      </c>
      <c r="T15" s="5">
        <v>7019</v>
      </c>
      <c r="U15" s="25">
        <f>27295-T15-S15-R15</f>
        <v>7320</v>
      </c>
      <c r="V15" s="27">
        <f t="shared" si="0"/>
        <v>0.17420596727622714</v>
      </c>
      <c r="W15" s="5">
        <v>13158</v>
      </c>
      <c r="X15" s="27">
        <f>(W15-R15)/R15</f>
        <v>1.0588327335315286</v>
      </c>
      <c r="Y15" s="5">
        <v>6934</v>
      </c>
      <c r="Z15" s="27">
        <f>(Y15-S15)/S15</f>
        <v>5.6207159177456209E-2</v>
      </c>
      <c r="AA15" s="5">
        <v>7123</v>
      </c>
      <c r="AB15" s="27">
        <f>(AA15-T15)/T15</f>
        <v>1.4816925487961248E-2</v>
      </c>
      <c r="AC15" s="5">
        <f>34205-AA15-Y15-W15</f>
        <v>6990</v>
      </c>
      <c r="AD15" s="27">
        <f t="shared" si="1"/>
        <v>-4.7210300429184553E-2</v>
      </c>
      <c r="AE15" s="27">
        <f t="shared" si="2"/>
        <v>-1.9027181688125894E-2</v>
      </c>
    </row>
    <row r="16" spans="1:41" x14ac:dyDescent="0.2">
      <c r="A16" s="9" t="s">
        <v>37</v>
      </c>
      <c r="B16" s="5">
        <v>-112</v>
      </c>
      <c r="C16" s="5">
        <v>202</v>
      </c>
      <c r="D16" s="5">
        <v>52</v>
      </c>
      <c r="E16" s="20">
        <f>191-D16-C16-B16</f>
        <v>49</v>
      </c>
      <c r="F16" s="5">
        <v>39</v>
      </c>
      <c r="G16" s="5">
        <v>83</v>
      </c>
      <c r="H16" s="5">
        <v>-16</v>
      </c>
      <c r="I16" s="21">
        <f>164-H16-G16-F16</f>
        <v>58</v>
      </c>
      <c r="J16" s="5">
        <v>13</v>
      </c>
      <c r="K16" s="5">
        <v>28</v>
      </c>
      <c r="L16" s="5">
        <v>243</v>
      </c>
      <c r="M16" s="21">
        <f>341-L16-K16-J16</f>
        <v>57</v>
      </c>
      <c r="N16" s="5">
        <v>-1373</v>
      </c>
      <c r="O16" s="5">
        <v>80</v>
      </c>
      <c r="P16" s="5">
        <v>97</v>
      </c>
      <c r="Q16" s="21">
        <f>-1139-P16-O16-N16</f>
        <v>57</v>
      </c>
      <c r="R16" s="5">
        <v>100</v>
      </c>
      <c r="S16" s="5">
        <v>103</v>
      </c>
      <c r="T16" s="5">
        <v>127</v>
      </c>
      <c r="U16" s="25">
        <f>418-T16-S16-R16</f>
        <v>88</v>
      </c>
      <c r="V16" s="27">
        <f t="shared" si="0"/>
        <v>0.54385964912280704</v>
      </c>
      <c r="W16" s="5">
        <v>53</v>
      </c>
      <c r="X16" s="27">
        <f>(W16-R16)/R16</f>
        <v>-0.47</v>
      </c>
      <c r="Y16" s="5">
        <v>75</v>
      </c>
      <c r="Z16" s="27">
        <f>(Y16-S16)/S16</f>
        <v>-0.27184466019417475</v>
      </c>
      <c r="AA16" s="5">
        <v>58</v>
      </c>
      <c r="AB16" s="27">
        <f>(AA16-T16)/T16</f>
        <v>-0.54330708661417326</v>
      </c>
      <c r="AC16" s="5">
        <f>252-AA16-Y16-W16</f>
        <v>66</v>
      </c>
      <c r="AD16" s="27">
        <f t="shared" si="1"/>
        <v>-0.33333333333333331</v>
      </c>
      <c r="AE16" s="27">
        <f t="shared" si="2"/>
        <v>0.12121212121212122</v>
      </c>
    </row>
    <row r="17" spans="1:33" x14ac:dyDescent="0.2">
      <c r="A17" s="9"/>
      <c r="V17" s="27"/>
      <c r="X17" s="27"/>
      <c r="Z17" s="27"/>
      <c r="AB17" s="27"/>
      <c r="AD17" s="27"/>
      <c r="AE17" s="27"/>
    </row>
    <row r="18" spans="1:33" x14ac:dyDescent="0.2">
      <c r="A18" s="9" t="s">
        <v>38</v>
      </c>
      <c r="B18" s="5">
        <f>B13-B15+B16</f>
        <v>1322</v>
      </c>
      <c r="C18" s="5">
        <f>C13-C15+C16</f>
        <v>1980</v>
      </c>
      <c r="D18" s="5">
        <f t="shared" ref="D18:AG18" si="8">D13-D15+D16</f>
        <v>1601</v>
      </c>
      <c r="E18" s="5">
        <f t="shared" si="8"/>
        <v>1511</v>
      </c>
      <c r="F18" s="5">
        <f t="shared" si="8"/>
        <v>1400</v>
      </c>
      <c r="G18" s="5">
        <f t="shared" si="8"/>
        <v>1518</v>
      </c>
      <c r="H18" s="5">
        <f t="shared" si="8"/>
        <v>1202</v>
      </c>
      <c r="I18" s="5">
        <f t="shared" si="8"/>
        <v>878</v>
      </c>
      <c r="J18" s="5">
        <f t="shared" si="8"/>
        <v>1013</v>
      </c>
      <c r="K18" s="5">
        <f t="shared" si="8"/>
        <v>1233</v>
      </c>
      <c r="L18" s="5">
        <f t="shared" si="8"/>
        <v>-1584</v>
      </c>
      <c r="M18" s="5">
        <f t="shared" si="8"/>
        <v>651</v>
      </c>
      <c r="N18" s="5">
        <f t="shared" si="8"/>
        <v>-441</v>
      </c>
      <c r="O18" s="5">
        <f t="shared" si="8"/>
        <v>832</v>
      </c>
      <c r="P18" s="5">
        <f t="shared" si="8"/>
        <v>1134</v>
      </c>
      <c r="Q18" s="5">
        <f t="shared" si="8"/>
        <v>817</v>
      </c>
      <c r="R18" s="5">
        <f t="shared" si="8"/>
        <v>1284</v>
      </c>
      <c r="S18" s="5">
        <f t="shared" si="8"/>
        <v>1247</v>
      </c>
      <c r="T18" s="5">
        <f t="shared" si="8"/>
        <v>-320</v>
      </c>
      <c r="U18" s="5">
        <f t="shared" si="8"/>
        <v>-822</v>
      </c>
      <c r="V18" s="27">
        <f t="shared" si="0"/>
        <v>-2.0061199510403918</v>
      </c>
      <c r="W18" s="5">
        <f t="shared" si="8"/>
        <v>-6152</v>
      </c>
      <c r="X18" s="27">
        <f t="shared" ref="X18:X24" si="9">(W18-R18)/R18</f>
        <v>-5.7912772585669785</v>
      </c>
      <c r="Y18" s="5">
        <f t="shared" si="8"/>
        <v>196</v>
      </c>
      <c r="Z18" s="27">
        <f t="shared" ref="Z18:Z24" si="10">(Y18-S18)/S18</f>
        <v>-0.84282277465918198</v>
      </c>
      <c r="AA18" s="5">
        <f t="shared" si="8"/>
        <v>-476</v>
      </c>
      <c r="AB18" s="27">
        <f t="shared" ref="AB18:AB24" si="11">(AA18-T18)/T18</f>
        <v>0.48749999999999999</v>
      </c>
      <c r="AC18" s="5">
        <f t="shared" si="8"/>
        <v>-449</v>
      </c>
      <c r="AD18" s="27">
        <f t="shared" si="1"/>
        <v>-0.83073496659242763</v>
      </c>
      <c r="AE18" s="27">
        <f t="shared" si="2"/>
        <v>-6.0133630289532294E-2</v>
      </c>
      <c r="AF18" s="5">
        <f t="shared" si="8"/>
        <v>0</v>
      </c>
      <c r="AG18" s="5">
        <f t="shared" si="8"/>
        <v>0</v>
      </c>
    </row>
    <row r="19" spans="1:33" x14ac:dyDescent="0.2">
      <c r="A19" s="9" t="s">
        <v>39</v>
      </c>
      <c r="B19" s="5">
        <v>-137</v>
      </c>
      <c r="C19" s="5">
        <v>9</v>
      </c>
      <c r="D19" s="5">
        <v>-4</v>
      </c>
      <c r="E19" s="20">
        <f>177-D19-C19-B19</f>
        <v>309</v>
      </c>
      <c r="F19" s="5">
        <v>26</v>
      </c>
      <c r="G19" s="5">
        <v>19</v>
      </c>
      <c r="H19" s="5">
        <v>182</v>
      </c>
      <c r="I19" s="21">
        <f>233-H19-G19-F19</f>
        <v>6</v>
      </c>
      <c r="J19" s="5">
        <v>35</v>
      </c>
      <c r="K19" s="5">
        <v>25</v>
      </c>
      <c r="L19" s="5">
        <v>-34</v>
      </c>
      <c r="M19" s="21">
        <f>70-L19-K19-J19</f>
        <v>44</v>
      </c>
      <c r="N19" s="5">
        <v>60</v>
      </c>
      <c r="O19" s="5">
        <v>251</v>
      </c>
      <c r="P19" s="5">
        <v>159</v>
      </c>
      <c r="Q19" s="21">
        <f>558-P19-O19-N19</f>
        <v>88</v>
      </c>
      <c r="R19" s="5">
        <v>2617</v>
      </c>
      <c r="S19" s="5">
        <v>-198</v>
      </c>
      <c r="T19" s="5">
        <v>410</v>
      </c>
      <c r="U19" s="25">
        <f>2998-T19-S19-R19</f>
        <v>169</v>
      </c>
      <c r="V19" s="27">
        <f t="shared" si="0"/>
        <v>0.92045454545454541</v>
      </c>
      <c r="W19" s="5">
        <v>992</v>
      </c>
      <c r="X19" s="27">
        <f t="shared" si="9"/>
        <v>-0.62094000764233859</v>
      </c>
      <c r="Y19" s="5">
        <v>552</v>
      </c>
      <c r="Z19" s="27">
        <f t="shared" si="10"/>
        <v>-3.7878787878787881</v>
      </c>
      <c r="AA19" s="5">
        <v>268</v>
      </c>
      <c r="AB19" s="27">
        <f t="shared" si="11"/>
        <v>-0.34634146341463412</v>
      </c>
      <c r="AC19" s="5">
        <f>2043-AA19-Y19-W19</f>
        <v>231</v>
      </c>
      <c r="AD19" s="27">
        <f t="shared" si="1"/>
        <v>0.26839826839826841</v>
      </c>
      <c r="AE19" s="27">
        <f t="shared" si="2"/>
        <v>-0.16017316017316016</v>
      </c>
    </row>
    <row r="20" spans="1:33" x14ac:dyDescent="0.2">
      <c r="A20" s="9" t="s">
        <v>43</v>
      </c>
      <c r="B20" s="5">
        <v>149</v>
      </c>
      <c r="C20" s="5">
        <v>151</v>
      </c>
      <c r="D20" s="5">
        <v>157</v>
      </c>
      <c r="E20" s="20">
        <f>616-D20-C20-B20</f>
        <v>159</v>
      </c>
      <c r="F20" s="5">
        <v>161</v>
      </c>
      <c r="G20" s="5">
        <v>181</v>
      </c>
      <c r="H20" s="5">
        <v>187</v>
      </c>
      <c r="I20" s="21">
        <f>704-H20-G20-F20</f>
        <v>175</v>
      </c>
      <c r="J20" s="5">
        <v>166</v>
      </c>
      <c r="K20" s="5">
        <v>162</v>
      </c>
      <c r="L20" s="5">
        <v>155</v>
      </c>
      <c r="M20" s="21">
        <f>639-L20-K20-J20</f>
        <v>156</v>
      </c>
      <c r="N20" s="5">
        <v>140</v>
      </c>
      <c r="O20" s="5">
        <v>137</v>
      </c>
      <c r="P20" s="5">
        <v>545</v>
      </c>
      <c r="Q20" s="21">
        <f>905-P20-O20-N20</f>
        <v>83</v>
      </c>
      <c r="R20" s="5">
        <v>86</v>
      </c>
      <c r="S20" s="5">
        <v>100</v>
      </c>
      <c r="T20" s="5">
        <v>108</v>
      </c>
      <c r="U20" s="25">
        <f>400-T20-S20-R20</f>
        <v>106</v>
      </c>
      <c r="V20" s="27">
        <f t="shared" si="0"/>
        <v>0.27710843373493976</v>
      </c>
      <c r="W20" s="5">
        <v>110</v>
      </c>
      <c r="X20" s="27">
        <f t="shared" si="9"/>
        <v>0.27906976744186046</v>
      </c>
      <c r="Y20" s="5">
        <v>141</v>
      </c>
      <c r="Z20" s="27">
        <f t="shared" si="10"/>
        <v>0.41</v>
      </c>
      <c r="AA20" s="5">
        <v>173</v>
      </c>
      <c r="AB20" s="27">
        <f t="shared" si="11"/>
        <v>0.60185185185185186</v>
      </c>
      <c r="AC20" s="5">
        <f>580-AA20-Y20-W20</f>
        <v>156</v>
      </c>
      <c r="AD20" s="27">
        <f t="shared" si="1"/>
        <v>0.32051282051282054</v>
      </c>
      <c r="AE20" s="27">
        <f t="shared" si="2"/>
        <v>-0.10897435897435898</v>
      </c>
    </row>
    <row r="21" spans="1:33" x14ac:dyDescent="0.2">
      <c r="A21" s="14" t="s">
        <v>40</v>
      </c>
      <c r="B21" s="5">
        <f>B18+B19-B20</f>
        <v>1036</v>
      </c>
      <c r="C21" s="5">
        <f>C18+C19-C20</f>
        <v>1838</v>
      </c>
      <c r="D21" s="5">
        <f t="shared" ref="D21:AG21" si="12">D18+D19-D20</f>
        <v>1440</v>
      </c>
      <c r="E21" s="5">
        <f t="shared" si="12"/>
        <v>1661</v>
      </c>
      <c r="F21" s="5">
        <f t="shared" si="12"/>
        <v>1265</v>
      </c>
      <c r="G21" s="5">
        <f t="shared" si="12"/>
        <v>1356</v>
      </c>
      <c r="H21" s="5">
        <f t="shared" si="12"/>
        <v>1197</v>
      </c>
      <c r="I21" s="5">
        <f t="shared" si="12"/>
        <v>709</v>
      </c>
      <c r="J21" s="5">
        <f t="shared" si="12"/>
        <v>882</v>
      </c>
      <c r="K21" s="5">
        <f t="shared" si="12"/>
        <v>1096</v>
      </c>
      <c r="L21" s="5">
        <f t="shared" si="12"/>
        <v>-1773</v>
      </c>
      <c r="M21" s="5">
        <f t="shared" si="12"/>
        <v>539</v>
      </c>
      <c r="N21" s="5">
        <f t="shared" si="12"/>
        <v>-521</v>
      </c>
      <c r="O21" s="5">
        <f t="shared" si="12"/>
        <v>946</v>
      </c>
      <c r="P21" s="5">
        <f t="shared" si="12"/>
        <v>748</v>
      </c>
      <c r="Q21" s="5">
        <f t="shared" si="12"/>
        <v>822</v>
      </c>
      <c r="R21" s="5">
        <f t="shared" si="12"/>
        <v>3815</v>
      </c>
      <c r="S21" s="5">
        <f t="shared" si="12"/>
        <v>949</v>
      </c>
      <c r="T21" s="5">
        <f t="shared" si="12"/>
        <v>-18</v>
      </c>
      <c r="U21" s="5">
        <f t="shared" si="12"/>
        <v>-759</v>
      </c>
      <c r="V21" s="27">
        <f t="shared" si="0"/>
        <v>-1.9233576642335766</v>
      </c>
      <c r="W21" s="5">
        <f t="shared" si="12"/>
        <v>-5270</v>
      </c>
      <c r="X21" s="27">
        <f t="shared" si="9"/>
        <v>-2.3813892529488858</v>
      </c>
      <c r="Y21" s="5">
        <f t="shared" si="12"/>
        <v>607</v>
      </c>
      <c r="Z21" s="27">
        <f t="shared" si="10"/>
        <v>-0.36037934668071653</v>
      </c>
      <c r="AA21" s="5">
        <f t="shared" si="12"/>
        <v>-381</v>
      </c>
      <c r="AB21" s="27">
        <f t="shared" si="11"/>
        <v>20.166666666666668</v>
      </c>
      <c r="AC21" s="5">
        <f t="shared" si="12"/>
        <v>-374</v>
      </c>
      <c r="AD21" s="27">
        <f t="shared" si="1"/>
        <v>-1.0294117647058822</v>
      </c>
      <c r="AE21" s="27">
        <f t="shared" si="2"/>
        <v>-1.871657754010695E-2</v>
      </c>
      <c r="AF21" s="5">
        <f t="shared" si="12"/>
        <v>0</v>
      </c>
      <c r="AG21" s="5">
        <f t="shared" si="12"/>
        <v>0</v>
      </c>
    </row>
    <row r="22" spans="1:33" x14ac:dyDescent="0.2">
      <c r="A22" s="14" t="s">
        <v>41</v>
      </c>
      <c r="B22" s="5">
        <v>227</v>
      </c>
      <c r="C22" s="5">
        <v>503</v>
      </c>
      <c r="D22" s="5">
        <v>109</v>
      </c>
      <c r="E22" s="20">
        <f>998-D22-C22-B22</f>
        <v>159</v>
      </c>
      <c r="F22" s="5">
        <v>180</v>
      </c>
      <c r="G22" s="5">
        <v>226</v>
      </c>
      <c r="H22" s="5">
        <v>156</v>
      </c>
      <c r="I22" s="21">
        <f>588-H22-G22-F22</f>
        <v>26</v>
      </c>
      <c r="J22" s="5">
        <v>32</v>
      </c>
      <c r="K22" s="5">
        <v>160</v>
      </c>
      <c r="L22" s="5">
        <v>-40</v>
      </c>
      <c r="M22" s="21">
        <f>360-L22-K22-J22</f>
        <v>208</v>
      </c>
      <c r="N22" s="5">
        <v>-199</v>
      </c>
      <c r="O22" s="5">
        <v>42</v>
      </c>
      <c r="P22" s="5">
        <v>246</v>
      </c>
      <c r="Q22" s="21">
        <f>667-P22-O22-N22</f>
        <v>578</v>
      </c>
      <c r="R22" s="5">
        <v>275</v>
      </c>
      <c r="S22" s="5">
        <v>172</v>
      </c>
      <c r="T22" s="5">
        <v>-242</v>
      </c>
      <c r="U22" s="25">
        <f>-30-T22-S22-R22</f>
        <v>-235</v>
      </c>
      <c r="V22" s="27">
        <f t="shared" si="0"/>
        <v>-1.4065743944636677</v>
      </c>
      <c r="W22" s="5">
        <v>-1447</v>
      </c>
      <c r="X22" s="27">
        <f t="shared" si="9"/>
        <v>-6.2618181818181817</v>
      </c>
      <c r="Y22" s="5">
        <v>70</v>
      </c>
      <c r="Z22" s="27">
        <f t="shared" si="10"/>
        <v>-0.59302325581395354</v>
      </c>
      <c r="AA22" s="5">
        <v>-330</v>
      </c>
      <c r="AB22" s="27">
        <f t="shared" si="11"/>
        <v>0.36363636363636365</v>
      </c>
      <c r="AC22" s="5">
        <f>-1858-AA22-Y22-W22</f>
        <v>-151</v>
      </c>
      <c r="AD22" s="27">
        <f t="shared" si="1"/>
        <v>-0.55629139072847678</v>
      </c>
      <c r="AE22" s="27">
        <f t="shared" si="2"/>
        <v>-1.185430463576159</v>
      </c>
    </row>
    <row r="23" spans="1:33" x14ac:dyDescent="0.2">
      <c r="A23" s="14" t="s">
        <v>44</v>
      </c>
      <c r="B23" s="5">
        <v>13</v>
      </c>
      <c r="C23" s="5">
        <v>14</v>
      </c>
      <c r="D23" s="5">
        <v>15</v>
      </c>
      <c r="E23" s="20">
        <f>54-D23-C23-B23</f>
        <v>12</v>
      </c>
      <c r="F23" s="5">
        <v>15</v>
      </c>
      <c r="G23" s="5">
        <v>9</v>
      </c>
      <c r="H23" s="5">
        <v>-5</v>
      </c>
      <c r="I23" s="21">
        <f>23-H23-G23-F23</f>
        <v>4</v>
      </c>
      <c r="J23" s="5">
        <v>-9</v>
      </c>
      <c r="K23" s="5">
        <v>15</v>
      </c>
      <c r="L23" s="5">
        <v>7</v>
      </c>
      <c r="M23" s="21">
        <f>41-L23-K23-J23</f>
        <v>28</v>
      </c>
      <c r="N23" s="5">
        <v>23</v>
      </c>
      <c r="O23" s="5">
        <v>13</v>
      </c>
      <c r="P23" s="5">
        <v>575</v>
      </c>
      <c r="Q23" s="21">
        <f>627-P23-O23-N23</f>
        <v>16</v>
      </c>
      <c r="R23" s="5">
        <v>-7</v>
      </c>
      <c r="S23" s="5">
        <v>31</v>
      </c>
      <c r="T23" s="5">
        <v>5</v>
      </c>
      <c r="U23" s="25">
        <f>50-T23-S23-R23</f>
        <v>21</v>
      </c>
      <c r="V23" s="27">
        <f t="shared" si="0"/>
        <v>0.3125</v>
      </c>
      <c r="W23" s="5">
        <v>7</v>
      </c>
      <c r="X23" s="27">
        <f t="shared" si="9"/>
        <v>-2</v>
      </c>
      <c r="Y23" s="5">
        <v>6</v>
      </c>
      <c r="Z23" s="27">
        <f t="shared" si="10"/>
        <v>-0.80645161290322576</v>
      </c>
      <c r="AA23" s="5">
        <v>4</v>
      </c>
      <c r="AB23" s="27">
        <f t="shared" si="11"/>
        <v>-0.2</v>
      </c>
      <c r="AC23" s="5">
        <f>33-AA23-Y23-W23</f>
        <v>16</v>
      </c>
      <c r="AD23" s="27">
        <f t="shared" si="1"/>
        <v>-0.3125</v>
      </c>
      <c r="AE23" s="27">
        <f t="shared" si="2"/>
        <v>0.75</v>
      </c>
    </row>
    <row r="24" spans="1:33" s="12" customFormat="1" x14ac:dyDescent="0.2">
      <c r="A24" s="15" t="s">
        <v>42</v>
      </c>
      <c r="B24" s="12">
        <f>B21-B22+B23</f>
        <v>822</v>
      </c>
      <c r="C24" s="12">
        <f>C21-C22+C23</f>
        <v>1349</v>
      </c>
      <c r="D24" s="12">
        <f t="shared" ref="D24:AG24" si="13">D21-D22+D23</f>
        <v>1346</v>
      </c>
      <c r="E24" s="12">
        <f t="shared" si="13"/>
        <v>1514</v>
      </c>
      <c r="F24" s="12">
        <f t="shared" si="13"/>
        <v>1100</v>
      </c>
      <c r="G24" s="12">
        <f t="shared" si="13"/>
        <v>1139</v>
      </c>
      <c r="H24" s="12">
        <f t="shared" si="13"/>
        <v>1036</v>
      </c>
      <c r="I24" s="12">
        <f t="shared" si="13"/>
        <v>687</v>
      </c>
      <c r="J24" s="12">
        <f t="shared" si="13"/>
        <v>841</v>
      </c>
      <c r="K24" s="12">
        <f t="shared" si="13"/>
        <v>951</v>
      </c>
      <c r="L24" s="12">
        <f t="shared" si="13"/>
        <v>-1726</v>
      </c>
      <c r="M24" s="12">
        <f t="shared" si="13"/>
        <v>359</v>
      </c>
      <c r="N24" s="12">
        <f t="shared" si="13"/>
        <v>-299</v>
      </c>
      <c r="O24" s="12">
        <f t="shared" si="13"/>
        <v>917</v>
      </c>
      <c r="P24" s="12">
        <f t="shared" si="13"/>
        <v>1077</v>
      </c>
      <c r="Q24" s="12">
        <f t="shared" si="13"/>
        <v>260</v>
      </c>
      <c r="R24" s="12">
        <f t="shared" si="13"/>
        <v>3533</v>
      </c>
      <c r="S24" s="12">
        <f t="shared" si="13"/>
        <v>808</v>
      </c>
      <c r="T24" s="12">
        <f t="shared" si="13"/>
        <v>229</v>
      </c>
      <c r="U24" s="12">
        <f t="shared" si="13"/>
        <v>-503</v>
      </c>
      <c r="V24" s="27">
        <f t="shared" si="0"/>
        <v>-2.9346153846153844</v>
      </c>
      <c r="W24" s="12">
        <f t="shared" si="13"/>
        <v>-3816</v>
      </c>
      <c r="X24" s="27">
        <f t="shared" si="9"/>
        <v>-2.0801018964053211</v>
      </c>
      <c r="Y24" s="12">
        <f t="shared" si="13"/>
        <v>543</v>
      </c>
      <c r="Z24" s="27">
        <f t="shared" si="10"/>
        <v>-0.32797029702970298</v>
      </c>
      <c r="AA24" s="12">
        <f t="shared" si="13"/>
        <v>-47</v>
      </c>
      <c r="AB24" s="27">
        <f t="shared" si="11"/>
        <v>-1.205240174672489</v>
      </c>
      <c r="AC24" s="12">
        <f t="shared" si="13"/>
        <v>-207</v>
      </c>
      <c r="AD24" s="27">
        <f t="shared" si="1"/>
        <v>-1.4299516908212559</v>
      </c>
      <c r="AE24" s="27">
        <f t="shared" si="2"/>
        <v>0.77294685990338163</v>
      </c>
      <c r="AF24" s="12">
        <f t="shared" si="13"/>
        <v>0</v>
      </c>
      <c r="AG24" s="12">
        <f t="shared" si="13"/>
        <v>0</v>
      </c>
    </row>
    <row r="25" spans="1:33" x14ac:dyDescent="0.2">
      <c r="V25" s="27"/>
      <c r="X25" s="27"/>
      <c r="Z25" s="27"/>
      <c r="AB25" s="27"/>
      <c r="AD25" s="27"/>
      <c r="AE25" s="27"/>
    </row>
    <row r="26" spans="1:33" x14ac:dyDescent="0.2">
      <c r="A26" s="11" t="s">
        <v>45</v>
      </c>
      <c r="V26" s="27"/>
      <c r="X26" s="27"/>
      <c r="Z26" s="27"/>
      <c r="AB26" s="27"/>
      <c r="AD26" s="27"/>
      <c r="AE26" s="27"/>
    </row>
    <row r="27" spans="1:33" x14ac:dyDescent="0.2">
      <c r="A27" s="13" t="s">
        <v>46</v>
      </c>
      <c r="V27" s="27"/>
      <c r="X27" s="27"/>
      <c r="Z27" s="27"/>
      <c r="AB27" s="27"/>
      <c r="AD27" s="27"/>
      <c r="AE27" s="27"/>
    </row>
    <row r="28" spans="1:33" x14ac:dyDescent="0.2">
      <c r="A28" s="16" t="s">
        <v>31</v>
      </c>
      <c r="B28" s="5">
        <v>1830</v>
      </c>
      <c r="C28" s="5">
        <v>1749</v>
      </c>
      <c r="D28" s="5">
        <v>1818</v>
      </c>
      <c r="E28" s="5">
        <v>785</v>
      </c>
      <c r="F28" s="5">
        <v>980</v>
      </c>
      <c r="G28" s="5">
        <v>818</v>
      </c>
      <c r="H28" s="5">
        <v>839</v>
      </c>
      <c r="I28" s="5">
        <v>1023</v>
      </c>
      <c r="J28" s="5">
        <v>811</v>
      </c>
      <c r="K28" s="5">
        <v>792</v>
      </c>
      <c r="L28" s="5">
        <v>768</v>
      </c>
      <c r="M28" s="5">
        <v>516</v>
      </c>
      <c r="N28" s="5">
        <v>1111</v>
      </c>
      <c r="O28" s="5">
        <v>1030</v>
      </c>
      <c r="P28" s="5">
        <v>1345</v>
      </c>
      <c r="Q28" s="5">
        <v>1193</v>
      </c>
      <c r="R28" s="21">
        <v>4135</v>
      </c>
      <c r="S28" s="5">
        <v>1887</v>
      </c>
      <c r="T28" s="5">
        <v>2285</v>
      </c>
      <c r="U28" s="5">
        <v>1358</v>
      </c>
      <c r="V28" s="27">
        <f t="shared" si="0"/>
        <v>0.13830678960603521</v>
      </c>
      <c r="W28" s="5">
        <v>2349</v>
      </c>
      <c r="X28" s="27">
        <f t="shared" ref="X28:X42" si="14">(W28-R28)/R28</f>
        <v>-0.43192261185006048</v>
      </c>
      <c r="Y28" s="5">
        <v>1088</v>
      </c>
      <c r="Z28" s="27">
        <f t="shared" ref="Z28:Z42" si="15">(Y28-S28)/S28</f>
        <v>-0.42342342342342343</v>
      </c>
      <c r="AA28" s="5">
        <v>871</v>
      </c>
      <c r="AB28" s="27">
        <f t="shared" ref="AB28:AB42" si="16">(AA28-T28)/T28</f>
        <v>-0.61881838074398254</v>
      </c>
      <c r="AC28" s="5">
        <v>728</v>
      </c>
      <c r="AD28" s="27">
        <f t="shared" si="1"/>
        <v>-0.86538461538461542</v>
      </c>
      <c r="AE28" s="27">
        <f t="shared" si="2"/>
        <v>-0.19642857142857142</v>
      </c>
    </row>
    <row r="29" spans="1:33" x14ac:dyDescent="0.2">
      <c r="A29" s="24" t="s">
        <v>72</v>
      </c>
      <c r="B29" s="5">
        <v>0</v>
      </c>
      <c r="C29" s="5">
        <v>0</v>
      </c>
      <c r="D29" s="5">
        <v>0</v>
      </c>
      <c r="E29" s="5">
        <v>0</v>
      </c>
      <c r="F29" s="5">
        <v>0</v>
      </c>
      <c r="G29" s="5">
        <v>0</v>
      </c>
      <c r="H29" s="5">
        <v>0</v>
      </c>
      <c r="I29" s="5">
        <v>0</v>
      </c>
      <c r="J29" s="5">
        <v>0</v>
      </c>
      <c r="K29" s="5">
        <v>0</v>
      </c>
      <c r="L29" s="5">
        <v>0</v>
      </c>
      <c r="M29" s="5">
        <v>0</v>
      </c>
      <c r="N29" s="5">
        <v>0</v>
      </c>
      <c r="O29" s="5">
        <v>0</v>
      </c>
      <c r="P29" s="5">
        <v>0</v>
      </c>
      <c r="Q29" s="5">
        <v>0</v>
      </c>
      <c r="R29" s="21">
        <v>0</v>
      </c>
      <c r="S29" s="5">
        <v>0</v>
      </c>
      <c r="T29" s="5">
        <v>2173</v>
      </c>
      <c r="U29" s="5">
        <v>1114</v>
      </c>
      <c r="V29" s="27" t="e">
        <f t="shared" si="0"/>
        <v>#DIV/0!</v>
      </c>
      <c r="W29" s="5">
        <v>1883</v>
      </c>
      <c r="X29" s="27" t="e">
        <f t="shared" si="14"/>
        <v>#DIV/0!</v>
      </c>
      <c r="Y29" s="5">
        <v>752</v>
      </c>
      <c r="Z29" s="27" t="e">
        <f t="shared" si="15"/>
        <v>#DIV/0!</v>
      </c>
      <c r="AA29" s="5">
        <v>99</v>
      </c>
      <c r="AB29" s="27">
        <f t="shared" si="16"/>
        <v>-0.95444086516336857</v>
      </c>
      <c r="AC29" s="5">
        <v>11</v>
      </c>
      <c r="AD29" s="27">
        <f t="shared" si="1"/>
        <v>-100.27272727272727</v>
      </c>
      <c r="AE29" s="27">
        <f t="shared" si="2"/>
        <v>-8</v>
      </c>
    </row>
    <row r="30" spans="1:33" x14ac:dyDescent="0.2">
      <c r="A30" s="16" t="s">
        <v>47</v>
      </c>
      <c r="B30" s="5">
        <v>6858</v>
      </c>
      <c r="C30" s="5">
        <v>7281</v>
      </c>
      <c r="D30" s="5">
        <v>7159</v>
      </c>
      <c r="E30" s="5">
        <v>6573</v>
      </c>
      <c r="F30" s="5">
        <v>7144</v>
      </c>
      <c r="G30" s="5">
        <v>7828</v>
      </c>
      <c r="H30" s="5">
        <v>7239</v>
      </c>
      <c r="I30" s="5">
        <v>7226</v>
      </c>
      <c r="J30" s="5">
        <v>7435</v>
      </c>
      <c r="K30" s="5">
        <v>7572</v>
      </c>
      <c r="L30" s="5">
        <v>6982</v>
      </c>
      <c r="M30" s="5">
        <v>7132</v>
      </c>
      <c r="N30" s="5">
        <v>7869</v>
      </c>
      <c r="O30" s="5">
        <v>4878</v>
      </c>
      <c r="P30" s="5">
        <v>5153</v>
      </c>
      <c r="Q30" s="5">
        <v>5663</v>
      </c>
      <c r="R30" s="5">
        <v>5960</v>
      </c>
      <c r="S30" s="5">
        <v>5328</v>
      </c>
      <c r="T30" s="5">
        <v>5034</v>
      </c>
      <c r="U30" s="5">
        <v>5017</v>
      </c>
      <c r="V30" s="27">
        <f t="shared" si="0"/>
        <v>-0.11407381246689034</v>
      </c>
      <c r="W30" s="5">
        <v>4853</v>
      </c>
      <c r="X30" s="27">
        <f t="shared" si="14"/>
        <v>-0.18573825503355704</v>
      </c>
      <c r="Y30" s="5">
        <v>5730</v>
      </c>
      <c r="Z30" s="27">
        <f t="shared" si="15"/>
        <v>7.5450450450450457E-2</v>
      </c>
      <c r="AA30" s="5">
        <v>5843</v>
      </c>
      <c r="AB30" s="27">
        <f t="shared" si="16"/>
        <v>0.16070719110051648</v>
      </c>
      <c r="AC30" s="5">
        <v>5381</v>
      </c>
      <c r="AD30" s="27">
        <f t="shared" si="1"/>
        <v>6.7645419067087903E-2</v>
      </c>
      <c r="AE30" s="27">
        <f t="shared" si="2"/>
        <v>-8.5857647277457719E-2</v>
      </c>
    </row>
    <row r="31" spans="1:33" x14ac:dyDescent="0.2">
      <c r="A31" s="16" t="s">
        <v>48</v>
      </c>
      <c r="B31" s="5">
        <v>10010</v>
      </c>
      <c r="C31" s="5">
        <v>10316</v>
      </c>
      <c r="D31" s="5">
        <v>9889</v>
      </c>
      <c r="E31" s="5">
        <v>9565</v>
      </c>
      <c r="F31" s="5">
        <v>10976</v>
      </c>
      <c r="G31" s="5">
        <v>10188</v>
      </c>
      <c r="H31" s="5">
        <v>9874</v>
      </c>
      <c r="I31" s="5">
        <v>9333</v>
      </c>
      <c r="J31" s="5">
        <v>10536</v>
      </c>
      <c r="K31" s="5">
        <v>9652</v>
      </c>
      <c r="L31" s="5">
        <v>9563</v>
      </c>
      <c r="M31" s="5">
        <v>9451</v>
      </c>
      <c r="N31" s="5">
        <v>11180</v>
      </c>
      <c r="O31" s="5">
        <v>8541</v>
      </c>
      <c r="P31" s="21">
        <v>8333</v>
      </c>
      <c r="Q31" s="5">
        <v>8159</v>
      </c>
      <c r="R31" s="5">
        <v>9475</v>
      </c>
      <c r="S31" s="5">
        <v>8947</v>
      </c>
      <c r="T31" s="5">
        <v>8520</v>
      </c>
      <c r="U31" s="5">
        <v>8353</v>
      </c>
      <c r="V31" s="27">
        <f t="shared" si="0"/>
        <v>2.3777423703885279E-2</v>
      </c>
      <c r="W31" s="5">
        <v>9322</v>
      </c>
      <c r="X31" s="27">
        <f t="shared" si="14"/>
        <v>-1.6147757255936677E-2</v>
      </c>
      <c r="Y31" s="5">
        <v>8757</v>
      </c>
      <c r="Z31" s="27">
        <f t="shared" si="15"/>
        <v>-2.1236168548116687E-2</v>
      </c>
      <c r="AA31" s="5">
        <v>8164</v>
      </c>
      <c r="AB31" s="27">
        <f t="shared" si="16"/>
        <v>-4.1784037558685448E-2</v>
      </c>
      <c r="AC31" s="5">
        <v>8257</v>
      </c>
      <c r="AD31" s="27">
        <f t="shared" si="1"/>
        <v>-1.1626498728351701E-2</v>
      </c>
      <c r="AE31" s="27">
        <f t="shared" si="2"/>
        <v>1.126317064309071E-2</v>
      </c>
    </row>
    <row r="32" spans="1:33" x14ac:dyDescent="0.2">
      <c r="A32" s="16" t="s">
        <v>49</v>
      </c>
      <c r="B32" s="5">
        <v>983</v>
      </c>
      <c r="C32" s="5">
        <v>1012</v>
      </c>
      <c r="D32" s="5">
        <v>1122</v>
      </c>
      <c r="E32" s="5">
        <v>923</v>
      </c>
      <c r="F32" s="5">
        <v>983</v>
      </c>
      <c r="G32" s="5">
        <v>1016</v>
      </c>
      <c r="H32" s="5">
        <v>1070</v>
      </c>
      <c r="I32" s="5">
        <v>1118</v>
      </c>
      <c r="J32" s="5">
        <v>822</v>
      </c>
      <c r="K32" s="5">
        <v>893</v>
      </c>
      <c r="L32" s="5">
        <v>1013</v>
      </c>
      <c r="M32" s="5">
        <v>974</v>
      </c>
      <c r="N32" s="5">
        <v>924</v>
      </c>
      <c r="O32" s="5">
        <v>796</v>
      </c>
      <c r="P32" s="5">
        <v>680</v>
      </c>
      <c r="Q32" s="5">
        <v>800</v>
      </c>
      <c r="R32" s="5">
        <v>745</v>
      </c>
      <c r="S32" s="5">
        <v>662</v>
      </c>
      <c r="T32" s="5">
        <v>859</v>
      </c>
      <c r="U32" s="5">
        <v>1059</v>
      </c>
      <c r="V32" s="27">
        <f t="shared" si="0"/>
        <v>0.32374999999999998</v>
      </c>
      <c r="W32" s="5">
        <v>1115</v>
      </c>
      <c r="X32" s="27">
        <f t="shared" si="14"/>
        <v>0.49664429530201343</v>
      </c>
      <c r="Y32" s="5">
        <v>1362</v>
      </c>
      <c r="Z32" s="27">
        <f t="shared" si="15"/>
        <v>1.0574018126888218</v>
      </c>
      <c r="AA32" s="5">
        <v>1565</v>
      </c>
      <c r="AB32" s="27">
        <f t="shared" si="16"/>
        <v>0.82188591385331777</v>
      </c>
      <c r="AC32" s="5">
        <v>1127</v>
      </c>
      <c r="AD32" s="27">
        <f t="shared" si="1"/>
        <v>6.0337178349600708E-2</v>
      </c>
      <c r="AE32" s="27">
        <f t="shared" si="2"/>
        <v>-0.38864241348713396</v>
      </c>
    </row>
    <row r="33" spans="1:33" hidden="1" x14ac:dyDescent="0.2">
      <c r="A33" s="23" t="s">
        <v>71</v>
      </c>
      <c r="O33" s="5">
        <v>10839</v>
      </c>
      <c r="P33" s="5">
        <v>11097</v>
      </c>
      <c r="Q33" s="5">
        <v>0</v>
      </c>
      <c r="V33" s="27" t="e">
        <f t="shared" si="0"/>
        <v>#DIV/0!</v>
      </c>
      <c r="X33" s="27" t="e">
        <f t="shared" si="14"/>
        <v>#DIV/0!</v>
      </c>
      <c r="Z33" s="27" t="e">
        <f t="shared" si="15"/>
        <v>#DIV/0!</v>
      </c>
      <c r="AB33" s="27" t="e">
        <f t="shared" si="16"/>
        <v>#DIV/0!</v>
      </c>
      <c r="AD33" s="27" t="e">
        <f t="shared" si="1"/>
        <v>#DIV/0!</v>
      </c>
      <c r="AE33" s="27" t="e">
        <f t="shared" si="2"/>
        <v>#DIV/0!</v>
      </c>
    </row>
    <row r="34" spans="1:33" s="12" customFormat="1" x14ac:dyDescent="0.2">
      <c r="A34" s="17" t="s">
        <v>50</v>
      </c>
      <c r="B34" s="12">
        <f>SUM(B28:B32)</f>
        <v>19681</v>
      </c>
      <c r="C34" s="12">
        <f>SUM(C28:C32)</f>
        <v>20358</v>
      </c>
      <c r="D34" s="12">
        <f t="shared" ref="D34:AG34" si="17">SUM(D28:D32)</f>
        <v>19988</v>
      </c>
      <c r="E34" s="12">
        <f t="shared" si="17"/>
        <v>17846</v>
      </c>
      <c r="F34" s="12">
        <f t="shared" si="17"/>
        <v>20083</v>
      </c>
      <c r="G34" s="12">
        <f t="shared" si="17"/>
        <v>19850</v>
      </c>
      <c r="H34" s="12">
        <f t="shared" si="17"/>
        <v>19022</v>
      </c>
      <c r="I34" s="12">
        <f t="shared" si="17"/>
        <v>18700</v>
      </c>
      <c r="J34" s="12">
        <f t="shared" si="17"/>
        <v>19604</v>
      </c>
      <c r="K34" s="12">
        <f t="shared" si="17"/>
        <v>18909</v>
      </c>
      <c r="L34" s="12">
        <f t="shared" si="17"/>
        <v>18326</v>
      </c>
      <c r="M34" s="12">
        <f t="shared" si="17"/>
        <v>18073</v>
      </c>
      <c r="N34" s="12">
        <f t="shared" si="17"/>
        <v>21084</v>
      </c>
      <c r="O34" s="12">
        <f>SUM(O28:O33)</f>
        <v>26084</v>
      </c>
      <c r="P34" s="12">
        <f>SUM(P28:P33)</f>
        <v>26608</v>
      </c>
      <c r="Q34" s="12">
        <f>SUM(Q28:Q33)</f>
        <v>15815</v>
      </c>
      <c r="R34" s="12">
        <f t="shared" si="17"/>
        <v>20315</v>
      </c>
      <c r="S34" s="12">
        <f t="shared" si="17"/>
        <v>16824</v>
      </c>
      <c r="T34" s="12">
        <f t="shared" si="17"/>
        <v>18871</v>
      </c>
      <c r="U34" s="12">
        <f t="shared" si="17"/>
        <v>16901</v>
      </c>
      <c r="V34" s="27">
        <f t="shared" si="0"/>
        <v>6.8668985140689226E-2</v>
      </c>
      <c r="W34" s="12">
        <f t="shared" si="17"/>
        <v>19522</v>
      </c>
      <c r="X34" s="27">
        <f t="shared" si="14"/>
        <v>-3.9035195668225449E-2</v>
      </c>
      <c r="Y34" s="12">
        <f t="shared" si="17"/>
        <v>17689</v>
      </c>
      <c r="Z34" s="27">
        <f t="shared" si="15"/>
        <v>5.1414645744174987E-2</v>
      </c>
      <c r="AA34" s="12">
        <f t="shared" si="17"/>
        <v>16542</v>
      </c>
      <c r="AB34" s="27">
        <f t="shared" si="16"/>
        <v>-0.12341688304806317</v>
      </c>
      <c r="AC34" s="12">
        <f t="shared" si="17"/>
        <v>15504</v>
      </c>
      <c r="AD34" s="27">
        <f t="shared" si="1"/>
        <v>-9.0105779153766774E-2</v>
      </c>
      <c r="AE34" s="27">
        <f t="shared" si="2"/>
        <v>-6.6950464396284826E-2</v>
      </c>
      <c r="AF34" s="12">
        <f t="shared" si="17"/>
        <v>0</v>
      </c>
      <c r="AG34" s="12">
        <f t="shared" si="17"/>
        <v>0</v>
      </c>
    </row>
    <row r="35" spans="1:33" x14ac:dyDescent="0.2">
      <c r="A35" s="14" t="s">
        <v>51</v>
      </c>
      <c r="B35" s="5">
        <v>13693</v>
      </c>
      <c r="C35" s="5">
        <v>14045</v>
      </c>
      <c r="D35" s="5">
        <v>13938</v>
      </c>
      <c r="E35" s="5">
        <v>13911</v>
      </c>
      <c r="F35" s="5">
        <v>13821</v>
      </c>
      <c r="G35" s="5">
        <v>13828</v>
      </c>
      <c r="H35" s="5">
        <v>13717</v>
      </c>
      <c r="I35" s="5">
        <v>13478</v>
      </c>
      <c r="J35" s="5">
        <v>13620</v>
      </c>
      <c r="K35" s="5">
        <v>13482</v>
      </c>
      <c r="L35" s="5">
        <v>13071</v>
      </c>
      <c r="M35" s="5">
        <v>13342</v>
      </c>
      <c r="N35" s="5">
        <v>13277</v>
      </c>
      <c r="O35" s="5">
        <v>12588</v>
      </c>
      <c r="P35" s="5">
        <v>12450</v>
      </c>
      <c r="Q35" s="5">
        <v>12247</v>
      </c>
      <c r="R35" s="5">
        <v>12295</v>
      </c>
      <c r="S35" s="5">
        <v>12207</v>
      </c>
      <c r="T35" s="5">
        <v>11789</v>
      </c>
      <c r="U35" s="5">
        <v>11729</v>
      </c>
      <c r="V35" s="27">
        <f t="shared" si="0"/>
        <v>-4.2296072507552872E-2</v>
      </c>
      <c r="W35" s="5">
        <v>11450</v>
      </c>
      <c r="X35" s="27">
        <f t="shared" si="14"/>
        <v>-6.8727124847498988E-2</v>
      </c>
      <c r="Y35" s="5">
        <v>11576</v>
      </c>
      <c r="Z35" s="27">
        <f t="shared" si="15"/>
        <v>-5.1691652330629966E-2</v>
      </c>
      <c r="AA35" s="5">
        <v>11562</v>
      </c>
      <c r="AB35" s="27">
        <f t="shared" si="16"/>
        <v>-1.9255237933666979E-2</v>
      </c>
      <c r="AC35" s="5">
        <v>11587</v>
      </c>
      <c r="AD35" s="27">
        <f t="shared" si="1"/>
        <v>-1.22551134892552E-2</v>
      </c>
      <c r="AE35" s="27">
        <f t="shared" si="2"/>
        <v>2.1575904030378874E-3</v>
      </c>
    </row>
    <row r="36" spans="1:33" x14ac:dyDescent="0.2">
      <c r="A36" s="22" t="s">
        <v>69</v>
      </c>
      <c r="B36" s="5">
        <v>0</v>
      </c>
      <c r="C36" s="5">
        <v>0</v>
      </c>
      <c r="D36" s="5">
        <v>0</v>
      </c>
      <c r="E36" s="5">
        <v>0</v>
      </c>
      <c r="F36" s="5">
        <v>0</v>
      </c>
      <c r="G36" s="5">
        <v>0</v>
      </c>
      <c r="H36" s="5">
        <v>0</v>
      </c>
      <c r="I36" s="5">
        <v>0</v>
      </c>
      <c r="J36" s="5">
        <v>21674</v>
      </c>
      <c r="K36" s="5">
        <v>21755</v>
      </c>
      <c r="L36" s="5">
        <v>21609</v>
      </c>
      <c r="M36" s="5">
        <v>21724</v>
      </c>
      <c r="N36" s="5">
        <v>21951</v>
      </c>
      <c r="O36" s="5">
        <v>21908</v>
      </c>
      <c r="P36" s="5">
        <v>21874</v>
      </c>
      <c r="Q36" s="5">
        <v>21893</v>
      </c>
      <c r="R36" s="5">
        <v>21826</v>
      </c>
      <c r="S36" s="5">
        <v>21730</v>
      </c>
      <c r="T36" s="5">
        <v>21369</v>
      </c>
      <c r="U36" s="5">
        <v>21259</v>
      </c>
      <c r="V36" s="27">
        <f t="shared" si="0"/>
        <v>-2.8959027999817293E-2</v>
      </c>
      <c r="W36" s="5">
        <v>21240</v>
      </c>
      <c r="X36" s="27">
        <f t="shared" si="14"/>
        <v>-2.6848712544671492E-2</v>
      </c>
      <c r="Y36" s="5">
        <v>22024</v>
      </c>
      <c r="Z36" s="27">
        <f t="shared" si="15"/>
        <v>1.3529682466635986E-2</v>
      </c>
      <c r="AA36" s="5">
        <v>22051</v>
      </c>
      <c r="AB36" s="27">
        <f t="shared" si="16"/>
        <v>3.1915391454911318E-2</v>
      </c>
      <c r="AC36" s="5">
        <v>21667</v>
      </c>
      <c r="AD36" s="27">
        <f t="shared" si="1"/>
        <v>1.8830479531084136E-2</v>
      </c>
      <c r="AE36" s="27">
        <f t="shared" si="2"/>
        <v>-1.7722804264549776E-2</v>
      </c>
    </row>
    <row r="37" spans="1:33" x14ac:dyDescent="0.2">
      <c r="A37" s="14" t="s">
        <v>52</v>
      </c>
      <c r="B37" s="5">
        <v>15931</v>
      </c>
      <c r="C37" s="5">
        <v>17017</v>
      </c>
      <c r="D37" s="5">
        <v>17089</v>
      </c>
      <c r="E37" s="5">
        <v>16914</v>
      </c>
      <c r="F37" s="5">
        <v>16809</v>
      </c>
      <c r="G37" s="5">
        <v>17027</v>
      </c>
      <c r="H37" s="5">
        <v>16717</v>
      </c>
      <c r="I37" s="5">
        <v>16560</v>
      </c>
      <c r="J37" s="5">
        <v>16800</v>
      </c>
      <c r="K37" s="5">
        <v>16788</v>
      </c>
      <c r="L37" s="5">
        <v>14948</v>
      </c>
      <c r="M37" s="5">
        <v>15268</v>
      </c>
      <c r="N37" s="5">
        <v>15299</v>
      </c>
      <c r="O37" s="5">
        <v>12468</v>
      </c>
      <c r="P37" s="5">
        <v>12493</v>
      </c>
      <c r="Q37" s="5">
        <v>12421</v>
      </c>
      <c r="R37" s="5">
        <v>21520</v>
      </c>
      <c r="S37" s="5">
        <v>21958</v>
      </c>
      <c r="T37" s="5">
        <v>21901</v>
      </c>
      <c r="U37" s="5">
        <v>22280</v>
      </c>
      <c r="V37" s="27">
        <f t="shared" si="0"/>
        <v>0.79373641413734808</v>
      </c>
      <c r="W37" s="5">
        <v>22582</v>
      </c>
      <c r="X37" s="27">
        <f t="shared" si="14"/>
        <v>4.9349442379182158E-2</v>
      </c>
      <c r="Y37" s="5">
        <v>28343</v>
      </c>
      <c r="Z37" s="27">
        <f t="shared" si="15"/>
        <v>0.29078240276892248</v>
      </c>
      <c r="AA37" s="5">
        <v>28371</v>
      </c>
      <c r="AB37" s="27">
        <f t="shared" si="16"/>
        <v>0.29542030044290213</v>
      </c>
      <c r="AC37" s="5">
        <v>28187</v>
      </c>
      <c r="AD37" s="27">
        <f t="shared" si="1"/>
        <v>0.20956469294355554</v>
      </c>
      <c r="AE37" s="27">
        <f t="shared" si="2"/>
        <v>-6.5278319792812286E-3</v>
      </c>
    </row>
    <row r="38" spans="1:33" x14ac:dyDescent="0.2">
      <c r="A38" s="14" t="s">
        <v>53</v>
      </c>
      <c r="B38" s="5">
        <v>10588</v>
      </c>
      <c r="C38" s="5">
        <v>12220</v>
      </c>
      <c r="D38" s="5">
        <v>12111</v>
      </c>
      <c r="E38" s="5">
        <v>11783</v>
      </c>
      <c r="F38" s="5">
        <v>11584</v>
      </c>
      <c r="G38" s="5">
        <v>11932</v>
      </c>
      <c r="H38" s="5">
        <v>11325</v>
      </c>
      <c r="I38" s="5">
        <v>10876</v>
      </c>
      <c r="J38" s="5">
        <v>11055</v>
      </c>
      <c r="K38" s="5">
        <v>10929</v>
      </c>
      <c r="L38" s="5">
        <v>10183</v>
      </c>
      <c r="M38" s="5">
        <v>10753</v>
      </c>
      <c r="N38" s="5">
        <v>10706</v>
      </c>
      <c r="O38" s="5">
        <v>10486</v>
      </c>
      <c r="P38" s="5">
        <v>10435</v>
      </c>
      <c r="Q38" s="5">
        <v>9936</v>
      </c>
      <c r="R38" s="5">
        <v>12770</v>
      </c>
      <c r="S38" s="5">
        <v>12352</v>
      </c>
      <c r="T38" s="5">
        <v>11583</v>
      </c>
      <c r="U38" s="5">
        <v>10730</v>
      </c>
      <c r="V38" s="27">
        <f t="shared" si="0"/>
        <v>7.9911433172302732E-2</v>
      </c>
      <c r="W38" s="5">
        <v>10612</v>
      </c>
      <c r="X38" s="27">
        <f t="shared" si="14"/>
        <v>-0.16898981989036804</v>
      </c>
      <c r="Y38" s="5">
        <v>13864</v>
      </c>
      <c r="Z38" s="27">
        <f t="shared" si="15"/>
        <v>0.12240932642487047</v>
      </c>
      <c r="AA38" s="5">
        <v>13578</v>
      </c>
      <c r="AB38" s="27">
        <f t="shared" si="16"/>
        <v>0.17223517223517223</v>
      </c>
      <c r="AC38" s="5">
        <v>13635</v>
      </c>
      <c r="AD38" s="27">
        <f t="shared" si="1"/>
        <v>0.21305463879721306</v>
      </c>
      <c r="AE38" s="27">
        <f t="shared" si="2"/>
        <v>4.1804180418041808E-3</v>
      </c>
    </row>
    <row r="39" spans="1:33" x14ac:dyDescent="0.2">
      <c r="A39" s="14" t="s">
        <v>54</v>
      </c>
      <c r="B39" s="5">
        <v>6028</v>
      </c>
      <c r="C39" s="5">
        <v>6431</v>
      </c>
      <c r="D39" s="5">
        <v>6272</v>
      </c>
      <c r="E39" s="5">
        <v>6610</v>
      </c>
      <c r="F39" s="5">
        <v>6570</v>
      </c>
      <c r="G39" s="5">
        <v>6683</v>
      </c>
      <c r="H39" s="5">
        <v>6673</v>
      </c>
      <c r="I39" s="5">
        <v>6851</v>
      </c>
      <c r="J39" s="5">
        <v>6902</v>
      </c>
      <c r="K39" s="5">
        <v>6921</v>
      </c>
      <c r="L39" s="5">
        <v>7033</v>
      </c>
      <c r="M39" s="5">
        <v>7338</v>
      </c>
      <c r="N39" s="5">
        <v>6019</v>
      </c>
      <c r="O39" s="5">
        <v>6202</v>
      </c>
      <c r="P39" s="5">
        <v>6778</v>
      </c>
      <c r="Q39" s="5">
        <v>6987</v>
      </c>
      <c r="R39" s="5">
        <v>6367</v>
      </c>
      <c r="S39" s="5">
        <v>6247</v>
      </c>
      <c r="T39" s="5">
        <v>5777</v>
      </c>
      <c r="U39" s="5">
        <v>5495</v>
      </c>
      <c r="V39" s="27">
        <f t="shared" si="0"/>
        <v>-0.21353943037068843</v>
      </c>
      <c r="W39" s="5">
        <v>4426</v>
      </c>
      <c r="X39" s="27">
        <f t="shared" si="14"/>
        <v>-0.30485314904978794</v>
      </c>
      <c r="Y39" s="5">
        <v>4069</v>
      </c>
      <c r="Z39" s="27">
        <f t="shared" si="15"/>
        <v>-0.34864735072834963</v>
      </c>
      <c r="AA39" s="5">
        <v>3527</v>
      </c>
      <c r="AB39" s="27">
        <f t="shared" si="16"/>
        <v>-0.38947550631815819</v>
      </c>
      <c r="AC39" s="5">
        <v>3497</v>
      </c>
      <c r="AD39" s="27">
        <f t="shared" si="1"/>
        <v>-0.57134686874463825</v>
      </c>
      <c r="AE39" s="27">
        <f t="shared" si="2"/>
        <v>-8.5787818129825569E-3</v>
      </c>
    </row>
    <row r="40" spans="1:33" x14ac:dyDescent="0.2">
      <c r="A40" s="14" t="s">
        <v>49</v>
      </c>
      <c r="B40" s="5">
        <v>697</v>
      </c>
      <c r="C40" s="5">
        <v>745</v>
      </c>
      <c r="D40" s="5">
        <v>754</v>
      </c>
      <c r="E40" s="5">
        <v>1060</v>
      </c>
      <c r="F40" s="5">
        <v>1074</v>
      </c>
      <c r="G40" s="5">
        <v>1114</v>
      </c>
      <c r="H40" s="5">
        <v>1133</v>
      </c>
      <c r="I40" s="5">
        <v>1133</v>
      </c>
      <c r="J40" s="5">
        <v>1152</v>
      </c>
      <c r="K40" s="5">
        <v>1218</v>
      </c>
      <c r="L40" s="5">
        <v>1274</v>
      </c>
      <c r="M40" s="5">
        <v>677</v>
      </c>
      <c r="N40" s="5">
        <v>831</v>
      </c>
      <c r="O40" s="5">
        <v>1183</v>
      </c>
      <c r="P40" s="5">
        <v>1282</v>
      </c>
      <c r="Q40" s="5">
        <v>1987</v>
      </c>
      <c r="R40" s="5">
        <v>1413</v>
      </c>
      <c r="S40" s="5">
        <v>1366</v>
      </c>
      <c r="T40" s="5">
        <v>1469</v>
      </c>
      <c r="U40" s="5">
        <v>1730</v>
      </c>
      <c r="V40" s="27">
        <f t="shared" si="0"/>
        <v>-0.12934071464519376</v>
      </c>
      <c r="W40" s="5">
        <v>3042</v>
      </c>
      <c r="X40" s="27">
        <f t="shared" si="14"/>
        <v>1.1528662420382165</v>
      </c>
      <c r="Y40" s="5">
        <v>2913</v>
      </c>
      <c r="Z40" s="27">
        <f t="shared" si="15"/>
        <v>1.1325036603221084</v>
      </c>
      <c r="AA40" s="5">
        <v>2973</v>
      </c>
      <c r="AB40" s="27">
        <f t="shared" si="16"/>
        <v>1.0238257317903336</v>
      </c>
      <c r="AC40" s="5">
        <v>2550</v>
      </c>
      <c r="AD40" s="27">
        <f t="shared" si="1"/>
        <v>0.32156862745098042</v>
      </c>
      <c r="AE40" s="27">
        <f t="shared" si="2"/>
        <v>-0.16588235294117648</v>
      </c>
    </row>
    <row r="41" spans="1:33" hidden="1" x14ac:dyDescent="0.2">
      <c r="A41" s="14"/>
      <c r="O41" s="5">
        <v>0</v>
      </c>
      <c r="P41" s="5">
        <v>0</v>
      </c>
      <c r="V41" s="27" t="e">
        <f t="shared" si="0"/>
        <v>#DIV/0!</v>
      </c>
      <c r="X41" s="27" t="e">
        <f t="shared" si="14"/>
        <v>#DIV/0!</v>
      </c>
      <c r="Z41" s="27" t="e">
        <f t="shared" si="15"/>
        <v>#DIV/0!</v>
      </c>
      <c r="AB41" s="27" t="e">
        <f t="shared" si="16"/>
        <v>#DIV/0!</v>
      </c>
      <c r="AD41" s="27" t="e">
        <f t="shared" si="1"/>
        <v>#DIV/0!</v>
      </c>
      <c r="AE41" s="27" t="e">
        <f t="shared" si="2"/>
        <v>#DIV/0!</v>
      </c>
    </row>
    <row r="42" spans="1:33" s="12" customFormat="1" x14ac:dyDescent="0.2">
      <c r="A42" s="17" t="s">
        <v>55</v>
      </c>
      <c r="B42" s="12">
        <f>SUM(B34:B40)</f>
        <v>66618</v>
      </c>
      <c r="C42" s="12">
        <f>SUM(C34:C40)</f>
        <v>70816</v>
      </c>
      <c r="D42" s="12">
        <f t="shared" ref="D42:AG42" si="18">SUM(D34:D40)</f>
        <v>70152</v>
      </c>
      <c r="E42" s="12">
        <f t="shared" si="18"/>
        <v>68124</v>
      </c>
      <c r="F42" s="12">
        <f t="shared" si="18"/>
        <v>69941</v>
      </c>
      <c r="G42" s="12">
        <f t="shared" si="18"/>
        <v>70434</v>
      </c>
      <c r="H42" s="12">
        <f t="shared" si="18"/>
        <v>68587</v>
      </c>
      <c r="I42" s="12">
        <f t="shared" si="18"/>
        <v>67598</v>
      </c>
      <c r="J42" s="12">
        <f t="shared" si="18"/>
        <v>90807</v>
      </c>
      <c r="K42" s="12">
        <f t="shared" si="18"/>
        <v>90002</v>
      </c>
      <c r="L42" s="12">
        <f t="shared" si="18"/>
        <v>86444</v>
      </c>
      <c r="M42" s="12">
        <f t="shared" si="18"/>
        <v>87175</v>
      </c>
      <c r="N42" s="12">
        <f t="shared" si="18"/>
        <v>89167</v>
      </c>
      <c r="O42" s="12">
        <f t="shared" si="18"/>
        <v>90919</v>
      </c>
      <c r="P42" s="12">
        <f t="shared" si="18"/>
        <v>91920</v>
      </c>
      <c r="Q42" s="12">
        <f t="shared" si="18"/>
        <v>81286</v>
      </c>
      <c r="R42" s="12">
        <f t="shared" si="18"/>
        <v>96506</v>
      </c>
      <c r="S42" s="12">
        <f t="shared" si="18"/>
        <v>92684</v>
      </c>
      <c r="T42" s="12">
        <f t="shared" si="18"/>
        <v>92759</v>
      </c>
      <c r="U42" s="12">
        <f t="shared" si="18"/>
        <v>90124</v>
      </c>
      <c r="V42" s="27">
        <f t="shared" si="0"/>
        <v>0.1087272100976798</v>
      </c>
      <c r="W42" s="12">
        <f t="shared" si="18"/>
        <v>92874</v>
      </c>
      <c r="X42" s="27">
        <f t="shared" si="14"/>
        <v>-3.7634965701614405E-2</v>
      </c>
      <c r="Y42" s="12">
        <f t="shared" si="18"/>
        <v>100478</v>
      </c>
      <c r="Z42" s="27">
        <f t="shared" si="15"/>
        <v>8.4092184195761949E-2</v>
      </c>
      <c r="AA42" s="12">
        <f t="shared" si="18"/>
        <v>98604</v>
      </c>
      <c r="AB42" s="27">
        <f t="shared" si="16"/>
        <v>6.3012753479446737E-2</v>
      </c>
      <c r="AC42" s="12">
        <f t="shared" si="18"/>
        <v>96627</v>
      </c>
      <c r="AD42" s="27">
        <f t="shared" si="1"/>
        <v>6.7300030012315396E-2</v>
      </c>
      <c r="AE42" s="27">
        <f t="shared" si="2"/>
        <v>-2.0460119842280109E-2</v>
      </c>
      <c r="AF42" s="12">
        <f t="shared" si="18"/>
        <v>0</v>
      </c>
      <c r="AG42" s="12">
        <f t="shared" si="18"/>
        <v>0</v>
      </c>
    </row>
    <row r="43" spans="1:33" x14ac:dyDescent="0.2">
      <c r="V43" s="27"/>
      <c r="X43" s="27"/>
      <c r="Z43" s="27"/>
      <c r="AB43" s="27"/>
      <c r="AD43" s="27"/>
      <c r="AE43" s="27"/>
    </row>
    <row r="44" spans="1:33" x14ac:dyDescent="0.2">
      <c r="A44" s="11" t="s">
        <v>56</v>
      </c>
      <c r="V44" s="27"/>
      <c r="X44" s="27"/>
      <c r="Z44" s="27"/>
      <c r="AB44" s="27"/>
      <c r="AD44" s="27"/>
      <c r="AE44" s="27"/>
    </row>
    <row r="45" spans="1:33" x14ac:dyDescent="0.2">
      <c r="A45" s="13" t="s">
        <v>57</v>
      </c>
      <c r="V45" s="27"/>
      <c r="X45" s="27"/>
      <c r="Z45" s="27"/>
      <c r="AB45" s="27"/>
      <c r="AD45" s="27"/>
      <c r="AE45" s="27"/>
    </row>
    <row r="46" spans="1:33" x14ac:dyDescent="0.2">
      <c r="A46" s="16" t="s">
        <v>58</v>
      </c>
      <c r="B46" s="5">
        <v>1268</v>
      </c>
      <c r="C46" s="5">
        <v>3140</v>
      </c>
      <c r="D46" s="5">
        <v>2587</v>
      </c>
      <c r="E46" s="5">
        <v>1966</v>
      </c>
      <c r="F46" s="5">
        <v>4344</v>
      </c>
      <c r="G46" s="5">
        <v>5356</v>
      </c>
      <c r="H46" s="5">
        <v>5483</v>
      </c>
      <c r="I46" s="5">
        <v>5738</v>
      </c>
      <c r="J46" s="5">
        <v>6225</v>
      </c>
      <c r="K46" s="5">
        <v>5984</v>
      </c>
      <c r="L46" s="5">
        <v>4379</v>
      </c>
      <c r="M46" s="5">
        <v>3538</v>
      </c>
      <c r="N46" s="5">
        <v>5245</v>
      </c>
      <c r="O46" s="5">
        <v>5161</v>
      </c>
      <c r="P46" s="5">
        <v>7963</v>
      </c>
      <c r="Q46" s="5">
        <v>1305</v>
      </c>
      <c r="R46" s="5">
        <v>2647</v>
      </c>
      <c r="S46" s="5">
        <v>2105</v>
      </c>
      <c r="T46" s="5">
        <v>2787</v>
      </c>
      <c r="U46" s="5">
        <v>1059</v>
      </c>
      <c r="V46" s="27">
        <f t="shared" si="0"/>
        <v>-0.18850574712643678</v>
      </c>
      <c r="W46" s="5">
        <v>3938</v>
      </c>
      <c r="X46" s="27">
        <f t="shared" ref="X46:X58" si="19">(W46-R46)/R46</f>
        <v>0.48772194937665281</v>
      </c>
      <c r="Y46" s="5">
        <v>4222</v>
      </c>
      <c r="Z46" s="27">
        <f t="shared" ref="Z46:Z58" si="20">(Y46-S46)/S46</f>
        <v>1.0057007125890736</v>
      </c>
      <c r="AA46" s="5">
        <v>3061</v>
      </c>
      <c r="AB46" s="27">
        <f t="shared" ref="AB46:AB58" si="21">(AA46-T46)/T46</f>
        <v>9.8313598851811984E-2</v>
      </c>
      <c r="AC46" s="5">
        <v>917</v>
      </c>
      <c r="AD46" s="27">
        <f t="shared" si="1"/>
        <v>-0.15485278080697928</v>
      </c>
      <c r="AE46" s="27">
        <f t="shared" si="2"/>
        <v>-2.3380588876772084</v>
      </c>
    </row>
    <row r="47" spans="1:33" x14ac:dyDescent="0.2">
      <c r="A47" s="16" t="s">
        <v>59</v>
      </c>
      <c r="B47" s="5">
        <v>13570</v>
      </c>
      <c r="C47" s="5">
        <v>13301</v>
      </c>
      <c r="D47" s="5">
        <v>13089</v>
      </c>
      <c r="E47" s="5">
        <v>13566</v>
      </c>
      <c r="F47" s="5">
        <v>14660</v>
      </c>
      <c r="G47" s="5">
        <v>14348</v>
      </c>
      <c r="H47" s="5">
        <v>14130</v>
      </c>
      <c r="I47" s="5">
        <v>14341</v>
      </c>
      <c r="J47" s="5">
        <v>15401</v>
      </c>
      <c r="K47" s="5">
        <v>14968</v>
      </c>
      <c r="L47" s="5">
        <v>14033</v>
      </c>
      <c r="M47" s="5">
        <v>14458</v>
      </c>
      <c r="N47" s="5">
        <v>16212</v>
      </c>
      <c r="O47" s="5">
        <v>11009</v>
      </c>
      <c r="P47" s="5">
        <v>11290</v>
      </c>
      <c r="Q47" s="5">
        <v>11136</v>
      </c>
      <c r="R47" s="5">
        <v>12452</v>
      </c>
      <c r="S47" s="5">
        <v>11178</v>
      </c>
      <c r="T47" s="5">
        <v>11794</v>
      </c>
      <c r="U47" s="5">
        <v>11255</v>
      </c>
      <c r="V47" s="27">
        <f t="shared" si="0"/>
        <v>1.0686063218390805E-2</v>
      </c>
      <c r="W47" s="5">
        <v>12184</v>
      </c>
      <c r="X47" s="27">
        <f t="shared" si="19"/>
        <v>-2.1522646964343077E-2</v>
      </c>
      <c r="Y47" s="5">
        <v>12720</v>
      </c>
      <c r="Z47" s="27">
        <f t="shared" si="20"/>
        <v>0.1379495437466452</v>
      </c>
      <c r="AA47" s="5">
        <v>12029</v>
      </c>
      <c r="AB47" s="27">
        <f t="shared" si="21"/>
        <v>1.9925385789384433E-2</v>
      </c>
      <c r="AC47" s="5">
        <v>12635</v>
      </c>
      <c r="AD47" s="27">
        <f t="shared" si="1"/>
        <v>0.10922041946972695</v>
      </c>
      <c r="AE47" s="27">
        <f t="shared" si="2"/>
        <v>4.7962010288880093E-2</v>
      </c>
    </row>
    <row r="48" spans="1:33" x14ac:dyDescent="0.2">
      <c r="A48" s="23" t="s">
        <v>70</v>
      </c>
      <c r="B48" s="5">
        <v>0</v>
      </c>
      <c r="C48" s="5">
        <v>0</v>
      </c>
      <c r="D48" s="5">
        <v>0</v>
      </c>
      <c r="E48" s="5">
        <v>0</v>
      </c>
      <c r="F48" s="5">
        <v>0</v>
      </c>
      <c r="G48" s="5">
        <v>0</v>
      </c>
      <c r="H48" s="5">
        <v>0</v>
      </c>
      <c r="I48" s="5">
        <v>0</v>
      </c>
      <c r="J48" s="5">
        <v>2288</v>
      </c>
      <c r="K48" s="5">
        <v>2278</v>
      </c>
      <c r="L48" s="5">
        <v>2288</v>
      </c>
      <c r="M48" s="5">
        <v>2426</v>
      </c>
      <c r="N48" s="5">
        <v>2435</v>
      </c>
      <c r="O48" s="5">
        <v>2360</v>
      </c>
      <c r="P48" s="5">
        <v>2327</v>
      </c>
      <c r="Q48" s="5">
        <v>2259</v>
      </c>
      <c r="R48" s="5">
        <v>2266</v>
      </c>
      <c r="S48" s="5">
        <v>2277</v>
      </c>
      <c r="T48" s="5">
        <v>2270</v>
      </c>
      <c r="U48" s="5">
        <v>2286</v>
      </c>
      <c r="V48" s="27">
        <f t="shared" si="0"/>
        <v>1.1952191235059761E-2</v>
      </c>
      <c r="W48" s="5">
        <v>2271</v>
      </c>
      <c r="X48" s="27">
        <f t="shared" si="19"/>
        <v>2.2065313327449248E-3</v>
      </c>
      <c r="Y48" s="5">
        <v>2340</v>
      </c>
      <c r="Z48" s="27">
        <f t="shared" si="20"/>
        <v>2.766798418972332E-2</v>
      </c>
      <c r="AA48" s="5">
        <v>2356</v>
      </c>
      <c r="AB48" s="27">
        <f t="shared" si="21"/>
        <v>3.7885462555066078E-2</v>
      </c>
      <c r="AC48" s="5">
        <v>2347</v>
      </c>
      <c r="AD48" s="27">
        <f t="shared" si="1"/>
        <v>2.5990626331487004E-2</v>
      </c>
      <c r="AE48" s="27">
        <f t="shared" si="2"/>
        <v>-3.8346825734980826E-3</v>
      </c>
    </row>
    <row r="49" spans="1:33" x14ac:dyDescent="0.2">
      <c r="A49" s="16" t="s">
        <v>60</v>
      </c>
      <c r="B49" s="5">
        <v>5183</v>
      </c>
      <c r="C49" s="5">
        <v>5675</v>
      </c>
      <c r="D49" s="5">
        <v>5435</v>
      </c>
      <c r="E49" s="5">
        <v>5862</v>
      </c>
      <c r="F49" s="5">
        <v>5484</v>
      </c>
      <c r="G49" s="5">
        <v>5436</v>
      </c>
      <c r="H49" s="5">
        <v>5185</v>
      </c>
      <c r="I49" s="5">
        <v>5474</v>
      </c>
      <c r="J49" s="5">
        <v>5370</v>
      </c>
      <c r="K49" s="5">
        <v>5408</v>
      </c>
      <c r="L49" s="5">
        <v>5860</v>
      </c>
      <c r="M49" s="5">
        <v>6539</v>
      </c>
      <c r="N49" s="5">
        <v>6320</v>
      </c>
      <c r="O49" s="5">
        <v>6400</v>
      </c>
      <c r="P49" s="5">
        <v>6632</v>
      </c>
      <c r="Q49" s="5">
        <v>7260</v>
      </c>
      <c r="R49" s="5">
        <v>6973</v>
      </c>
      <c r="S49" s="5">
        <v>7006</v>
      </c>
      <c r="T49" s="5">
        <v>7156</v>
      </c>
      <c r="U49" s="5">
        <v>7899</v>
      </c>
      <c r="V49" s="27">
        <f t="shared" si="0"/>
        <v>8.8016528925619841E-2</v>
      </c>
      <c r="W49" s="5">
        <v>9534</v>
      </c>
      <c r="X49" s="27">
        <f t="shared" si="19"/>
        <v>0.36727377025670443</v>
      </c>
      <c r="Y49" s="5">
        <v>8822</v>
      </c>
      <c r="Z49" s="27">
        <f t="shared" si="20"/>
        <v>0.25920639451898375</v>
      </c>
      <c r="AA49" s="5">
        <v>8578</v>
      </c>
      <c r="AB49" s="27">
        <f t="shared" si="21"/>
        <v>0.19871436556735605</v>
      </c>
      <c r="AC49" s="5">
        <v>8426</v>
      </c>
      <c r="AD49" s="27">
        <f t="shared" si="1"/>
        <v>6.2544505103251838E-2</v>
      </c>
      <c r="AE49" s="27">
        <f t="shared" si="2"/>
        <v>-1.8039401851412295E-2</v>
      </c>
    </row>
    <row r="50" spans="1:33" x14ac:dyDescent="0.2">
      <c r="A50" s="16" t="s">
        <v>61</v>
      </c>
      <c r="B50" s="5">
        <v>496</v>
      </c>
      <c r="C50" s="5">
        <v>443</v>
      </c>
      <c r="D50" s="5">
        <v>371</v>
      </c>
      <c r="E50" s="5">
        <v>273</v>
      </c>
      <c r="F50" s="5">
        <v>611</v>
      </c>
      <c r="G50" s="5">
        <v>163</v>
      </c>
      <c r="H50" s="5">
        <v>263</v>
      </c>
      <c r="I50" s="5">
        <v>216</v>
      </c>
      <c r="J50" s="5">
        <v>210</v>
      </c>
      <c r="K50" s="5">
        <v>23</v>
      </c>
      <c r="L50" s="5">
        <v>87</v>
      </c>
      <c r="M50" s="5">
        <v>110</v>
      </c>
      <c r="N50" s="5">
        <v>167</v>
      </c>
      <c r="O50" s="5">
        <v>89</v>
      </c>
      <c r="P50" s="5">
        <v>71</v>
      </c>
      <c r="Q50" s="5">
        <v>94</v>
      </c>
      <c r="R50" s="5">
        <v>110</v>
      </c>
      <c r="S50" s="5">
        <v>132</v>
      </c>
      <c r="T50" s="5">
        <v>60</v>
      </c>
      <c r="U50" s="5">
        <v>84</v>
      </c>
      <c r="V50" s="27">
        <f t="shared" si="0"/>
        <v>-0.10638297872340426</v>
      </c>
      <c r="W50" s="5">
        <v>109</v>
      </c>
      <c r="X50" s="27">
        <f t="shared" si="19"/>
        <v>-9.0909090909090905E-3</v>
      </c>
      <c r="Y50" s="5">
        <v>124</v>
      </c>
      <c r="Z50" s="27">
        <f t="shared" si="20"/>
        <v>-6.0606060606060608E-2</v>
      </c>
      <c r="AA50" s="5">
        <v>146</v>
      </c>
      <c r="AB50" s="27">
        <f t="shared" si="21"/>
        <v>1.4333333333333333</v>
      </c>
      <c r="AC50" s="5">
        <v>209</v>
      </c>
      <c r="AD50" s="27">
        <f t="shared" si="1"/>
        <v>0.59808612440191389</v>
      </c>
      <c r="AE50" s="27">
        <f t="shared" si="2"/>
        <v>0.30143540669856461</v>
      </c>
    </row>
    <row r="51" spans="1:33" hidden="1" x14ac:dyDescent="0.2">
      <c r="A51" s="16"/>
      <c r="O51" s="5">
        <v>6228</v>
      </c>
      <c r="P51" s="5">
        <v>6191</v>
      </c>
      <c r="V51" s="27" t="e">
        <f t="shared" si="0"/>
        <v>#DIV/0!</v>
      </c>
      <c r="X51" s="27" t="e">
        <f t="shared" si="19"/>
        <v>#DIV/0!</v>
      </c>
      <c r="Z51" s="27" t="e">
        <f t="shared" si="20"/>
        <v>#DIV/0!</v>
      </c>
      <c r="AB51" s="27" t="e">
        <f t="shared" si="21"/>
        <v>#DIV/0!</v>
      </c>
      <c r="AD51" s="27" t="e">
        <f t="shared" si="1"/>
        <v>#DIV/0!</v>
      </c>
      <c r="AE51" s="27" t="e">
        <f t="shared" si="2"/>
        <v>#DIV/0!</v>
      </c>
    </row>
    <row r="52" spans="1:33" s="18" customFormat="1" x14ac:dyDescent="0.2">
      <c r="A52" s="17" t="s">
        <v>62</v>
      </c>
      <c r="B52" s="18">
        <f>SUM(B46:B50)</f>
        <v>20517</v>
      </c>
      <c r="C52" s="18">
        <f>SUM(C46:C50)</f>
        <v>22559</v>
      </c>
      <c r="D52" s="18">
        <f t="shared" ref="D52:AG52" si="22">SUM(D46:D50)</f>
        <v>21482</v>
      </c>
      <c r="E52" s="18">
        <f t="shared" si="22"/>
        <v>21667</v>
      </c>
      <c r="F52" s="18">
        <f t="shared" si="22"/>
        <v>25099</v>
      </c>
      <c r="G52" s="18">
        <f t="shared" si="22"/>
        <v>25303</v>
      </c>
      <c r="H52" s="18">
        <f t="shared" si="22"/>
        <v>25061</v>
      </c>
      <c r="I52" s="18">
        <f t="shared" si="22"/>
        <v>25769</v>
      </c>
      <c r="J52" s="18">
        <f t="shared" si="22"/>
        <v>29494</v>
      </c>
      <c r="K52" s="18">
        <f t="shared" si="22"/>
        <v>28661</v>
      </c>
      <c r="L52" s="18">
        <f t="shared" si="22"/>
        <v>26647</v>
      </c>
      <c r="M52" s="18">
        <f t="shared" si="22"/>
        <v>27071</v>
      </c>
      <c r="N52" s="18">
        <f t="shared" si="22"/>
        <v>30379</v>
      </c>
      <c r="O52" s="18">
        <f>SUM(O46:O51)</f>
        <v>31247</v>
      </c>
      <c r="P52" s="18">
        <f>SUM(P46:P51)</f>
        <v>34474</v>
      </c>
      <c r="Q52" s="18">
        <f t="shared" si="22"/>
        <v>22054</v>
      </c>
      <c r="R52" s="18">
        <f t="shared" si="22"/>
        <v>24448</v>
      </c>
      <c r="S52" s="18">
        <f t="shared" si="22"/>
        <v>22698</v>
      </c>
      <c r="T52" s="18">
        <f t="shared" si="22"/>
        <v>24067</v>
      </c>
      <c r="U52" s="18">
        <f t="shared" si="22"/>
        <v>22583</v>
      </c>
      <c r="V52" s="27">
        <f t="shared" si="0"/>
        <v>2.3986578398476469E-2</v>
      </c>
      <c r="W52" s="18">
        <f t="shared" si="22"/>
        <v>28036</v>
      </c>
      <c r="X52" s="27">
        <f t="shared" si="19"/>
        <v>0.14676047120418848</v>
      </c>
      <c r="Y52" s="18">
        <f t="shared" si="22"/>
        <v>28228</v>
      </c>
      <c r="Z52" s="27">
        <f t="shared" si="20"/>
        <v>0.24363380033483126</v>
      </c>
      <c r="AA52" s="18">
        <f t="shared" si="22"/>
        <v>26170</v>
      </c>
      <c r="AB52" s="27">
        <f t="shared" si="21"/>
        <v>8.7381061204138452E-2</v>
      </c>
      <c r="AC52" s="18">
        <f t="shared" si="22"/>
        <v>24534</v>
      </c>
      <c r="AD52" s="27">
        <f t="shared" si="1"/>
        <v>7.9522295589793762E-2</v>
      </c>
      <c r="AE52" s="27">
        <f t="shared" si="2"/>
        <v>-6.6682970571451866E-2</v>
      </c>
      <c r="AF52" s="18">
        <f t="shared" si="22"/>
        <v>0</v>
      </c>
      <c r="AG52" s="18">
        <f t="shared" si="22"/>
        <v>0</v>
      </c>
    </row>
    <row r="53" spans="1:33" x14ac:dyDescent="0.2">
      <c r="A53" s="14" t="s">
        <v>63</v>
      </c>
      <c r="B53" s="5">
        <v>12737</v>
      </c>
      <c r="C53" s="5">
        <v>12532</v>
      </c>
      <c r="D53" s="5">
        <v>12456</v>
      </c>
      <c r="E53" s="5">
        <v>12431</v>
      </c>
      <c r="F53" s="5">
        <v>11646</v>
      </c>
      <c r="G53" s="5">
        <v>12685</v>
      </c>
      <c r="H53" s="5">
        <v>12127</v>
      </c>
      <c r="I53" s="5">
        <v>11098</v>
      </c>
      <c r="J53" s="5">
        <v>10628</v>
      </c>
      <c r="K53" s="5">
        <v>10625</v>
      </c>
      <c r="L53" s="5">
        <v>12111</v>
      </c>
      <c r="M53" s="5">
        <v>12203</v>
      </c>
      <c r="N53" s="5">
        <v>10973</v>
      </c>
      <c r="O53" s="5">
        <v>10998</v>
      </c>
      <c r="P53" s="5">
        <v>7732</v>
      </c>
      <c r="Q53" s="5">
        <v>7675</v>
      </c>
      <c r="R53" s="5">
        <v>11199</v>
      </c>
      <c r="S53" s="5">
        <v>11203</v>
      </c>
      <c r="T53" s="5">
        <v>10670</v>
      </c>
      <c r="U53" s="5">
        <v>10615</v>
      </c>
      <c r="V53" s="27">
        <f t="shared" si="0"/>
        <v>0.38306188925081436</v>
      </c>
      <c r="W53" s="5">
        <v>7789</v>
      </c>
      <c r="X53" s="27">
        <f t="shared" si="19"/>
        <v>-0.30449147245289759</v>
      </c>
      <c r="Y53" s="5">
        <v>8820</v>
      </c>
      <c r="Z53" s="27">
        <f t="shared" si="20"/>
        <v>-0.21271088101401411</v>
      </c>
      <c r="AA53" s="5">
        <v>8841</v>
      </c>
      <c r="AB53" s="27">
        <f t="shared" si="21"/>
        <v>-0.17141518275538895</v>
      </c>
      <c r="AC53" s="5">
        <v>8145</v>
      </c>
      <c r="AD53" s="27">
        <f t="shared" si="1"/>
        <v>-0.30325352977286679</v>
      </c>
      <c r="AE53" s="27">
        <f t="shared" si="2"/>
        <v>-8.5451197053406994E-2</v>
      </c>
    </row>
    <row r="54" spans="1:33" x14ac:dyDescent="0.2">
      <c r="A54" s="22" t="s">
        <v>70</v>
      </c>
      <c r="B54" s="5">
        <v>0</v>
      </c>
      <c r="C54" s="5">
        <v>0</v>
      </c>
      <c r="D54" s="5">
        <v>0</v>
      </c>
      <c r="E54" s="5">
        <v>0</v>
      </c>
      <c r="F54" s="5">
        <v>0</v>
      </c>
      <c r="G54" s="5">
        <v>0</v>
      </c>
      <c r="H54" s="5">
        <v>0</v>
      </c>
      <c r="I54" s="5">
        <v>0</v>
      </c>
      <c r="J54" s="5">
        <v>21894</v>
      </c>
      <c r="K54" s="5">
        <v>21959</v>
      </c>
      <c r="L54" s="5">
        <v>21943</v>
      </c>
      <c r="M54" s="5">
        <v>21973</v>
      </c>
      <c r="N54" s="5">
        <v>22166</v>
      </c>
      <c r="O54" s="5">
        <v>22134</v>
      </c>
      <c r="P54" s="5">
        <v>22088</v>
      </c>
      <c r="Q54" s="5">
        <v>22153</v>
      </c>
      <c r="R54" s="5">
        <v>22103</v>
      </c>
      <c r="S54" s="5">
        <v>21951</v>
      </c>
      <c r="T54" s="5">
        <v>21550</v>
      </c>
      <c r="U54" s="5">
        <v>21517</v>
      </c>
      <c r="V54" s="27">
        <f t="shared" si="0"/>
        <v>-2.8709429874057689E-2</v>
      </c>
      <c r="W54" s="5">
        <v>21514</v>
      </c>
      <c r="X54" s="27">
        <f t="shared" si="19"/>
        <v>-2.6647966339410939E-2</v>
      </c>
      <c r="Y54" s="5">
        <v>22195</v>
      </c>
      <c r="Z54" s="27">
        <f t="shared" si="20"/>
        <v>1.1115666712222678E-2</v>
      </c>
      <c r="AA54" s="5">
        <v>22181</v>
      </c>
      <c r="AB54" s="27">
        <f t="shared" si="21"/>
        <v>2.9280742459396752E-2</v>
      </c>
      <c r="AC54" s="5">
        <v>22124</v>
      </c>
      <c r="AD54" s="27">
        <f t="shared" si="1"/>
        <v>2.7436268305912132E-2</v>
      </c>
      <c r="AE54" s="27">
        <f t="shared" si="2"/>
        <v>-2.57638763333936E-3</v>
      </c>
    </row>
    <row r="55" spans="1:33" x14ac:dyDescent="0.2">
      <c r="A55" s="14" t="s">
        <v>64</v>
      </c>
      <c r="B55" s="5">
        <v>2319</v>
      </c>
      <c r="C55" s="5">
        <v>1946</v>
      </c>
      <c r="D55" s="5">
        <v>1973</v>
      </c>
      <c r="E55" s="5">
        <v>1815</v>
      </c>
      <c r="F55" s="5">
        <v>1793</v>
      </c>
      <c r="G55" s="5">
        <v>1982</v>
      </c>
      <c r="H55" s="5">
        <v>1860</v>
      </c>
      <c r="I55" s="5">
        <v>1785</v>
      </c>
      <c r="J55" s="5">
        <v>1618</v>
      </c>
      <c r="K55" s="5">
        <v>1637</v>
      </c>
      <c r="L55" s="5">
        <v>1538</v>
      </c>
      <c r="M55" s="5">
        <v>1498</v>
      </c>
      <c r="N55" s="5">
        <v>1277</v>
      </c>
      <c r="O55" s="5">
        <v>1232</v>
      </c>
      <c r="P55" s="5">
        <v>1309</v>
      </c>
      <c r="Q55" s="5">
        <v>1850</v>
      </c>
      <c r="R55" s="5">
        <v>1970</v>
      </c>
      <c r="S55" s="5">
        <v>1892</v>
      </c>
      <c r="T55" s="5">
        <v>1578</v>
      </c>
      <c r="U55" s="5">
        <v>1442</v>
      </c>
      <c r="V55" s="27">
        <f t="shared" si="0"/>
        <v>-0.22054054054054054</v>
      </c>
      <c r="W55" s="5">
        <v>1319</v>
      </c>
      <c r="X55" s="27">
        <f t="shared" si="19"/>
        <v>-0.3304568527918782</v>
      </c>
      <c r="Y55" s="5">
        <v>2081</v>
      </c>
      <c r="Z55" s="27">
        <f t="shared" si="20"/>
        <v>9.9894291754756864E-2</v>
      </c>
      <c r="AA55" s="5">
        <v>1657</v>
      </c>
      <c r="AB55" s="27">
        <f t="shared" si="21"/>
        <v>5.0063371356147024E-2</v>
      </c>
      <c r="AC55" s="5">
        <v>1318</v>
      </c>
      <c r="AD55" s="27">
        <f t="shared" si="1"/>
        <v>-9.4081942336874058E-2</v>
      </c>
      <c r="AE55" s="27">
        <f t="shared" si="2"/>
        <v>-0.25720789074355083</v>
      </c>
    </row>
    <row r="56" spans="1:33" x14ac:dyDescent="0.2">
      <c r="A56" s="26" t="s">
        <v>73</v>
      </c>
      <c r="B56" s="5">
        <v>0</v>
      </c>
      <c r="C56" s="5">
        <v>0</v>
      </c>
      <c r="D56" s="5">
        <v>0</v>
      </c>
      <c r="E56" s="5">
        <v>0</v>
      </c>
      <c r="F56" s="5">
        <v>0</v>
      </c>
      <c r="G56" s="5">
        <v>0</v>
      </c>
      <c r="H56" s="5">
        <v>0</v>
      </c>
      <c r="I56" s="5">
        <v>0</v>
      </c>
      <c r="J56" s="5">
        <v>0</v>
      </c>
      <c r="K56" s="5">
        <v>0</v>
      </c>
      <c r="L56" s="5">
        <v>0</v>
      </c>
      <c r="M56" s="5">
        <v>0</v>
      </c>
      <c r="N56" s="5">
        <v>0</v>
      </c>
      <c r="O56" s="5">
        <v>0</v>
      </c>
      <c r="P56" s="5">
        <v>0</v>
      </c>
      <c r="Q56" s="5">
        <v>0</v>
      </c>
      <c r="R56" s="5">
        <v>0</v>
      </c>
      <c r="S56" s="5">
        <v>0</v>
      </c>
      <c r="T56" s="5">
        <v>0</v>
      </c>
      <c r="U56" s="5">
        <v>0</v>
      </c>
      <c r="V56" s="27" t="e">
        <f t="shared" si="0"/>
        <v>#DIV/0!</v>
      </c>
      <c r="W56" s="5">
        <v>6427</v>
      </c>
      <c r="X56" s="27" t="e">
        <f t="shared" si="19"/>
        <v>#DIV/0!</v>
      </c>
      <c r="Y56" s="5">
        <v>6365</v>
      </c>
      <c r="Z56" s="27" t="e">
        <f t="shared" si="20"/>
        <v>#DIV/0!</v>
      </c>
      <c r="AA56" s="5">
        <v>6407</v>
      </c>
      <c r="AB56" s="27" t="e">
        <f t="shared" si="21"/>
        <v>#DIV/0!</v>
      </c>
      <c r="AC56" s="5">
        <v>6261</v>
      </c>
      <c r="AD56" s="27">
        <f t="shared" si="1"/>
        <v>1</v>
      </c>
      <c r="AE56" s="27">
        <f t="shared" si="2"/>
        <v>-2.331895863280626E-2</v>
      </c>
    </row>
    <row r="57" spans="1:33" x14ac:dyDescent="0.2">
      <c r="A57" s="14" t="s">
        <v>49</v>
      </c>
      <c r="B57" s="5">
        <v>4289</v>
      </c>
      <c r="C57" s="5">
        <v>5601</v>
      </c>
      <c r="D57" s="5">
        <v>5771</v>
      </c>
      <c r="E57" s="5">
        <v>5522</v>
      </c>
      <c r="F57" s="5">
        <v>5140</v>
      </c>
      <c r="G57" s="5">
        <v>5053</v>
      </c>
      <c r="H57" s="5">
        <v>4768</v>
      </c>
      <c r="I57" s="5">
        <v>4795</v>
      </c>
      <c r="J57" s="5">
        <v>2861</v>
      </c>
      <c r="K57" s="5">
        <v>2786</v>
      </c>
      <c r="L57" s="5">
        <v>2882</v>
      </c>
      <c r="M57" s="5">
        <v>3294</v>
      </c>
      <c r="N57" s="5">
        <v>3631</v>
      </c>
      <c r="O57" s="5">
        <v>3374</v>
      </c>
      <c r="P57" s="5">
        <v>3410</v>
      </c>
      <c r="Q57" s="5">
        <v>3413</v>
      </c>
      <c r="R57" s="5">
        <v>3422</v>
      </c>
      <c r="S57" s="5">
        <v>3259</v>
      </c>
      <c r="T57" s="5">
        <v>3737</v>
      </c>
      <c r="U57" s="5">
        <v>3560</v>
      </c>
      <c r="V57" s="27">
        <f t="shared" si="0"/>
        <v>4.3070612364488718E-2</v>
      </c>
      <c r="W57" s="5">
        <v>3052</v>
      </c>
      <c r="X57" s="27">
        <f t="shared" si="19"/>
        <v>-0.1081239041496201</v>
      </c>
      <c r="Y57" s="5">
        <v>3193</v>
      </c>
      <c r="Z57" s="27">
        <f t="shared" si="20"/>
        <v>-2.0251610923596196E-2</v>
      </c>
      <c r="AA57" s="5">
        <v>3829</v>
      </c>
      <c r="AB57" s="27">
        <f t="shared" si="21"/>
        <v>2.4618678084024619E-2</v>
      </c>
      <c r="AC57" s="5">
        <v>5757</v>
      </c>
      <c r="AD57" s="27">
        <f t="shared" si="1"/>
        <v>0.38162237276359212</v>
      </c>
      <c r="AE57" s="27">
        <f t="shared" si="2"/>
        <v>0.33489664755949278</v>
      </c>
    </row>
    <row r="58" spans="1:33" s="12" customFormat="1" x14ac:dyDescent="0.2">
      <c r="A58" s="17" t="s">
        <v>65</v>
      </c>
      <c r="B58" s="12">
        <f>SUM(B52:B57)</f>
        <v>39862</v>
      </c>
      <c r="C58" s="12">
        <f>SUM(C52:C57)</f>
        <v>42638</v>
      </c>
      <c r="D58" s="12">
        <f t="shared" ref="D58:AG58" si="23">SUM(D52:D57)</f>
        <v>41682</v>
      </c>
      <c r="E58" s="12">
        <f t="shared" si="23"/>
        <v>41435</v>
      </c>
      <c r="F58" s="12">
        <f t="shared" si="23"/>
        <v>43678</v>
      </c>
      <c r="G58" s="12">
        <f>SUM(G52:G57)</f>
        <v>45023</v>
      </c>
      <c r="H58" s="12">
        <f t="shared" si="23"/>
        <v>43816</v>
      </c>
      <c r="I58" s="12">
        <f t="shared" si="23"/>
        <v>43447</v>
      </c>
      <c r="J58" s="12">
        <f t="shared" si="23"/>
        <v>66495</v>
      </c>
      <c r="K58" s="12">
        <f t="shared" si="23"/>
        <v>65668</v>
      </c>
      <c r="L58" s="12">
        <f t="shared" si="23"/>
        <v>65121</v>
      </c>
      <c r="M58" s="12">
        <f t="shared" si="23"/>
        <v>66039</v>
      </c>
      <c r="N58" s="12">
        <f t="shared" si="23"/>
        <v>68426</v>
      </c>
      <c r="O58" s="12">
        <f t="shared" si="23"/>
        <v>68985</v>
      </c>
      <c r="P58" s="12">
        <f t="shared" si="23"/>
        <v>69013</v>
      </c>
      <c r="Q58" s="12">
        <f t="shared" si="23"/>
        <v>57145</v>
      </c>
      <c r="R58" s="12">
        <f t="shared" si="23"/>
        <v>63142</v>
      </c>
      <c r="S58" s="12">
        <f t="shared" si="23"/>
        <v>61003</v>
      </c>
      <c r="T58" s="12">
        <f t="shared" si="23"/>
        <v>61602</v>
      </c>
      <c r="U58" s="12">
        <f t="shared" si="23"/>
        <v>59717</v>
      </c>
      <c r="V58" s="27">
        <f t="shared" si="0"/>
        <v>4.5008312188292939E-2</v>
      </c>
      <c r="W58" s="12">
        <f t="shared" si="23"/>
        <v>68137</v>
      </c>
      <c r="X58" s="27">
        <f t="shared" si="19"/>
        <v>7.9107408697855625E-2</v>
      </c>
      <c r="Y58" s="12">
        <f t="shared" si="23"/>
        <v>70882</v>
      </c>
      <c r="Z58" s="27">
        <f t="shared" si="20"/>
        <v>0.16194285526941299</v>
      </c>
      <c r="AA58" s="12">
        <f t="shared" si="23"/>
        <v>69085</v>
      </c>
      <c r="AB58" s="27">
        <f t="shared" si="21"/>
        <v>0.12147332878802636</v>
      </c>
      <c r="AC58" s="12">
        <f t="shared" si="23"/>
        <v>68139</v>
      </c>
      <c r="AD58" s="27">
        <f t="shared" si="1"/>
        <v>0.12360028764730918</v>
      </c>
      <c r="AE58" s="27">
        <f t="shared" si="2"/>
        <v>-1.3883385432718413E-2</v>
      </c>
      <c r="AF58" s="12">
        <f t="shared" si="23"/>
        <v>0</v>
      </c>
      <c r="AG58" s="12">
        <f t="shared" si="23"/>
        <v>0</v>
      </c>
    </row>
    <row r="59" spans="1:33" x14ac:dyDescent="0.2">
      <c r="V59" s="27"/>
      <c r="X59" s="27"/>
      <c r="Z59" s="27"/>
      <c r="AB59" s="27"/>
      <c r="AD59" s="27"/>
      <c r="AE59" s="27"/>
    </row>
    <row r="60" spans="1:33" x14ac:dyDescent="0.2">
      <c r="A60" s="9" t="s">
        <v>66</v>
      </c>
      <c r="B60" s="5">
        <f>B42-B58</f>
        <v>26756</v>
      </c>
      <c r="C60" s="5">
        <f>C42-C58</f>
        <v>28178</v>
      </c>
      <c r="D60" s="5">
        <f t="shared" ref="D60:AG60" si="24">D42-D58</f>
        <v>28470</v>
      </c>
      <c r="E60" s="5">
        <f t="shared" si="24"/>
        <v>26689</v>
      </c>
      <c r="F60" s="5">
        <f t="shared" si="24"/>
        <v>26263</v>
      </c>
      <c r="G60" s="5">
        <f t="shared" si="24"/>
        <v>25411</v>
      </c>
      <c r="H60" s="5">
        <f t="shared" si="24"/>
        <v>24771</v>
      </c>
      <c r="I60" s="5">
        <f t="shared" si="24"/>
        <v>24151</v>
      </c>
      <c r="J60" s="5">
        <f t="shared" si="24"/>
        <v>24312</v>
      </c>
      <c r="K60" s="5">
        <f t="shared" si="24"/>
        <v>24334</v>
      </c>
      <c r="L60" s="5">
        <f t="shared" si="24"/>
        <v>21323</v>
      </c>
      <c r="M60" s="5">
        <f t="shared" si="24"/>
        <v>21136</v>
      </c>
      <c r="N60" s="5">
        <f t="shared" si="24"/>
        <v>20741</v>
      </c>
      <c r="O60" s="5">
        <f t="shared" si="24"/>
        <v>21934</v>
      </c>
      <c r="P60" s="5">
        <f t="shared" si="24"/>
        <v>22907</v>
      </c>
      <c r="Q60" s="5">
        <f t="shared" si="24"/>
        <v>24141</v>
      </c>
      <c r="R60" s="5">
        <f t="shared" si="24"/>
        <v>33364</v>
      </c>
      <c r="S60" s="5">
        <f t="shared" si="24"/>
        <v>31681</v>
      </c>
      <c r="T60" s="5">
        <f t="shared" si="24"/>
        <v>31157</v>
      </c>
      <c r="U60" s="5">
        <f t="shared" si="24"/>
        <v>30407</v>
      </c>
      <c r="V60" s="27">
        <f t="shared" si="0"/>
        <v>0.25955842757135167</v>
      </c>
      <c r="W60" s="5">
        <f t="shared" si="24"/>
        <v>24737</v>
      </c>
      <c r="X60" s="27">
        <f t="shared" ref="X60:X68" si="25">(W60-R60)/R60</f>
        <v>-0.25857211365543697</v>
      </c>
      <c r="Y60" s="5">
        <f t="shared" si="24"/>
        <v>29596</v>
      </c>
      <c r="Z60" s="27">
        <f t="shared" ref="Z60:Z68" si="26">(Y60-S60)/S60</f>
        <v>-6.5812316530412557E-2</v>
      </c>
      <c r="AA60" s="5">
        <f>AA42-AA58</f>
        <v>29519</v>
      </c>
      <c r="AB60" s="27">
        <f t="shared" ref="AB60:AB68" si="27">(AA60-T60)/T60</f>
        <v>-5.2572455627948773E-2</v>
      </c>
      <c r="AC60" s="5">
        <f t="shared" si="24"/>
        <v>28488</v>
      </c>
      <c r="AD60" s="27">
        <f t="shared" si="1"/>
        <v>-6.7361696152766076E-2</v>
      </c>
      <c r="AE60" s="27">
        <f t="shared" si="2"/>
        <v>-3.6190676776186467E-2</v>
      </c>
      <c r="AF60" s="5">
        <f t="shared" si="24"/>
        <v>0</v>
      </c>
      <c r="AG60" s="5">
        <f t="shared" si="24"/>
        <v>0</v>
      </c>
    </row>
    <row r="61" spans="1:33" x14ac:dyDescent="0.2">
      <c r="A61" s="9" t="s">
        <v>67</v>
      </c>
      <c r="B61" s="5">
        <f>B7-B8+B9</f>
        <v>85742.636000000013</v>
      </c>
      <c r="C61" s="5">
        <f>C7-C8+C9</f>
        <v>82502.994999999995</v>
      </c>
      <c r="D61" s="5">
        <f t="shared" ref="D61:AG61" si="28">D7-D8+D9</f>
        <v>75303.05</v>
      </c>
      <c r="E61" s="5">
        <f t="shared" si="28"/>
        <v>81829.2</v>
      </c>
      <c r="F61" s="5">
        <f t="shared" si="28"/>
        <v>95565.038</v>
      </c>
      <c r="G61" s="5">
        <f t="shared" si="28"/>
        <v>83479.532999999996</v>
      </c>
      <c r="H61" s="5">
        <f t="shared" si="28"/>
        <v>61729.608000000007</v>
      </c>
      <c r="I61" s="5">
        <f t="shared" si="28"/>
        <v>63086.964999999997</v>
      </c>
      <c r="J61" s="5">
        <f t="shared" si="28"/>
        <v>69240.959999999992</v>
      </c>
      <c r="K61" s="5">
        <f t="shared" si="28"/>
        <v>56337.479999999996</v>
      </c>
      <c r="L61" s="5">
        <f t="shared" si="28"/>
        <v>53311.675999999999</v>
      </c>
      <c r="M61" s="5">
        <f t="shared" si="28"/>
        <v>48694.006000000001</v>
      </c>
      <c r="N61" s="5">
        <f t="shared" si="28"/>
        <v>47997.053</v>
      </c>
      <c r="O61" s="5">
        <f t="shared" si="28"/>
        <v>56617.207999999999</v>
      </c>
      <c r="P61" s="5">
        <f t="shared" si="28"/>
        <v>60006.219999999994</v>
      </c>
      <c r="Q61" s="5">
        <f t="shared" si="28"/>
        <v>51756.799999999996</v>
      </c>
      <c r="R61" s="5">
        <f t="shared" si="28"/>
        <v>48579.479999999996</v>
      </c>
      <c r="S61" s="5">
        <f t="shared" si="28"/>
        <v>51298.068000000007</v>
      </c>
      <c r="T61" s="5">
        <f t="shared" si="28"/>
        <v>46920.716</v>
      </c>
      <c r="U61" s="5">
        <f>U7-U8+U9</f>
        <v>39560.453999999998</v>
      </c>
      <c r="V61" s="27">
        <f t="shared" si="0"/>
        <v>-0.23564721930258437</v>
      </c>
      <c r="W61" s="5">
        <f t="shared" si="28"/>
        <v>43334.400000000001</v>
      </c>
      <c r="X61" s="27">
        <f t="shared" si="25"/>
        <v>-0.10796904371969389</v>
      </c>
      <c r="Y61" s="5">
        <f t="shared" si="28"/>
        <v>41878.601999999999</v>
      </c>
      <c r="Z61" s="27">
        <f t="shared" si="26"/>
        <v>-0.18362223700120647</v>
      </c>
      <c r="AA61" s="5">
        <f t="shared" si="28"/>
        <v>37171.68</v>
      </c>
      <c r="AB61" s="27">
        <f t="shared" si="27"/>
        <v>-0.20777679522196549</v>
      </c>
      <c r="AC61" s="5">
        <f t="shared" si="28"/>
        <v>30165.53</v>
      </c>
      <c r="AD61" s="27">
        <f t="shared" si="1"/>
        <v>-0.31144567988694377</v>
      </c>
      <c r="AE61" s="27">
        <f t="shared" si="2"/>
        <v>-0.23225681763257605</v>
      </c>
      <c r="AF61" s="5">
        <f t="shared" si="28"/>
        <v>0</v>
      </c>
      <c r="AG61" s="5">
        <f t="shared" si="28"/>
        <v>0</v>
      </c>
    </row>
    <row r="62" spans="1:33" x14ac:dyDescent="0.2">
      <c r="A62" s="9" t="s">
        <v>68</v>
      </c>
      <c r="B62" s="19">
        <f>B24/B6</f>
        <v>0.81297596676886552</v>
      </c>
      <c r="C62" s="19">
        <f>C24/C6</f>
        <v>1.3550979407332999</v>
      </c>
      <c r="D62" s="19">
        <f t="shared" ref="D62:AG62" si="29">D24/D6</f>
        <v>1.3527638190954774</v>
      </c>
      <c r="E62" s="19">
        <f t="shared" si="29"/>
        <v>1.521608040201005</v>
      </c>
      <c r="F62" s="19">
        <f t="shared" si="29"/>
        <v>1.156190876602901</v>
      </c>
      <c r="G62" s="19">
        <f t="shared" si="29"/>
        <v>1.2238100354571828</v>
      </c>
      <c r="H62" s="19">
        <f t="shared" si="29"/>
        <v>1.1369622475856014</v>
      </c>
      <c r="I62" s="19">
        <f t="shared" si="29"/>
        <v>0.74390904168922578</v>
      </c>
      <c r="J62" s="19">
        <f t="shared" si="29"/>
        <v>0.94219135110911945</v>
      </c>
      <c r="K62" s="19">
        <f t="shared" si="29"/>
        <v>1.0739695087521175</v>
      </c>
      <c r="L62" s="19">
        <f t="shared" si="29"/>
        <v>-1.9716700936714646</v>
      </c>
      <c r="M62" s="19">
        <f t="shared" si="29"/>
        <v>0.40781551743723732</v>
      </c>
      <c r="N62" s="19">
        <f t="shared" si="29"/>
        <v>-0.34554489772333297</v>
      </c>
      <c r="O62" s="19">
        <f t="shared" si="29"/>
        <v>1.0593807763401109</v>
      </c>
      <c r="P62" s="19">
        <f t="shared" si="29"/>
        <v>1.2422145328719723</v>
      </c>
      <c r="Q62" s="19">
        <f t="shared" si="29"/>
        <v>0.30009233610341646</v>
      </c>
      <c r="R62" s="19">
        <f t="shared" si="29"/>
        <v>4.0721530659289993</v>
      </c>
      <c r="S62" s="19">
        <f t="shared" si="29"/>
        <v>0.93388811835413776</v>
      </c>
      <c r="T62" s="19">
        <f t="shared" si="29"/>
        <v>0.26467868700878411</v>
      </c>
      <c r="U62" s="19">
        <f t="shared" si="29"/>
        <v>-0.58089848712322445</v>
      </c>
      <c r="V62" s="27">
        <f t="shared" si="0"/>
        <v>-2.9357324970906218</v>
      </c>
      <c r="W62" s="19">
        <f t="shared" si="29"/>
        <v>-4.4187123668364983</v>
      </c>
      <c r="X62" s="27">
        <f t="shared" si="25"/>
        <v>-2.0851046842534235</v>
      </c>
      <c r="Y62" s="19">
        <f t="shared" si="29"/>
        <v>0.62890896455872136</v>
      </c>
      <c r="Z62" s="27">
        <f t="shared" si="26"/>
        <v>-0.32656926220766619</v>
      </c>
      <c r="AA62" s="19">
        <f t="shared" si="29"/>
        <v>-5.4398148148148147E-2</v>
      </c>
      <c r="AB62" s="27">
        <f t="shared" si="27"/>
        <v>-1.2055252304706452</v>
      </c>
      <c r="AC62" s="19">
        <f t="shared" si="29"/>
        <v>-0.23986095017381229</v>
      </c>
      <c r="AD62" s="27">
        <f t="shared" si="1"/>
        <v>-1.4218134994557619</v>
      </c>
      <c r="AE62" s="27">
        <f t="shared" si="2"/>
        <v>0.77320965288960464</v>
      </c>
      <c r="AF62" s="19" t="e">
        <f t="shared" si="29"/>
        <v>#DIV/0!</v>
      </c>
      <c r="AG62" s="19" t="e">
        <f t="shared" si="29"/>
        <v>#DIV/0!</v>
      </c>
    </row>
    <row r="63" spans="1:33" x14ac:dyDescent="0.2">
      <c r="A63" s="28" t="s">
        <v>76</v>
      </c>
      <c r="B63" s="30">
        <f>B13/B11</f>
        <v>0.23880936890045543</v>
      </c>
      <c r="C63" s="30">
        <f t="shared" ref="C63:AG63" si="30">C13/C11</f>
        <v>0.24517731140789195</v>
      </c>
      <c r="D63" s="30">
        <f t="shared" si="30"/>
        <v>0.22659754179530495</v>
      </c>
      <c r="E63" s="30">
        <f t="shared" si="30"/>
        <v>0.22651157227438551</v>
      </c>
      <c r="F63" s="30">
        <f t="shared" si="30"/>
        <v>0.22611191666913266</v>
      </c>
      <c r="G63" s="30">
        <f t="shared" si="30"/>
        <v>0.22460032437442076</v>
      </c>
      <c r="H63" s="30">
        <f t="shared" si="30"/>
        <v>0.21546066896013413</v>
      </c>
      <c r="I63" s="30">
        <f t="shared" si="30"/>
        <v>0.21284679271956175</v>
      </c>
      <c r="J63" s="30">
        <f t="shared" si="30"/>
        <v>0.21147965869710825</v>
      </c>
      <c r="K63" s="30">
        <f t="shared" si="30"/>
        <v>0.2097431602456728</v>
      </c>
      <c r="L63" s="30">
        <f t="shared" si="30"/>
        <v>0.1859028038462649</v>
      </c>
      <c r="M63" s="30">
        <f t="shared" si="30"/>
        <v>0.19581546608340289</v>
      </c>
      <c r="N63" s="30">
        <f t="shared" si="30"/>
        <v>0.19662874927699892</v>
      </c>
      <c r="O63" s="30">
        <f t="shared" si="30"/>
        <v>0.2068702522956771</v>
      </c>
      <c r="P63" s="30">
        <f t="shared" si="30"/>
        <v>0.21019688510138113</v>
      </c>
      <c r="Q63" s="30">
        <f t="shared" si="30"/>
        <v>0.23794781070322865</v>
      </c>
      <c r="R63" s="30">
        <f t="shared" si="30"/>
        <v>0.2234447361434766</v>
      </c>
      <c r="S63" s="30">
        <f t="shared" si="30"/>
        <v>0.22837421495437848</v>
      </c>
      <c r="T63" s="30">
        <f t="shared" si="30"/>
        <v>0.20161364542749333</v>
      </c>
      <c r="U63" s="30">
        <f t="shared" si="30"/>
        <v>0.19754075626367532</v>
      </c>
      <c r="V63" s="27">
        <f t="shared" si="0"/>
        <v>-0.16981477711492582</v>
      </c>
      <c r="W63" s="30">
        <f t="shared" si="30"/>
        <v>0.20828590258222995</v>
      </c>
      <c r="X63" s="27">
        <f t="shared" si="25"/>
        <v>-6.7841533539250487E-2</v>
      </c>
      <c r="Y63" s="30">
        <f t="shared" si="30"/>
        <v>0.20236934197693765</v>
      </c>
      <c r="Z63" s="27">
        <f t="shared" si="26"/>
        <v>-0.11386956702899115</v>
      </c>
      <c r="AA63" s="30">
        <f t="shared" si="30"/>
        <v>0.18605110828744881</v>
      </c>
      <c r="AB63" s="27">
        <f t="shared" si="27"/>
        <v>-7.7189900053869623E-2</v>
      </c>
      <c r="AC63" s="30">
        <f t="shared" si="30"/>
        <v>0.18279600248433178</v>
      </c>
      <c r="AD63" s="27">
        <f t="shared" si="1"/>
        <v>-8.0662342605699863E-2</v>
      </c>
      <c r="AE63" s="27">
        <f t="shared" si="2"/>
        <v>-1.7807313939461202E-2</v>
      </c>
      <c r="AF63" s="30" t="e">
        <f t="shared" si="30"/>
        <v>#DIV/0!</v>
      </c>
      <c r="AG63" s="30" t="e">
        <f t="shared" si="30"/>
        <v>#DIV/0!</v>
      </c>
    </row>
    <row r="64" spans="1:33" x14ac:dyDescent="0.2">
      <c r="A64" s="29" t="s">
        <v>77</v>
      </c>
      <c r="B64" s="30">
        <f>B24/B11</f>
        <v>2.6740403383214054E-2</v>
      </c>
      <c r="C64" s="30">
        <f t="shared" ref="C64:AG64" si="31">C24/C11</f>
        <v>4.0852790648375277E-2</v>
      </c>
      <c r="D64" s="30">
        <f t="shared" si="31"/>
        <v>3.9203122269470494E-2</v>
      </c>
      <c r="E64" s="30">
        <f t="shared" si="31"/>
        <v>4.5272411937085102E-2</v>
      </c>
      <c r="F64" s="30">
        <f t="shared" si="31"/>
        <v>3.2551120054449149E-2</v>
      </c>
      <c r="G64" s="30">
        <f t="shared" si="31"/>
        <v>3.2987720111214085E-2</v>
      </c>
      <c r="H64" s="30">
        <f t="shared" si="31"/>
        <v>2.9949986990835765E-2</v>
      </c>
      <c r="I64" s="30">
        <f t="shared" si="31"/>
        <v>2.0233256759144724E-2</v>
      </c>
      <c r="J64" s="30">
        <f t="shared" si="31"/>
        <v>2.4491103410116778E-2</v>
      </c>
      <c r="K64" s="30">
        <f t="shared" si="31"/>
        <v>2.6549413735343384E-2</v>
      </c>
      <c r="L64" s="30">
        <f t="shared" si="31"/>
        <v>-4.9839738962201494E-2</v>
      </c>
      <c r="M64" s="30">
        <f t="shared" si="31"/>
        <v>1.0331827208104296E-2</v>
      </c>
      <c r="N64" s="30">
        <f t="shared" si="31"/>
        <v>-8.2353265210565463E-3</v>
      </c>
      <c r="O64" s="30">
        <f t="shared" si="31"/>
        <v>2.7975228042344185E-2</v>
      </c>
      <c r="P64" s="30">
        <f t="shared" si="31"/>
        <v>3.1648545401116661E-2</v>
      </c>
      <c r="Q64" s="30">
        <f t="shared" si="31"/>
        <v>8.8456435205661217E-3</v>
      </c>
      <c r="R64" s="30">
        <f t="shared" si="31"/>
        <v>0.10421521489041621</v>
      </c>
      <c r="S64" s="30">
        <f t="shared" si="31"/>
        <v>2.3936485365564641E-2</v>
      </c>
      <c r="T64" s="30">
        <f t="shared" si="31"/>
        <v>7.0251863668435747E-3</v>
      </c>
      <c r="U64" s="30">
        <f t="shared" si="31"/>
        <v>-1.550124811242257E-2</v>
      </c>
      <c r="V64" s="27">
        <f t="shared" si="0"/>
        <v>-2.7524160991093716</v>
      </c>
      <c r="W64" s="30">
        <f t="shared" si="31"/>
        <v>-0.11431310286981007</v>
      </c>
      <c r="X64" s="27">
        <f t="shared" si="25"/>
        <v>-2.0968945656352762</v>
      </c>
      <c r="Y64" s="30">
        <f t="shared" si="31"/>
        <v>1.5575698468246227E-2</v>
      </c>
      <c r="Z64" s="27">
        <f t="shared" si="26"/>
        <v>-0.34929049815084207</v>
      </c>
      <c r="AA64" s="30">
        <f t="shared" si="31"/>
        <v>-1.327121276295355E-3</v>
      </c>
      <c r="AB64" s="27">
        <f t="shared" si="27"/>
        <v>-1.1889090490978151</v>
      </c>
      <c r="AC64" s="30">
        <f t="shared" si="31"/>
        <v>-5.8438258709276724E-3</v>
      </c>
      <c r="AD64" s="27">
        <f t="shared" si="1"/>
        <v>-1.6525855586388032</v>
      </c>
      <c r="AE64" s="27">
        <f t="shared" si="2"/>
        <v>0.77290198140611566</v>
      </c>
      <c r="AF64" s="30" t="e">
        <f t="shared" si="31"/>
        <v>#DIV/0!</v>
      </c>
      <c r="AG64" s="30" t="e">
        <f t="shared" si="31"/>
        <v>#DIV/0!</v>
      </c>
    </row>
    <row r="65" spans="1:33" x14ac:dyDescent="0.2">
      <c r="A65" s="28" t="s">
        <v>78</v>
      </c>
      <c r="B65" s="31">
        <f>B12/B11</f>
        <v>0.76119063109954455</v>
      </c>
      <c r="C65" s="31">
        <f t="shared" ref="C65:AG65" si="32">C12/C11</f>
        <v>0.7548226885921081</v>
      </c>
      <c r="D65" s="31">
        <f t="shared" si="32"/>
        <v>0.77340245820469511</v>
      </c>
      <c r="E65" s="31">
        <f t="shared" si="32"/>
        <v>0.77348842772561455</v>
      </c>
      <c r="F65" s="31">
        <f t="shared" si="32"/>
        <v>0.77388808333086734</v>
      </c>
      <c r="G65" s="31">
        <f t="shared" si="32"/>
        <v>0.77539967562557921</v>
      </c>
      <c r="H65" s="31">
        <f t="shared" si="32"/>
        <v>0.78453933103986584</v>
      </c>
      <c r="I65" s="31">
        <f t="shared" si="32"/>
        <v>0.78715320728043825</v>
      </c>
      <c r="J65" s="31">
        <f t="shared" si="32"/>
        <v>0.78852034130289173</v>
      </c>
      <c r="K65" s="31">
        <f t="shared" si="32"/>
        <v>0.79025683975432715</v>
      </c>
      <c r="L65" s="31">
        <f t="shared" si="32"/>
        <v>0.8140971961537351</v>
      </c>
      <c r="M65" s="31">
        <f t="shared" si="32"/>
        <v>0.80418453391659717</v>
      </c>
      <c r="N65" s="31">
        <f t="shared" si="32"/>
        <v>0.80337125072300108</v>
      </c>
      <c r="O65" s="31">
        <f t="shared" si="32"/>
        <v>0.79312974770432287</v>
      </c>
      <c r="P65" s="31">
        <f t="shared" si="32"/>
        <v>0.78980311489861887</v>
      </c>
      <c r="Q65" s="31">
        <f t="shared" si="32"/>
        <v>0.76205218929677132</v>
      </c>
      <c r="R65" s="31">
        <f t="shared" si="32"/>
        <v>0.7765552638565234</v>
      </c>
      <c r="S65" s="31">
        <f t="shared" si="32"/>
        <v>0.77162578504562152</v>
      </c>
      <c r="T65" s="31">
        <f t="shared" si="32"/>
        <v>0.79838635457250662</v>
      </c>
      <c r="U65" s="31">
        <f t="shared" si="32"/>
        <v>0.80245924373632471</v>
      </c>
      <c r="V65" s="27">
        <f t="shared" si="0"/>
        <v>5.3023998890209069E-2</v>
      </c>
      <c r="W65" s="31">
        <f t="shared" si="32"/>
        <v>0.7917140974177701</v>
      </c>
      <c r="X65" s="27">
        <f t="shared" si="25"/>
        <v>1.9520611432037694E-2</v>
      </c>
      <c r="Y65" s="31">
        <f t="shared" si="32"/>
        <v>0.79763065802306232</v>
      </c>
      <c r="Z65" s="27">
        <f t="shared" si="26"/>
        <v>3.3701404853783236E-2</v>
      </c>
      <c r="AA65" s="31">
        <f t="shared" si="32"/>
        <v>0.81394889171255114</v>
      </c>
      <c r="AB65" s="27">
        <f t="shared" si="27"/>
        <v>1.9492488881999278E-2</v>
      </c>
      <c r="AC65" s="31">
        <f t="shared" si="32"/>
        <v>0.81720399751566819</v>
      </c>
      <c r="AD65" s="27">
        <f t="shared" si="1"/>
        <v>1.8042929090126947E-2</v>
      </c>
      <c r="AE65" s="27">
        <f t="shared" si="2"/>
        <v>3.9832230544792988E-3</v>
      </c>
      <c r="AF65" s="31" t="e">
        <f t="shared" si="32"/>
        <v>#DIV/0!</v>
      </c>
      <c r="AG65" s="31" t="e">
        <f t="shared" si="32"/>
        <v>#DIV/0!</v>
      </c>
    </row>
    <row r="66" spans="1:33" x14ac:dyDescent="0.2">
      <c r="A66" s="28" t="s">
        <v>79</v>
      </c>
      <c r="B66" s="31">
        <f>B34/B52</f>
        <v>0.95925330213968907</v>
      </c>
      <c r="C66" s="31">
        <f t="shared" ref="C66:AG66" si="33">C34/C52</f>
        <v>0.90243361851145887</v>
      </c>
      <c r="D66" s="31">
        <f t="shared" si="33"/>
        <v>0.93045340284889677</v>
      </c>
      <c r="E66" s="31">
        <f t="shared" si="33"/>
        <v>0.82364886694050865</v>
      </c>
      <c r="F66" s="31">
        <f t="shared" si="33"/>
        <v>0.80015140045420141</v>
      </c>
      <c r="G66" s="31">
        <f t="shared" si="33"/>
        <v>0.78449195747539813</v>
      </c>
      <c r="H66" s="31">
        <f t="shared" si="33"/>
        <v>0.75902797174893255</v>
      </c>
      <c r="I66" s="31">
        <f t="shared" si="33"/>
        <v>0.72567814040125733</v>
      </c>
      <c r="J66" s="31">
        <f t="shared" si="33"/>
        <v>0.66467756153793989</v>
      </c>
      <c r="K66" s="31">
        <f t="shared" si="33"/>
        <v>0.6597466941139527</v>
      </c>
      <c r="L66" s="31">
        <f t="shared" si="33"/>
        <v>0.6877322024993433</v>
      </c>
      <c r="M66" s="31">
        <f t="shared" si="33"/>
        <v>0.66761479073547336</v>
      </c>
      <c r="N66" s="31">
        <f t="shared" si="33"/>
        <v>0.69403206162151487</v>
      </c>
      <c r="O66" s="31">
        <f t="shared" si="33"/>
        <v>0.83476813774122316</v>
      </c>
      <c r="P66" s="31">
        <f t="shared" si="33"/>
        <v>0.77182804432325813</v>
      </c>
      <c r="Q66" s="31">
        <f t="shared" si="33"/>
        <v>0.71710347329282664</v>
      </c>
      <c r="R66" s="31">
        <f t="shared" si="33"/>
        <v>0.83094731675392675</v>
      </c>
      <c r="S66" s="31">
        <f t="shared" si="33"/>
        <v>0.74121067935500928</v>
      </c>
      <c r="T66" s="31">
        <f t="shared" si="33"/>
        <v>0.78410271325881908</v>
      </c>
      <c r="U66" s="31">
        <f t="shared" si="33"/>
        <v>0.74839481025550192</v>
      </c>
      <c r="V66" s="27">
        <f t="shared" si="0"/>
        <v>4.3635734769196369E-2</v>
      </c>
      <c r="W66" s="31">
        <f t="shared" si="33"/>
        <v>0.69631901840490795</v>
      </c>
      <c r="X66" s="27">
        <f t="shared" si="25"/>
        <v>-0.16201785075248887</v>
      </c>
      <c r="Y66" s="31">
        <f t="shared" si="33"/>
        <v>0.62664730055264273</v>
      </c>
      <c r="Z66" s="27">
        <f t="shared" si="26"/>
        <v>-0.15456250428293605</v>
      </c>
      <c r="AA66" s="31">
        <f t="shared" si="33"/>
        <v>0.63209782193351161</v>
      </c>
      <c r="AB66" s="27">
        <f t="shared" si="27"/>
        <v>-0.19385839221695592</v>
      </c>
      <c r="AC66" s="31">
        <f t="shared" si="33"/>
        <v>0.63193934947419905</v>
      </c>
      <c r="AD66" s="27">
        <f t="shared" si="1"/>
        <v>-0.18428265446391154</v>
      </c>
      <c r="AE66" s="27">
        <f t="shared" si="2"/>
        <v>-2.5077162775891235E-4</v>
      </c>
      <c r="AF66" s="31" t="e">
        <f t="shared" si="33"/>
        <v>#DIV/0!</v>
      </c>
      <c r="AG66" s="31" t="e">
        <f t="shared" si="33"/>
        <v>#DIV/0!</v>
      </c>
    </row>
    <row r="67" spans="1:33" x14ac:dyDescent="0.2">
      <c r="A67" s="28" t="s">
        <v>80</v>
      </c>
      <c r="B67" s="32" t="s">
        <v>82</v>
      </c>
      <c r="C67" s="31">
        <f t="shared" ref="C67:U67" si="34">C12/((C31+B31)/2)</f>
        <v>2.4525238610646465</v>
      </c>
      <c r="D67" s="31">
        <f t="shared" si="34"/>
        <v>2.628458302400396</v>
      </c>
      <c r="E67" s="31">
        <f t="shared" si="34"/>
        <v>2.6592988588465096</v>
      </c>
      <c r="F67" s="31">
        <f t="shared" si="34"/>
        <v>2.5463219901660095</v>
      </c>
      <c r="G67" s="31">
        <f t="shared" si="34"/>
        <v>2.5300510300510299</v>
      </c>
      <c r="H67" s="31">
        <f t="shared" si="34"/>
        <v>2.7054132190210347</v>
      </c>
      <c r="I67" s="31">
        <f t="shared" si="34"/>
        <v>2.7830478471390641</v>
      </c>
      <c r="J67" s="31">
        <f t="shared" si="34"/>
        <v>2.7255523680104687</v>
      </c>
      <c r="K67" s="31">
        <f t="shared" si="34"/>
        <v>2.8043392114127204</v>
      </c>
      <c r="L67" s="31">
        <f t="shared" si="34"/>
        <v>2.9344782721831901</v>
      </c>
      <c r="M67" s="31">
        <f t="shared" si="34"/>
        <v>2.9392026927527084</v>
      </c>
      <c r="N67" s="31">
        <f t="shared" si="34"/>
        <v>2.8275895497067518</v>
      </c>
      <c r="O67" s="31">
        <f t="shared" si="34"/>
        <v>2.6365802951168806</v>
      </c>
      <c r="P67" s="31">
        <f t="shared" si="34"/>
        <v>3.1856109991703212</v>
      </c>
      <c r="Q67" s="31">
        <f t="shared" si="34"/>
        <v>2.7163473199126851</v>
      </c>
      <c r="R67" s="31">
        <f t="shared" si="34"/>
        <v>2.9858228422365882</v>
      </c>
      <c r="S67" s="31">
        <f t="shared" si="34"/>
        <v>2.8278145695364238</v>
      </c>
      <c r="T67" s="31">
        <f t="shared" si="34"/>
        <v>2.979904963645732</v>
      </c>
      <c r="U67" s="31">
        <f t="shared" si="34"/>
        <v>3.0864695074971848</v>
      </c>
      <c r="V67" s="27">
        <f t="shared" si="0"/>
        <v>0.13625731322031273</v>
      </c>
      <c r="W67" s="31">
        <f t="shared" ref="W67" si="35">W12/((W31+U31)/2)</f>
        <v>2.9905516265912304</v>
      </c>
      <c r="X67" s="27">
        <f t="shared" si="25"/>
        <v>1.583745789519114E-3</v>
      </c>
      <c r="Y67" s="31">
        <f>Y12/((Y31+W31)/2)</f>
        <v>3.0761657171303725</v>
      </c>
      <c r="Z67" s="27">
        <f t="shared" si="26"/>
        <v>8.7824410507461925E-2</v>
      </c>
      <c r="AA67" s="31">
        <f>AA12/((AA31+Y31)/2)</f>
        <v>3.4071272383428877</v>
      </c>
      <c r="AB67" s="27">
        <f t="shared" si="27"/>
        <v>0.14336775162603685</v>
      </c>
      <c r="AC67" s="31">
        <f>AC12/((AC31+AA31)/2)</f>
        <v>3.5256074538700446</v>
      </c>
      <c r="AD67" s="27">
        <f t="shared" si="1"/>
        <v>0.12455667629441271</v>
      </c>
      <c r="AE67" s="27">
        <f t="shared" si="2"/>
        <v>3.3605617493547582E-2</v>
      </c>
    </row>
    <row r="68" spans="1:33" x14ac:dyDescent="0.2">
      <c r="A68" s="28" t="s">
        <v>81</v>
      </c>
      <c r="B68" s="32" t="s">
        <v>82</v>
      </c>
      <c r="C68" s="5">
        <f t="shared" ref="C68" si="36">90/C67</f>
        <v>36.696890672016046</v>
      </c>
      <c r="D68" s="5">
        <f t="shared" ref="D68" si="37">90/D67</f>
        <v>34.240604052120204</v>
      </c>
      <c r="E68" s="5">
        <f t="shared" ref="E68" si="38">90/E67</f>
        <v>33.843507171299343</v>
      </c>
      <c r="F68" s="5">
        <f t="shared" ref="F68" si="39">90/F67</f>
        <v>35.345097889262775</v>
      </c>
      <c r="G68" s="5">
        <f t="shared" ref="G68" si="40">90/G67</f>
        <v>35.572405034923243</v>
      </c>
      <c r="H68" s="5">
        <f t="shared" ref="H68" si="41">90/H67</f>
        <v>33.266637187707275</v>
      </c>
      <c r="I68" s="5">
        <f t="shared" ref="I68" si="42">90/I67</f>
        <v>32.338646312717472</v>
      </c>
      <c r="J68" s="5">
        <f t="shared" ref="J68" si="43">90/J67</f>
        <v>33.020829486279865</v>
      </c>
      <c r="K68" s="5">
        <f t="shared" ref="K68" si="44">90/K67</f>
        <v>32.093121842653758</v>
      </c>
      <c r="L68" s="5">
        <f t="shared" ref="L68" si="45">90/L67</f>
        <v>30.669847125172915</v>
      </c>
      <c r="M68" s="5">
        <f t="shared" ref="M68" si="46">90/M67</f>
        <v>30.620548974698494</v>
      </c>
      <c r="N68" s="5">
        <f t="shared" ref="N68" si="47">90/N67</f>
        <v>31.82923066374109</v>
      </c>
      <c r="O68" s="5">
        <f t="shared" ref="O68" si="48">90/O67</f>
        <v>34.135125778906065</v>
      </c>
      <c r="P68" s="5">
        <f t="shared" ref="P68" si="49">90/P67</f>
        <v>28.252037057707334</v>
      </c>
      <c r="Q68" s="5">
        <f t="shared" ref="Q68" si="50">90/Q67</f>
        <v>33.132729139693737</v>
      </c>
      <c r="R68" s="5">
        <f t="shared" ref="R68" si="51">90/R67</f>
        <v>30.142444731444201</v>
      </c>
      <c r="S68" s="5">
        <f t="shared" ref="S68" si="52">90/S67</f>
        <v>31.826697892271664</v>
      </c>
      <c r="T68" s="5">
        <f t="shared" ref="T68" si="53">90/T67</f>
        <v>30.202305475504321</v>
      </c>
      <c r="U68" s="5">
        <f t="shared" ref="U68" si="54">90/U67</f>
        <v>29.159529935865432</v>
      </c>
      <c r="V68" s="27">
        <f t="shared" si="0"/>
        <v>-0.11991765565331365</v>
      </c>
      <c r="W68" s="5">
        <f t="shared" ref="W68:Y68" si="55">90/W67</f>
        <v>30.094782246774379</v>
      </c>
      <c r="X68" s="27">
        <f t="shared" si="25"/>
        <v>-1.58124150494338E-3</v>
      </c>
      <c r="Y68" s="5">
        <f t="shared" si="55"/>
        <v>29.257201424101844</v>
      </c>
      <c r="Z68" s="27">
        <f t="shared" si="26"/>
        <v>-8.07339949895889E-2</v>
      </c>
      <c r="AA68" s="5">
        <f>90/AA67</f>
        <v>26.415215430514117</v>
      </c>
      <c r="AB68" s="27">
        <f t="shared" si="27"/>
        <v>-0.12539076025377388</v>
      </c>
      <c r="AC68" s="5">
        <f>90/AC67</f>
        <v>25.527515804746606</v>
      </c>
      <c r="AD68" s="27">
        <f t="shared" si="1"/>
        <v>-0.14227840103593184</v>
      </c>
      <c r="AE68" s="27">
        <f t="shared" si="2"/>
        <v>-3.4774226860039816E-2</v>
      </c>
    </row>
  </sheetData>
  <pageMargins left="0.7" right="0.7" top="0.75" bottom="0.75" header="0.3" footer="0.3"/>
  <pageSetup orientation="portrait" r:id="rId1"/>
  <ignoredErrors>
    <ignoredError sqref="AD5:AD66"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2.xml><?xml version="1.0" encoding="utf-8"?>
<ds:datastoreItem xmlns:ds="http://schemas.openxmlformats.org/officeDocument/2006/customXml" ds:itemID="{82AF3359-AA7B-4C3F-BB32-4122371AAA35}">
  <ds:schemaRefs>
    <ds:schemaRef ds:uri="http://schemas.openxmlformats.org/package/2006/metadata/core-properties"/>
    <ds:schemaRef ds:uri="http://schemas.microsoft.com/office/infopath/2007/PartnerControls"/>
    <ds:schemaRef ds:uri="http://schemas.microsoft.com/office/2006/metadata/properties"/>
    <ds:schemaRef ds:uri="http://purl.org/dc/elements/1.1/"/>
    <ds:schemaRef ds:uri="http://purl.org/dc/dcmitype/"/>
    <ds:schemaRef ds:uri="http://schemas.microsoft.com/office/2006/documentManagement/types"/>
    <ds:schemaRef ds:uri="36567613-e428-4167-ab55-a4f66cede826"/>
    <ds:schemaRef ds:uri="http://www.w3.org/XML/1998/namespace"/>
    <ds:schemaRef ds:uri="http://purl.org/dc/terms/"/>
  </ds:schemaRefs>
</ds:datastoreItem>
</file>

<file path=customXml/itemProps3.xml><?xml version="1.0" encoding="utf-8"?>
<ds:datastoreItem xmlns:ds="http://schemas.openxmlformats.org/officeDocument/2006/customXml" ds:itemID="{1C974B17-DE1B-4009-8DB7-E95764209D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Abraham Gonzalez Herrera</cp:lastModifiedBy>
  <dcterms:created xsi:type="dcterms:W3CDTF">2023-02-21T16:55:27Z</dcterms:created>
  <dcterms:modified xsi:type="dcterms:W3CDTF">2024-01-15T18:28:33Z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