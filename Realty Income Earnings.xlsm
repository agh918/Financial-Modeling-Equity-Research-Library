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832" documentId="8_{1B347744-A6F5-4F92-BEC9-000C39563A75}" xr6:coauthVersionLast="47" xr6:coauthVersionMax="47" xr10:uidLastSave="{17F560B7-A7CA-4FFD-A8F5-C567C5ADA75B}"/>
  <bookViews>
    <workbookView xWindow="-98" yWindow="-98" windowWidth="21795" windowHeight="12975"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69" i="1" l="1"/>
  <c r="AE68" i="1"/>
  <c r="AE67" i="1"/>
  <c r="AE66" i="1"/>
  <c r="AE65" i="1"/>
  <c r="AE64" i="1"/>
  <c r="AE63" i="1"/>
  <c r="AE62" i="1"/>
  <c r="AE61" i="1"/>
  <c r="AE59" i="1"/>
  <c r="AE58" i="1"/>
  <c r="AE57" i="1"/>
  <c r="AE56" i="1"/>
  <c r="AE55" i="1"/>
  <c r="AE54" i="1"/>
  <c r="AE53" i="1"/>
  <c r="AE52" i="1"/>
  <c r="AE51" i="1"/>
  <c r="AE50" i="1"/>
  <c r="AE46" i="1"/>
  <c r="AE45" i="1"/>
  <c r="AE44" i="1"/>
  <c r="AE43" i="1"/>
  <c r="AE42" i="1"/>
  <c r="AE41" i="1"/>
  <c r="AE40" i="1"/>
  <c r="AE39" i="1"/>
  <c r="AE38" i="1"/>
  <c r="AE37" i="1"/>
  <c r="AE36" i="1"/>
  <c r="AE32" i="1"/>
  <c r="AE31" i="1"/>
  <c r="AE30" i="1"/>
  <c r="AE29" i="1"/>
  <c r="AE28" i="1"/>
  <c r="AE27" i="1"/>
  <c r="AE26" i="1"/>
  <c r="AE25" i="1"/>
  <c r="AE23" i="1"/>
  <c r="AE22" i="1"/>
  <c r="AE21" i="1"/>
  <c r="AE20" i="1"/>
  <c r="AE19" i="1"/>
  <c r="AE18" i="1"/>
  <c r="AE17" i="1"/>
  <c r="AE14" i="1"/>
  <c r="AE13" i="1"/>
  <c r="AE12" i="1"/>
  <c r="AE9" i="1"/>
  <c r="AE8" i="1"/>
  <c r="AE7" i="1"/>
  <c r="AE6" i="1"/>
  <c r="AE5" i="1"/>
  <c r="AC58" i="1"/>
  <c r="AC57" i="1"/>
  <c r="AC56" i="1"/>
  <c r="AC55" i="1"/>
  <c r="AC54" i="1"/>
  <c r="AC53" i="1"/>
  <c r="AC52" i="1"/>
  <c r="AC51" i="1"/>
  <c r="AC50" i="1"/>
  <c r="AC46" i="1"/>
  <c r="AC45" i="1"/>
  <c r="AC44" i="1"/>
  <c r="AC43" i="1"/>
  <c r="AC42" i="1"/>
  <c r="AC41" i="1"/>
  <c r="AC40" i="1"/>
  <c r="AC39" i="1"/>
  <c r="AC38" i="1"/>
  <c r="AC37" i="1"/>
  <c r="AC36" i="1"/>
  <c r="AC31" i="1"/>
  <c r="AC29" i="1"/>
  <c r="AC28" i="1"/>
  <c r="AC27" i="1"/>
  <c r="AC26" i="1"/>
  <c r="AC25" i="1"/>
  <c r="AC22" i="1"/>
  <c r="AC21" i="1"/>
  <c r="AC20" i="1"/>
  <c r="AC19" i="1"/>
  <c r="AC18" i="1"/>
  <c r="AC17" i="1"/>
  <c r="AC13" i="1"/>
  <c r="AC12" i="1"/>
  <c r="AC7" i="1"/>
  <c r="AC6" i="1"/>
  <c r="AC5" i="1"/>
  <c r="AB58" i="1"/>
  <c r="AB57" i="1"/>
  <c r="AB56" i="1"/>
  <c r="AB55" i="1"/>
  <c r="AB54" i="1"/>
  <c r="AB53" i="1"/>
  <c r="AB51" i="1"/>
  <c r="AB50" i="1"/>
  <c r="AB45" i="1"/>
  <c r="AB44" i="1"/>
  <c r="AB43" i="1"/>
  <c r="AB42" i="1"/>
  <c r="AB41" i="1"/>
  <c r="AB40" i="1"/>
  <c r="AB38" i="1"/>
  <c r="AB37" i="1"/>
  <c r="AB36" i="1"/>
  <c r="AB27" i="1"/>
  <c r="AB6" i="1"/>
  <c r="AB5" i="1"/>
  <c r="Z58" i="1"/>
  <c r="Y58" i="1"/>
  <c r="Z57" i="1"/>
  <c r="Y57" i="1"/>
  <c r="Z56" i="1"/>
  <c r="Y56" i="1"/>
  <c r="Z55" i="1"/>
  <c r="Y55" i="1"/>
  <c r="Z54" i="1"/>
  <c r="Y54" i="1"/>
  <c r="Z53" i="1"/>
  <c r="Y53" i="1"/>
  <c r="Z51" i="1"/>
  <c r="Y51" i="1"/>
  <c r="Z50" i="1"/>
  <c r="Y50" i="1"/>
  <c r="Z45" i="1"/>
  <c r="Y45" i="1"/>
  <c r="Z44" i="1"/>
  <c r="Y44" i="1"/>
  <c r="Z43" i="1"/>
  <c r="Y43" i="1"/>
  <c r="Z42" i="1"/>
  <c r="Y42" i="1"/>
  <c r="Z41" i="1"/>
  <c r="Y41" i="1"/>
  <c r="Z40" i="1"/>
  <c r="Y40" i="1"/>
  <c r="Z38" i="1"/>
  <c r="Y38" i="1"/>
  <c r="Z37" i="1"/>
  <c r="Y37" i="1"/>
  <c r="Z36" i="1"/>
  <c r="Y36" i="1"/>
  <c r="Z31" i="1"/>
  <c r="Y31" i="1"/>
  <c r="Z29" i="1"/>
  <c r="Y29" i="1"/>
  <c r="Z28" i="1"/>
  <c r="Y28" i="1"/>
  <c r="Z27" i="1"/>
  <c r="Y27" i="1"/>
  <c r="Z26" i="1"/>
  <c r="Y26" i="1"/>
  <c r="Z25" i="1"/>
  <c r="Y25" i="1"/>
  <c r="Z22" i="1"/>
  <c r="Y22" i="1"/>
  <c r="Z21" i="1"/>
  <c r="Y21" i="1"/>
  <c r="Z20" i="1"/>
  <c r="Y20" i="1"/>
  <c r="Z19" i="1"/>
  <c r="Y19" i="1"/>
  <c r="Z18" i="1"/>
  <c r="Y18" i="1"/>
  <c r="Z17" i="1"/>
  <c r="Y17" i="1"/>
  <c r="Z13" i="1"/>
  <c r="Y13" i="1"/>
  <c r="Z12" i="1"/>
  <c r="Y12" i="1"/>
  <c r="Z6" i="1"/>
  <c r="Y6" i="1"/>
  <c r="X68" i="1"/>
  <c r="W68" i="1"/>
  <c r="V68" i="1"/>
  <c r="T68" i="1"/>
  <c r="S68" i="1"/>
  <c r="R68" i="1"/>
  <c r="P68" i="1"/>
  <c r="O68" i="1"/>
  <c r="N68" i="1"/>
  <c r="L68" i="1"/>
  <c r="K68" i="1"/>
  <c r="J68" i="1"/>
  <c r="H68" i="1"/>
  <c r="G68" i="1"/>
  <c r="F68" i="1"/>
  <c r="Z5" i="1"/>
  <c r="Y5" i="1"/>
  <c r="AF68" i="1"/>
  <c r="AD68" i="1"/>
  <c r="AA68" i="1"/>
  <c r="AC68" i="1" s="1"/>
  <c r="AF9" i="1"/>
  <c r="AD9" i="1"/>
  <c r="AA9" i="1"/>
  <c r="AB9" i="1" s="1"/>
  <c r="X9" i="1"/>
  <c r="AC9" i="1" s="1"/>
  <c r="AF8" i="1"/>
  <c r="AD8" i="1"/>
  <c r="AA8" i="1"/>
  <c r="AB8" i="1" s="1"/>
  <c r="X8" i="1"/>
  <c r="AF7" i="1"/>
  <c r="AD7" i="1"/>
  <c r="AA7" i="1"/>
  <c r="X7" i="1"/>
  <c r="V9" i="1"/>
  <c r="U9" i="1"/>
  <c r="T9" i="1"/>
  <c r="S9" i="1"/>
  <c r="R9" i="1"/>
  <c r="Q9" i="1"/>
  <c r="P9" i="1"/>
  <c r="O9" i="1"/>
  <c r="N9" i="1"/>
  <c r="M9" i="1"/>
  <c r="L9" i="1"/>
  <c r="K9" i="1"/>
  <c r="J9" i="1"/>
  <c r="I9" i="1"/>
  <c r="H9" i="1"/>
  <c r="G9" i="1"/>
  <c r="F9" i="1"/>
  <c r="E9" i="1"/>
  <c r="D9" i="1"/>
  <c r="C9" i="1"/>
  <c r="B9" i="1"/>
  <c r="V8" i="1"/>
  <c r="U8" i="1"/>
  <c r="T8" i="1"/>
  <c r="S8" i="1"/>
  <c r="R8" i="1"/>
  <c r="Q8" i="1"/>
  <c r="P8" i="1"/>
  <c r="O8" i="1"/>
  <c r="N8" i="1"/>
  <c r="M8" i="1"/>
  <c r="L8" i="1"/>
  <c r="K8" i="1"/>
  <c r="J8" i="1"/>
  <c r="I8" i="1"/>
  <c r="H8" i="1"/>
  <c r="G8" i="1"/>
  <c r="F8" i="1"/>
  <c r="E8" i="1"/>
  <c r="D8" i="1"/>
  <c r="C8" i="1"/>
  <c r="B8" i="1"/>
  <c r="V7" i="1"/>
  <c r="U7" i="1"/>
  <c r="T7" i="1"/>
  <c r="S7" i="1"/>
  <c r="R7" i="1"/>
  <c r="Q7" i="1"/>
  <c r="P7" i="1"/>
  <c r="O7" i="1"/>
  <c r="N7" i="1"/>
  <c r="M7" i="1"/>
  <c r="L7" i="1"/>
  <c r="K7" i="1"/>
  <c r="J7" i="1"/>
  <c r="I7" i="1"/>
  <c r="H7" i="1"/>
  <c r="G7" i="1"/>
  <c r="F7" i="1"/>
  <c r="E7" i="1"/>
  <c r="D7" i="1"/>
  <c r="C7" i="1"/>
  <c r="B7" i="1"/>
  <c r="W9" i="1"/>
  <c r="W8" i="1"/>
  <c r="W7" i="1"/>
  <c r="X23" i="1"/>
  <c r="AF52" i="1"/>
  <c r="AD52" i="1"/>
  <c r="AD59" i="1" s="1"/>
  <c r="AA52" i="1"/>
  <c r="AA59" i="1" s="1"/>
  <c r="AC59" i="1" s="1"/>
  <c r="X52" i="1"/>
  <c r="X59" i="1" s="1"/>
  <c r="W52" i="1"/>
  <c r="W59" i="1" s="1"/>
  <c r="X14" i="1"/>
  <c r="AA14" i="1"/>
  <c r="AC14" i="1" s="1"/>
  <c r="AD14" i="1"/>
  <c r="AF14" i="1"/>
  <c r="AA23" i="1"/>
  <c r="AC23" i="1" s="1"/>
  <c r="AD23" i="1"/>
  <c r="AF23" i="1"/>
  <c r="AF39" i="1"/>
  <c r="AF46" i="1" s="1"/>
  <c r="AD39" i="1"/>
  <c r="AA39" i="1"/>
  <c r="AA46" i="1" s="1"/>
  <c r="X39" i="1"/>
  <c r="X46" i="1" s="1"/>
  <c r="W39" i="1"/>
  <c r="W46" i="1" s="1"/>
  <c r="A4" i="1" a="1"/>
  <c r="A4" i="1" s="1"/>
  <c r="U21" i="1"/>
  <c r="AB21" i="1" s="1"/>
  <c r="Q21" i="1"/>
  <c r="M21" i="1"/>
  <c r="I21" i="1"/>
  <c r="E21" i="1"/>
  <c r="U19" i="1"/>
  <c r="AB19" i="1" s="1"/>
  <c r="Q19" i="1"/>
  <c r="M19" i="1"/>
  <c r="I19" i="1"/>
  <c r="E19" i="1"/>
  <c r="V14" i="1"/>
  <c r="W14" i="1"/>
  <c r="AC8" i="1" l="1"/>
  <c r="AB7" i="1"/>
  <c r="AD69" i="1"/>
  <c r="Y8" i="1"/>
  <c r="Z39" i="1"/>
  <c r="Y9" i="1"/>
  <c r="AA69" i="1"/>
  <c r="AC69" i="1" s="1"/>
  <c r="AF69" i="1"/>
  <c r="Z8" i="1"/>
  <c r="Z68" i="1"/>
  <c r="Y7" i="1"/>
  <c r="Z9" i="1"/>
  <c r="Z14" i="1"/>
  <c r="Z59" i="1"/>
  <c r="Z7" i="1"/>
  <c r="C62" i="1"/>
  <c r="S62" i="1"/>
  <c r="W69" i="1"/>
  <c r="X69" i="1"/>
  <c r="Z52" i="1"/>
  <c r="Y68" i="1"/>
  <c r="D62" i="1"/>
  <c r="AA30" i="1"/>
  <c r="AC30" i="1" s="1"/>
  <c r="Z46" i="1"/>
  <c r="W62" i="1"/>
  <c r="AF62" i="1"/>
  <c r="Q62" i="1"/>
  <c r="AA62" i="1"/>
  <c r="F62" i="1"/>
  <c r="L62" i="1"/>
  <c r="N62" i="1"/>
  <c r="O62" i="1"/>
  <c r="P62" i="1"/>
  <c r="V62" i="1"/>
  <c r="AF30" i="1"/>
  <c r="AF32" i="1" s="1"/>
  <c r="T62" i="1"/>
  <c r="U62" i="1"/>
  <c r="E62" i="1"/>
  <c r="G62" i="1"/>
  <c r="H62" i="1"/>
  <c r="I62" i="1"/>
  <c r="J62" i="1"/>
  <c r="K62" i="1"/>
  <c r="X62" i="1"/>
  <c r="M62" i="1"/>
  <c r="AD62" i="1"/>
  <c r="B62" i="1"/>
  <c r="R62" i="1"/>
  <c r="AD46" i="1"/>
  <c r="AD30" i="1"/>
  <c r="AD32" i="1" s="1"/>
  <c r="X61" i="1"/>
  <c r="AA61" i="1"/>
  <c r="AC61" i="1" s="1"/>
  <c r="AF59" i="1"/>
  <c r="X30" i="1"/>
  <c r="C52" i="1"/>
  <c r="C59" i="1" s="1"/>
  <c r="D52" i="1"/>
  <c r="D59" i="1" s="1"/>
  <c r="E52" i="1"/>
  <c r="E59" i="1" s="1"/>
  <c r="F52" i="1"/>
  <c r="F59" i="1" s="1"/>
  <c r="G52" i="1"/>
  <c r="G59" i="1" s="1"/>
  <c r="H52" i="1"/>
  <c r="H59" i="1" s="1"/>
  <c r="I52" i="1"/>
  <c r="I59" i="1" s="1"/>
  <c r="J52" i="1"/>
  <c r="J59" i="1" s="1"/>
  <c r="K52" i="1"/>
  <c r="K59" i="1" s="1"/>
  <c r="L52" i="1"/>
  <c r="L59" i="1" s="1"/>
  <c r="M52" i="1"/>
  <c r="M59" i="1" s="1"/>
  <c r="N52" i="1"/>
  <c r="N59" i="1" s="1"/>
  <c r="O52" i="1"/>
  <c r="O59" i="1" s="1"/>
  <c r="P52" i="1"/>
  <c r="P59" i="1" s="1"/>
  <c r="Q52" i="1"/>
  <c r="Q59" i="1" s="1"/>
  <c r="R52" i="1"/>
  <c r="R59" i="1" s="1"/>
  <c r="S52" i="1"/>
  <c r="S59" i="1" s="1"/>
  <c r="T52" i="1"/>
  <c r="T59" i="1" s="1"/>
  <c r="Y59" i="1" s="1"/>
  <c r="U52" i="1"/>
  <c r="U59" i="1" s="1"/>
  <c r="AB59" i="1" s="1"/>
  <c r="V52" i="1"/>
  <c r="V59" i="1" s="1"/>
  <c r="B52" i="1"/>
  <c r="B59" i="1" s="1"/>
  <c r="C39" i="1"/>
  <c r="D39" i="1"/>
  <c r="E39" i="1"/>
  <c r="F39" i="1"/>
  <c r="G39" i="1"/>
  <c r="H39" i="1"/>
  <c r="I39" i="1"/>
  <c r="J39" i="1"/>
  <c r="K39" i="1"/>
  <c r="L39" i="1"/>
  <c r="M39" i="1"/>
  <c r="N39" i="1"/>
  <c r="O39" i="1"/>
  <c r="P39" i="1"/>
  <c r="Q39" i="1"/>
  <c r="R39" i="1"/>
  <c r="S39" i="1"/>
  <c r="T39" i="1"/>
  <c r="U39" i="1"/>
  <c r="AB39" i="1" s="1"/>
  <c r="V39" i="1"/>
  <c r="B39" i="1"/>
  <c r="U31" i="1"/>
  <c r="AB31" i="1" s="1"/>
  <c r="U29" i="1"/>
  <c r="AB29" i="1" s="1"/>
  <c r="U28" i="1"/>
  <c r="AB28" i="1" s="1"/>
  <c r="U26" i="1"/>
  <c r="AB26" i="1" s="1"/>
  <c r="U25" i="1"/>
  <c r="AB25" i="1" s="1"/>
  <c r="U22" i="1"/>
  <c r="AB22" i="1" s="1"/>
  <c r="U20" i="1"/>
  <c r="AB20" i="1" s="1"/>
  <c r="U18" i="1"/>
  <c r="AB18" i="1" s="1"/>
  <c r="U17" i="1"/>
  <c r="AB17" i="1" s="1"/>
  <c r="U13" i="1"/>
  <c r="AB13" i="1" s="1"/>
  <c r="U12" i="1"/>
  <c r="Q29" i="1"/>
  <c r="Q28" i="1"/>
  <c r="Q31" i="1"/>
  <c r="Q27" i="1"/>
  <c r="Q26" i="1"/>
  <c r="Q25" i="1"/>
  <c r="Q22" i="1"/>
  <c r="Q20" i="1"/>
  <c r="Q18" i="1"/>
  <c r="Q17" i="1"/>
  <c r="Q13" i="1"/>
  <c r="Q12" i="1"/>
  <c r="Q68" i="1" s="1"/>
  <c r="J23" i="1"/>
  <c r="B23" i="1"/>
  <c r="M27" i="1"/>
  <c r="M26" i="1"/>
  <c r="M25" i="1"/>
  <c r="M20" i="1"/>
  <c r="M18" i="1"/>
  <c r="M17" i="1"/>
  <c r="M13" i="1"/>
  <c r="I27" i="1"/>
  <c r="I26" i="1"/>
  <c r="I25" i="1"/>
  <c r="I20" i="1"/>
  <c r="I18" i="1"/>
  <c r="I17" i="1"/>
  <c r="I13" i="1"/>
  <c r="I12" i="1"/>
  <c r="I68" i="1" s="1"/>
  <c r="M12" i="1"/>
  <c r="M68" i="1" s="1"/>
  <c r="K23" i="1"/>
  <c r="L23" i="1"/>
  <c r="N23" i="1"/>
  <c r="O23" i="1"/>
  <c r="P23" i="1"/>
  <c r="R23" i="1"/>
  <c r="S23" i="1"/>
  <c r="T23" i="1"/>
  <c r="Y23" i="1" s="1"/>
  <c r="V23" i="1"/>
  <c r="W23" i="1"/>
  <c r="Z23" i="1" s="1"/>
  <c r="K14" i="1"/>
  <c r="L14" i="1"/>
  <c r="N14" i="1"/>
  <c r="O14" i="1"/>
  <c r="P14" i="1"/>
  <c r="R14" i="1"/>
  <c r="S14" i="1"/>
  <c r="T14" i="1"/>
  <c r="Y14" i="1" s="1"/>
  <c r="J14" i="1"/>
  <c r="C23" i="1"/>
  <c r="D23" i="1"/>
  <c r="F23" i="1"/>
  <c r="G23" i="1"/>
  <c r="H23" i="1"/>
  <c r="H14" i="1"/>
  <c r="G14" i="1"/>
  <c r="F14" i="1"/>
  <c r="E12" i="1"/>
  <c r="E68" i="1" s="1"/>
  <c r="D12" i="1"/>
  <c r="D68" i="1" s="1"/>
  <c r="C12" i="1"/>
  <c r="C68" i="1" s="1"/>
  <c r="B12" i="1"/>
  <c r="E25" i="1"/>
  <c r="E20" i="1"/>
  <c r="E18" i="1"/>
  <c r="E17" i="1"/>
  <c r="E13" i="1"/>
  <c r="AB62" i="1" l="1"/>
  <c r="AC62" i="1"/>
  <c r="U68" i="1"/>
  <c r="AB68" i="1" s="1"/>
  <c r="AB12" i="1"/>
  <c r="AA32" i="1"/>
  <c r="AB69" i="1"/>
  <c r="AA64" i="1"/>
  <c r="AB52" i="1"/>
  <c r="Y52" i="1"/>
  <c r="AA65" i="1"/>
  <c r="AA66" i="1"/>
  <c r="Z69" i="1"/>
  <c r="AF65" i="1"/>
  <c r="L46" i="1"/>
  <c r="L69" i="1"/>
  <c r="K46" i="1"/>
  <c r="K69" i="1"/>
  <c r="J46" i="1"/>
  <c r="J69" i="1"/>
  <c r="I46" i="1"/>
  <c r="I69" i="1"/>
  <c r="H46" i="1"/>
  <c r="H69" i="1"/>
  <c r="B46" i="1"/>
  <c r="B69" i="1"/>
  <c r="G46" i="1"/>
  <c r="G69" i="1"/>
  <c r="V46" i="1"/>
  <c r="V69" i="1"/>
  <c r="F46" i="1"/>
  <c r="F69" i="1"/>
  <c r="U46" i="1"/>
  <c r="AB46" i="1" s="1"/>
  <c r="U69" i="1"/>
  <c r="E46" i="1"/>
  <c r="E69" i="1"/>
  <c r="T46" i="1"/>
  <c r="Y39" i="1"/>
  <c r="T69" i="1"/>
  <c r="D46" i="1"/>
  <c r="D69" i="1"/>
  <c r="S46" i="1"/>
  <c r="S69" i="1"/>
  <c r="C46" i="1"/>
  <c r="C69" i="1"/>
  <c r="Z62" i="1"/>
  <c r="Y62" i="1"/>
  <c r="R46" i="1"/>
  <c r="R69" i="1"/>
  <c r="Q46" i="1"/>
  <c r="Q69" i="1"/>
  <c r="P46" i="1"/>
  <c r="P69" i="1"/>
  <c r="O46" i="1"/>
  <c r="O69" i="1"/>
  <c r="N46" i="1"/>
  <c r="N69" i="1"/>
  <c r="M46" i="1"/>
  <c r="M69" i="1"/>
  <c r="AA67" i="1"/>
  <c r="AA63" i="1"/>
  <c r="X32" i="1"/>
  <c r="X64" i="1"/>
  <c r="AF63" i="1"/>
  <c r="AF67" i="1"/>
  <c r="AD65" i="1"/>
  <c r="AD63" i="1"/>
  <c r="AD67" i="1"/>
  <c r="AD61" i="1"/>
  <c r="AD64" i="1" s="1"/>
  <c r="AF61" i="1"/>
  <c r="AF64" i="1" s="1"/>
  <c r="W61" i="1"/>
  <c r="Z61" i="1" s="1"/>
  <c r="U14" i="1"/>
  <c r="AB14" i="1" s="1"/>
  <c r="B14" i="1"/>
  <c r="B30" i="1" s="1"/>
  <c r="B32" i="1" s="1"/>
  <c r="B63" i="1" s="1"/>
  <c r="B68" i="1"/>
  <c r="C14" i="1"/>
  <c r="C30" i="1" s="1"/>
  <c r="D14" i="1"/>
  <c r="Q14" i="1"/>
  <c r="W30" i="1"/>
  <c r="W32" i="1" s="1"/>
  <c r="M14" i="1"/>
  <c r="U23" i="1"/>
  <c r="AB23" i="1" s="1"/>
  <c r="V30" i="1"/>
  <c r="V32" i="1" s="1"/>
  <c r="V63" i="1" s="1"/>
  <c r="T30" i="1"/>
  <c r="Y30" i="1" s="1"/>
  <c r="S30" i="1"/>
  <c r="R30" i="1"/>
  <c r="Q23" i="1"/>
  <c r="M23" i="1"/>
  <c r="E23" i="1"/>
  <c r="I23" i="1"/>
  <c r="I14" i="1"/>
  <c r="E14" i="1"/>
  <c r="L30" i="1"/>
  <c r="K30" i="1"/>
  <c r="N30" i="1"/>
  <c r="J30" i="1"/>
  <c r="H30" i="1"/>
  <c r="F30" i="1"/>
  <c r="P30" i="1"/>
  <c r="G30" i="1"/>
  <c r="O30" i="1"/>
  <c r="AC64" i="1" l="1"/>
  <c r="AC32" i="1"/>
  <c r="Y69" i="1"/>
  <c r="AF66" i="1"/>
  <c r="AD66" i="1"/>
  <c r="Y46" i="1"/>
  <c r="W63" i="1"/>
  <c r="W67" i="1"/>
  <c r="Z30" i="1"/>
  <c r="V67" i="1"/>
  <c r="Z32" i="1"/>
  <c r="Z66" i="1" s="1"/>
  <c r="X67" i="1"/>
  <c r="AC67" i="1" s="1"/>
  <c r="X63" i="1"/>
  <c r="AC63" i="1" s="1"/>
  <c r="X65" i="1"/>
  <c r="AC65" i="1" s="1"/>
  <c r="X66" i="1"/>
  <c r="AC66" i="1" s="1"/>
  <c r="W64" i="1"/>
  <c r="Z64" i="1" s="1"/>
  <c r="W66" i="1"/>
  <c r="W65" i="1"/>
  <c r="B61" i="1"/>
  <c r="B65" i="1"/>
  <c r="B67" i="1"/>
  <c r="D30" i="1"/>
  <c r="V65" i="1"/>
  <c r="C61" i="1"/>
  <c r="D61" i="1"/>
  <c r="C32" i="1"/>
  <c r="C63" i="1" s="1"/>
  <c r="E61" i="1"/>
  <c r="F61" i="1"/>
  <c r="G61" i="1"/>
  <c r="F32" i="1"/>
  <c r="F67" i="1" s="1"/>
  <c r="G32" i="1"/>
  <c r="G63" i="1" s="1"/>
  <c r="H61" i="1"/>
  <c r="H32" i="1"/>
  <c r="H63" i="1" s="1"/>
  <c r="M61" i="1"/>
  <c r="L61" i="1"/>
  <c r="I61" i="1"/>
  <c r="K61" i="1"/>
  <c r="J32" i="1"/>
  <c r="J63" i="1" s="1"/>
  <c r="J61" i="1"/>
  <c r="J66" i="1" s="1"/>
  <c r="K32" i="1"/>
  <c r="K63" i="1" s="1"/>
  <c r="L32" i="1"/>
  <c r="L63" i="1" s="1"/>
  <c r="O61" i="1"/>
  <c r="N61" i="1"/>
  <c r="N32" i="1"/>
  <c r="N63" i="1" s="1"/>
  <c r="P61" i="1"/>
  <c r="P32" i="1"/>
  <c r="P63" i="1" s="1"/>
  <c r="Q61" i="1"/>
  <c r="T61" i="1"/>
  <c r="V61" i="1"/>
  <c r="R32" i="1"/>
  <c r="R63" i="1" s="1"/>
  <c r="R61" i="1"/>
  <c r="S61" i="1"/>
  <c r="S32" i="1"/>
  <c r="S63" i="1" s="1"/>
  <c r="T32" i="1"/>
  <c r="T63" i="1" s="1"/>
  <c r="U61" i="1"/>
  <c r="AB61" i="1" s="1"/>
  <c r="E30" i="1"/>
  <c r="Q30" i="1"/>
  <c r="U30" i="1"/>
  <c r="AB30" i="1" s="1"/>
  <c r="M30" i="1"/>
  <c r="I30" i="1"/>
  <c r="O32" i="1"/>
  <c r="O63" i="1" s="1"/>
  <c r="H67" i="1" l="1"/>
  <c r="R66" i="1"/>
  <c r="Y32" i="1"/>
  <c r="T67" i="1"/>
  <c r="G66" i="1"/>
  <c r="F66" i="1"/>
  <c r="N66" i="1"/>
  <c r="O66" i="1"/>
  <c r="P67" i="1"/>
  <c r="C66" i="1"/>
  <c r="C67" i="1"/>
  <c r="L67" i="1"/>
  <c r="O67" i="1"/>
  <c r="K66" i="1"/>
  <c r="K67" i="1"/>
  <c r="S66" i="1"/>
  <c r="N67" i="1"/>
  <c r="L66" i="1"/>
  <c r="S67" i="1"/>
  <c r="R67" i="1"/>
  <c r="J67" i="1"/>
  <c r="G67" i="1"/>
  <c r="H66" i="1"/>
  <c r="Z67" i="1"/>
  <c r="Y67" i="1"/>
  <c r="Z65" i="1"/>
  <c r="Y65" i="1"/>
  <c r="Y63" i="1"/>
  <c r="Z63" i="1"/>
  <c r="E64" i="1"/>
  <c r="V64" i="1"/>
  <c r="V66" i="1"/>
  <c r="B64" i="1"/>
  <c r="B66" i="1"/>
  <c r="T66" i="1"/>
  <c r="Y61" i="1"/>
  <c r="Y66" i="1" s="1"/>
  <c r="P64" i="1"/>
  <c r="P66" i="1"/>
  <c r="F63" i="1"/>
  <c r="D32" i="1"/>
  <c r="D67" i="1" s="1"/>
  <c r="C64" i="1"/>
  <c r="O64" i="1"/>
  <c r="L64" i="1"/>
  <c r="U64" i="1"/>
  <c r="AB64" i="1" s="1"/>
  <c r="F64" i="1"/>
  <c r="M64" i="1"/>
  <c r="P65" i="1"/>
  <c r="N65" i="1"/>
  <c r="O65" i="1"/>
  <c r="H65" i="1"/>
  <c r="J65" i="1"/>
  <c r="K65" i="1"/>
  <c r="G65" i="1"/>
  <c r="L65" i="1"/>
  <c r="T65" i="1"/>
  <c r="S65" i="1"/>
  <c r="G64" i="1"/>
  <c r="R65" i="1"/>
  <c r="N64" i="1"/>
  <c r="T64" i="1"/>
  <c r="Y64" i="1" s="1"/>
  <c r="H64" i="1"/>
  <c r="D64" i="1"/>
  <c r="J64" i="1"/>
  <c r="S64" i="1"/>
  <c r="I64" i="1"/>
  <c r="F65" i="1"/>
  <c r="Q64" i="1"/>
  <c r="K64" i="1"/>
  <c r="R64" i="1"/>
  <c r="C65" i="1"/>
  <c r="E32" i="1"/>
  <c r="I32" i="1"/>
  <c r="M32" i="1"/>
  <c r="Q32" i="1"/>
  <c r="U32" i="1"/>
  <c r="AB32" i="1" s="1"/>
  <c r="U63" i="1" l="1"/>
  <c r="AB63" i="1" s="1"/>
  <c r="U67" i="1"/>
  <c r="AB67" i="1" s="1"/>
  <c r="Q63" i="1"/>
  <c r="Q67" i="1"/>
  <c r="M63" i="1"/>
  <c r="M67" i="1"/>
  <c r="I63" i="1"/>
  <c r="I67" i="1"/>
  <c r="E63" i="1"/>
  <c r="E67" i="1"/>
  <c r="U66" i="1"/>
  <c r="AB66" i="1" s="1"/>
  <c r="D66" i="1"/>
  <c r="M66" i="1"/>
  <c r="E66" i="1"/>
  <c r="Q66" i="1"/>
  <c r="I66" i="1"/>
  <c r="D63" i="1"/>
  <c r="D65" i="1"/>
  <c r="U65" i="1"/>
  <c r="AB65" i="1" s="1"/>
  <c r="I65" i="1"/>
  <c r="E65" i="1"/>
  <c r="Q65" i="1"/>
  <c r="M65"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<sst xmlns="http://schemas.openxmlformats.org/spreadsheetml/2006/main" count="97" uniqueCount="88">
  <si>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</si>
  <si>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</si>
  <si>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</si>
  <si>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</si>
  <si>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</si>
  <si>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</si>
  <si>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</si>
  <si>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</si>
  <si>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</si>
  <si>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</si>
  <si>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</si>
  <si>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</si>
  <si>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</si>
  <si>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</si>
  <si>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</si>
  <si>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</si>
  <si>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</si>
  <si>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</si>
  <si>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</si>
  <si>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</si>
  <si>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</si>
  <si>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</si>
  <si>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</si>
  <si>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</si>
  <si>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Revenue</t>
  </si>
  <si>
    <t>Other</t>
  </si>
  <si>
    <t>Total revenue</t>
  </si>
  <si>
    <t>Expenses</t>
  </si>
  <si>
    <t>Depreciation &amp; amortization</t>
  </si>
  <si>
    <t>Interest</t>
  </si>
  <si>
    <t>General &amp; administrative</t>
  </si>
  <si>
    <t>Property (including reimbursement)</t>
  </si>
  <si>
    <t>Income taxes</t>
  </si>
  <si>
    <t>Provisions for impairment</t>
  </si>
  <si>
    <t>Total expenses</t>
  </si>
  <si>
    <t>Net income</t>
  </si>
  <si>
    <t>Gain on sales of real estate</t>
  </si>
  <si>
    <t>Assets</t>
  </si>
  <si>
    <t>Cash &amp; cash equivalents</t>
  </si>
  <si>
    <t>Accounts receivable</t>
  </si>
  <si>
    <t>Goodwill</t>
  </si>
  <si>
    <t>Total assets</t>
  </si>
  <si>
    <t>Liabilities</t>
  </si>
  <si>
    <t>Distributions payable</t>
  </si>
  <si>
    <t>Accounts payable &amp; accrued expenses</t>
  </si>
  <si>
    <t>Line of credit payable</t>
  </si>
  <si>
    <t>Term loans</t>
  </si>
  <si>
    <t>Mortgages payable</t>
  </si>
  <si>
    <t>Notes payable</t>
  </si>
  <si>
    <t>Total liabilities</t>
  </si>
  <si>
    <t>Total equity</t>
  </si>
  <si>
    <t>Rental (including reimbursable)</t>
  </si>
  <si>
    <t>Short-term investment</t>
  </si>
  <si>
    <t>Investment in unconsolidated entities</t>
  </si>
  <si>
    <t>Lease intangible assets</t>
  </si>
  <si>
    <t>Foreign currency &amp; derivative gains</t>
  </si>
  <si>
    <t>Real estate held for investment, net</t>
  </si>
  <si>
    <t>Real estate &amp; lease intangibles held for sale, net</t>
  </si>
  <si>
    <t>Lease intangible liabilities, net</t>
  </si>
  <si>
    <t>Merger-related costs</t>
  </si>
  <si>
    <t>Income before income taxes</t>
  </si>
  <si>
    <t>Equity in income of unconsolidated entities</t>
  </si>
  <si>
    <t>Other income, net</t>
  </si>
  <si>
    <t>Current assets</t>
  </si>
  <si>
    <t>Total current assets</t>
  </si>
  <si>
    <t>Current liabilities</t>
  </si>
  <si>
    <t>Total current liabilities</t>
  </si>
  <si>
    <t xml:space="preserve">Debt-to-equity </t>
  </si>
  <si>
    <t xml:space="preserve">Return on Assets </t>
  </si>
  <si>
    <t>Rent to real estate</t>
  </si>
  <si>
    <t>Q323</t>
  </si>
  <si>
    <t>Q423</t>
  </si>
  <si>
    <t>Q124</t>
  </si>
  <si>
    <t>Q224</t>
  </si>
  <si>
    <t>Gain (loss) on extinguishment of debt</t>
  </si>
  <si>
    <t>Price</t>
  </si>
  <si>
    <t>Shares outstanding</t>
  </si>
  <si>
    <t>Market cap</t>
  </si>
  <si>
    <t>Cash</t>
  </si>
  <si>
    <t>Debt</t>
  </si>
  <si>
    <t>Enterprise value</t>
  </si>
  <si>
    <t>EPS</t>
  </si>
  <si>
    <t>% Change</t>
  </si>
  <si>
    <t>YoY</t>
  </si>
  <si>
    <t>QoQ</t>
  </si>
  <si>
    <t>ROE</t>
  </si>
  <si>
    <t>Current ratio</t>
  </si>
  <si>
    <t>Net profit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</si>
</sst>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0_);_(* \(#,##0.0\);_(* &quot;-&quot;??_);_(@_)"/>
    <numFmt numFmtId="165" formatCode="_(* #,##0_);_(* \(#,##0\);_(* &quot;-&quot;??_);_(@_)"/>
    <numFmt numFmtId="166" formatCode="0.0%"/>
    <numFmt numFmtId="167" formatCode="_(* #,##0.000_);_(* \(#,##0.000\);_(* &quot;-&quot;??_);_(@_)"/>
    <numFmt numFmtId="168" formatCode="_([$$-409]* #,##0.00_);_([$$-409]* \(#,##0.00\);_([$$-409]* &quot;-&quot;??_);_(@_)"/>
  </numFmts>
  <fonts count="1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12" fillId="0" borderId="0" applyFont="0" applyFill="0" applyBorder="0" applyAlignment="0" applyProtection="0"/>
    <xf numFmtId="9" fontId="12" fillId="0" borderId="0" applyFont="0" applyFill="0" applyBorder="0" applyAlignment="0" applyProtection="0"/>
    <xf numFmtId="44" fontId="12" fillId="0" borderId="0" applyFont="0" applyFill="0" applyBorder="0" applyAlignment="0" applyProtection="0"/>
  </cellStyleXfs>
  <cellXfs count="55">
    <xf numFmtId="0" fontId="0" fillId="0" borderId="0" xfId="0"/>
    <xf numFmtId="14" fontId="10" fillId="2" borderId="0" xfId="0" applyNumberFormat="1" applyFont="1" applyFill="1" applyAlignment="1">
      <alignment horizontal="center" vertical="center"/>
    </xf>
    <xf numFmtId="0" fontId="11" fillId="0" borderId="0" xfId="0" applyFont="1"/>
    <xf numFmtId="0" fontId="10" fillId="2" borderId="0" xfId="0" applyFont="1" applyFill="1" applyAlignment="1">
      <alignment horizontal="center" vertical="center"/>
    </xf>
    <xf numFmtId="0" fontId="10" fillId="2" borderId="0" xfId="0" applyFont="1" applyFill="1" applyAlignment="1">
      <alignment vertical="center"/>
    </xf>
    <xf numFmtId="0" fontId="13" fillId="0" borderId="0" xfId="0" applyFont="1" applyAlignment="1">
      <alignment horizontal="left"/>
    </xf>
    <xf numFmtId="0" fontId="9" fillId="0" borderId="0" xfId="0" applyFont="1"/>
    <xf numFmtId="0" fontId="13" fillId="0" borderId="0" xfId="0" applyFont="1"/>
    <xf numFmtId="0" fontId="9" fillId="0" borderId="0" xfId="0" applyFont="1" applyAlignment="1">
      <alignment horizontal="left" indent="1"/>
    </xf>
    <xf numFmtId="0" fontId="13" fillId="0" borderId="0" xfId="0" applyFont="1" applyAlignment="1">
      <alignment horizontal="left" indent="2"/>
    </xf>
    <xf numFmtId="164" fontId="11" fillId="0" borderId="0" xfId="1" applyNumberFormat="1" applyFont="1"/>
    <xf numFmtId="164" fontId="9" fillId="0" borderId="0" xfId="1" applyNumberFormat="1" applyFont="1"/>
    <xf numFmtId="164" fontId="8" fillId="0" borderId="0" xfId="1" applyNumberFormat="1" applyFont="1"/>
    <xf numFmtId="10" fontId="11" fillId="0" borderId="0" xfId="2" applyNumberFormat="1" applyFont="1"/>
    <xf numFmtId="164" fontId="7" fillId="0" borderId="0" xfId="1" applyNumberFormat="1" applyFont="1"/>
    <xf numFmtId="0" fontId="7" fillId="0" borderId="0" xfId="0" applyFont="1"/>
    <xf numFmtId="0" fontId="7" fillId="0" borderId="0" xfId="0" applyFont="1" applyAlignment="1">
      <alignment horizontal="left" indent="1"/>
    </xf>
    <xf numFmtId="0" fontId="6" fillId="0" borderId="0" xfId="0" applyFont="1" applyAlignment="1">
      <alignment horizontal="left" indent="1"/>
    </xf>
    <xf numFmtId="0" fontId="13" fillId="0" borderId="0" xfId="0" applyFont="1" applyAlignment="1">
      <alignment horizontal="left" indent="1"/>
    </xf>
    <xf numFmtId="0" fontId="5" fillId="0" borderId="0" xfId="0" applyFont="1"/>
    <xf numFmtId="0" fontId="9" fillId="0" borderId="0" xfId="0" applyFont="1" applyAlignment="1">
      <alignment horizontal="left" indent="2"/>
    </xf>
    <xf numFmtId="0" fontId="7" fillId="0" borderId="0" xfId="0" applyFont="1" applyAlignment="1">
      <alignment horizontal="left" indent="2"/>
    </xf>
    <xf numFmtId="0" fontId="13" fillId="0" borderId="0" xfId="0" applyFont="1" applyAlignment="1">
      <alignment horizontal="left" indent="3"/>
    </xf>
    <xf numFmtId="0" fontId="5" fillId="0" borderId="0" xfId="0" applyFont="1" applyAlignment="1">
      <alignment horizontal="left" indent="1"/>
    </xf>
    <xf numFmtId="167" fontId="11" fillId="0" borderId="0" xfId="1" applyNumberFormat="1" applyFont="1"/>
    <xf numFmtId="0" fontId="4" fillId="0" borderId="0" xfId="0" applyFont="1"/>
    <xf numFmtId="166" fontId="11" fillId="0" borderId="0" xfId="2" applyNumberFormat="1" applyFont="1"/>
    <xf numFmtId="0" fontId="3" fillId="0" borderId="0" xfId="0" applyFont="1"/>
    <xf numFmtId="0" fontId="10" fillId="2" borderId="0" xfId="0" applyFont="1" applyFill="1" applyAlignment="1">
      <alignment horizontal="center"/>
    </xf>
    <xf numFmtId="14" fontId="10" fillId="2" borderId="0" xfId="0" applyNumberFormat="1" applyFont="1" applyFill="1" applyAlignment="1">
      <alignment horizontal="center"/>
    </xf>
    <xf numFmtId="0" fontId="2" fillId="0" borderId="0" xfId="0" applyFont="1"/>
    <xf numFmtId="0" fontId="2" fillId="0" borderId="0" xfId="0" applyFont="1" applyAlignment="1">
      <alignment horizontal="left" vertical="center"/>
    </xf>
    <xf numFmtId="0" fontId="2" fillId="0" borderId="0" xfId="0" applyFont="1" applyAlignment="1">
      <alignment horizontal="left"/>
    </xf>
    <xf numFmtId="168" fontId="2" fillId="0" borderId="0" xfId="0" applyNumberFormat="1" applyFont="1" applyAlignment="1">
      <alignment horizontal="left" vertical="center"/>
    </xf>
    <xf numFmtId="165" fontId="2" fillId="0" borderId="0" xfId="1" applyNumberFormat="1" applyFont="1" applyFill="1" applyAlignment="1">
      <alignment horizontal="left" vertical="center"/>
    </xf>
    <xf numFmtId="165" fontId="2" fillId="0" borderId="0" xfId="1" applyNumberFormat="1" applyFont="1" applyFill="1" applyAlignment="1">
      <alignment horizontal="left"/>
    </xf>
    <xf numFmtId="165" fontId="2" fillId="0" borderId="0" xfId="1" applyNumberFormat="1" applyFont="1"/>
    <xf numFmtId="43" fontId="2" fillId="0" borderId="0" xfId="1" applyFont="1"/>
    <xf numFmtId="44" fontId="2" fillId="0" borderId="0" xfId="3" applyFont="1" applyFill="1" applyAlignment="1">
      <alignment horizontal="left" vertical="center"/>
    </xf>
    <xf numFmtId="44" fontId="2" fillId="0" borderId="0" xfId="3" applyFont="1" applyFill="1" applyAlignment="1">
      <alignment horizontal="left"/>
    </xf>
    <xf numFmtId="9" fontId="14" fillId="0" borderId="0" xfId="2" applyFont="1" applyFill="1" applyAlignment="1">
      <alignment horizontal="center" vertical="center"/>
    </xf>
    <xf numFmtId="0" fontId="1" fillId="0" borderId="0" xfId="0" applyFont="1"/>
    <xf numFmtId="164" fontId="2" fillId="0" borderId="0" xfId="1" applyNumberFormat="1" applyFont="1" applyFill="1" applyAlignment="1">
      <alignment horizontal="left" vertical="center"/>
    </xf>
    <xf numFmtId="164" fontId="14" fillId="0" borderId="0" xfId="2" applyNumberFormat="1" applyFont="1" applyFill="1" applyAlignment="1">
      <alignment horizontal="center" vertical="center"/>
    </xf>
    <xf numFmtId="164" fontId="2" fillId="0" borderId="0" xfId="1" applyNumberFormat="1" applyFont="1" applyFill="1" applyAlignment="1">
      <alignment horizontal="left"/>
    </xf>
    <xf numFmtId="164" fontId="2" fillId="0" borderId="0" xfId="0" applyNumberFormat="1" applyFont="1" applyAlignment="1">
      <alignment horizontal="left" vertical="center"/>
    </xf>
    <xf numFmtId="164" fontId="2" fillId="0" borderId="0" xfId="0" applyNumberFormat="1" applyFont="1" applyAlignment="1">
      <alignment horizontal="left"/>
    </xf>
    <xf numFmtId="164" fontId="13" fillId="0" borderId="0" xfId="1" applyNumberFormat="1" applyFont="1"/>
    <xf numFmtId="164" fontId="6" fillId="0" borderId="0" xfId="1" applyNumberFormat="1" applyFont="1"/>
    <xf numFmtId="164" fontId="5" fillId="0" borderId="0" xfId="1" applyNumberFormat="1" applyFont="1"/>
    <xf numFmtId="164" fontId="2" fillId="0" borderId="0" xfId="1" applyNumberFormat="1" applyFont="1"/>
    <xf numFmtId="164" fontId="1" fillId="0" borderId="0" xfId="1" applyNumberFormat="1" applyFont="1"/>
    <xf numFmtId="166" fontId="14" fillId="0" borderId="0" xfId="2" applyNumberFormat="1" applyFont="1" applyFill="1" applyAlignment="1">
      <alignment horizontal="center" vertical="center"/>
    </xf>
    <xf numFmtId="10" fontId="14" fillId="0" borderId="0" xfId="2" applyNumberFormat="1" applyFont="1" applyFill="1" applyAlignment="1">
      <alignment horizontal="center" vertical="center"/>
    </xf>
    <xf numFmtId="164" fontId="1" fillId="0" borderId="0" xfId="1" applyNumberFormat="1" applyFont="1" applyAlignment="1">
      <alignment horizontal="left"/>
    </xf>
  </cellXfs>
  <cellStyles count="4">
    <cellStyle name="Comma" xfId="1" builtinId="3"/>
    <cellStyle name="Currency" xfId="3"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https://www.bing.com/financeapi/forcetrigger?t=a1z11h&amp;q=XNYS%3aO&amp;form=skydnc</v>
    <v>Learn more on Bing</v>
  </rv>
  <rv s="1">
    <v>en-US</v>
    <v>a1z11h</v>
    <v>268435456</v>
    <v>1</v>
    <v>Powered by Refinitiv</v>
    <v>0</v>
    <v>REALTY INCOME CORPORATION (XNYS:O)</v>
    <v>2</v>
    <v>3</v>
    <v>Finance</v>
    <v>4</v>
    <v>64.180000000000007</v>
    <v>45.034999999999997</v>
    <v>0.95620000000000005</v>
    <v>-7.4999999999999997E-2</v>
    <v>-1.3630000000000001E-3</v>
    <v>USD</v>
    <v>Realty Income Corporation is a real estate investment trust. The Company is engaged in acquiring and managing freestanding commercial properties that generate rental revenue under long-term net lease agreements with its commercial clients. It is engaged in a single business activity, which is the leasing of property to clients, generally on a net basis. That business activity spans various geographic boundaries and includes property types and clients engaged in various industries. The Company owns approximately 15,450 properties across 86 different industries leased to over 1,300 different clients throughout all 50 states, as well as Puerto Rico, the United Kingdom, Spain, Italy, Ireland, France, Germany and Portugal. Its property types include retail, industrial, gaming and others, such as agriculture and office. Its primary industry concentrations include grocery stores, convenience stores, dollar stores, drug stores, home improvement, restaurants-quick service and others.</v>
    <v>418</v>
    <v>New York Stock Exchange</v>
    <v>XNYS</v>
    <v>XNYS</v>
    <v>11995 El Camino Real, SAN DIEGO, CA, 92130 US</v>
    <v>55.484999999999999</v>
    <v>Residential &amp; Commercial REIT</v>
    <v>Stock</v>
    <v>45425.741725578126</v>
    <v>0</v>
    <v>54.935000000000002</v>
    <v>47835991664</v>
    <v>REALTY INCOME CORPORATION</v>
    <v>REALTY INCOME CORPORATION</v>
    <v>55.454999999999998</v>
    <v>50.950299999999999</v>
    <v>55.01</v>
    <v>54.935000000000002</v>
    <v>870774400</v>
    <v>O</v>
    <v>REALTY INCOME CORPORATION (XNYS:O)</v>
    <v>1686172</v>
    <v>6034499</v>
    <v>1997</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N116"/>
  <sheetViews>
    <sheetView tabSelected="1" topLeftCell="A10" zoomScale="120" zoomScaleNormal="120" workbookViewId="0">
      <pane xSplit="1" topLeftCell="V1" activePane="topRight" state="frozen"/>
      <selection pane="topRight" activeCell="AG29" sqref="AG29"/>
    </sheetView>
  </sheetViews>
  <sheetFormatPr defaultColWidth="12.73046875" defaultRowHeight="12.75" x14ac:dyDescent="0.35"/>
  <cols>
    <col min="1" max="1" width="40.59765625" style="2" customWidth="1"/>
    <col min="2" max="23" width="12.73046875" style="10" customWidth="1"/>
    <col min="24" max="24" width="12.73046875" style="10"/>
    <col min="25" max="26" width="10.59765625" style="10" hidden="1" customWidth="1"/>
    <col min="27" max="27" width="12.73046875" style="10"/>
    <col min="28" max="29" width="10.59765625" style="10" hidden="1" customWidth="1"/>
    <col min="30" max="30" width="12.73046875" style="10"/>
    <col min="31" max="31" width="10.59765625" style="10" customWidth="1"/>
    <col min="32" max="16384" width="12.73046875" style="10"/>
  </cols>
  <sheetData>
    <row r="1" spans="1:40" s="29" customFormat="1" ht="15" customHeight="1" x14ac:dyDescent="0.4">
      <c r="A1" s="4" t="s">
        <v>1</v>
      </c>
      <c r="B1" s="1">
        <v>43190</v>
      </c>
      <c r="C1" s="1">
        <v>43281</v>
      </c>
      <c r="D1" s="1">
        <v>43373</v>
      </c>
      <c r="E1" s="1">
        <v>43465</v>
      </c>
      <c r="F1" s="1">
        <v>43555</v>
      </c>
      <c r="G1" s="1">
        <v>43646</v>
      </c>
      <c r="H1" s="1">
        <v>43738</v>
      </c>
      <c r="I1" s="1">
        <v>43830</v>
      </c>
      <c r="J1" s="1">
        <v>43921</v>
      </c>
      <c r="K1" s="1">
        <v>44012</v>
      </c>
      <c r="L1" s="1">
        <v>44104</v>
      </c>
      <c r="M1" s="1">
        <v>44196</v>
      </c>
      <c r="N1" s="1">
        <v>44286</v>
      </c>
      <c r="O1" s="1">
        <v>44377</v>
      </c>
      <c r="P1" s="1">
        <v>44469</v>
      </c>
      <c r="Q1" s="1">
        <v>44561</v>
      </c>
      <c r="R1" s="1">
        <v>44651</v>
      </c>
      <c r="S1" s="1">
        <v>44742</v>
      </c>
      <c r="T1" s="1">
        <v>44834</v>
      </c>
      <c r="U1" s="1">
        <v>44926</v>
      </c>
      <c r="V1" s="1">
        <v>45016</v>
      </c>
      <c r="W1" s="1">
        <v>45107</v>
      </c>
      <c r="X1" s="1">
        <v>45199</v>
      </c>
      <c r="Y1" s="1" t="s">
        <v>82</v>
      </c>
      <c r="Z1" s="1" t="s">
        <v>82</v>
      </c>
      <c r="AA1" s="1">
        <v>45291</v>
      </c>
      <c r="AB1" s="1" t="s">
        <v>82</v>
      </c>
      <c r="AC1" s="1" t="s">
        <v>82</v>
      </c>
      <c r="AD1" s="1">
        <v>45382</v>
      </c>
      <c r="AE1" s="1" t="s">
        <v>82</v>
      </c>
      <c r="AF1" s="1">
        <v>45473</v>
      </c>
      <c r="AG1" s="1"/>
      <c r="AH1" s="1"/>
      <c r="AI1" s="1"/>
      <c r="AJ1" s="1"/>
      <c r="AK1" s="1"/>
      <c r="AL1" s="1"/>
      <c r="AM1" s="1"/>
      <c r="AN1" s="1"/>
    </row>
    <row r="2" spans="1:40" s="28" customFormat="1" ht="15" customHeight="1" x14ac:dyDescent="0.4">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70</v>
      </c>
      <c r="Y2" s="3" t="s">
        <v>83</v>
      </c>
      <c r="Z2" s="3" t="s">
        <v>84</v>
      </c>
      <c r="AA2" s="3" t="s">
        <v>71</v>
      </c>
      <c r="AB2" s="3" t="s">
        <v>83</v>
      </c>
      <c r="AC2" s="3" t="s">
        <v>84</v>
      </c>
      <c r="AD2" s="3" t="s">
        <v>72</v>
      </c>
      <c r="AE2" s="3" t="s">
        <v>83</v>
      </c>
      <c r="AF2" s="3" t="s">
        <v>73</v>
      </c>
      <c r="AG2" s="3"/>
      <c r="AH2" s="3"/>
      <c r="AI2" s="3"/>
      <c r="AJ2" s="3"/>
      <c r="AK2" s="3"/>
      <c r="AL2" s="3"/>
      <c r="AM2" s="3"/>
      <c r="AN2" s="3"/>
    </row>
    <row r="3" spans="1:40" s="32" customFormat="1" ht="12.75" customHeight="1" x14ac:dyDescent="0.35">
      <c r="A3" s="31" t="e" vm="1">
        <v>#VALUE!</v>
      </c>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row>
    <row r="4" spans="1:40" s="32" customFormat="1" ht="12.75" customHeight="1" x14ac:dyDescent="0.35">
      <c r="A4" s="33" cm="1">
        <f t="array" ref="A4">_FV(A3,"Price")</f>
        <v>54.935000000000002</v>
      </c>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row>
    <row r="5" spans="1:40" s="39" customFormat="1" ht="12.75" customHeight="1" x14ac:dyDescent="0.35">
      <c r="A5" s="31" t="s">
        <v>75</v>
      </c>
      <c r="B5" s="38">
        <v>50.13</v>
      </c>
      <c r="C5" s="38">
        <v>52.12</v>
      </c>
      <c r="D5" s="38">
        <v>55.13</v>
      </c>
      <c r="E5" s="38">
        <v>61.09</v>
      </c>
      <c r="F5" s="38">
        <v>71.28</v>
      </c>
      <c r="G5" s="38">
        <v>66.83</v>
      </c>
      <c r="H5" s="38">
        <v>74.3</v>
      </c>
      <c r="I5" s="38">
        <v>71.349999999999994</v>
      </c>
      <c r="J5" s="38">
        <v>48.31</v>
      </c>
      <c r="K5" s="38">
        <v>57.66</v>
      </c>
      <c r="L5" s="38">
        <v>58.87</v>
      </c>
      <c r="M5" s="38">
        <v>60.24</v>
      </c>
      <c r="N5" s="38">
        <v>61.53</v>
      </c>
      <c r="O5" s="38">
        <v>64.67</v>
      </c>
      <c r="P5" s="38">
        <v>62.85</v>
      </c>
      <c r="Q5" s="38">
        <v>71.59</v>
      </c>
      <c r="R5" s="38">
        <v>69.3</v>
      </c>
      <c r="S5" s="38">
        <v>68.260000000000005</v>
      </c>
      <c r="T5" s="38">
        <v>58.2</v>
      </c>
      <c r="U5" s="38">
        <v>63.43</v>
      </c>
      <c r="V5" s="38">
        <v>63.32</v>
      </c>
      <c r="W5" s="38">
        <v>59.79</v>
      </c>
      <c r="X5" s="38">
        <v>49.94</v>
      </c>
      <c r="Y5" s="40">
        <f>(X5-T5)/T5</f>
        <v>-0.14192439862542963</v>
      </c>
      <c r="Z5" s="40">
        <f>(X5-W5)/W5</f>
        <v>-0.16474326810503431</v>
      </c>
      <c r="AA5" s="38">
        <v>57.42</v>
      </c>
      <c r="AB5" s="52">
        <f>(AA5-U5)/U5</f>
        <v>-9.4750118240580133E-2</v>
      </c>
      <c r="AC5" s="52">
        <f>(AA5-X5)/X5</f>
        <v>0.14977973568281946</v>
      </c>
      <c r="AD5" s="38">
        <v>54.08</v>
      </c>
      <c r="AE5" s="52">
        <f>(AD5-V5)/V5</f>
        <v>-0.14592545799115605</v>
      </c>
      <c r="AF5" s="38"/>
      <c r="AG5" s="38"/>
      <c r="AH5" s="38"/>
      <c r="AI5" s="38"/>
      <c r="AJ5" s="38"/>
      <c r="AK5" s="38"/>
      <c r="AL5" s="38"/>
      <c r="AM5" s="38"/>
      <c r="AN5" s="38"/>
    </row>
    <row r="6" spans="1:40" s="35" customFormat="1" ht="12.75" customHeight="1" x14ac:dyDescent="0.35">
      <c r="A6" s="31" t="s">
        <v>76</v>
      </c>
      <c r="B6" s="34">
        <v>284</v>
      </c>
      <c r="C6" s="34">
        <v>285</v>
      </c>
      <c r="D6" s="34">
        <v>291</v>
      </c>
      <c r="E6" s="34">
        <v>290</v>
      </c>
      <c r="F6" s="34">
        <v>304</v>
      </c>
      <c r="G6" s="34">
        <v>311</v>
      </c>
      <c r="H6" s="34">
        <v>320</v>
      </c>
      <c r="I6" s="34">
        <v>316</v>
      </c>
      <c r="J6" s="34">
        <v>337</v>
      </c>
      <c r="K6" s="34">
        <v>344</v>
      </c>
      <c r="L6" s="34">
        <v>347</v>
      </c>
      <c r="M6" s="34">
        <v>345</v>
      </c>
      <c r="N6" s="34">
        <v>372</v>
      </c>
      <c r="O6" s="34">
        <v>374</v>
      </c>
      <c r="P6" s="34">
        <v>392</v>
      </c>
      <c r="Q6" s="34">
        <v>415</v>
      </c>
      <c r="R6" s="34">
        <v>594</v>
      </c>
      <c r="S6" s="34">
        <v>602</v>
      </c>
      <c r="T6" s="34">
        <v>618</v>
      </c>
      <c r="U6" s="34">
        <v>612</v>
      </c>
      <c r="V6" s="34">
        <v>661</v>
      </c>
      <c r="W6" s="34">
        <v>676.38800000000003</v>
      </c>
      <c r="X6" s="34">
        <v>711.33</v>
      </c>
      <c r="Y6" s="40">
        <f t="shared" ref="Y6:Y68" si="0">(X6-T6)/T6</f>
        <v>0.15101941747572822</v>
      </c>
      <c r="Z6" s="40">
        <f t="shared" ref="Z6:Z68" si="1">(X6-W6)/W6</f>
        <v>5.1659698279685633E-2</v>
      </c>
      <c r="AA6" s="34">
        <v>726.9</v>
      </c>
      <c r="AB6" s="52">
        <f t="shared" ref="AB6:AB69" si="2">(AA6-U6)/U6</f>
        <v>0.18774509803921566</v>
      </c>
      <c r="AC6" s="52">
        <f t="shared" ref="AC6:AC69" si="3">(AA6-X6)/X6</f>
        <v>2.1888574923031413E-2</v>
      </c>
      <c r="AD6" s="34">
        <v>835.24199999999996</v>
      </c>
      <c r="AE6" s="52">
        <f t="shared" ref="AE6:AE9" si="4">(AD6-V6)/V6</f>
        <v>0.26360363086232974</v>
      </c>
      <c r="AF6" s="34"/>
      <c r="AG6" s="34"/>
      <c r="AH6" s="34"/>
      <c r="AI6" s="34"/>
      <c r="AJ6" s="34"/>
      <c r="AK6" s="34"/>
      <c r="AL6" s="34"/>
      <c r="AM6" s="34"/>
      <c r="AN6" s="34"/>
    </row>
    <row r="7" spans="1:40" s="44" customFormat="1" ht="12.75" customHeight="1" x14ac:dyDescent="0.35">
      <c r="A7" s="31" t="s">
        <v>77</v>
      </c>
      <c r="B7" s="42">
        <f t="shared" ref="B7:V7" si="5">B5*B6</f>
        <v>14236.92</v>
      </c>
      <c r="C7" s="42">
        <f t="shared" si="5"/>
        <v>14854.199999999999</v>
      </c>
      <c r="D7" s="42">
        <f t="shared" si="5"/>
        <v>16042.83</v>
      </c>
      <c r="E7" s="42">
        <f t="shared" si="5"/>
        <v>17716.100000000002</v>
      </c>
      <c r="F7" s="42">
        <f t="shared" si="5"/>
        <v>21669.119999999999</v>
      </c>
      <c r="G7" s="42">
        <f t="shared" si="5"/>
        <v>20784.13</v>
      </c>
      <c r="H7" s="42">
        <f t="shared" si="5"/>
        <v>23776</v>
      </c>
      <c r="I7" s="42">
        <f t="shared" si="5"/>
        <v>22546.6</v>
      </c>
      <c r="J7" s="42">
        <f t="shared" si="5"/>
        <v>16280.470000000001</v>
      </c>
      <c r="K7" s="42">
        <f t="shared" si="5"/>
        <v>19835.039999999997</v>
      </c>
      <c r="L7" s="42">
        <f t="shared" si="5"/>
        <v>20427.89</v>
      </c>
      <c r="M7" s="42">
        <f t="shared" si="5"/>
        <v>20782.8</v>
      </c>
      <c r="N7" s="42">
        <f t="shared" si="5"/>
        <v>22889.16</v>
      </c>
      <c r="O7" s="42">
        <f t="shared" si="5"/>
        <v>24186.58</v>
      </c>
      <c r="P7" s="42">
        <f t="shared" si="5"/>
        <v>24637.200000000001</v>
      </c>
      <c r="Q7" s="42">
        <f t="shared" si="5"/>
        <v>29709.850000000002</v>
      </c>
      <c r="R7" s="42">
        <f t="shared" si="5"/>
        <v>41164.199999999997</v>
      </c>
      <c r="S7" s="42">
        <f t="shared" si="5"/>
        <v>41092.520000000004</v>
      </c>
      <c r="T7" s="42">
        <f t="shared" si="5"/>
        <v>35967.599999999999</v>
      </c>
      <c r="U7" s="42">
        <f t="shared" si="5"/>
        <v>38819.159999999996</v>
      </c>
      <c r="V7" s="42">
        <f t="shared" si="5"/>
        <v>41854.519999999997</v>
      </c>
      <c r="W7" s="42">
        <f>W5*W6</f>
        <v>40441.238519999999</v>
      </c>
      <c r="X7" s="42">
        <f t="shared" ref="X7:AF7" si="6">X5*X6</f>
        <v>35523.820200000002</v>
      </c>
      <c r="Y7" s="43">
        <f t="shared" si="0"/>
        <v>-1.2338321155706709E-2</v>
      </c>
      <c r="Z7" s="43">
        <f t="shared" si="1"/>
        <v>-0.12159415734926401</v>
      </c>
      <c r="AA7" s="42">
        <f t="shared" si="6"/>
        <v>41738.597999999998</v>
      </c>
      <c r="AB7" s="52">
        <f t="shared" si="2"/>
        <v>7.5206109560330581E-2</v>
      </c>
      <c r="AC7" s="52">
        <f t="shared" si="3"/>
        <v>0.17494677557229601</v>
      </c>
      <c r="AD7" s="42">
        <f t="shared" si="6"/>
        <v>45169.887359999993</v>
      </c>
      <c r="AE7" s="52">
        <f t="shared" si="4"/>
        <v>7.9211692309456586E-2</v>
      </c>
      <c r="AF7" s="42">
        <f t="shared" si="6"/>
        <v>0</v>
      </c>
      <c r="AG7" s="42"/>
      <c r="AH7" s="42"/>
      <c r="AI7" s="42"/>
      <c r="AJ7" s="42"/>
      <c r="AK7" s="42"/>
      <c r="AL7" s="42"/>
      <c r="AM7" s="42"/>
      <c r="AN7" s="42"/>
    </row>
    <row r="8" spans="1:40" s="44" customFormat="1" ht="12.75" customHeight="1" x14ac:dyDescent="0.35">
      <c r="A8" s="31" t="s">
        <v>78</v>
      </c>
      <c r="B8" s="42">
        <f t="shared" ref="B8:V8" si="7">B36</f>
        <v>20.6</v>
      </c>
      <c r="C8" s="42">
        <f t="shared" si="7"/>
        <v>30.7</v>
      </c>
      <c r="D8" s="42">
        <f t="shared" si="7"/>
        <v>6.6660000000000004</v>
      </c>
      <c r="E8" s="42">
        <f t="shared" si="7"/>
        <v>10.387</v>
      </c>
      <c r="F8" s="42">
        <f t="shared" si="7"/>
        <v>2.9969999999999999</v>
      </c>
      <c r="G8" s="42">
        <f t="shared" si="7"/>
        <v>27.135999999999999</v>
      </c>
      <c r="H8" s="42">
        <f t="shared" si="7"/>
        <v>236.06399999999999</v>
      </c>
      <c r="I8" s="42">
        <f t="shared" si="7"/>
        <v>54</v>
      </c>
      <c r="J8" s="42">
        <f t="shared" si="7"/>
        <v>42</v>
      </c>
      <c r="K8" s="42">
        <f t="shared" si="7"/>
        <v>35</v>
      </c>
      <c r="L8" s="42">
        <f t="shared" si="7"/>
        <v>724.75</v>
      </c>
      <c r="M8" s="42">
        <f t="shared" si="7"/>
        <v>824</v>
      </c>
      <c r="N8" s="42">
        <f t="shared" si="7"/>
        <v>184</v>
      </c>
      <c r="O8" s="42">
        <f t="shared" si="7"/>
        <v>231</v>
      </c>
      <c r="P8" s="42">
        <f t="shared" si="7"/>
        <v>517</v>
      </c>
      <c r="Q8" s="42">
        <f t="shared" si="7"/>
        <v>259</v>
      </c>
      <c r="R8" s="42">
        <f t="shared" si="7"/>
        <v>151.6</v>
      </c>
      <c r="S8" s="42">
        <f t="shared" si="7"/>
        <v>173</v>
      </c>
      <c r="T8" s="42">
        <f t="shared" si="7"/>
        <v>187.7</v>
      </c>
      <c r="U8" s="42">
        <f t="shared" si="7"/>
        <v>171</v>
      </c>
      <c r="V8" s="42">
        <f t="shared" si="7"/>
        <v>165</v>
      </c>
      <c r="W8" s="42">
        <f>W36</f>
        <v>254</v>
      </c>
      <c r="X8" s="42">
        <f t="shared" ref="X8:AF8" si="8">X36</f>
        <v>344</v>
      </c>
      <c r="Y8" s="43">
        <f t="shared" si="0"/>
        <v>0.83271177410761865</v>
      </c>
      <c r="Z8" s="43">
        <f t="shared" si="1"/>
        <v>0.3543307086614173</v>
      </c>
      <c r="AA8" s="42">
        <f t="shared" si="8"/>
        <v>232.92</v>
      </c>
      <c r="AB8" s="52">
        <f t="shared" si="2"/>
        <v>0.36210526315789465</v>
      </c>
      <c r="AC8" s="52">
        <f t="shared" si="3"/>
        <v>-0.32290697674418606</v>
      </c>
      <c r="AD8" s="42">
        <f t="shared" si="8"/>
        <v>680.2</v>
      </c>
      <c r="AE8" s="52">
        <f t="shared" si="4"/>
        <v>3.1224242424242425</v>
      </c>
      <c r="AF8" s="42">
        <f t="shared" si="8"/>
        <v>0</v>
      </c>
      <c r="AG8" s="42"/>
      <c r="AH8" s="42"/>
      <c r="AI8" s="42"/>
      <c r="AJ8" s="42"/>
      <c r="AK8" s="42"/>
      <c r="AL8" s="42"/>
      <c r="AM8" s="42"/>
      <c r="AN8" s="42"/>
    </row>
    <row r="9" spans="1:40" s="44" customFormat="1" ht="12.75" customHeight="1" x14ac:dyDescent="0.35">
      <c r="A9" s="31" t="s">
        <v>79</v>
      </c>
      <c r="B9" s="42">
        <f t="shared" ref="B9:V9" si="9">B58+B55+B56</f>
        <v>6281</v>
      </c>
      <c r="C9" s="42">
        <f t="shared" si="9"/>
        <v>6228.5</v>
      </c>
      <c r="D9" s="42">
        <f t="shared" si="9"/>
        <v>6469.4529999999995</v>
      </c>
      <c r="E9" s="42">
        <f t="shared" si="9"/>
        <v>6197.3969999999999</v>
      </c>
      <c r="F9" s="42">
        <f t="shared" si="9"/>
        <v>6714.4340000000002</v>
      </c>
      <c r="G9" s="42">
        <f t="shared" si="9"/>
        <v>6774.8909999999996</v>
      </c>
      <c r="H9" s="42">
        <f t="shared" si="9"/>
        <v>6755.3359999999993</v>
      </c>
      <c r="I9" s="42">
        <f t="shared" si="9"/>
        <v>7491.4279999999999</v>
      </c>
      <c r="J9" s="42">
        <f t="shared" si="9"/>
        <v>7127</v>
      </c>
      <c r="K9" s="42">
        <f t="shared" si="9"/>
        <v>7480</v>
      </c>
      <c r="L9" s="42">
        <f t="shared" si="9"/>
        <v>8100</v>
      </c>
      <c r="M9" s="42">
        <f t="shared" si="9"/>
        <v>8517</v>
      </c>
      <c r="N9" s="42">
        <f t="shared" si="9"/>
        <v>8250</v>
      </c>
      <c r="O9" s="42">
        <f t="shared" si="9"/>
        <v>8864</v>
      </c>
      <c r="P9" s="42">
        <f t="shared" si="9"/>
        <v>8963.5</v>
      </c>
      <c r="Q9" s="42">
        <f t="shared" si="9"/>
        <v>14300.46</v>
      </c>
      <c r="R9" s="42">
        <f t="shared" si="9"/>
        <v>14837.960000000001</v>
      </c>
      <c r="S9" s="42">
        <f t="shared" si="9"/>
        <v>15007.6</v>
      </c>
      <c r="T9" s="42">
        <f t="shared" si="9"/>
        <v>15486</v>
      </c>
      <c r="U9" s="42">
        <f t="shared" si="9"/>
        <v>17257</v>
      </c>
      <c r="V9" s="42">
        <f t="shared" si="9"/>
        <v>18032.8</v>
      </c>
      <c r="W9" s="42">
        <f>W58+W55+W56</f>
        <v>18790.142</v>
      </c>
      <c r="X9" s="42">
        <f t="shared" ref="X9:AF9" si="10">X58+X55+X56</f>
        <v>19628.695</v>
      </c>
      <c r="Y9" s="43">
        <f t="shared" si="0"/>
        <v>0.2675122691463257</v>
      </c>
      <c r="Z9" s="43">
        <f t="shared" si="1"/>
        <v>4.4627283817227137E-2</v>
      </c>
      <c r="AA9" s="42">
        <f t="shared" si="10"/>
        <v>20698.5</v>
      </c>
      <c r="AB9" s="52">
        <f t="shared" si="2"/>
        <v>0.19942631975430261</v>
      </c>
      <c r="AC9" s="52">
        <f t="shared" si="3"/>
        <v>5.4502095019561936E-2</v>
      </c>
      <c r="AD9" s="42">
        <f t="shared" si="10"/>
        <v>25140.904999999999</v>
      </c>
      <c r="AE9" s="52">
        <f t="shared" si="4"/>
        <v>0.39417644514440353</v>
      </c>
      <c r="AF9" s="42">
        <f t="shared" si="10"/>
        <v>0</v>
      </c>
      <c r="AG9" s="42"/>
      <c r="AH9" s="42"/>
      <c r="AI9" s="42"/>
      <c r="AJ9" s="42"/>
      <c r="AK9" s="42"/>
      <c r="AL9" s="42"/>
      <c r="AM9" s="42"/>
      <c r="AN9" s="42"/>
    </row>
    <row r="10" spans="1:40" s="46" customFormat="1" ht="12.75" customHeight="1" x14ac:dyDescent="0.35">
      <c r="A10" s="31"/>
      <c r="B10" s="45"/>
      <c r="C10" s="45"/>
      <c r="D10" s="45"/>
      <c r="E10" s="45"/>
      <c r="F10" s="45"/>
      <c r="G10" s="45"/>
      <c r="H10" s="45"/>
      <c r="I10" s="45"/>
      <c r="J10" s="45"/>
      <c r="K10" s="45"/>
      <c r="L10" s="45"/>
      <c r="M10" s="45"/>
      <c r="N10" s="45"/>
      <c r="O10" s="45"/>
      <c r="P10" s="45"/>
      <c r="Q10" s="45"/>
      <c r="R10" s="45"/>
      <c r="S10" s="45"/>
      <c r="T10" s="45"/>
      <c r="U10" s="45"/>
      <c r="V10" s="45"/>
      <c r="W10" s="45"/>
      <c r="X10" s="45"/>
      <c r="Y10" s="43"/>
      <c r="Z10" s="43"/>
      <c r="AA10" s="45"/>
      <c r="AB10" s="52"/>
      <c r="AC10" s="52"/>
      <c r="AD10" s="45"/>
      <c r="AE10" s="45"/>
      <c r="AF10" s="45"/>
      <c r="AG10" s="45"/>
      <c r="AH10" s="45"/>
      <c r="AI10" s="45"/>
      <c r="AJ10" s="45"/>
      <c r="AK10" s="45"/>
      <c r="AL10" s="45"/>
      <c r="AM10" s="45"/>
      <c r="AN10" s="45"/>
    </row>
    <row r="11" spans="1:40" ht="13.15" x14ac:dyDescent="0.4">
      <c r="A11" s="5" t="s">
        <v>24</v>
      </c>
      <c r="B11" s="11"/>
      <c r="Y11" s="43"/>
      <c r="Z11" s="43"/>
      <c r="AB11" s="52"/>
      <c r="AC11" s="52"/>
    </row>
    <row r="12" spans="1:40" x14ac:dyDescent="0.35">
      <c r="A12" s="8" t="s">
        <v>51</v>
      </c>
      <c r="B12" s="10">
        <f>11.3+306.5</f>
        <v>317.8</v>
      </c>
      <c r="C12" s="10">
        <f>11.4+313.9</f>
        <v>325.29999999999995</v>
      </c>
      <c r="D12" s="10">
        <f>12.5+324.8</f>
        <v>337.3</v>
      </c>
      <c r="E12" s="10">
        <f>47+329.4</f>
        <v>376.4</v>
      </c>
      <c r="F12" s="10">
        <v>354.03699999999998</v>
      </c>
      <c r="G12" s="10">
        <v>364.25200000000001</v>
      </c>
      <c r="H12" s="10">
        <v>372.31200000000001</v>
      </c>
      <c r="I12" s="10">
        <f>1484.8-H12-G12-F12</f>
        <v>394.1989999999999</v>
      </c>
      <c r="J12" s="10">
        <v>412</v>
      </c>
      <c r="K12" s="10">
        <v>410</v>
      </c>
      <c r="L12" s="10">
        <v>402</v>
      </c>
      <c r="M12" s="10">
        <f>1639.5-L12-K12-J12</f>
        <v>415.5</v>
      </c>
      <c r="N12" s="10">
        <v>439</v>
      </c>
      <c r="O12" s="10">
        <v>460</v>
      </c>
      <c r="P12" s="10">
        <v>486</v>
      </c>
      <c r="Q12" s="10">
        <f>2065-P12-O12-N12</f>
        <v>680</v>
      </c>
      <c r="R12" s="10">
        <v>799</v>
      </c>
      <c r="S12" s="10">
        <v>801</v>
      </c>
      <c r="T12" s="10">
        <v>826</v>
      </c>
      <c r="U12" s="10">
        <f>3300-T12-S12-R12</f>
        <v>874</v>
      </c>
      <c r="V12" s="10">
        <v>925</v>
      </c>
      <c r="W12" s="10">
        <v>995.3</v>
      </c>
      <c r="X12" s="10">
        <v>1008.9</v>
      </c>
      <c r="Y12" s="43">
        <f t="shared" si="0"/>
        <v>0.22142857142857139</v>
      </c>
      <c r="Z12" s="43">
        <f t="shared" si="1"/>
        <v>1.3664221842660527E-2</v>
      </c>
      <c r="AA12" s="10">
        <v>1028.7</v>
      </c>
      <c r="AB12" s="52">
        <f t="shared" si="2"/>
        <v>0.1770022883295195</v>
      </c>
      <c r="AC12" s="52">
        <f t="shared" si="3"/>
        <v>1.9625334522747614E-2</v>
      </c>
      <c r="AD12" s="10">
        <v>1208.2</v>
      </c>
      <c r="AE12" s="52">
        <f t="shared" ref="AE12:AE14" si="11">(AD12-V12)/V12</f>
        <v>0.30616216216216219</v>
      </c>
    </row>
    <row r="13" spans="1:40" x14ac:dyDescent="0.35">
      <c r="A13" s="8" t="s">
        <v>25</v>
      </c>
      <c r="B13" s="10">
        <v>0.4</v>
      </c>
      <c r="C13" s="10">
        <v>3.6</v>
      </c>
      <c r="D13" s="10">
        <v>0.8</v>
      </c>
      <c r="E13" s="10">
        <f>6.292-SUM(B13:D13)</f>
        <v>1.492</v>
      </c>
      <c r="F13" s="10">
        <v>0.32800000000000001</v>
      </c>
      <c r="G13" s="10">
        <v>1.198</v>
      </c>
      <c r="H13" s="10">
        <v>1.9350000000000001</v>
      </c>
      <c r="I13" s="10">
        <f>6.773-H13-G13-F13</f>
        <v>3.3119999999999994</v>
      </c>
      <c r="J13" s="10">
        <v>2.1840000000000002</v>
      </c>
      <c r="K13" s="10">
        <v>4</v>
      </c>
      <c r="L13" s="10">
        <v>3</v>
      </c>
      <c r="M13" s="10">
        <f>12-L13-K13-J13</f>
        <v>2.8159999999999998</v>
      </c>
      <c r="N13" s="10">
        <v>3</v>
      </c>
      <c r="O13" s="10">
        <v>4</v>
      </c>
      <c r="P13" s="10">
        <v>6</v>
      </c>
      <c r="Q13" s="10">
        <f>15.5-P13-O13-N13</f>
        <v>2.5</v>
      </c>
      <c r="R13" s="10">
        <v>8</v>
      </c>
      <c r="S13" s="10">
        <v>10</v>
      </c>
      <c r="T13" s="10">
        <v>11</v>
      </c>
      <c r="U13" s="10">
        <f>44-T13-S13-R13</f>
        <v>15</v>
      </c>
      <c r="V13" s="10">
        <v>19</v>
      </c>
      <c r="W13" s="10">
        <v>23.9</v>
      </c>
      <c r="X13" s="10">
        <v>30.2</v>
      </c>
      <c r="Y13" s="43">
        <f t="shared" si="0"/>
        <v>1.7454545454545454</v>
      </c>
      <c r="Z13" s="43">
        <f t="shared" si="1"/>
        <v>0.26359832635983266</v>
      </c>
      <c r="AA13" s="10">
        <v>47.6</v>
      </c>
      <c r="AB13" s="52">
        <f t="shared" si="2"/>
        <v>2.1733333333333333</v>
      </c>
      <c r="AC13" s="52">
        <f t="shared" si="3"/>
        <v>0.57615894039735105</v>
      </c>
      <c r="AD13" s="10">
        <v>52.3</v>
      </c>
      <c r="AE13" s="52">
        <f t="shared" si="11"/>
        <v>1.7526315789473683</v>
      </c>
    </row>
    <row r="14" spans="1:40" s="47" customFormat="1" ht="13.15" x14ac:dyDescent="0.4">
      <c r="A14" s="9" t="s">
        <v>26</v>
      </c>
      <c r="B14" s="47">
        <f t="shared" ref="B14:V14" si="12">SUM(B12:B13)</f>
        <v>318.2</v>
      </c>
      <c r="C14" s="47">
        <f t="shared" si="12"/>
        <v>328.9</v>
      </c>
      <c r="D14" s="47">
        <f t="shared" si="12"/>
        <v>338.1</v>
      </c>
      <c r="E14" s="47">
        <f t="shared" si="12"/>
        <v>377.892</v>
      </c>
      <c r="F14" s="47">
        <f t="shared" si="12"/>
        <v>354.36499999999995</v>
      </c>
      <c r="G14" s="47">
        <f t="shared" si="12"/>
        <v>365.45</v>
      </c>
      <c r="H14" s="47">
        <f t="shared" si="12"/>
        <v>374.24700000000001</v>
      </c>
      <c r="I14" s="47">
        <f t="shared" si="12"/>
        <v>397.51099999999991</v>
      </c>
      <c r="J14" s="47">
        <f t="shared" si="12"/>
        <v>414.18400000000003</v>
      </c>
      <c r="K14" s="47">
        <f t="shared" si="12"/>
        <v>414</v>
      </c>
      <c r="L14" s="47">
        <f t="shared" si="12"/>
        <v>405</v>
      </c>
      <c r="M14" s="47">
        <f t="shared" si="12"/>
        <v>418.31599999999997</v>
      </c>
      <c r="N14" s="47">
        <f t="shared" si="12"/>
        <v>442</v>
      </c>
      <c r="O14" s="47">
        <f t="shared" si="12"/>
        <v>464</v>
      </c>
      <c r="P14" s="47">
        <f t="shared" si="12"/>
        <v>492</v>
      </c>
      <c r="Q14" s="47">
        <f t="shared" si="12"/>
        <v>682.5</v>
      </c>
      <c r="R14" s="47">
        <f t="shared" si="12"/>
        <v>807</v>
      </c>
      <c r="S14" s="47">
        <f t="shared" si="12"/>
        <v>811</v>
      </c>
      <c r="T14" s="47">
        <f t="shared" si="12"/>
        <v>837</v>
      </c>
      <c r="U14" s="47">
        <f t="shared" si="12"/>
        <v>889</v>
      </c>
      <c r="V14" s="47">
        <f t="shared" si="12"/>
        <v>944</v>
      </c>
      <c r="W14" s="47">
        <f>SUM(W12:W13)</f>
        <v>1019.1999999999999</v>
      </c>
      <c r="X14" s="47">
        <f t="shared" ref="X14:AF14" si="13">SUM(X12:X13)</f>
        <v>1039.0999999999999</v>
      </c>
      <c r="Y14" s="43">
        <f t="shared" si="0"/>
        <v>0.24145758661887684</v>
      </c>
      <c r="Z14" s="43">
        <f t="shared" si="1"/>
        <v>1.9525117739403432E-2</v>
      </c>
      <c r="AA14" s="47">
        <f t="shared" si="13"/>
        <v>1076.3</v>
      </c>
      <c r="AB14" s="52">
        <f t="shared" si="2"/>
        <v>0.21068616422947126</v>
      </c>
      <c r="AC14" s="52">
        <f t="shared" si="3"/>
        <v>3.5800211721682275E-2</v>
      </c>
      <c r="AD14" s="47">
        <f t="shared" si="13"/>
        <v>1260.5</v>
      </c>
      <c r="AE14" s="52">
        <f t="shared" si="11"/>
        <v>0.33527542372881358</v>
      </c>
      <c r="AF14" s="47">
        <f t="shared" si="13"/>
        <v>0</v>
      </c>
    </row>
    <row r="15" spans="1:40" x14ac:dyDescent="0.35">
      <c r="Y15" s="43"/>
      <c r="Z15" s="43"/>
      <c r="AB15" s="52"/>
      <c r="AC15" s="52"/>
    </row>
    <row r="16" spans="1:40" ht="13.15" x14ac:dyDescent="0.4">
      <c r="A16" s="7" t="s">
        <v>27</v>
      </c>
      <c r="Y16" s="43"/>
      <c r="Z16" s="43"/>
      <c r="AB16" s="52"/>
      <c r="AC16" s="52"/>
    </row>
    <row r="17" spans="1:32" x14ac:dyDescent="0.35">
      <c r="A17" s="8" t="s">
        <v>28</v>
      </c>
      <c r="B17" s="10">
        <v>131.1</v>
      </c>
      <c r="C17" s="10">
        <v>134</v>
      </c>
      <c r="D17" s="10">
        <v>136.96700000000001</v>
      </c>
      <c r="E17" s="10">
        <f>539.78-SUM(B17:D17)</f>
        <v>137.71299999999997</v>
      </c>
      <c r="F17" s="10">
        <v>137.5</v>
      </c>
      <c r="G17" s="10">
        <v>150.42599999999999</v>
      </c>
      <c r="H17" s="10">
        <v>149.42400000000001</v>
      </c>
      <c r="I17" s="10">
        <f>593.961-H17-G17-F17</f>
        <v>156.61100000000005</v>
      </c>
      <c r="J17" s="10">
        <v>165</v>
      </c>
      <c r="K17" s="10">
        <v>168</v>
      </c>
      <c r="L17" s="10">
        <v>169</v>
      </c>
      <c r="M17" s="10">
        <f>677-L17-K17-J17</f>
        <v>175</v>
      </c>
      <c r="N17" s="10">
        <v>178</v>
      </c>
      <c r="O17" s="10">
        <v>188</v>
      </c>
      <c r="P17" s="10">
        <v>199</v>
      </c>
      <c r="Q17" s="10">
        <f>897.8-P17-O17-N17</f>
        <v>332.79999999999995</v>
      </c>
      <c r="R17" s="10">
        <v>404</v>
      </c>
      <c r="S17" s="10">
        <v>409</v>
      </c>
      <c r="T17" s="10">
        <v>419</v>
      </c>
      <c r="U17" s="10">
        <f>1670-T17-S17-R17</f>
        <v>438</v>
      </c>
      <c r="V17" s="10">
        <v>451.47699999999998</v>
      </c>
      <c r="W17" s="10">
        <v>472.27800000000002</v>
      </c>
      <c r="X17" s="10">
        <v>495.56599999999997</v>
      </c>
      <c r="Y17" s="43">
        <f t="shared" si="0"/>
        <v>0.18273508353221951</v>
      </c>
      <c r="Z17" s="43">
        <f t="shared" si="1"/>
        <v>4.9309940331753656E-2</v>
      </c>
      <c r="AA17" s="51">
        <v>475.9</v>
      </c>
      <c r="AB17" s="52">
        <f t="shared" si="2"/>
        <v>8.6529680365296749E-2</v>
      </c>
      <c r="AC17" s="52">
        <f t="shared" si="3"/>
        <v>-3.9683916975740863E-2</v>
      </c>
      <c r="AD17" s="10">
        <v>581.1</v>
      </c>
      <c r="AE17" s="52">
        <f t="shared" ref="AE17:AE23" si="14">(AD17-V17)/V17</f>
        <v>0.28710875637075656</v>
      </c>
    </row>
    <row r="18" spans="1:32" x14ac:dyDescent="0.35">
      <c r="A18" s="8" t="s">
        <v>29</v>
      </c>
      <c r="B18" s="10">
        <v>59.4</v>
      </c>
      <c r="C18" s="10">
        <v>66.599999999999994</v>
      </c>
      <c r="D18" s="10">
        <v>69.34</v>
      </c>
      <c r="E18" s="10">
        <f>266-SUM(B18:D18)</f>
        <v>70.66</v>
      </c>
      <c r="F18" s="10">
        <v>70</v>
      </c>
      <c r="G18" s="10">
        <v>72.488</v>
      </c>
      <c r="H18" s="10">
        <v>73.400000000000006</v>
      </c>
      <c r="I18" s="10">
        <f>290.991-H18-G18-F18</f>
        <v>75.10299999999998</v>
      </c>
      <c r="J18" s="10">
        <v>76</v>
      </c>
      <c r="K18" s="10">
        <v>78</v>
      </c>
      <c r="L18" s="10">
        <v>77</v>
      </c>
      <c r="M18" s="10">
        <f>309-L18-K18-J18</f>
        <v>78</v>
      </c>
      <c r="N18" s="10">
        <v>73</v>
      </c>
      <c r="O18" s="10">
        <v>74</v>
      </c>
      <c r="P18" s="10">
        <v>76</v>
      </c>
      <c r="Q18" s="10">
        <f>323.6-P18-O18-N18</f>
        <v>100.60000000000002</v>
      </c>
      <c r="R18" s="10">
        <v>106</v>
      </c>
      <c r="S18" s="10">
        <v>110</v>
      </c>
      <c r="T18" s="10">
        <v>117</v>
      </c>
      <c r="U18" s="10">
        <f>465-T18-S18-R18</f>
        <v>132</v>
      </c>
      <c r="V18" s="10">
        <v>154</v>
      </c>
      <c r="W18" s="10">
        <v>184</v>
      </c>
      <c r="X18" s="10">
        <v>184</v>
      </c>
      <c r="Y18" s="43">
        <f t="shared" si="0"/>
        <v>0.57264957264957261</v>
      </c>
      <c r="Z18" s="43">
        <f t="shared" si="1"/>
        <v>0</v>
      </c>
      <c r="AA18" s="10">
        <v>208.3</v>
      </c>
      <c r="AB18" s="52">
        <f t="shared" si="2"/>
        <v>0.57803030303030312</v>
      </c>
      <c r="AC18" s="52">
        <f t="shared" si="3"/>
        <v>0.13206521739130442</v>
      </c>
      <c r="AD18" s="10">
        <v>240.6</v>
      </c>
      <c r="AE18" s="52">
        <f t="shared" si="14"/>
        <v>0.56233766233766225</v>
      </c>
    </row>
    <row r="19" spans="1:32" x14ac:dyDescent="0.35">
      <c r="A19" s="8" t="s">
        <v>31</v>
      </c>
      <c r="B19" s="10">
        <v>16.5</v>
      </c>
      <c r="C19" s="10">
        <v>16.2</v>
      </c>
      <c r="D19" s="10">
        <v>15.8</v>
      </c>
      <c r="E19" s="10">
        <f>66.3-SUM(B19:D19)</f>
        <v>17.799999999999997</v>
      </c>
      <c r="F19" s="10">
        <v>21.635999999999999</v>
      </c>
      <c r="G19" s="10">
        <v>21.341999999999999</v>
      </c>
      <c r="H19" s="10">
        <v>20.353999999999999</v>
      </c>
      <c r="I19" s="10">
        <f>88.585-H19-G19-F19</f>
        <v>25.252999999999997</v>
      </c>
      <c r="J19" s="10">
        <v>26</v>
      </c>
      <c r="K19" s="10">
        <v>26</v>
      </c>
      <c r="L19" s="10">
        <v>25</v>
      </c>
      <c r="M19" s="10">
        <f>104.6-L19-K19-J19</f>
        <v>27.599999999999994</v>
      </c>
      <c r="N19" s="10">
        <v>28</v>
      </c>
      <c r="O19" s="10">
        <v>32</v>
      </c>
      <c r="P19" s="10">
        <v>30</v>
      </c>
      <c r="Q19" s="10">
        <f>133.6-P19-O19-N19</f>
        <v>43.599999999999994</v>
      </c>
      <c r="R19" s="10">
        <v>52</v>
      </c>
      <c r="S19" s="10">
        <v>52</v>
      </c>
      <c r="T19" s="10">
        <v>53</v>
      </c>
      <c r="U19" s="10">
        <f>226-T19-S19-R19</f>
        <v>69</v>
      </c>
      <c r="V19" s="10">
        <v>69</v>
      </c>
      <c r="W19" s="10">
        <v>95</v>
      </c>
      <c r="X19" s="10">
        <v>70.98</v>
      </c>
      <c r="Y19" s="43">
        <f t="shared" si="0"/>
        <v>0.33924528301886803</v>
      </c>
      <c r="Z19" s="43">
        <f t="shared" si="1"/>
        <v>-0.25284210526315787</v>
      </c>
      <c r="AA19" s="10">
        <v>81.88</v>
      </c>
      <c r="AB19" s="52">
        <f t="shared" si="2"/>
        <v>0.18666666666666659</v>
      </c>
      <c r="AC19" s="52">
        <f t="shared" si="3"/>
        <v>0.15356438433361497</v>
      </c>
      <c r="AD19" s="10">
        <v>89.4</v>
      </c>
      <c r="AE19" s="52">
        <f t="shared" si="14"/>
        <v>0.29565217391304355</v>
      </c>
    </row>
    <row r="20" spans="1:32" x14ac:dyDescent="0.35">
      <c r="A20" s="8" t="s">
        <v>30</v>
      </c>
      <c r="B20" s="10">
        <v>15.7</v>
      </c>
      <c r="C20" s="10">
        <v>17.899999999999999</v>
      </c>
      <c r="D20" s="10">
        <v>16.329999999999998</v>
      </c>
      <c r="E20" s="10">
        <f>84.1-SUM(B20:D20)</f>
        <v>34.17</v>
      </c>
      <c r="F20" s="10">
        <v>15.1</v>
      </c>
      <c r="G20" s="10">
        <v>18.585000000000001</v>
      </c>
      <c r="H20" s="10">
        <v>16.46</v>
      </c>
      <c r="I20" s="10">
        <f>66.483-H20-G20-F20</f>
        <v>16.338000000000001</v>
      </c>
      <c r="J20" s="10">
        <v>21</v>
      </c>
      <c r="K20" s="10">
        <v>19</v>
      </c>
      <c r="L20" s="10">
        <v>16.5</v>
      </c>
      <c r="M20" s="10">
        <f>73-L20-K20-J20</f>
        <v>16.5</v>
      </c>
      <c r="N20" s="10">
        <v>21</v>
      </c>
      <c r="O20" s="10">
        <v>22</v>
      </c>
      <c r="P20" s="10">
        <v>24</v>
      </c>
      <c r="Q20" s="10">
        <f>97-P20-O20-N20</f>
        <v>30</v>
      </c>
      <c r="R20" s="10">
        <v>33</v>
      </c>
      <c r="S20" s="10">
        <v>34</v>
      </c>
      <c r="T20" s="10">
        <v>34</v>
      </c>
      <c r="U20" s="10">
        <f>138-T20-S20-R20</f>
        <v>37</v>
      </c>
      <c r="V20" s="10">
        <v>34</v>
      </c>
      <c r="W20" s="10">
        <v>37</v>
      </c>
      <c r="X20" s="10">
        <v>35.520000000000003</v>
      </c>
      <c r="Y20" s="43">
        <f t="shared" si="0"/>
        <v>4.4705882352941269E-2</v>
      </c>
      <c r="Z20" s="43">
        <f t="shared" si="1"/>
        <v>-3.9999999999999918E-2</v>
      </c>
      <c r="AA20" s="10">
        <v>38</v>
      </c>
      <c r="AB20" s="52">
        <f t="shared" si="2"/>
        <v>2.7027027027027029E-2</v>
      </c>
      <c r="AC20" s="52">
        <f t="shared" si="3"/>
        <v>6.9819819819819731E-2</v>
      </c>
      <c r="AD20" s="10">
        <v>40.799999999999997</v>
      </c>
      <c r="AE20" s="52">
        <f t="shared" si="14"/>
        <v>0.19999999999999993</v>
      </c>
    </row>
    <row r="21" spans="1:32" x14ac:dyDescent="0.35">
      <c r="A21" s="8" t="s">
        <v>33</v>
      </c>
      <c r="B21" s="10">
        <v>14.2</v>
      </c>
      <c r="C21" s="10">
        <v>3.9</v>
      </c>
      <c r="D21" s="10">
        <v>6.86</v>
      </c>
      <c r="E21" s="10">
        <f>26.269-SUM(B21:D21)</f>
        <v>1.3090000000000011</v>
      </c>
      <c r="F21" s="10">
        <v>4.6719999999999997</v>
      </c>
      <c r="G21" s="10">
        <v>13.061</v>
      </c>
      <c r="H21" s="10">
        <v>13.503</v>
      </c>
      <c r="I21" s="10">
        <f>40.186-H21-G21-F21</f>
        <v>8.9499999999999993</v>
      </c>
      <c r="J21" s="10">
        <v>4</v>
      </c>
      <c r="K21" s="10">
        <v>14</v>
      </c>
      <c r="L21" s="10">
        <v>105</v>
      </c>
      <c r="M21" s="10">
        <f>147.2-L21-K21-J21</f>
        <v>24.199999999999989</v>
      </c>
      <c r="N21" s="10">
        <v>3</v>
      </c>
      <c r="O21" s="10">
        <v>17</v>
      </c>
      <c r="P21" s="10">
        <v>11</v>
      </c>
      <c r="Q21" s="10">
        <f>39-P21-O21-N21</f>
        <v>8</v>
      </c>
      <c r="R21" s="10">
        <v>7</v>
      </c>
      <c r="S21" s="10">
        <v>8</v>
      </c>
      <c r="T21" s="10">
        <v>1.65</v>
      </c>
      <c r="U21" s="10">
        <f>26-T21-S21-R21</f>
        <v>9.3500000000000014</v>
      </c>
      <c r="V21" s="10">
        <v>13</v>
      </c>
      <c r="W21" s="10">
        <v>30</v>
      </c>
      <c r="X21" s="10">
        <v>16.8</v>
      </c>
      <c r="Y21" s="43">
        <f t="shared" si="0"/>
        <v>9.1818181818181817</v>
      </c>
      <c r="Z21" s="43">
        <f t="shared" si="1"/>
        <v>-0.44</v>
      </c>
      <c r="AA21" s="10">
        <v>27.3</v>
      </c>
      <c r="AB21" s="52">
        <f t="shared" si="2"/>
        <v>1.9197860962566842</v>
      </c>
      <c r="AC21" s="52">
        <f t="shared" si="3"/>
        <v>0.625</v>
      </c>
      <c r="AD21" s="10">
        <v>89.5</v>
      </c>
      <c r="AE21" s="52">
        <f t="shared" si="14"/>
        <v>5.884615384615385</v>
      </c>
    </row>
    <row r="22" spans="1:32" x14ac:dyDescent="0.35">
      <c r="A22" s="17" t="s">
        <v>59</v>
      </c>
      <c r="B22" s="10">
        <v>0</v>
      </c>
      <c r="C22" s="10">
        <v>0</v>
      </c>
      <c r="D22" s="10">
        <v>0</v>
      </c>
      <c r="E22" s="10">
        <v>0</v>
      </c>
      <c r="F22" s="10">
        <v>0</v>
      </c>
      <c r="G22" s="10">
        <v>0</v>
      </c>
      <c r="H22" s="10">
        <v>0</v>
      </c>
      <c r="I22" s="10">
        <v>0</v>
      </c>
      <c r="J22" s="10">
        <v>0</v>
      </c>
      <c r="K22" s="10">
        <v>0</v>
      </c>
      <c r="L22" s="10">
        <v>0</v>
      </c>
      <c r="M22" s="10">
        <v>0</v>
      </c>
      <c r="N22" s="10">
        <v>0</v>
      </c>
      <c r="O22" s="10">
        <v>13</v>
      </c>
      <c r="P22" s="10">
        <v>17</v>
      </c>
      <c r="Q22" s="10">
        <f>167-P22-O22-N22</f>
        <v>137</v>
      </c>
      <c r="R22" s="10">
        <v>6.5</v>
      </c>
      <c r="S22" s="10">
        <v>3</v>
      </c>
      <c r="T22" s="10">
        <v>4</v>
      </c>
      <c r="U22" s="10">
        <f>14-T22-S22-R22</f>
        <v>0.5</v>
      </c>
      <c r="V22" s="10">
        <v>1</v>
      </c>
      <c r="W22" s="10">
        <v>0.34100000000000003</v>
      </c>
      <c r="X22" s="10">
        <v>2.88</v>
      </c>
      <c r="Y22" s="43">
        <f t="shared" si="0"/>
        <v>-0.28000000000000003</v>
      </c>
      <c r="Z22" s="43">
        <f t="shared" si="1"/>
        <v>7.445747800586509</v>
      </c>
      <c r="AA22" s="10">
        <v>9.9</v>
      </c>
      <c r="AB22" s="52">
        <f t="shared" si="2"/>
        <v>18.8</v>
      </c>
      <c r="AC22" s="52">
        <f t="shared" si="3"/>
        <v>2.4375000000000004</v>
      </c>
      <c r="AD22" s="10">
        <v>94.1</v>
      </c>
      <c r="AE22" s="52">
        <f t="shared" si="14"/>
        <v>93.1</v>
      </c>
    </row>
    <row r="23" spans="1:32" s="47" customFormat="1" ht="13.15" x14ac:dyDescent="0.4">
      <c r="A23" s="9" t="s">
        <v>34</v>
      </c>
      <c r="B23" s="47">
        <f t="shared" ref="B23:W23" si="15">SUM(B17:B22)</f>
        <v>236.89999999999998</v>
      </c>
      <c r="C23" s="47">
        <f t="shared" si="15"/>
        <v>238.6</v>
      </c>
      <c r="D23" s="47">
        <f t="shared" si="15"/>
        <v>245.29700000000003</v>
      </c>
      <c r="E23" s="47">
        <f t="shared" si="15"/>
        <v>261.65199999999999</v>
      </c>
      <c r="F23" s="47">
        <f t="shared" si="15"/>
        <v>248.90799999999999</v>
      </c>
      <c r="G23" s="47">
        <f t="shared" si="15"/>
        <v>275.90199999999993</v>
      </c>
      <c r="H23" s="47">
        <f t="shared" si="15"/>
        <v>273.14099999999996</v>
      </c>
      <c r="I23" s="47">
        <f t="shared" si="15"/>
        <v>282.25500000000005</v>
      </c>
      <c r="J23" s="47">
        <f t="shared" si="15"/>
        <v>292</v>
      </c>
      <c r="K23" s="47">
        <f t="shared" si="15"/>
        <v>305</v>
      </c>
      <c r="L23" s="47">
        <f t="shared" si="15"/>
        <v>392.5</v>
      </c>
      <c r="M23" s="47">
        <f t="shared" si="15"/>
        <v>321.3</v>
      </c>
      <c r="N23" s="47">
        <f t="shared" si="15"/>
        <v>303</v>
      </c>
      <c r="O23" s="47">
        <f t="shared" si="15"/>
        <v>346</v>
      </c>
      <c r="P23" s="47">
        <f t="shared" si="15"/>
        <v>357</v>
      </c>
      <c r="Q23" s="47">
        <f t="shared" si="15"/>
        <v>652</v>
      </c>
      <c r="R23" s="47">
        <f t="shared" si="15"/>
        <v>608.5</v>
      </c>
      <c r="S23" s="47">
        <f t="shared" si="15"/>
        <v>616</v>
      </c>
      <c r="T23" s="47">
        <f t="shared" si="15"/>
        <v>628.65</v>
      </c>
      <c r="U23" s="47">
        <f t="shared" si="15"/>
        <v>685.85</v>
      </c>
      <c r="V23" s="47">
        <f t="shared" si="15"/>
        <v>722.47699999999998</v>
      </c>
      <c r="W23" s="47">
        <f t="shared" si="15"/>
        <v>818.61900000000003</v>
      </c>
      <c r="X23" s="47">
        <f t="shared" ref="X23:AF23" si="16">SUM(X17:X22)</f>
        <v>805.74599999999998</v>
      </c>
      <c r="Y23" s="43">
        <f t="shared" si="0"/>
        <v>0.28170842281078501</v>
      </c>
      <c r="Z23" s="43">
        <f t="shared" si="1"/>
        <v>-1.572526413386453E-2</v>
      </c>
      <c r="AA23" s="47">
        <f t="shared" si="16"/>
        <v>841.28</v>
      </c>
      <c r="AB23" s="52">
        <f t="shared" si="2"/>
        <v>0.22662389735364868</v>
      </c>
      <c r="AC23" s="52">
        <f t="shared" si="3"/>
        <v>4.4100746389060565E-2</v>
      </c>
      <c r="AD23" s="47">
        <f t="shared" si="16"/>
        <v>1135.5</v>
      </c>
      <c r="AE23" s="52">
        <f t="shared" si="14"/>
        <v>0.57167633018075326</v>
      </c>
      <c r="AF23" s="47">
        <f t="shared" si="16"/>
        <v>0</v>
      </c>
    </row>
    <row r="24" spans="1:32" s="47" customFormat="1" ht="13.15" x14ac:dyDescent="0.4">
      <c r="A24" s="9"/>
      <c r="Y24" s="43"/>
      <c r="Z24" s="43"/>
      <c r="AB24" s="52"/>
      <c r="AC24" s="52"/>
    </row>
    <row r="25" spans="1:32" x14ac:dyDescent="0.35">
      <c r="A25" s="6" t="s">
        <v>36</v>
      </c>
      <c r="B25" s="10">
        <v>3.2</v>
      </c>
      <c r="C25" s="10">
        <v>7.8</v>
      </c>
      <c r="D25" s="10">
        <v>7.8</v>
      </c>
      <c r="E25" s="10">
        <f>24.643-SUM(B25:D25)</f>
        <v>5.843</v>
      </c>
      <c r="F25" s="10">
        <v>7.2629999999999999</v>
      </c>
      <c r="G25" s="10">
        <v>7</v>
      </c>
      <c r="H25" s="10">
        <v>2</v>
      </c>
      <c r="I25" s="10">
        <f>30-H25-G25-F25</f>
        <v>13.737</v>
      </c>
      <c r="J25" s="10">
        <v>39</v>
      </c>
      <c r="K25" s="10">
        <v>1</v>
      </c>
      <c r="L25" s="10">
        <v>14</v>
      </c>
      <c r="M25" s="10">
        <f>76.2-L25-K25-J25</f>
        <v>22.200000000000003</v>
      </c>
      <c r="N25" s="10">
        <v>8</v>
      </c>
      <c r="O25" s="10">
        <v>15</v>
      </c>
      <c r="P25" s="10">
        <v>12</v>
      </c>
      <c r="Q25" s="10">
        <f>55.8-P25-O25-N25</f>
        <v>20.799999999999997</v>
      </c>
      <c r="R25" s="10">
        <v>10</v>
      </c>
      <c r="S25" s="10">
        <v>40.56</v>
      </c>
      <c r="T25" s="10">
        <v>43</v>
      </c>
      <c r="U25" s="10">
        <f>103-T25-S25-R25</f>
        <v>9.4399999999999977</v>
      </c>
      <c r="V25" s="10">
        <v>4.2</v>
      </c>
      <c r="W25" s="10">
        <v>8</v>
      </c>
      <c r="X25" s="10">
        <v>7.6</v>
      </c>
      <c r="Y25" s="43">
        <f t="shared" si="0"/>
        <v>-0.82325581395348835</v>
      </c>
      <c r="Z25" s="43">
        <f t="shared" si="1"/>
        <v>-5.0000000000000044E-2</v>
      </c>
      <c r="AA25" s="10">
        <v>6</v>
      </c>
      <c r="AB25" s="52">
        <f t="shared" si="2"/>
        <v>-0.36440677966101681</v>
      </c>
      <c r="AC25" s="52">
        <f t="shared" si="3"/>
        <v>-0.21052631578947364</v>
      </c>
      <c r="AD25" s="10">
        <v>16.600000000000001</v>
      </c>
      <c r="AE25" s="52">
        <f t="shared" ref="AE25:AE32" si="17">(AD25-V25)/V25</f>
        <v>2.9523809523809526</v>
      </c>
    </row>
    <row r="26" spans="1:32" x14ac:dyDescent="0.35">
      <c r="A26" s="15" t="s">
        <v>55</v>
      </c>
      <c r="B26" s="10">
        <v>0</v>
      </c>
      <c r="C26" s="10">
        <v>0</v>
      </c>
      <c r="D26" s="10">
        <v>0</v>
      </c>
      <c r="E26" s="10">
        <v>0</v>
      </c>
      <c r="F26" s="10">
        <v>0</v>
      </c>
      <c r="G26" s="10">
        <v>0.13600000000000001</v>
      </c>
      <c r="H26" s="10">
        <v>2</v>
      </c>
      <c r="I26" s="10">
        <f>2-H26-G26-F26</f>
        <v>-0.13600000000000001</v>
      </c>
      <c r="J26" s="10">
        <v>-2</v>
      </c>
      <c r="K26" s="10">
        <v>0.5</v>
      </c>
      <c r="L26" s="10">
        <v>2</v>
      </c>
      <c r="M26" s="10">
        <f>5-L26-K26-J26</f>
        <v>4.5</v>
      </c>
      <c r="N26" s="10">
        <v>1</v>
      </c>
      <c r="O26" s="10">
        <v>0.4</v>
      </c>
      <c r="P26" s="10">
        <v>-2.2999999999999998</v>
      </c>
      <c r="Q26" s="10">
        <f>0.7-P26-O26-N26</f>
        <v>1.6</v>
      </c>
      <c r="R26" s="10">
        <v>-0.59</v>
      </c>
      <c r="S26" s="10">
        <v>7</v>
      </c>
      <c r="T26" s="10">
        <v>-23</v>
      </c>
      <c r="U26" s="10">
        <f>-13-T26-S26-R26</f>
        <v>3.59</v>
      </c>
      <c r="V26" s="10">
        <v>10.32</v>
      </c>
      <c r="W26" s="10">
        <v>-2.5552000000000001</v>
      </c>
      <c r="X26" s="10">
        <v>-3</v>
      </c>
      <c r="Y26" s="43">
        <f t="shared" si="0"/>
        <v>-0.86956521739130432</v>
      </c>
      <c r="Z26" s="43">
        <f t="shared" si="1"/>
        <v>0.17407639323731991</v>
      </c>
      <c r="AA26" s="10">
        <v>-18.399999999999999</v>
      </c>
      <c r="AB26" s="52">
        <f t="shared" si="2"/>
        <v>-6.1253481894150417</v>
      </c>
      <c r="AC26" s="52">
        <f t="shared" si="3"/>
        <v>5.1333333333333329</v>
      </c>
      <c r="AD26" s="10">
        <v>4</v>
      </c>
      <c r="AE26" s="52">
        <f t="shared" si="17"/>
        <v>-0.61240310077519378</v>
      </c>
    </row>
    <row r="27" spans="1:32" hidden="1" x14ac:dyDescent="0.35">
      <c r="A27" s="30" t="s">
        <v>74</v>
      </c>
      <c r="B27" s="10">
        <v>0</v>
      </c>
      <c r="C27" s="10">
        <v>0</v>
      </c>
      <c r="D27" s="10">
        <v>0</v>
      </c>
      <c r="E27" s="10">
        <v>0</v>
      </c>
      <c r="F27" s="10">
        <v>0</v>
      </c>
      <c r="G27" s="10">
        <v>0</v>
      </c>
      <c r="H27" s="10">
        <v>0.32700000000000001</v>
      </c>
      <c r="I27" s="10">
        <f>0-H27-G27-F27</f>
        <v>-0.32700000000000001</v>
      </c>
      <c r="J27" s="10">
        <v>-10</v>
      </c>
      <c r="K27" s="10">
        <v>0</v>
      </c>
      <c r="L27" s="10">
        <v>0</v>
      </c>
      <c r="M27" s="10">
        <f>-10-L27-K27-J27</f>
        <v>0</v>
      </c>
      <c r="N27" s="10">
        <v>-46</v>
      </c>
      <c r="O27" s="10">
        <v>0</v>
      </c>
      <c r="P27" s="10">
        <v>-4</v>
      </c>
      <c r="Q27" s="10">
        <f>-97-P27-O27-N27</f>
        <v>-47</v>
      </c>
      <c r="R27" s="10">
        <v>0</v>
      </c>
      <c r="S27" s="10">
        <v>0.127</v>
      </c>
      <c r="T27" s="10">
        <v>0.24</v>
      </c>
      <c r="U27" s="10">
        <v>0</v>
      </c>
      <c r="V27" s="10">
        <v>0</v>
      </c>
      <c r="W27" s="10">
        <v>0</v>
      </c>
      <c r="X27" s="10">
        <v>0</v>
      </c>
      <c r="Y27" s="43">
        <f t="shared" si="0"/>
        <v>-1</v>
      </c>
      <c r="Z27" s="43" t="e">
        <f t="shared" si="1"/>
        <v>#DIV/0!</v>
      </c>
      <c r="AA27" s="10">
        <v>0</v>
      </c>
      <c r="AB27" s="52" t="e">
        <f t="shared" si="2"/>
        <v>#DIV/0!</v>
      </c>
      <c r="AC27" s="52" t="e">
        <f t="shared" si="3"/>
        <v>#DIV/0!</v>
      </c>
      <c r="AD27" s="10">
        <v>0</v>
      </c>
      <c r="AE27" s="52" t="e">
        <f t="shared" si="17"/>
        <v>#DIV/0!</v>
      </c>
    </row>
    <row r="28" spans="1:32" x14ac:dyDescent="0.35">
      <c r="A28" s="19" t="s">
        <v>61</v>
      </c>
      <c r="B28" s="10">
        <v>0</v>
      </c>
      <c r="C28" s="10">
        <v>0</v>
      </c>
      <c r="D28" s="10">
        <v>0</v>
      </c>
      <c r="E28" s="10">
        <v>0</v>
      </c>
      <c r="F28" s="10">
        <v>0</v>
      </c>
      <c r="G28" s="10">
        <v>0</v>
      </c>
      <c r="H28" s="10">
        <v>0</v>
      </c>
      <c r="I28" s="10">
        <v>0</v>
      </c>
      <c r="J28" s="10">
        <v>0</v>
      </c>
      <c r="K28" s="10">
        <v>0</v>
      </c>
      <c r="L28" s="10">
        <v>0</v>
      </c>
      <c r="M28" s="10">
        <v>0</v>
      </c>
      <c r="N28" s="10">
        <v>0</v>
      </c>
      <c r="O28" s="10">
        <v>0</v>
      </c>
      <c r="P28" s="10">
        <v>0</v>
      </c>
      <c r="Q28" s="10">
        <f>1-P28-O28-N28</f>
        <v>1</v>
      </c>
      <c r="R28" s="10">
        <v>1</v>
      </c>
      <c r="S28" s="10">
        <v>-6.6</v>
      </c>
      <c r="T28" s="10">
        <v>-1</v>
      </c>
      <c r="U28" s="10">
        <f>-6.448-T28-S28-R28</f>
        <v>0.15199999999999925</v>
      </c>
      <c r="V28" s="10">
        <v>0</v>
      </c>
      <c r="W28" s="10">
        <v>0.41099999999999998</v>
      </c>
      <c r="X28" s="10">
        <v>0</v>
      </c>
      <c r="Y28" s="43">
        <f t="shared" si="0"/>
        <v>-1</v>
      </c>
      <c r="Z28" s="43">
        <f t="shared" si="1"/>
        <v>-1</v>
      </c>
      <c r="AA28" s="10">
        <v>2.1</v>
      </c>
      <c r="AB28" s="52">
        <f t="shared" si="2"/>
        <v>12.81578947368428</v>
      </c>
      <c r="AC28" s="52" t="e">
        <f t="shared" si="3"/>
        <v>#DIV/0!</v>
      </c>
      <c r="AD28" s="10">
        <v>-1.7</v>
      </c>
      <c r="AE28" s="52" t="e">
        <f t="shared" si="17"/>
        <v>#DIV/0!</v>
      </c>
    </row>
    <row r="29" spans="1:32" x14ac:dyDescent="0.35">
      <c r="A29" s="19" t="s">
        <v>62</v>
      </c>
      <c r="B29" s="10">
        <v>0</v>
      </c>
      <c r="C29" s="10">
        <v>0</v>
      </c>
      <c r="D29" s="10">
        <v>0</v>
      </c>
      <c r="E29" s="10">
        <v>0</v>
      </c>
      <c r="F29" s="10">
        <v>0</v>
      </c>
      <c r="G29" s="10">
        <v>0</v>
      </c>
      <c r="H29" s="10">
        <v>0</v>
      </c>
      <c r="I29" s="10">
        <v>0</v>
      </c>
      <c r="J29" s="10">
        <v>0</v>
      </c>
      <c r="K29" s="10">
        <v>0</v>
      </c>
      <c r="L29" s="10">
        <v>0</v>
      </c>
      <c r="M29" s="10">
        <v>0</v>
      </c>
      <c r="N29" s="10">
        <v>0</v>
      </c>
      <c r="O29" s="10">
        <v>0</v>
      </c>
      <c r="P29" s="10">
        <v>0</v>
      </c>
      <c r="Q29" s="10">
        <f>10-P29-O29-N29</f>
        <v>10</v>
      </c>
      <c r="R29" s="10">
        <v>2</v>
      </c>
      <c r="S29" s="10">
        <v>3</v>
      </c>
      <c r="T29" s="10">
        <v>2</v>
      </c>
      <c r="U29" s="10">
        <f>30.5-T29-S29-R29</f>
        <v>23.5</v>
      </c>
      <c r="V29" s="10">
        <v>2.7</v>
      </c>
      <c r="W29" s="10">
        <v>3</v>
      </c>
      <c r="X29" s="10">
        <v>7.2</v>
      </c>
      <c r="Y29" s="43">
        <f t="shared" si="0"/>
        <v>2.6</v>
      </c>
      <c r="Z29" s="43">
        <f t="shared" si="1"/>
        <v>1.4000000000000001</v>
      </c>
      <c r="AA29" s="10">
        <v>10.8</v>
      </c>
      <c r="AB29" s="52">
        <f t="shared" si="2"/>
        <v>-0.54042553191489362</v>
      </c>
      <c r="AC29" s="52">
        <f t="shared" si="3"/>
        <v>0.50000000000000011</v>
      </c>
      <c r="AD29" s="10">
        <v>5.44</v>
      </c>
      <c r="AE29" s="52">
        <f t="shared" si="17"/>
        <v>1.0148148148148148</v>
      </c>
    </row>
    <row r="30" spans="1:32" x14ac:dyDescent="0.35">
      <c r="A30" s="17" t="s">
        <v>60</v>
      </c>
      <c r="B30" s="10">
        <f t="shared" ref="B30:W30" si="18">B14-B23+SUM(B25:B29)</f>
        <v>84.500000000000014</v>
      </c>
      <c r="C30" s="10">
        <f t="shared" si="18"/>
        <v>98.09999999999998</v>
      </c>
      <c r="D30" s="10">
        <f t="shared" si="18"/>
        <v>100.60299999999999</v>
      </c>
      <c r="E30" s="10">
        <f t="shared" si="18"/>
        <v>122.08300000000001</v>
      </c>
      <c r="F30" s="10">
        <f t="shared" si="18"/>
        <v>112.71999999999997</v>
      </c>
      <c r="G30" s="10">
        <f t="shared" si="18"/>
        <v>96.684000000000054</v>
      </c>
      <c r="H30" s="10">
        <f t="shared" si="18"/>
        <v>105.43300000000005</v>
      </c>
      <c r="I30" s="10">
        <f t="shared" si="18"/>
        <v>128.52999999999986</v>
      </c>
      <c r="J30" s="10">
        <f t="shared" si="18"/>
        <v>149.18400000000003</v>
      </c>
      <c r="K30" s="10">
        <f t="shared" si="18"/>
        <v>110.5</v>
      </c>
      <c r="L30" s="10">
        <f t="shared" si="18"/>
        <v>28.5</v>
      </c>
      <c r="M30" s="10">
        <f t="shared" si="18"/>
        <v>123.71599999999997</v>
      </c>
      <c r="N30" s="10">
        <f t="shared" si="18"/>
        <v>102</v>
      </c>
      <c r="O30" s="10">
        <f t="shared" si="18"/>
        <v>133.4</v>
      </c>
      <c r="P30" s="10">
        <f t="shared" si="18"/>
        <v>140.69999999999999</v>
      </c>
      <c r="Q30" s="10">
        <f t="shared" si="18"/>
        <v>16.899999999999999</v>
      </c>
      <c r="R30" s="10">
        <f t="shared" si="18"/>
        <v>210.91</v>
      </c>
      <c r="S30" s="10">
        <f t="shared" si="18"/>
        <v>239.08699999999999</v>
      </c>
      <c r="T30" s="10">
        <f t="shared" si="18"/>
        <v>229.59000000000003</v>
      </c>
      <c r="U30" s="10">
        <f t="shared" si="18"/>
        <v>239.83199999999997</v>
      </c>
      <c r="V30" s="10">
        <f t="shared" si="18"/>
        <v>238.74300000000002</v>
      </c>
      <c r="W30" s="10">
        <f t="shared" si="18"/>
        <v>209.43679999999989</v>
      </c>
      <c r="X30" s="10">
        <f t="shared" ref="X30:AF30" si="19">X14-X23+SUM(X25:X29)</f>
        <v>245.15399999999994</v>
      </c>
      <c r="Y30" s="43">
        <f t="shared" si="0"/>
        <v>6.779040898993817E-2</v>
      </c>
      <c r="Z30" s="43">
        <f t="shared" si="1"/>
        <v>0.1705392748552311</v>
      </c>
      <c r="AA30" s="10">
        <f t="shared" si="19"/>
        <v>235.51999999999998</v>
      </c>
      <c r="AB30" s="52">
        <f t="shared" si="2"/>
        <v>-1.7979252143166816E-2</v>
      </c>
      <c r="AC30" s="52">
        <f t="shared" si="3"/>
        <v>-3.9297747538281899E-2</v>
      </c>
      <c r="AD30" s="10">
        <f t="shared" si="19"/>
        <v>149.34</v>
      </c>
      <c r="AE30" s="52">
        <f t="shared" si="17"/>
        <v>-0.37447380656186785</v>
      </c>
      <c r="AF30" s="10">
        <f t="shared" si="19"/>
        <v>0</v>
      </c>
    </row>
    <row r="31" spans="1:32" x14ac:dyDescent="0.35">
      <c r="A31" s="17" t="s">
        <v>32</v>
      </c>
      <c r="B31" s="10">
        <v>-1</v>
      </c>
      <c r="C31" s="10">
        <v>-1</v>
      </c>
      <c r="D31" s="10">
        <v>-1</v>
      </c>
      <c r="E31" s="10">
        <v>-2</v>
      </c>
      <c r="F31" s="10">
        <v>-1</v>
      </c>
      <c r="G31" s="10">
        <v>-1</v>
      </c>
      <c r="H31" s="10">
        <v>-2</v>
      </c>
      <c r="I31" s="10">
        <v>-2</v>
      </c>
      <c r="J31" s="10">
        <v>-3</v>
      </c>
      <c r="K31" s="10">
        <v>-3</v>
      </c>
      <c r="L31" s="10">
        <v>-5</v>
      </c>
      <c r="M31" s="10">
        <v>-4</v>
      </c>
      <c r="N31" s="10">
        <v>-6</v>
      </c>
      <c r="O31" s="10">
        <v>-9</v>
      </c>
      <c r="P31" s="10">
        <v>-6</v>
      </c>
      <c r="Q31" s="10">
        <f>-31.65-P31-O31-N31</f>
        <v>-10.649999999999999</v>
      </c>
      <c r="R31" s="10">
        <v>-11</v>
      </c>
      <c r="S31" s="10">
        <v>-15</v>
      </c>
      <c r="T31" s="10">
        <v>-10</v>
      </c>
      <c r="U31" s="10">
        <f>-45-T31-S31-R31</f>
        <v>-9</v>
      </c>
      <c r="V31" s="10">
        <v>-12</v>
      </c>
      <c r="W31" s="10">
        <v>-13</v>
      </c>
      <c r="X31" s="10">
        <v>-11.33</v>
      </c>
      <c r="Y31" s="43">
        <f t="shared" si="0"/>
        <v>0.13300000000000001</v>
      </c>
      <c r="Z31" s="43">
        <f t="shared" si="1"/>
        <v>-0.12846153846153846</v>
      </c>
      <c r="AA31" s="10">
        <v>-15.8</v>
      </c>
      <c r="AB31" s="52">
        <f t="shared" si="2"/>
        <v>0.75555555555555565</v>
      </c>
      <c r="AC31" s="52">
        <f t="shared" si="3"/>
        <v>0.39452780229479262</v>
      </c>
      <c r="AD31" s="10">
        <v>-15.5</v>
      </c>
      <c r="AE31" s="52">
        <f t="shared" si="17"/>
        <v>0.29166666666666669</v>
      </c>
    </row>
    <row r="32" spans="1:32" s="47" customFormat="1" ht="13.15" x14ac:dyDescent="0.4">
      <c r="A32" s="9" t="s">
        <v>35</v>
      </c>
      <c r="B32" s="47">
        <f t="shared" ref="B32:Q32" si="20">SUM(B30:B31)</f>
        <v>83.500000000000014</v>
      </c>
      <c r="C32" s="47">
        <f t="shared" si="20"/>
        <v>97.09999999999998</v>
      </c>
      <c r="D32" s="47">
        <f t="shared" si="20"/>
        <v>99.602999999999994</v>
      </c>
      <c r="E32" s="47">
        <f t="shared" si="20"/>
        <v>120.08300000000001</v>
      </c>
      <c r="F32" s="47">
        <f t="shared" si="20"/>
        <v>111.71999999999997</v>
      </c>
      <c r="G32" s="47">
        <f t="shared" si="20"/>
        <v>95.684000000000054</v>
      </c>
      <c r="H32" s="47">
        <f t="shared" si="20"/>
        <v>103.43300000000005</v>
      </c>
      <c r="I32" s="47">
        <f t="shared" si="20"/>
        <v>126.52999999999986</v>
      </c>
      <c r="J32" s="47">
        <f t="shared" si="20"/>
        <v>146.18400000000003</v>
      </c>
      <c r="K32" s="47">
        <f t="shared" si="20"/>
        <v>107.5</v>
      </c>
      <c r="L32" s="47">
        <f t="shared" si="20"/>
        <v>23.5</v>
      </c>
      <c r="M32" s="47">
        <f t="shared" si="20"/>
        <v>119.71599999999997</v>
      </c>
      <c r="N32" s="47">
        <f t="shared" si="20"/>
        <v>96</v>
      </c>
      <c r="O32" s="47">
        <f t="shared" si="20"/>
        <v>124.4</v>
      </c>
      <c r="P32" s="47">
        <f t="shared" si="20"/>
        <v>134.69999999999999</v>
      </c>
      <c r="Q32" s="47">
        <f t="shared" si="20"/>
        <v>6.25</v>
      </c>
      <c r="R32" s="47">
        <f t="shared" ref="R32:V32" si="21">SUM(R30:R31)</f>
        <v>199.91</v>
      </c>
      <c r="S32" s="47">
        <f t="shared" si="21"/>
        <v>224.08699999999999</v>
      </c>
      <c r="T32" s="47">
        <f t="shared" si="21"/>
        <v>219.59000000000003</v>
      </c>
      <c r="U32" s="47">
        <f t="shared" si="21"/>
        <v>230.83199999999997</v>
      </c>
      <c r="V32" s="47">
        <f t="shared" si="21"/>
        <v>226.74300000000002</v>
      </c>
      <c r="W32" s="47">
        <f>SUM(W30:W31)</f>
        <v>196.43679999999989</v>
      </c>
      <c r="X32" s="47">
        <f t="shared" ref="X32:AF32" si="22">SUM(X30:X31)</f>
        <v>233.82399999999993</v>
      </c>
      <c r="Y32" s="43">
        <f t="shared" si="0"/>
        <v>6.4820802404480585E-2</v>
      </c>
      <c r="Z32" s="43">
        <f t="shared" si="1"/>
        <v>0.19032686339830449</v>
      </c>
      <c r="AA32" s="47">
        <f t="shared" si="22"/>
        <v>219.71999999999997</v>
      </c>
      <c r="AB32" s="52">
        <f t="shared" si="2"/>
        <v>-4.8138906217508826E-2</v>
      </c>
      <c r="AC32" s="52">
        <f t="shared" si="3"/>
        <v>-6.0318872314219077E-2</v>
      </c>
      <c r="AD32" s="47">
        <f t="shared" si="22"/>
        <v>133.84</v>
      </c>
      <c r="AE32" s="52">
        <f t="shared" si="17"/>
        <v>-0.40972819447568398</v>
      </c>
      <c r="AF32" s="47">
        <f t="shared" si="22"/>
        <v>0</v>
      </c>
    </row>
    <row r="33" spans="1:32" x14ac:dyDescent="0.35">
      <c r="Y33" s="43"/>
      <c r="Z33" s="43"/>
      <c r="AB33" s="52"/>
      <c r="AC33" s="52"/>
    </row>
    <row r="34" spans="1:32" ht="13.15" x14ac:dyDescent="0.4">
      <c r="A34" s="7" t="s">
        <v>37</v>
      </c>
      <c r="Y34" s="43"/>
      <c r="Z34" s="43"/>
      <c r="AB34" s="52"/>
      <c r="AC34" s="52"/>
    </row>
    <row r="35" spans="1:32" ht="13.15" x14ac:dyDescent="0.4">
      <c r="A35" s="18" t="s">
        <v>63</v>
      </c>
      <c r="Y35" s="43"/>
      <c r="Z35" s="43"/>
      <c r="AB35" s="52"/>
      <c r="AC35" s="52"/>
    </row>
    <row r="36" spans="1:32" x14ac:dyDescent="0.35">
      <c r="A36" s="20" t="s">
        <v>38</v>
      </c>
      <c r="B36" s="10">
        <v>20.6</v>
      </c>
      <c r="C36" s="10">
        <v>30.7</v>
      </c>
      <c r="D36" s="10">
        <v>6.6660000000000004</v>
      </c>
      <c r="E36" s="10">
        <v>10.387</v>
      </c>
      <c r="F36" s="10">
        <v>2.9969999999999999</v>
      </c>
      <c r="G36" s="10">
        <v>27.135999999999999</v>
      </c>
      <c r="H36" s="10">
        <v>236.06399999999999</v>
      </c>
      <c r="I36" s="10">
        <v>54</v>
      </c>
      <c r="J36" s="10">
        <v>42</v>
      </c>
      <c r="K36" s="10">
        <v>35</v>
      </c>
      <c r="L36" s="10">
        <v>724.75</v>
      </c>
      <c r="M36" s="10">
        <v>824</v>
      </c>
      <c r="N36" s="10">
        <v>184</v>
      </c>
      <c r="O36" s="10">
        <v>231</v>
      </c>
      <c r="P36" s="10">
        <v>517</v>
      </c>
      <c r="Q36" s="10">
        <v>259</v>
      </c>
      <c r="R36" s="10">
        <v>151.6</v>
      </c>
      <c r="S36" s="10">
        <v>173</v>
      </c>
      <c r="T36" s="10">
        <v>187.7</v>
      </c>
      <c r="U36" s="10">
        <v>171</v>
      </c>
      <c r="V36" s="10">
        <v>165</v>
      </c>
      <c r="W36" s="10">
        <v>254</v>
      </c>
      <c r="X36" s="10">
        <v>344</v>
      </c>
      <c r="Y36" s="43">
        <f t="shared" si="0"/>
        <v>0.83271177410761865</v>
      </c>
      <c r="Z36" s="43">
        <f t="shared" si="1"/>
        <v>0.3543307086614173</v>
      </c>
      <c r="AA36" s="10">
        <v>232.92</v>
      </c>
      <c r="AB36" s="52">
        <f t="shared" si="2"/>
        <v>0.36210526315789465</v>
      </c>
      <c r="AC36" s="52">
        <f t="shared" si="3"/>
        <v>-0.32290697674418606</v>
      </c>
      <c r="AD36" s="10">
        <v>680.2</v>
      </c>
      <c r="AE36" s="52">
        <f t="shared" ref="AE36:AE46" si="23">(AD36-V36)/V36</f>
        <v>3.1224242424242425</v>
      </c>
    </row>
    <row r="37" spans="1:32" hidden="1" x14ac:dyDescent="0.35">
      <c r="A37" s="21" t="s">
        <v>52</v>
      </c>
      <c r="B37" s="10">
        <v>0</v>
      </c>
      <c r="C37" s="10">
        <v>0</v>
      </c>
      <c r="D37" s="10">
        <v>0</v>
      </c>
      <c r="E37" s="10">
        <v>0</v>
      </c>
      <c r="F37" s="10">
        <v>0</v>
      </c>
      <c r="G37" s="10">
        <v>0</v>
      </c>
      <c r="H37" s="10">
        <v>0</v>
      </c>
      <c r="I37" s="10">
        <v>0</v>
      </c>
      <c r="J37" s="10">
        <v>0</v>
      </c>
      <c r="K37" s="10">
        <v>300</v>
      </c>
      <c r="L37" s="10">
        <v>0</v>
      </c>
      <c r="M37" s="10">
        <v>0</v>
      </c>
      <c r="N37" s="10">
        <v>0</v>
      </c>
      <c r="O37" s="10">
        <v>0</v>
      </c>
      <c r="P37" s="10">
        <v>0</v>
      </c>
      <c r="Q37" s="10">
        <v>0</v>
      </c>
      <c r="R37" s="10">
        <v>0</v>
      </c>
      <c r="S37" s="10">
        <v>0</v>
      </c>
      <c r="T37" s="10">
        <v>0</v>
      </c>
      <c r="U37" s="10">
        <v>0</v>
      </c>
      <c r="V37" s="10">
        <v>0</v>
      </c>
      <c r="W37" s="10">
        <v>0</v>
      </c>
      <c r="X37" s="10">
        <v>0</v>
      </c>
      <c r="Y37" s="43" t="e">
        <f t="shared" si="0"/>
        <v>#DIV/0!</v>
      </c>
      <c r="Z37" s="43" t="e">
        <f t="shared" si="1"/>
        <v>#DIV/0!</v>
      </c>
      <c r="AB37" s="52" t="e">
        <f t="shared" si="2"/>
        <v>#DIV/0!</v>
      </c>
      <c r="AC37" s="52" t="e">
        <f t="shared" si="3"/>
        <v>#DIV/0!</v>
      </c>
      <c r="AE37" s="52" t="e">
        <f t="shared" si="23"/>
        <v>#DIV/0!</v>
      </c>
    </row>
    <row r="38" spans="1:32" x14ac:dyDescent="0.35">
      <c r="A38" s="20" t="s">
        <v>39</v>
      </c>
      <c r="B38" s="10">
        <v>125.7</v>
      </c>
      <c r="C38" s="10">
        <v>126.1</v>
      </c>
      <c r="D38" s="10">
        <v>135.86000000000001</v>
      </c>
      <c r="E38" s="10">
        <v>144.99100000000001</v>
      </c>
      <c r="F38" s="10">
        <v>151.34100000000001</v>
      </c>
      <c r="G38" s="10">
        <v>165.47</v>
      </c>
      <c r="H38" s="10">
        <v>163.44399999999999</v>
      </c>
      <c r="I38" s="10">
        <v>181.96899999999999</v>
      </c>
      <c r="J38" s="10">
        <v>186</v>
      </c>
      <c r="K38" s="10">
        <v>256</v>
      </c>
      <c r="L38" s="11">
        <v>262</v>
      </c>
      <c r="M38" s="10">
        <v>286</v>
      </c>
      <c r="N38" s="10">
        <v>307</v>
      </c>
      <c r="O38" s="10">
        <v>328</v>
      </c>
      <c r="P38" s="10">
        <v>342</v>
      </c>
      <c r="Q38" s="10">
        <v>426.76499999999999</v>
      </c>
      <c r="R38" s="10">
        <v>468</v>
      </c>
      <c r="S38" s="10">
        <v>500</v>
      </c>
      <c r="T38" s="10">
        <v>529</v>
      </c>
      <c r="U38" s="10">
        <v>568</v>
      </c>
      <c r="V38" s="10">
        <v>617</v>
      </c>
      <c r="W38" s="10">
        <v>620.59900000000005</v>
      </c>
      <c r="X38" s="10">
        <v>678.44</v>
      </c>
      <c r="Y38" s="43">
        <f t="shared" si="0"/>
        <v>0.28249527410207947</v>
      </c>
      <c r="Z38" s="43">
        <f t="shared" si="1"/>
        <v>9.3201890431663603E-2</v>
      </c>
      <c r="AA38" s="10">
        <v>710.5</v>
      </c>
      <c r="AB38" s="52">
        <f t="shared" si="2"/>
        <v>0.25088028169014087</v>
      </c>
      <c r="AC38" s="52">
        <f t="shared" si="3"/>
        <v>4.7255468427569045E-2</v>
      </c>
      <c r="AD38" s="10">
        <v>789.2</v>
      </c>
      <c r="AE38" s="52">
        <f t="shared" si="23"/>
        <v>0.2790923824959482</v>
      </c>
    </row>
    <row r="39" spans="1:32" s="47" customFormat="1" ht="13.15" x14ac:dyDescent="0.4">
      <c r="A39" s="22" t="s">
        <v>64</v>
      </c>
      <c r="B39" s="47">
        <f>SUM(B36:B38)</f>
        <v>146.30000000000001</v>
      </c>
      <c r="C39" s="47">
        <f t="shared" ref="C39:AF39" si="24">SUM(C36:C38)</f>
        <v>156.79999999999998</v>
      </c>
      <c r="D39" s="47">
        <f t="shared" si="24"/>
        <v>142.52600000000001</v>
      </c>
      <c r="E39" s="47">
        <f t="shared" si="24"/>
        <v>155.37800000000001</v>
      </c>
      <c r="F39" s="47">
        <f t="shared" si="24"/>
        <v>154.33800000000002</v>
      </c>
      <c r="G39" s="47">
        <f t="shared" si="24"/>
        <v>192.60599999999999</v>
      </c>
      <c r="H39" s="47">
        <f t="shared" si="24"/>
        <v>399.50799999999998</v>
      </c>
      <c r="I39" s="47">
        <f t="shared" si="24"/>
        <v>235.96899999999999</v>
      </c>
      <c r="J39" s="47">
        <f t="shared" si="24"/>
        <v>228</v>
      </c>
      <c r="K39" s="47">
        <f t="shared" si="24"/>
        <v>591</v>
      </c>
      <c r="L39" s="47">
        <f t="shared" si="24"/>
        <v>986.75</v>
      </c>
      <c r="M39" s="47">
        <f t="shared" si="24"/>
        <v>1110</v>
      </c>
      <c r="N39" s="47">
        <f t="shared" si="24"/>
        <v>491</v>
      </c>
      <c r="O39" s="47">
        <f t="shared" si="24"/>
        <v>559</v>
      </c>
      <c r="P39" s="47">
        <f t="shared" si="24"/>
        <v>859</v>
      </c>
      <c r="Q39" s="47">
        <f t="shared" si="24"/>
        <v>685.76499999999999</v>
      </c>
      <c r="R39" s="47">
        <f t="shared" si="24"/>
        <v>619.6</v>
      </c>
      <c r="S39" s="47">
        <f t="shared" si="24"/>
        <v>673</v>
      </c>
      <c r="T39" s="47">
        <f t="shared" si="24"/>
        <v>716.7</v>
      </c>
      <c r="U39" s="47">
        <f t="shared" si="24"/>
        <v>739</v>
      </c>
      <c r="V39" s="47">
        <f t="shared" si="24"/>
        <v>782</v>
      </c>
      <c r="W39" s="47">
        <f t="shared" si="24"/>
        <v>874.59900000000005</v>
      </c>
      <c r="X39" s="47">
        <f t="shared" si="24"/>
        <v>1022.44</v>
      </c>
      <c r="Y39" s="43">
        <f t="shared" si="0"/>
        <v>0.42659411190177199</v>
      </c>
      <c r="Z39" s="43">
        <f t="shared" si="1"/>
        <v>0.16903861083765245</v>
      </c>
      <c r="AA39" s="47">
        <f t="shared" si="24"/>
        <v>943.42</v>
      </c>
      <c r="AB39" s="52">
        <f t="shared" si="2"/>
        <v>0.27661705006765896</v>
      </c>
      <c r="AC39" s="52">
        <f t="shared" si="3"/>
        <v>-7.7285708696842939E-2</v>
      </c>
      <c r="AD39" s="47">
        <f t="shared" si="24"/>
        <v>1469.4</v>
      </c>
      <c r="AE39" s="52">
        <f t="shared" si="23"/>
        <v>0.87902813299232752</v>
      </c>
      <c r="AF39" s="47">
        <f t="shared" si="24"/>
        <v>0</v>
      </c>
    </row>
    <row r="40" spans="1:32" x14ac:dyDescent="0.35">
      <c r="A40" s="16" t="s">
        <v>56</v>
      </c>
      <c r="B40" s="10">
        <v>13001.5</v>
      </c>
      <c r="C40" s="10">
        <v>13230</v>
      </c>
      <c r="D40" s="10">
        <v>13686.97</v>
      </c>
      <c r="E40" s="10">
        <v>13843.5</v>
      </c>
      <c r="F40" s="10">
        <v>14141.894</v>
      </c>
      <c r="G40" s="10">
        <v>14940.266</v>
      </c>
      <c r="H40" s="10">
        <v>15146.726000000001</v>
      </c>
      <c r="I40" s="10">
        <v>16496.772000000001</v>
      </c>
      <c r="J40" s="10">
        <v>16571</v>
      </c>
      <c r="K40" s="10">
        <v>16502</v>
      </c>
      <c r="L40" s="10">
        <v>16742</v>
      </c>
      <c r="M40" s="10">
        <v>17466</v>
      </c>
      <c r="N40" s="48">
        <v>18176</v>
      </c>
      <c r="O40" s="10">
        <v>18900</v>
      </c>
      <c r="P40" s="10">
        <v>19778</v>
      </c>
      <c r="Q40" s="10">
        <v>31959</v>
      </c>
      <c r="R40" s="10">
        <v>32637.5</v>
      </c>
      <c r="S40" s="10">
        <v>33319.25</v>
      </c>
      <c r="T40" s="10">
        <v>34209</v>
      </c>
      <c r="U40" s="10">
        <v>37752</v>
      </c>
      <c r="V40" s="10">
        <v>38940</v>
      </c>
      <c r="W40" s="10">
        <v>41178.470999999998</v>
      </c>
      <c r="X40" s="10">
        <v>42234.2</v>
      </c>
      <c r="Y40" s="43">
        <f t="shared" si="0"/>
        <v>0.234593235698208</v>
      </c>
      <c r="Z40" s="43">
        <f t="shared" si="1"/>
        <v>2.5637887331950705E-2</v>
      </c>
      <c r="AA40" s="10">
        <v>43514.3</v>
      </c>
      <c r="AB40" s="52">
        <f t="shared" si="2"/>
        <v>0.15263562195380384</v>
      </c>
      <c r="AC40" s="52">
        <f t="shared" si="3"/>
        <v>3.0309559551264281E-2</v>
      </c>
      <c r="AD40" s="10">
        <v>50070.1</v>
      </c>
      <c r="AE40" s="52">
        <f t="shared" si="23"/>
        <v>0.28582691319979453</v>
      </c>
    </row>
    <row r="41" spans="1:32" x14ac:dyDescent="0.35">
      <c r="A41" s="16" t="s">
        <v>57</v>
      </c>
      <c r="B41" s="10">
        <v>0</v>
      </c>
      <c r="C41" s="10">
        <v>0</v>
      </c>
      <c r="D41" s="10">
        <v>0</v>
      </c>
      <c r="E41" s="10">
        <v>0</v>
      </c>
      <c r="F41" s="10">
        <v>0</v>
      </c>
      <c r="G41" s="10">
        <v>0</v>
      </c>
      <c r="H41" s="10">
        <v>0</v>
      </c>
      <c r="I41" s="10">
        <v>0.1</v>
      </c>
      <c r="J41" s="10">
        <v>21</v>
      </c>
      <c r="K41" s="10">
        <v>41</v>
      </c>
      <c r="L41" s="10">
        <v>41</v>
      </c>
      <c r="M41" s="10">
        <v>19</v>
      </c>
      <c r="N41" s="10">
        <v>22.5</v>
      </c>
      <c r="O41" s="10">
        <v>40</v>
      </c>
      <c r="P41" s="10">
        <v>45</v>
      </c>
      <c r="Q41" s="10">
        <v>30</v>
      </c>
      <c r="R41" s="10">
        <v>84</v>
      </c>
      <c r="S41" s="10">
        <v>66</v>
      </c>
      <c r="T41" s="10">
        <v>18</v>
      </c>
      <c r="U41" s="10">
        <v>29.5</v>
      </c>
      <c r="V41" s="10">
        <v>24.445</v>
      </c>
      <c r="W41" s="10">
        <v>17.324000000000002</v>
      </c>
      <c r="X41" s="10">
        <v>19.899999999999999</v>
      </c>
      <c r="Y41" s="43">
        <f t="shared" si="0"/>
        <v>0.10555555555555547</v>
      </c>
      <c r="Z41" s="43">
        <f t="shared" si="1"/>
        <v>0.14869545139690585</v>
      </c>
      <c r="AA41" s="10">
        <v>31.5</v>
      </c>
      <c r="AB41" s="52">
        <f t="shared" si="2"/>
        <v>6.7796610169491525E-2</v>
      </c>
      <c r="AC41" s="52">
        <f t="shared" si="3"/>
        <v>0.58291457286432169</v>
      </c>
      <c r="AD41" s="10">
        <v>78.3</v>
      </c>
      <c r="AE41" s="52">
        <f t="shared" si="23"/>
        <v>2.2031090202495398</v>
      </c>
    </row>
    <row r="42" spans="1:32" x14ac:dyDescent="0.35">
      <c r="A42" s="8" t="s">
        <v>54</v>
      </c>
      <c r="B42" s="10">
        <v>1262.2</v>
      </c>
      <c r="C42" s="10">
        <v>1228.5999999999999</v>
      </c>
      <c r="D42" s="10">
        <v>1212.6790000000001</v>
      </c>
      <c r="E42" s="10">
        <v>1199.597</v>
      </c>
      <c r="F42" s="10">
        <v>1205.1469999999999</v>
      </c>
      <c r="G42" s="10">
        <v>1308.5640000000001</v>
      </c>
      <c r="H42" s="10">
        <v>1313.798</v>
      </c>
      <c r="I42" s="10">
        <v>1493.383</v>
      </c>
      <c r="J42" s="10">
        <v>1517</v>
      </c>
      <c r="K42" s="10">
        <v>1508</v>
      </c>
      <c r="L42" s="10">
        <v>1610</v>
      </c>
      <c r="M42" s="10">
        <v>1711</v>
      </c>
      <c r="N42" s="10">
        <v>1820</v>
      </c>
      <c r="O42" s="10">
        <v>1969.8</v>
      </c>
      <c r="P42" s="10">
        <v>2156</v>
      </c>
      <c r="Q42" s="10">
        <v>5275</v>
      </c>
      <c r="R42" s="10">
        <v>5187</v>
      </c>
      <c r="S42" s="10">
        <v>5155</v>
      </c>
      <c r="T42" s="10">
        <v>5064</v>
      </c>
      <c r="U42" s="10">
        <v>5168</v>
      </c>
      <c r="V42" s="10">
        <v>5256.7</v>
      </c>
      <c r="W42" s="10">
        <v>5238</v>
      </c>
      <c r="X42" s="10">
        <v>5089.3</v>
      </c>
      <c r="Y42" s="43">
        <f t="shared" si="0"/>
        <v>4.9960505529226271E-3</v>
      </c>
      <c r="Z42" s="43">
        <f t="shared" si="1"/>
        <v>-2.8388697976326809E-2</v>
      </c>
      <c r="AA42" s="10">
        <v>5017.8999999999996</v>
      </c>
      <c r="AB42" s="52">
        <f t="shared" si="2"/>
        <v>-2.9044117647058894E-2</v>
      </c>
      <c r="AC42" s="52">
        <f t="shared" si="3"/>
        <v>-1.4029434303342412E-2</v>
      </c>
      <c r="AD42" s="10">
        <v>7037.3</v>
      </c>
      <c r="AE42" s="52">
        <f t="shared" si="23"/>
        <v>0.33872962124526801</v>
      </c>
    </row>
    <row r="43" spans="1:32" x14ac:dyDescent="0.35">
      <c r="A43" s="8" t="s">
        <v>40</v>
      </c>
      <c r="B43" s="10">
        <v>14.9</v>
      </c>
      <c r="C43" s="10">
        <v>14.9</v>
      </c>
      <c r="D43" s="10">
        <v>14.8</v>
      </c>
      <c r="E43" s="10">
        <v>14.63</v>
      </c>
      <c r="F43" s="10">
        <v>14.597</v>
      </c>
      <c r="G43" s="10">
        <v>14.536</v>
      </c>
      <c r="H43" s="10">
        <v>14.503</v>
      </c>
      <c r="I43" s="10">
        <v>0</v>
      </c>
      <c r="J43" s="10">
        <v>0</v>
      </c>
      <c r="K43" s="10">
        <v>0</v>
      </c>
      <c r="L43" s="10">
        <v>0</v>
      </c>
      <c r="M43" s="10">
        <v>0</v>
      </c>
      <c r="N43" s="10">
        <v>0</v>
      </c>
      <c r="O43" s="10">
        <v>0</v>
      </c>
      <c r="P43" s="10">
        <v>0</v>
      </c>
      <c r="Q43" s="10">
        <v>3677</v>
      </c>
      <c r="R43" s="10">
        <v>3712</v>
      </c>
      <c r="S43" s="49">
        <v>3731</v>
      </c>
      <c r="T43" s="10">
        <v>3731</v>
      </c>
      <c r="U43" s="10">
        <v>3731</v>
      </c>
      <c r="V43" s="10">
        <v>3731</v>
      </c>
      <c r="W43" s="10">
        <v>3731.4780000000001</v>
      </c>
      <c r="X43" s="10">
        <v>3731.4780000000001</v>
      </c>
      <c r="Y43" s="43">
        <f t="shared" si="0"/>
        <v>1.2811578665238957E-4</v>
      </c>
      <c r="Z43" s="43">
        <f t="shared" si="1"/>
        <v>0</v>
      </c>
      <c r="AA43" s="10">
        <v>3731.5</v>
      </c>
      <c r="AB43" s="52">
        <f t="shared" si="2"/>
        <v>1.3401232913428035E-4</v>
      </c>
      <c r="AC43" s="52">
        <f t="shared" si="3"/>
        <v>5.8957871384836025E-6</v>
      </c>
      <c r="AD43" s="10">
        <v>4991.3</v>
      </c>
      <c r="AE43" s="52">
        <f t="shared" si="23"/>
        <v>0.33779147681586713</v>
      </c>
    </row>
    <row r="44" spans="1:32" x14ac:dyDescent="0.35">
      <c r="A44" s="16" t="s">
        <v>53</v>
      </c>
      <c r="B44" s="10">
        <v>0</v>
      </c>
      <c r="C44" s="10">
        <v>0</v>
      </c>
      <c r="D44" s="10">
        <v>0</v>
      </c>
      <c r="E44" s="10">
        <v>0</v>
      </c>
      <c r="F44" s="10">
        <v>0</v>
      </c>
      <c r="G44" s="10">
        <v>0</v>
      </c>
      <c r="H44" s="10">
        <v>0</v>
      </c>
      <c r="I44" s="10">
        <v>0</v>
      </c>
      <c r="J44" s="10">
        <v>0</v>
      </c>
      <c r="K44" s="10">
        <v>0</v>
      </c>
      <c r="L44" s="10">
        <v>0</v>
      </c>
      <c r="M44" s="10">
        <v>0</v>
      </c>
      <c r="N44" s="10">
        <v>0</v>
      </c>
      <c r="O44" s="10">
        <v>0</v>
      </c>
      <c r="P44" s="10">
        <v>0</v>
      </c>
      <c r="Q44" s="10">
        <v>141</v>
      </c>
      <c r="R44" s="10">
        <v>141</v>
      </c>
      <c r="S44" s="10">
        <v>114</v>
      </c>
      <c r="T44" s="10">
        <v>0</v>
      </c>
      <c r="U44" s="10">
        <v>0</v>
      </c>
      <c r="V44" s="10">
        <v>0</v>
      </c>
      <c r="W44" s="10">
        <v>0</v>
      </c>
      <c r="X44" s="10">
        <v>0</v>
      </c>
      <c r="Y44" s="43" t="e">
        <f t="shared" si="0"/>
        <v>#DIV/0!</v>
      </c>
      <c r="Z44" s="43" t="e">
        <f t="shared" si="1"/>
        <v>#DIV/0!</v>
      </c>
      <c r="AA44" s="10">
        <v>1172.2</v>
      </c>
      <c r="AB44" s="52" t="e">
        <f t="shared" si="2"/>
        <v>#DIV/0!</v>
      </c>
      <c r="AC44" s="52" t="e">
        <f t="shared" si="3"/>
        <v>#DIV/0!</v>
      </c>
      <c r="AD44" s="10">
        <v>1203.3</v>
      </c>
      <c r="AE44" s="52" t="e">
        <f t="shared" si="23"/>
        <v>#DIV/0!</v>
      </c>
    </row>
    <row r="45" spans="1:32" x14ac:dyDescent="0.35">
      <c r="A45" s="8" t="s">
        <v>25</v>
      </c>
      <c r="B45" s="10">
        <v>49.1</v>
      </c>
      <c r="C45" s="10">
        <v>43.7</v>
      </c>
      <c r="D45" s="10">
        <v>38.279000000000003</v>
      </c>
      <c r="E45" s="10">
        <v>47.360999999999997</v>
      </c>
      <c r="F45" s="10">
        <v>246.93199999999999</v>
      </c>
      <c r="G45" s="10">
        <v>292.65800000000002</v>
      </c>
      <c r="H45" s="10">
        <v>305.36900000000003</v>
      </c>
      <c r="I45" s="10">
        <v>328.661</v>
      </c>
      <c r="J45" s="10">
        <v>460</v>
      </c>
      <c r="K45" s="10">
        <v>461</v>
      </c>
      <c r="L45" s="10">
        <v>406</v>
      </c>
      <c r="M45" s="10">
        <v>434</v>
      </c>
      <c r="N45" s="10">
        <v>470</v>
      </c>
      <c r="O45" s="10">
        <v>516</v>
      </c>
      <c r="P45" s="10">
        <v>874</v>
      </c>
      <c r="Q45" s="10">
        <v>1370</v>
      </c>
      <c r="R45" s="10">
        <v>1679.8</v>
      </c>
      <c r="S45" s="10">
        <v>1893</v>
      </c>
      <c r="T45" s="10">
        <v>2152</v>
      </c>
      <c r="U45" s="10">
        <v>2252.2269999999999</v>
      </c>
      <c r="V45" s="10">
        <v>2366.5500000000002</v>
      </c>
      <c r="W45" s="10">
        <v>2940.7</v>
      </c>
      <c r="X45" s="10">
        <v>3239</v>
      </c>
      <c r="Y45" s="43">
        <f t="shared" si="0"/>
        <v>0.50511152416356875</v>
      </c>
      <c r="Z45" s="43">
        <f t="shared" si="1"/>
        <v>0.1014384330261503</v>
      </c>
      <c r="AA45" s="10">
        <v>3368.6</v>
      </c>
      <c r="AB45" s="52">
        <f t="shared" si="2"/>
        <v>0.49567516951000062</v>
      </c>
      <c r="AC45" s="52">
        <f t="shared" si="3"/>
        <v>4.0012349490583486E-2</v>
      </c>
      <c r="AD45" s="10">
        <v>3478.6</v>
      </c>
      <c r="AE45" s="52">
        <f t="shared" si="23"/>
        <v>0.46990344594451822</v>
      </c>
    </row>
    <row r="46" spans="1:32" s="47" customFormat="1" ht="13.15" x14ac:dyDescent="0.4">
      <c r="A46" s="9" t="s">
        <v>41</v>
      </c>
      <c r="B46" s="47">
        <f t="shared" ref="B46:X46" si="25">SUM(B39:B45)</f>
        <v>14474</v>
      </c>
      <c r="C46" s="47">
        <f t="shared" si="25"/>
        <v>14674</v>
      </c>
      <c r="D46" s="47">
        <f t="shared" si="25"/>
        <v>15095.253999999999</v>
      </c>
      <c r="E46" s="47">
        <f t="shared" si="25"/>
        <v>15260.466</v>
      </c>
      <c r="F46" s="47">
        <f t="shared" si="25"/>
        <v>15762.908000000001</v>
      </c>
      <c r="G46" s="47">
        <f t="shared" si="25"/>
        <v>16748.629999999997</v>
      </c>
      <c r="H46" s="47">
        <f t="shared" si="25"/>
        <v>17179.903999999999</v>
      </c>
      <c r="I46" s="47">
        <f t="shared" si="25"/>
        <v>18554.885000000002</v>
      </c>
      <c r="J46" s="47">
        <f t="shared" si="25"/>
        <v>18797</v>
      </c>
      <c r="K46" s="47">
        <f t="shared" si="25"/>
        <v>19103</v>
      </c>
      <c r="L46" s="47">
        <f t="shared" si="25"/>
        <v>19785.75</v>
      </c>
      <c r="M46" s="47">
        <f t="shared" si="25"/>
        <v>20740</v>
      </c>
      <c r="N46" s="47">
        <f t="shared" si="25"/>
        <v>20979.5</v>
      </c>
      <c r="O46" s="47">
        <f t="shared" si="25"/>
        <v>21984.799999999999</v>
      </c>
      <c r="P46" s="47">
        <f t="shared" si="25"/>
        <v>23712</v>
      </c>
      <c r="Q46" s="47">
        <f t="shared" si="25"/>
        <v>43137.764999999999</v>
      </c>
      <c r="R46" s="47">
        <f t="shared" si="25"/>
        <v>44060.9</v>
      </c>
      <c r="S46" s="47">
        <f t="shared" si="25"/>
        <v>44951.25</v>
      </c>
      <c r="T46" s="47">
        <f t="shared" si="25"/>
        <v>45890.7</v>
      </c>
      <c r="U46" s="47">
        <f t="shared" si="25"/>
        <v>49671.726999999999</v>
      </c>
      <c r="V46" s="47">
        <f t="shared" si="25"/>
        <v>51100.695</v>
      </c>
      <c r="W46" s="47">
        <f t="shared" si="25"/>
        <v>53980.572</v>
      </c>
      <c r="X46" s="47">
        <f t="shared" si="25"/>
        <v>55336.318000000007</v>
      </c>
      <c r="Y46" s="43">
        <f t="shared" si="0"/>
        <v>0.20582858836321979</v>
      </c>
      <c r="Z46" s="43">
        <f t="shared" si="1"/>
        <v>2.5115443385816779E-2</v>
      </c>
      <c r="AA46" s="47">
        <f>SUM(AA39:AA45)</f>
        <v>57779.42</v>
      </c>
      <c r="AB46" s="52">
        <f t="shared" si="2"/>
        <v>0.16322551056056495</v>
      </c>
      <c r="AC46" s="52">
        <f t="shared" si="3"/>
        <v>4.4150064339300479E-2</v>
      </c>
      <c r="AD46" s="47">
        <f>SUM(AD39:AD45)</f>
        <v>68328.300000000017</v>
      </c>
      <c r="AE46" s="52">
        <f t="shared" si="23"/>
        <v>0.33713054196229658</v>
      </c>
      <c r="AF46" s="47">
        <f>SUM(AF39:AF45)</f>
        <v>0</v>
      </c>
    </row>
    <row r="47" spans="1:32" x14ac:dyDescent="0.35">
      <c r="Y47" s="43"/>
      <c r="Z47" s="43"/>
      <c r="AB47" s="52"/>
      <c r="AC47" s="52"/>
    </row>
    <row r="48" spans="1:32" ht="13.15" x14ac:dyDescent="0.4">
      <c r="A48" s="7" t="s">
        <v>42</v>
      </c>
      <c r="Y48" s="43"/>
      <c r="Z48" s="43"/>
      <c r="AB48" s="52"/>
      <c r="AC48" s="52"/>
    </row>
    <row r="49" spans="1:32" ht="13.15" x14ac:dyDescent="0.4">
      <c r="A49" s="18" t="s">
        <v>65</v>
      </c>
      <c r="Y49" s="43"/>
      <c r="Z49" s="43"/>
      <c r="AB49" s="52"/>
      <c r="AC49" s="52"/>
    </row>
    <row r="50" spans="1:32" x14ac:dyDescent="0.35">
      <c r="A50" s="20" t="s">
        <v>43</v>
      </c>
      <c r="B50" s="10">
        <v>62.9</v>
      </c>
      <c r="C50" s="10">
        <v>64.400000000000006</v>
      </c>
      <c r="D50" s="10">
        <v>65.7</v>
      </c>
      <c r="E50" s="10">
        <v>67.789000000000001</v>
      </c>
      <c r="F50" s="10">
        <v>69.257999999999996</v>
      </c>
      <c r="G50" s="10">
        <v>72.751999999999995</v>
      </c>
      <c r="H50" s="10">
        <v>74.734999999999999</v>
      </c>
      <c r="I50" s="10">
        <v>76.727999999999994</v>
      </c>
      <c r="J50" s="10">
        <v>81</v>
      </c>
      <c r="K50" s="10">
        <v>81</v>
      </c>
      <c r="L50" s="10">
        <v>83</v>
      </c>
      <c r="M50" s="10">
        <v>86</v>
      </c>
      <c r="N50" s="10">
        <v>89</v>
      </c>
      <c r="O50" s="10">
        <v>90</v>
      </c>
      <c r="P50" s="10">
        <v>96</v>
      </c>
      <c r="Q50" s="10">
        <v>147</v>
      </c>
      <c r="R50" s="10">
        <v>149.5</v>
      </c>
      <c r="S50" s="10">
        <v>154</v>
      </c>
      <c r="T50" s="10">
        <v>157</v>
      </c>
      <c r="U50" s="10">
        <v>165.7</v>
      </c>
      <c r="V50" s="10">
        <v>173</v>
      </c>
      <c r="W50" s="10">
        <v>182.85499999999999</v>
      </c>
      <c r="X50" s="10">
        <v>187.28800000000001</v>
      </c>
      <c r="Y50" s="43">
        <f t="shared" si="0"/>
        <v>0.19291719745222938</v>
      </c>
      <c r="Z50" s="43">
        <f t="shared" si="1"/>
        <v>2.424325285061946E-2</v>
      </c>
      <c r="AA50" s="10">
        <v>195.22</v>
      </c>
      <c r="AB50" s="52">
        <f t="shared" si="2"/>
        <v>0.1781532890766446</v>
      </c>
      <c r="AC50" s="52">
        <f t="shared" si="3"/>
        <v>4.2351885865618659E-2</v>
      </c>
      <c r="AD50" s="10">
        <v>225.8</v>
      </c>
      <c r="AE50" s="52">
        <f t="shared" ref="AE50:AE59" si="26">(AD50-V50)/V50</f>
        <v>0.30520231213872839</v>
      </c>
    </row>
    <row r="51" spans="1:32" x14ac:dyDescent="0.35">
      <c r="A51" s="20" t="s">
        <v>44</v>
      </c>
      <c r="B51" s="10">
        <v>92.4</v>
      </c>
      <c r="C51" s="10">
        <v>122.4</v>
      </c>
      <c r="D51" s="10">
        <v>119.14400000000001</v>
      </c>
      <c r="E51" s="10">
        <v>133.76499999999999</v>
      </c>
      <c r="F51" s="10">
        <v>114.22499999999999</v>
      </c>
      <c r="G51" s="10">
        <v>156.85900000000001</v>
      </c>
      <c r="H51" s="10">
        <v>163.154</v>
      </c>
      <c r="I51" s="10">
        <v>177</v>
      </c>
      <c r="J51" s="10">
        <v>182</v>
      </c>
      <c r="K51" s="10">
        <v>201</v>
      </c>
      <c r="L51" s="10">
        <v>207</v>
      </c>
      <c r="M51" s="10">
        <v>241</v>
      </c>
      <c r="N51" s="10">
        <v>200</v>
      </c>
      <c r="O51" s="10">
        <v>260</v>
      </c>
      <c r="P51" s="10">
        <v>269.58699999999999</v>
      </c>
      <c r="Q51" s="10">
        <v>351</v>
      </c>
      <c r="R51" s="10">
        <v>305.56</v>
      </c>
      <c r="S51" s="10">
        <v>353.56</v>
      </c>
      <c r="T51" s="10">
        <v>408</v>
      </c>
      <c r="U51" s="10">
        <v>399</v>
      </c>
      <c r="V51" s="10">
        <v>422</v>
      </c>
      <c r="W51" s="10">
        <v>559.38300000000004</v>
      </c>
      <c r="X51" s="10">
        <v>660.4</v>
      </c>
      <c r="Y51" s="43">
        <f t="shared" si="0"/>
        <v>0.61862745098039207</v>
      </c>
      <c r="Z51" s="43">
        <f t="shared" si="1"/>
        <v>0.18058646759018407</v>
      </c>
      <c r="AA51" s="10">
        <v>738.52</v>
      </c>
      <c r="AB51" s="52">
        <f t="shared" si="2"/>
        <v>0.85092731829573931</v>
      </c>
      <c r="AC51" s="52">
        <f t="shared" si="3"/>
        <v>0.11829194427619626</v>
      </c>
      <c r="AD51" s="10">
        <v>802.7</v>
      </c>
      <c r="AE51" s="52">
        <f t="shared" si="26"/>
        <v>0.90213270142180102</v>
      </c>
    </row>
    <row r="52" spans="1:32" s="47" customFormat="1" ht="13.15" x14ac:dyDescent="0.4">
      <c r="A52" s="22" t="s">
        <v>66</v>
      </c>
      <c r="B52" s="47">
        <f>SUM(B50:B51)</f>
        <v>155.30000000000001</v>
      </c>
      <c r="C52" s="47">
        <f t="shared" ref="C52:AF52" si="27">SUM(C50:C51)</f>
        <v>186.8</v>
      </c>
      <c r="D52" s="47">
        <f t="shared" si="27"/>
        <v>184.84399999999999</v>
      </c>
      <c r="E52" s="47">
        <f t="shared" si="27"/>
        <v>201.55399999999997</v>
      </c>
      <c r="F52" s="47">
        <f t="shared" si="27"/>
        <v>183.483</v>
      </c>
      <c r="G52" s="47">
        <f t="shared" si="27"/>
        <v>229.61099999999999</v>
      </c>
      <c r="H52" s="47">
        <f t="shared" si="27"/>
        <v>237.88900000000001</v>
      </c>
      <c r="I52" s="47">
        <f t="shared" si="27"/>
        <v>253.72800000000001</v>
      </c>
      <c r="J52" s="47">
        <f t="shared" si="27"/>
        <v>263</v>
      </c>
      <c r="K52" s="47">
        <f t="shared" si="27"/>
        <v>282</v>
      </c>
      <c r="L52" s="47">
        <f t="shared" si="27"/>
        <v>290</v>
      </c>
      <c r="M52" s="47">
        <f t="shared" si="27"/>
        <v>327</v>
      </c>
      <c r="N52" s="47">
        <f t="shared" si="27"/>
        <v>289</v>
      </c>
      <c r="O52" s="47">
        <f t="shared" si="27"/>
        <v>350</v>
      </c>
      <c r="P52" s="47">
        <f t="shared" si="27"/>
        <v>365.58699999999999</v>
      </c>
      <c r="Q52" s="47">
        <f t="shared" si="27"/>
        <v>498</v>
      </c>
      <c r="R52" s="47">
        <f t="shared" si="27"/>
        <v>455.06</v>
      </c>
      <c r="S52" s="47">
        <f t="shared" si="27"/>
        <v>507.56</v>
      </c>
      <c r="T52" s="47">
        <f t="shared" si="27"/>
        <v>565</v>
      </c>
      <c r="U52" s="47">
        <f t="shared" si="27"/>
        <v>564.70000000000005</v>
      </c>
      <c r="V52" s="47">
        <f t="shared" si="27"/>
        <v>595</v>
      </c>
      <c r="W52" s="47">
        <f t="shared" si="27"/>
        <v>742.23800000000006</v>
      </c>
      <c r="X52" s="47">
        <f t="shared" si="27"/>
        <v>847.68799999999999</v>
      </c>
      <c r="Y52" s="43">
        <f t="shared" si="0"/>
        <v>0.50033274336283184</v>
      </c>
      <c r="Z52" s="43">
        <f t="shared" si="1"/>
        <v>0.14207033323543111</v>
      </c>
      <c r="AA52" s="47">
        <f t="shared" si="27"/>
        <v>933.74</v>
      </c>
      <c r="AB52" s="52">
        <f t="shared" si="2"/>
        <v>0.65351514078271633</v>
      </c>
      <c r="AC52" s="52">
        <f t="shared" si="3"/>
        <v>0.10151376449825882</v>
      </c>
      <c r="AD52" s="47">
        <f t="shared" si="27"/>
        <v>1028.5</v>
      </c>
      <c r="AE52" s="52">
        <f t="shared" si="26"/>
        <v>0.72857142857142854</v>
      </c>
      <c r="AF52" s="47">
        <f t="shared" si="27"/>
        <v>0</v>
      </c>
    </row>
    <row r="53" spans="1:32" x14ac:dyDescent="0.35">
      <c r="A53" s="23" t="s">
        <v>58</v>
      </c>
      <c r="B53" s="10">
        <v>303.2</v>
      </c>
      <c r="C53" s="10">
        <v>311</v>
      </c>
      <c r="D53" s="10">
        <v>309.66500000000002</v>
      </c>
      <c r="E53" s="10">
        <v>310.86599999999999</v>
      </c>
      <c r="F53" s="10">
        <v>311.33100000000002</v>
      </c>
      <c r="G53" s="10">
        <v>330.89299999999997</v>
      </c>
      <c r="H53" s="10">
        <v>326.17200000000003</v>
      </c>
      <c r="I53" s="10">
        <v>333.1</v>
      </c>
      <c r="J53" s="10">
        <v>329</v>
      </c>
      <c r="K53" s="10">
        <v>323</v>
      </c>
      <c r="L53" s="10">
        <v>319</v>
      </c>
      <c r="M53" s="10">
        <v>321</v>
      </c>
      <c r="N53" s="10">
        <v>314</v>
      </c>
      <c r="O53" s="10">
        <v>319</v>
      </c>
      <c r="P53" s="10">
        <v>341.7</v>
      </c>
      <c r="Q53" s="10">
        <v>1308</v>
      </c>
      <c r="R53" s="10">
        <v>1350</v>
      </c>
      <c r="S53" s="10">
        <v>1346.7</v>
      </c>
      <c r="T53" s="10">
        <v>1368.5</v>
      </c>
      <c r="U53" s="10">
        <v>1379</v>
      </c>
      <c r="V53" s="10">
        <v>1445</v>
      </c>
      <c r="W53" s="10">
        <v>1439.9680000000001</v>
      </c>
      <c r="X53" s="10">
        <v>1426.26</v>
      </c>
      <c r="Y53" s="43">
        <f t="shared" si="0"/>
        <v>4.2206795761782968E-2</v>
      </c>
      <c r="Z53" s="43">
        <f t="shared" si="1"/>
        <v>-9.5196559923554427E-3</v>
      </c>
      <c r="AA53" s="10">
        <v>1406.9</v>
      </c>
      <c r="AB53" s="52">
        <f t="shared" si="2"/>
        <v>2.023205221174771E-2</v>
      </c>
      <c r="AC53" s="52">
        <f t="shared" si="3"/>
        <v>-1.3573962671602583E-2</v>
      </c>
      <c r="AD53" s="10">
        <v>1740.2</v>
      </c>
      <c r="AE53" s="52">
        <f t="shared" si="26"/>
        <v>0.20429065743944641</v>
      </c>
    </row>
    <row r="54" spans="1:32" x14ac:dyDescent="0.35">
      <c r="A54" s="8" t="s">
        <v>25</v>
      </c>
      <c r="B54" s="10">
        <v>123.7</v>
      </c>
      <c r="C54" s="10">
        <v>123.6</v>
      </c>
      <c r="D54" s="10">
        <v>109.8</v>
      </c>
      <c r="E54" s="10">
        <v>127.1</v>
      </c>
      <c r="F54" s="10">
        <v>243.59100000000001</v>
      </c>
      <c r="G54" s="10">
        <v>251.244</v>
      </c>
      <c r="H54" s="10">
        <v>260.35700000000003</v>
      </c>
      <c r="I54" s="10">
        <v>262.22000000000003</v>
      </c>
      <c r="J54" s="10">
        <v>251</v>
      </c>
      <c r="K54" s="10">
        <v>249</v>
      </c>
      <c r="L54" s="10">
        <v>241</v>
      </c>
      <c r="M54" s="10">
        <v>257</v>
      </c>
      <c r="N54" s="10">
        <v>277</v>
      </c>
      <c r="O54" s="10">
        <v>276</v>
      </c>
      <c r="P54" s="10">
        <v>385</v>
      </c>
      <c r="Q54" s="10">
        <v>759</v>
      </c>
      <c r="R54" s="10">
        <v>746</v>
      </c>
      <c r="S54" s="10">
        <v>740</v>
      </c>
      <c r="T54" s="10">
        <v>752</v>
      </c>
      <c r="U54" s="10">
        <v>775</v>
      </c>
      <c r="V54" s="10">
        <v>790</v>
      </c>
      <c r="W54" s="10">
        <v>855.49599999999998</v>
      </c>
      <c r="X54" s="10">
        <v>786.4</v>
      </c>
      <c r="Y54" s="43">
        <f t="shared" si="0"/>
        <v>4.5744680851063799E-2</v>
      </c>
      <c r="Z54" s="43">
        <f t="shared" si="1"/>
        <v>-8.0767180676473066E-2</v>
      </c>
      <c r="AA54" s="10">
        <v>811.7</v>
      </c>
      <c r="AB54" s="52">
        <f t="shared" si="2"/>
        <v>4.735483870967748E-2</v>
      </c>
      <c r="AC54" s="52">
        <f t="shared" si="3"/>
        <v>3.2171922685656246E-2</v>
      </c>
      <c r="AD54" s="10">
        <v>900.1</v>
      </c>
      <c r="AE54" s="52">
        <f t="shared" si="26"/>
        <v>0.13936708860759497</v>
      </c>
    </row>
    <row r="55" spans="1:32" x14ac:dyDescent="0.35">
      <c r="A55" s="8" t="s">
        <v>45</v>
      </c>
      <c r="B55" s="10">
        <v>1082</v>
      </c>
      <c r="C55" s="10">
        <v>534</v>
      </c>
      <c r="D55" s="10">
        <v>774</v>
      </c>
      <c r="E55" s="10">
        <v>252</v>
      </c>
      <c r="F55" s="10">
        <v>838</v>
      </c>
      <c r="G55" s="10">
        <v>8</v>
      </c>
      <c r="H55" s="10">
        <v>0</v>
      </c>
      <c r="I55" s="10">
        <v>704.33500000000004</v>
      </c>
      <c r="J55" s="10">
        <v>615</v>
      </c>
      <c r="K55" s="10">
        <v>629</v>
      </c>
      <c r="L55" s="10">
        <v>856</v>
      </c>
      <c r="M55" s="10">
        <v>0</v>
      </c>
      <c r="N55" s="10">
        <v>675</v>
      </c>
      <c r="O55" s="10">
        <v>1285</v>
      </c>
      <c r="P55" s="10">
        <v>405</v>
      </c>
      <c r="Q55" s="10">
        <v>1551</v>
      </c>
      <c r="R55" s="10">
        <v>1519.7</v>
      </c>
      <c r="S55" s="10">
        <v>1169</v>
      </c>
      <c r="T55" s="10">
        <v>1920</v>
      </c>
      <c r="U55" s="10">
        <v>2729</v>
      </c>
      <c r="V55" s="10">
        <v>1305</v>
      </c>
      <c r="W55" s="10">
        <v>990.25699999999995</v>
      </c>
      <c r="X55" s="10">
        <v>858</v>
      </c>
      <c r="Y55" s="43">
        <f t="shared" si="0"/>
        <v>-0.55312499999999998</v>
      </c>
      <c r="Z55" s="43">
        <f t="shared" si="1"/>
        <v>-0.13355825810875355</v>
      </c>
      <c r="AA55" s="10">
        <v>764.4</v>
      </c>
      <c r="AB55" s="52">
        <f t="shared" si="2"/>
        <v>-0.7198973983144008</v>
      </c>
      <c r="AC55" s="52">
        <f t="shared" si="3"/>
        <v>-0.10909090909090911</v>
      </c>
      <c r="AD55" s="10">
        <v>1022.45</v>
      </c>
      <c r="AE55" s="52">
        <f t="shared" si="26"/>
        <v>-0.21651340996168578</v>
      </c>
    </row>
    <row r="56" spans="1:32" x14ac:dyDescent="0.35">
      <c r="A56" s="8" t="s">
        <v>46</v>
      </c>
      <c r="B56" s="10">
        <v>319.39999999999998</v>
      </c>
      <c r="C56" s="10">
        <v>319.5</v>
      </c>
      <c r="D56" s="10">
        <v>319.57100000000003</v>
      </c>
      <c r="E56" s="10">
        <v>568.6</v>
      </c>
      <c r="F56" s="10">
        <v>498.72199999999998</v>
      </c>
      <c r="G56" s="10">
        <v>498.82900000000001</v>
      </c>
      <c r="H56" s="10">
        <v>498.93599999999998</v>
      </c>
      <c r="I56" s="10">
        <v>499.04399999999998</v>
      </c>
      <c r="J56" s="10">
        <v>499</v>
      </c>
      <c r="K56" s="10">
        <v>249</v>
      </c>
      <c r="L56" s="10">
        <v>249</v>
      </c>
      <c r="M56" s="10">
        <v>249</v>
      </c>
      <c r="N56" s="10">
        <v>249</v>
      </c>
      <c r="O56" s="10">
        <v>249</v>
      </c>
      <c r="P56" s="10">
        <v>249.5</v>
      </c>
      <c r="Q56" s="10">
        <v>249.66</v>
      </c>
      <c r="R56" s="10">
        <v>249.6</v>
      </c>
      <c r="S56" s="10">
        <v>250</v>
      </c>
      <c r="T56" s="10">
        <v>250</v>
      </c>
      <c r="U56" s="10">
        <v>250</v>
      </c>
      <c r="V56" s="10">
        <v>1297.8</v>
      </c>
      <c r="W56" s="10">
        <v>1324.2850000000001</v>
      </c>
      <c r="X56" s="10">
        <v>1287.9949999999999</v>
      </c>
      <c r="Y56" s="43">
        <f t="shared" si="0"/>
        <v>4.15198</v>
      </c>
      <c r="Z56" s="43">
        <f t="shared" si="1"/>
        <v>-2.7403466776411565E-2</v>
      </c>
      <c r="AA56" s="10">
        <v>1331.8</v>
      </c>
      <c r="AB56" s="52">
        <f t="shared" si="2"/>
        <v>4.3271999999999995</v>
      </c>
      <c r="AC56" s="52">
        <f t="shared" si="3"/>
        <v>3.4010225194973633E-2</v>
      </c>
      <c r="AD56" s="10">
        <v>2370.4549999999999</v>
      </c>
      <c r="AE56" s="52">
        <f t="shared" si="26"/>
        <v>0.82651795345970103</v>
      </c>
    </row>
    <row r="57" spans="1:32" x14ac:dyDescent="0.35">
      <c r="A57" s="8" t="s">
        <v>47</v>
      </c>
      <c r="B57" s="10">
        <v>313.2</v>
      </c>
      <c r="C57" s="10">
        <v>311.7</v>
      </c>
      <c r="D57" s="10">
        <v>310.2</v>
      </c>
      <c r="E57" s="10">
        <v>302.56900000000002</v>
      </c>
      <c r="F57" s="10">
        <v>300.99299999999999</v>
      </c>
      <c r="G57" s="10">
        <v>299.39699999999999</v>
      </c>
      <c r="H57" s="10">
        <v>282.053</v>
      </c>
      <c r="I57" s="10">
        <v>410.11900000000003</v>
      </c>
      <c r="J57" s="10">
        <v>408</v>
      </c>
      <c r="K57" s="10">
        <v>394.8</v>
      </c>
      <c r="L57" s="10">
        <v>336</v>
      </c>
      <c r="M57" s="10">
        <v>300</v>
      </c>
      <c r="N57" s="10">
        <v>282</v>
      </c>
      <c r="O57" s="10">
        <v>300.57</v>
      </c>
      <c r="P57" s="10">
        <v>285.60000000000002</v>
      </c>
      <c r="Q57" s="10">
        <v>1142</v>
      </c>
      <c r="R57" s="10">
        <v>1093.5989999999999</v>
      </c>
      <c r="S57" s="10">
        <v>947</v>
      </c>
      <c r="T57" s="10">
        <v>855</v>
      </c>
      <c r="U57" s="10">
        <v>853.9</v>
      </c>
      <c r="V57" s="10">
        <v>851</v>
      </c>
      <c r="W57" s="10">
        <v>841.69</v>
      </c>
      <c r="X57" s="10">
        <v>824.2</v>
      </c>
      <c r="Y57" s="43">
        <f t="shared" si="0"/>
        <v>-3.6023391812865443E-2</v>
      </c>
      <c r="Z57" s="43">
        <f t="shared" si="1"/>
        <v>-2.0779621951074634E-2</v>
      </c>
      <c r="AA57" s="10">
        <v>821.6</v>
      </c>
      <c r="AB57" s="52">
        <f t="shared" si="2"/>
        <v>-3.7826443377444612E-2</v>
      </c>
      <c r="AC57" s="52">
        <f t="shared" si="3"/>
        <v>-3.1545741324921408E-3</v>
      </c>
      <c r="AD57" s="10">
        <v>200.1</v>
      </c>
      <c r="AE57" s="52">
        <f t="shared" si="26"/>
        <v>-0.76486486486486482</v>
      </c>
    </row>
    <row r="58" spans="1:32" x14ac:dyDescent="0.35">
      <c r="A58" s="8" t="s">
        <v>48</v>
      </c>
      <c r="B58" s="10">
        <v>4879.6000000000004</v>
      </c>
      <c r="C58" s="10">
        <v>5375</v>
      </c>
      <c r="D58" s="10">
        <v>5375.8819999999996</v>
      </c>
      <c r="E58" s="10">
        <v>5376.7969999999996</v>
      </c>
      <c r="F58" s="10">
        <v>5377.7120000000004</v>
      </c>
      <c r="G58" s="10">
        <v>6268.0619999999999</v>
      </c>
      <c r="H58" s="10">
        <v>6256.4</v>
      </c>
      <c r="I58" s="10">
        <v>6288.049</v>
      </c>
      <c r="J58" s="10">
        <v>6013</v>
      </c>
      <c r="K58" s="10">
        <v>6602</v>
      </c>
      <c r="L58" s="10">
        <v>6995</v>
      </c>
      <c r="M58" s="10">
        <v>8268</v>
      </c>
      <c r="N58" s="10">
        <v>7326</v>
      </c>
      <c r="O58" s="10">
        <v>7330</v>
      </c>
      <c r="P58" s="10">
        <v>8309</v>
      </c>
      <c r="Q58" s="10">
        <v>12499.8</v>
      </c>
      <c r="R58" s="10">
        <v>13068.66</v>
      </c>
      <c r="S58" s="10">
        <v>13588.6</v>
      </c>
      <c r="T58" s="10">
        <v>13316</v>
      </c>
      <c r="U58" s="10">
        <v>14278</v>
      </c>
      <c r="V58" s="10">
        <v>15430</v>
      </c>
      <c r="W58" s="10">
        <v>16475.599999999999</v>
      </c>
      <c r="X58" s="10">
        <v>17482.7</v>
      </c>
      <c r="Y58" s="43">
        <f t="shared" si="0"/>
        <v>0.31290928206668672</v>
      </c>
      <c r="Z58" s="43">
        <f t="shared" si="1"/>
        <v>6.1126757143897779E-2</v>
      </c>
      <c r="AA58" s="10">
        <v>18602.3</v>
      </c>
      <c r="AB58" s="52">
        <f t="shared" si="2"/>
        <v>0.30286454685530179</v>
      </c>
      <c r="AC58" s="52">
        <f t="shared" si="3"/>
        <v>6.4040451417687119E-2</v>
      </c>
      <c r="AD58" s="10">
        <v>21748</v>
      </c>
      <c r="AE58" s="52">
        <f t="shared" si="26"/>
        <v>0.40946208684381075</v>
      </c>
    </row>
    <row r="59" spans="1:32" s="47" customFormat="1" ht="13.15" x14ac:dyDescent="0.4">
      <c r="A59" s="9" t="s">
        <v>49</v>
      </c>
      <c r="B59" s="47">
        <f t="shared" ref="B59:V59" si="28">SUM(B52:B58)</f>
        <v>7176.4</v>
      </c>
      <c r="C59" s="47">
        <f t="shared" si="28"/>
        <v>7161.6</v>
      </c>
      <c r="D59" s="47">
        <f t="shared" si="28"/>
        <v>7383.9619999999995</v>
      </c>
      <c r="E59" s="47">
        <f t="shared" si="28"/>
        <v>7139.485999999999</v>
      </c>
      <c r="F59" s="47">
        <f t="shared" si="28"/>
        <v>7753.8320000000003</v>
      </c>
      <c r="G59" s="47">
        <f t="shared" si="28"/>
        <v>7886.0360000000001</v>
      </c>
      <c r="H59" s="47">
        <f t="shared" si="28"/>
        <v>7861.8069999999998</v>
      </c>
      <c r="I59" s="47">
        <f t="shared" si="28"/>
        <v>8750.5950000000012</v>
      </c>
      <c r="J59" s="47">
        <f t="shared" si="28"/>
        <v>8378</v>
      </c>
      <c r="K59" s="47">
        <f t="shared" si="28"/>
        <v>8728.7999999999993</v>
      </c>
      <c r="L59" s="47">
        <f t="shared" si="28"/>
        <v>9286</v>
      </c>
      <c r="M59" s="47">
        <f t="shared" si="28"/>
        <v>9722</v>
      </c>
      <c r="N59" s="47">
        <f t="shared" si="28"/>
        <v>9412</v>
      </c>
      <c r="O59" s="47">
        <f t="shared" si="28"/>
        <v>10109.57</v>
      </c>
      <c r="P59" s="47">
        <f t="shared" si="28"/>
        <v>10341.387000000001</v>
      </c>
      <c r="Q59" s="47">
        <f t="shared" si="28"/>
        <v>18007.46</v>
      </c>
      <c r="R59" s="47">
        <f t="shared" si="28"/>
        <v>18482.618999999999</v>
      </c>
      <c r="S59" s="47">
        <f t="shared" si="28"/>
        <v>18548.86</v>
      </c>
      <c r="T59" s="47">
        <f t="shared" si="28"/>
        <v>19026.5</v>
      </c>
      <c r="U59" s="47">
        <f t="shared" si="28"/>
        <v>20829.599999999999</v>
      </c>
      <c r="V59" s="47">
        <f t="shared" si="28"/>
        <v>21713.8</v>
      </c>
      <c r="W59" s="47">
        <f>SUM(W52:W58)</f>
        <v>22669.534</v>
      </c>
      <c r="X59" s="47">
        <f t="shared" ref="X59:AF59" si="29">SUM(X52:X58)</f>
        <v>23513.243000000002</v>
      </c>
      <c r="Y59" s="43">
        <f t="shared" si="0"/>
        <v>0.23581546790003427</v>
      </c>
      <c r="Z59" s="43">
        <f t="shared" si="1"/>
        <v>3.7217747837251645E-2</v>
      </c>
      <c r="AA59" s="47">
        <f t="shared" si="29"/>
        <v>24672.44</v>
      </c>
      <c r="AB59" s="52">
        <f t="shared" si="2"/>
        <v>0.18448938049698507</v>
      </c>
      <c r="AC59" s="52">
        <f t="shared" si="3"/>
        <v>4.9299749932410278E-2</v>
      </c>
      <c r="AD59" s="47">
        <f t="shared" si="29"/>
        <v>29009.805</v>
      </c>
      <c r="AE59" s="52">
        <f t="shared" si="26"/>
        <v>0.33600774622590246</v>
      </c>
      <c r="AF59" s="47">
        <f t="shared" si="29"/>
        <v>0</v>
      </c>
    </row>
    <row r="60" spans="1:32" x14ac:dyDescent="0.35">
      <c r="Y60" s="43"/>
      <c r="Z60" s="43"/>
      <c r="AB60" s="52"/>
      <c r="AC60" s="52"/>
    </row>
    <row r="61" spans="1:32" s="47" customFormat="1" ht="13.15" x14ac:dyDescent="0.4">
      <c r="A61" s="7" t="s">
        <v>50</v>
      </c>
      <c r="B61" s="47">
        <f t="shared" ref="B61:V61" si="30">B46-B59</f>
        <v>7297.6</v>
      </c>
      <c r="C61" s="47">
        <f t="shared" si="30"/>
        <v>7512.4</v>
      </c>
      <c r="D61" s="47">
        <f>D46-D59</f>
        <v>7711.2919999999995</v>
      </c>
      <c r="E61" s="47">
        <f t="shared" si="30"/>
        <v>8120.9800000000014</v>
      </c>
      <c r="F61" s="47">
        <f t="shared" si="30"/>
        <v>8009.0760000000009</v>
      </c>
      <c r="G61" s="47">
        <f t="shared" si="30"/>
        <v>8862.5939999999973</v>
      </c>
      <c r="H61" s="47">
        <f t="shared" si="30"/>
        <v>9318.0969999999979</v>
      </c>
      <c r="I61" s="47">
        <f t="shared" si="30"/>
        <v>9804.2900000000009</v>
      </c>
      <c r="J61" s="47">
        <f t="shared" si="30"/>
        <v>10419</v>
      </c>
      <c r="K61" s="47">
        <f t="shared" si="30"/>
        <v>10374.200000000001</v>
      </c>
      <c r="L61" s="47">
        <f t="shared" si="30"/>
        <v>10499.75</v>
      </c>
      <c r="M61" s="47">
        <f t="shared" si="30"/>
        <v>11018</v>
      </c>
      <c r="N61" s="47">
        <f t="shared" si="30"/>
        <v>11567.5</v>
      </c>
      <c r="O61" s="47">
        <f t="shared" si="30"/>
        <v>11875.23</v>
      </c>
      <c r="P61" s="47">
        <f t="shared" si="30"/>
        <v>13370.612999999999</v>
      </c>
      <c r="Q61" s="47">
        <f t="shared" si="30"/>
        <v>25130.305</v>
      </c>
      <c r="R61" s="47">
        <f t="shared" si="30"/>
        <v>25578.281000000003</v>
      </c>
      <c r="S61" s="47">
        <f t="shared" si="30"/>
        <v>26402.39</v>
      </c>
      <c r="T61" s="47">
        <f t="shared" si="30"/>
        <v>26864.199999999997</v>
      </c>
      <c r="U61" s="47">
        <f t="shared" si="30"/>
        <v>28842.127</v>
      </c>
      <c r="V61" s="47">
        <f t="shared" si="30"/>
        <v>29386.895</v>
      </c>
      <c r="W61" s="47">
        <f t="shared" ref="W61:AF61" si="31">W46-W59</f>
        <v>31311.038</v>
      </c>
      <c r="X61" s="47">
        <f t="shared" si="31"/>
        <v>31823.075000000004</v>
      </c>
      <c r="Y61" s="43">
        <f t="shared" si="0"/>
        <v>0.18459045867734783</v>
      </c>
      <c r="Z61" s="43">
        <f t="shared" si="1"/>
        <v>1.6353242584931354E-2</v>
      </c>
      <c r="AA61" s="47">
        <f t="shared" si="31"/>
        <v>33106.979999999996</v>
      </c>
      <c r="AB61" s="52">
        <f t="shared" si="2"/>
        <v>0.14786887943458524</v>
      </c>
      <c r="AC61" s="52">
        <f t="shared" si="3"/>
        <v>4.0345095500670232E-2</v>
      </c>
      <c r="AD61" s="47">
        <f t="shared" si="31"/>
        <v>39318.495000000017</v>
      </c>
      <c r="AE61" s="52">
        <f t="shared" ref="AE61:AE69" si="32">(AD61-V61)/V61</f>
        <v>0.33796016898008507</v>
      </c>
      <c r="AF61" s="47">
        <f t="shared" si="31"/>
        <v>0</v>
      </c>
    </row>
    <row r="62" spans="1:32" s="50" customFormat="1" x14ac:dyDescent="0.35">
      <c r="A62" s="30" t="s">
        <v>80</v>
      </c>
      <c r="B62" s="50">
        <f t="shared" ref="B62:X62" si="33">B7-B8+B9</f>
        <v>20497.32</v>
      </c>
      <c r="C62" s="50">
        <f t="shared" si="33"/>
        <v>21052</v>
      </c>
      <c r="D62" s="50">
        <f t="shared" si="33"/>
        <v>22505.616999999998</v>
      </c>
      <c r="E62" s="50">
        <f t="shared" si="33"/>
        <v>23903.110000000004</v>
      </c>
      <c r="F62" s="50">
        <f t="shared" si="33"/>
        <v>28380.557000000001</v>
      </c>
      <c r="G62" s="50">
        <f t="shared" si="33"/>
        <v>27531.885000000002</v>
      </c>
      <c r="H62" s="50">
        <f t="shared" si="33"/>
        <v>30295.272000000001</v>
      </c>
      <c r="I62" s="50">
        <f t="shared" si="33"/>
        <v>29984.027999999998</v>
      </c>
      <c r="J62" s="50">
        <f t="shared" si="33"/>
        <v>23365.47</v>
      </c>
      <c r="K62" s="50">
        <f t="shared" si="33"/>
        <v>27280.039999999997</v>
      </c>
      <c r="L62" s="50">
        <f t="shared" si="33"/>
        <v>27803.14</v>
      </c>
      <c r="M62" s="50">
        <f t="shared" si="33"/>
        <v>28475.8</v>
      </c>
      <c r="N62" s="50">
        <f t="shared" si="33"/>
        <v>30955.16</v>
      </c>
      <c r="O62" s="50">
        <f t="shared" si="33"/>
        <v>32819.58</v>
      </c>
      <c r="P62" s="50">
        <f t="shared" si="33"/>
        <v>33083.699999999997</v>
      </c>
      <c r="Q62" s="50">
        <f t="shared" si="33"/>
        <v>43751.31</v>
      </c>
      <c r="R62" s="50">
        <f t="shared" si="33"/>
        <v>55850.559999999998</v>
      </c>
      <c r="S62" s="50">
        <f t="shared" si="33"/>
        <v>55927.12</v>
      </c>
      <c r="T62" s="50">
        <f t="shared" si="33"/>
        <v>51265.9</v>
      </c>
      <c r="U62" s="50">
        <f t="shared" si="33"/>
        <v>55905.159999999996</v>
      </c>
      <c r="V62" s="50">
        <f t="shared" si="33"/>
        <v>59722.319999999992</v>
      </c>
      <c r="W62" s="50">
        <f t="shared" si="33"/>
        <v>58977.380519999999</v>
      </c>
      <c r="X62" s="50">
        <f t="shared" si="33"/>
        <v>54808.515200000002</v>
      </c>
      <c r="Y62" s="43">
        <f t="shared" si="0"/>
        <v>6.9102760314361009E-2</v>
      </c>
      <c r="Z62" s="43">
        <f t="shared" si="1"/>
        <v>-7.0685833844151155E-2</v>
      </c>
      <c r="AA62" s="50">
        <f>AA7-AA8+AA9</f>
        <v>62204.178</v>
      </c>
      <c r="AB62" s="52">
        <f t="shared" si="2"/>
        <v>0.11267328454117659</v>
      </c>
      <c r="AC62" s="52">
        <f t="shared" si="3"/>
        <v>0.13493638302392832</v>
      </c>
      <c r="AD62" s="50">
        <f>AD7-AD8+AD9</f>
        <v>69630.592359999995</v>
      </c>
      <c r="AE62" s="52">
        <f t="shared" si="32"/>
        <v>0.16590568417301946</v>
      </c>
      <c r="AF62" s="50">
        <f>AF7-AF8+AF9</f>
        <v>0</v>
      </c>
    </row>
    <row r="63" spans="1:32" s="36" customFormat="1" x14ac:dyDescent="0.35">
      <c r="A63" s="30" t="s">
        <v>81</v>
      </c>
      <c r="B63" s="37">
        <f t="shared" ref="B63:X63" si="34">B32/B6</f>
        <v>0.29401408450704231</v>
      </c>
      <c r="C63" s="37">
        <f t="shared" si="34"/>
        <v>0.34070175438596484</v>
      </c>
      <c r="D63" s="37">
        <f t="shared" si="34"/>
        <v>0.3422783505154639</v>
      </c>
      <c r="E63" s="37">
        <f t="shared" si="34"/>
        <v>0.41407931034482764</v>
      </c>
      <c r="F63" s="37">
        <f t="shared" si="34"/>
        <v>0.36749999999999988</v>
      </c>
      <c r="G63" s="37">
        <f t="shared" si="34"/>
        <v>0.30766559485530565</v>
      </c>
      <c r="H63" s="37">
        <f t="shared" si="34"/>
        <v>0.32322812500000014</v>
      </c>
      <c r="I63" s="37">
        <f t="shared" si="34"/>
        <v>0.40041139240506285</v>
      </c>
      <c r="J63" s="37">
        <f t="shared" si="34"/>
        <v>0.43378041543026713</v>
      </c>
      <c r="K63" s="37">
        <f t="shared" si="34"/>
        <v>0.3125</v>
      </c>
      <c r="L63" s="37">
        <f t="shared" si="34"/>
        <v>6.7723342939481262E-2</v>
      </c>
      <c r="M63" s="37">
        <f t="shared" si="34"/>
        <v>0.34700289855072453</v>
      </c>
      <c r="N63" s="37">
        <f t="shared" si="34"/>
        <v>0.25806451612903225</v>
      </c>
      <c r="O63" s="37">
        <f t="shared" si="34"/>
        <v>0.33262032085561499</v>
      </c>
      <c r="P63" s="37">
        <f t="shared" si="34"/>
        <v>0.34362244897959182</v>
      </c>
      <c r="Q63" s="37">
        <f t="shared" si="34"/>
        <v>1.5060240963855422E-2</v>
      </c>
      <c r="R63" s="37">
        <f t="shared" si="34"/>
        <v>0.33654882154882154</v>
      </c>
      <c r="S63" s="37">
        <f t="shared" si="34"/>
        <v>0.37223754152823918</v>
      </c>
      <c r="T63" s="37">
        <f t="shared" si="34"/>
        <v>0.35532362459546929</v>
      </c>
      <c r="U63" s="37">
        <f t="shared" si="34"/>
        <v>0.37717647058823522</v>
      </c>
      <c r="V63" s="37">
        <f t="shared" si="34"/>
        <v>0.34303025718608171</v>
      </c>
      <c r="W63" s="37">
        <f t="shared" si="34"/>
        <v>0.29042029131208696</v>
      </c>
      <c r="X63" s="37">
        <f t="shared" si="34"/>
        <v>0.3287138177779651</v>
      </c>
      <c r="Y63" s="40">
        <f t="shared" si="0"/>
        <v>-7.4888932160925306E-2</v>
      </c>
      <c r="Z63" s="40">
        <f t="shared" si="1"/>
        <v>0.13185554732719326</v>
      </c>
      <c r="AA63" s="37">
        <f>AA32/AA6</f>
        <v>0.3022699133305819</v>
      </c>
      <c r="AB63" s="52">
        <f t="shared" si="2"/>
        <v>-0.19859817114474529</v>
      </c>
      <c r="AC63" s="52">
        <f t="shared" si="3"/>
        <v>-8.0446586109882229E-2</v>
      </c>
      <c r="AD63" s="37">
        <f>AD32/AD6</f>
        <v>0.1602409840501316</v>
      </c>
      <c r="AE63" s="52">
        <f t="shared" si="32"/>
        <v>-0.53286632682315671</v>
      </c>
      <c r="AF63" s="37" t="e">
        <f>AF32/AF6</f>
        <v>#DIV/0!</v>
      </c>
    </row>
    <row r="64" spans="1:32" x14ac:dyDescent="0.35">
      <c r="A64" s="25" t="s">
        <v>67</v>
      </c>
      <c r="B64" s="24">
        <f>B59/B61</f>
        <v>0.98339180004384996</v>
      </c>
      <c r="C64" s="24">
        <f t="shared" ref="C64:V64" si="35">C59/C61</f>
        <v>0.9533038709333902</v>
      </c>
      <c r="D64" s="24">
        <f t="shared" si="35"/>
        <v>0.95755186031082729</v>
      </c>
      <c r="E64" s="24">
        <f t="shared" si="35"/>
        <v>0.87914094111794361</v>
      </c>
      <c r="F64" s="24">
        <f t="shared" si="35"/>
        <v>0.96813065577102775</v>
      </c>
      <c r="G64" s="24">
        <f t="shared" si="35"/>
        <v>0.88981126744607753</v>
      </c>
      <c r="H64" s="24">
        <f t="shared" si="35"/>
        <v>0.84371379692656145</v>
      </c>
      <c r="I64" s="24">
        <f t="shared" si="35"/>
        <v>0.89252714882974704</v>
      </c>
      <c r="J64" s="24">
        <f t="shared" si="35"/>
        <v>0.80410787983491694</v>
      </c>
      <c r="K64" s="24">
        <f t="shared" si="35"/>
        <v>0.84139499913246307</v>
      </c>
      <c r="L64" s="24">
        <f t="shared" si="35"/>
        <v>0.88440200957165649</v>
      </c>
      <c r="M64" s="24">
        <f t="shared" si="35"/>
        <v>0.88237429660555455</v>
      </c>
      <c r="N64" s="24">
        <f t="shared" si="35"/>
        <v>0.81365895828830781</v>
      </c>
      <c r="O64" s="24">
        <f t="shared" si="35"/>
        <v>0.85131572188496563</v>
      </c>
      <c r="P64" s="24">
        <f t="shared" si="35"/>
        <v>0.77344150189673433</v>
      </c>
      <c r="Q64" s="24">
        <f t="shared" si="35"/>
        <v>0.71656352758153941</v>
      </c>
      <c r="R64" s="24">
        <f t="shared" si="35"/>
        <v>0.72259034921072285</v>
      </c>
      <c r="S64" s="24">
        <f t="shared" si="35"/>
        <v>0.70254473174587606</v>
      </c>
      <c r="T64" s="24">
        <f t="shared" si="35"/>
        <v>0.70824740733020164</v>
      </c>
      <c r="U64" s="24">
        <f t="shared" si="35"/>
        <v>0.72219361630298617</v>
      </c>
      <c r="V64" s="24">
        <f t="shared" si="35"/>
        <v>0.73889398658823935</v>
      </c>
      <c r="W64" s="24">
        <f t="shared" ref="W64" si="36">W59/W61</f>
        <v>0.72401093825123264</v>
      </c>
      <c r="X64" s="24">
        <f t="shared" ref="X64:AF64" si="37">X59/X61</f>
        <v>0.73887400887563504</v>
      </c>
      <c r="Y64" s="40">
        <f t="shared" si="0"/>
        <v>4.324280079030992E-2</v>
      </c>
      <c r="Z64" s="40">
        <f t="shared" si="1"/>
        <v>2.0528792921696019E-2</v>
      </c>
      <c r="AA64" s="24">
        <f t="shared" si="37"/>
        <v>0.74523378453727884</v>
      </c>
      <c r="AB64" s="52">
        <f t="shared" si="2"/>
        <v>3.1903035022988198E-2</v>
      </c>
      <c r="AC64" s="52">
        <f t="shared" si="3"/>
        <v>8.6073885198934708E-3</v>
      </c>
      <c r="AD64" s="24">
        <f t="shared" si="37"/>
        <v>0.73781575312076386</v>
      </c>
      <c r="AE64" s="52">
        <f t="shared" si="32"/>
        <v>-1.459253271845004E-3</v>
      </c>
      <c r="AF64" s="24" t="e">
        <f t="shared" si="37"/>
        <v>#DIV/0!</v>
      </c>
    </row>
    <row r="65" spans="1:32" x14ac:dyDescent="0.35">
      <c r="A65" s="41" t="s">
        <v>87</v>
      </c>
      <c r="B65" s="26">
        <f t="shared" ref="B65:X65" si="38">B32/B14</f>
        <v>0.2624135763670648</v>
      </c>
      <c r="C65" s="26">
        <f t="shared" si="38"/>
        <v>0.29522651261781691</v>
      </c>
      <c r="D65" s="26">
        <f t="shared" si="38"/>
        <v>0.29459627329192545</v>
      </c>
      <c r="E65" s="26">
        <f t="shared" si="38"/>
        <v>0.31777068580440976</v>
      </c>
      <c r="F65" s="26">
        <f t="shared" si="38"/>
        <v>0.31526815571515243</v>
      </c>
      <c r="G65" s="26">
        <f t="shared" si="38"/>
        <v>0.26182514707894394</v>
      </c>
      <c r="H65" s="26">
        <f t="shared" si="38"/>
        <v>0.27637629693758414</v>
      </c>
      <c r="I65" s="26">
        <f t="shared" si="38"/>
        <v>0.31830565695037344</v>
      </c>
      <c r="J65" s="26">
        <f t="shared" si="38"/>
        <v>0.35294458501535553</v>
      </c>
      <c r="K65" s="26">
        <f t="shared" si="38"/>
        <v>0.25966183574879226</v>
      </c>
      <c r="L65" s="26">
        <f t="shared" si="38"/>
        <v>5.802469135802469E-2</v>
      </c>
      <c r="M65" s="26">
        <f t="shared" si="38"/>
        <v>0.28618556306715492</v>
      </c>
      <c r="N65" s="26">
        <f t="shared" si="38"/>
        <v>0.21719457013574661</v>
      </c>
      <c r="O65" s="26">
        <f t="shared" si="38"/>
        <v>0.26810344827586208</v>
      </c>
      <c r="P65" s="26">
        <f t="shared" si="38"/>
        <v>0.27378048780487801</v>
      </c>
      <c r="Q65" s="26">
        <f t="shared" si="38"/>
        <v>9.1575091575091579E-3</v>
      </c>
      <c r="R65" s="26">
        <f t="shared" si="38"/>
        <v>0.24771995043370507</v>
      </c>
      <c r="S65" s="26">
        <f t="shared" si="38"/>
        <v>0.27630949445129466</v>
      </c>
      <c r="T65" s="26">
        <f t="shared" si="38"/>
        <v>0.26235364396654726</v>
      </c>
      <c r="U65" s="26">
        <f t="shared" si="38"/>
        <v>0.25965354330708657</v>
      </c>
      <c r="V65" s="26">
        <f t="shared" si="38"/>
        <v>0.24019385593220341</v>
      </c>
      <c r="W65" s="26">
        <f t="shared" si="38"/>
        <v>0.19273626373626365</v>
      </c>
      <c r="X65" s="26">
        <f t="shared" si="38"/>
        <v>0.22502550283899522</v>
      </c>
      <c r="Y65" s="40">
        <f t="shared" si="0"/>
        <v>-0.14228177113603099</v>
      </c>
      <c r="Z65" s="40">
        <f t="shared" si="1"/>
        <v>0.16753068922678455</v>
      </c>
      <c r="AA65" s="26">
        <f>AA32/AA14</f>
        <v>0.20414382607079809</v>
      </c>
      <c r="AB65" s="52">
        <f t="shared" si="2"/>
        <v>-0.21378378484378449</v>
      </c>
      <c r="AC65" s="52">
        <f t="shared" si="3"/>
        <v>-9.2796934146339327E-2</v>
      </c>
      <c r="AD65" s="26">
        <f>AD32/AD14</f>
        <v>0.10618008726695756</v>
      </c>
      <c r="AE65" s="52">
        <f t="shared" si="32"/>
        <v>-0.55794003616425669</v>
      </c>
      <c r="AF65" s="24" t="e">
        <f>AF32/AF14</f>
        <v>#DIV/0!</v>
      </c>
    </row>
    <row r="66" spans="1:32" x14ac:dyDescent="0.35">
      <c r="A66" s="41" t="s">
        <v>85</v>
      </c>
      <c r="B66" s="13">
        <f t="shared" ref="B66:X66" si="39">B32/B61</f>
        <v>1.1442117956588468E-2</v>
      </c>
      <c r="C66" s="13">
        <f t="shared" si="39"/>
        <v>1.2925296842553642E-2</v>
      </c>
      <c r="D66" s="13">
        <f t="shared" si="39"/>
        <v>1.2916512563653407E-2</v>
      </c>
      <c r="E66" s="13">
        <f t="shared" si="39"/>
        <v>1.4786762188799873E-2</v>
      </c>
      <c r="F66" s="13">
        <f t="shared" si="39"/>
        <v>1.3949174661346696E-2</v>
      </c>
      <c r="G66" s="13">
        <f t="shared" si="39"/>
        <v>1.0796387603900177E-2</v>
      </c>
      <c r="H66" s="13">
        <f t="shared" si="39"/>
        <v>1.110022786841563E-2</v>
      </c>
      <c r="I66" s="13">
        <f t="shared" si="39"/>
        <v>1.2905575008491165E-2</v>
      </c>
      <c r="J66" s="13">
        <f t="shared" si="39"/>
        <v>1.4030521163259433E-2</v>
      </c>
      <c r="K66" s="13">
        <f t="shared" si="39"/>
        <v>1.0362244799599005E-2</v>
      </c>
      <c r="L66" s="13">
        <f t="shared" si="39"/>
        <v>2.2381485273458893E-3</v>
      </c>
      <c r="M66" s="13">
        <f t="shared" si="39"/>
        <v>1.0865492829914681E-2</v>
      </c>
      <c r="N66" s="13">
        <f t="shared" si="39"/>
        <v>8.2991138966933223E-3</v>
      </c>
      <c r="O66" s="13">
        <f t="shared" si="39"/>
        <v>1.0475586578112593E-2</v>
      </c>
      <c r="P66" s="13">
        <f t="shared" si="39"/>
        <v>1.0074332418416418E-2</v>
      </c>
      <c r="Q66" s="13">
        <f t="shared" si="39"/>
        <v>2.4870370654076819E-4</v>
      </c>
      <c r="R66" s="13">
        <f t="shared" si="39"/>
        <v>7.815615130664956E-3</v>
      </c>
      <c r="S66" s="13">
        <f t="shared" si="39"/>
        <v>8.4873755747112284E-3</v>
      </c>
      <c r="T66" s="13">
        <f t="shared" si="39"/>
        <v>8.1740755354710003E-3</v>
      </c>
      <c r="U66" s="13">
        <f t="shared" si="39"/>
        <v>8.0032932383939624E-3</v>
      </c>
      <c r="V66" s="13">
        <f t="shared" si="39"/>
        <v>7.7157862373687328E-3</v>
      </c>
      <c r="W66" s="13">
        <f t="shared" si="39"/>
        <v>6.2737236625627002E-3</v>
      </c>
      <c r="X66" s="13">
        <f t="shared" si="39"/>
        <v>7.3476243260589963E-3</v>
      </c>
      <c r="Y66" s="13">
        <f t="shared" ref="Y66:AF66" si="40">Y32/Y61</f>
        <v>0.35116009174549562</v>
      </c>
      <c r="Z66" s="13">
        <f t="shared" si="40"/>
        <v>11.638478571441276</v>
      </c>
      <c r="AA66" s="13">
        <f t="shared" si="40"/>
        <v>6.6366669505947083E-3</v>
      </c>
      <c r="AB66" s="52">
        <f t="shared" si="2"/>
        <v>-0.17075799262773206</v>
      </c>
      <c r="AC66" s="52">
        <f t="shared" si="3"/>
        <v>-9.6760169534364338E-2</v>
      </c>
      <c r="AD66" s="13">
        <f t="shared" si="40"/>
        <v>3.403996007476887E-3</v>
      </c>
      <c r="AE66" s="52">
        <f t="shared" si="32"/>
        <v>-0.55882707182959357</v>
      </c>
      <c r="AF66" s="26" t="e">
        <f t="shared" si="40"/>
        <v>#DIV/0!</v>
      </c>
    </row>
    <row r="67" spans="1:32" x14ac:dyDescent="0.35">
      <c r="A67" s="25" t="s">
        <v>68</v>
      </c>
      <c r="B67" s="13">
        <f t="shared" ref="B67:X67" si="41">B32/B46</f>
        <v>5.7689650407627482E-3</v>
      </c>
      <c r="C67" s="13">
        <f t="shared" si="41"/>
        <v>6.6171459724683104E-3</v>
      </c>
      <c r="D67" s="13">
        <f t="shared" si="41"/>
        <v>6.5982990415398108E-3</v>
      </c>
      <c r="E67" s="13">
        <f t="shared" si="41"/>
        <v>7.8688946982352972E-3</v>
      </c>
      <c r="F67" s="13">
        <f t="shared" si="41"/>
        <v>7.0875247130795889E-3</v>
      </c>
      <c r="G67" s="13">
        <f t="shared" si="41"/>
        <v>5.7129448796707592E-3</v>
      </c>
      <c r="H67" s="13">
        <f t="shared" si="41"/>
        <v>6.0205807902069799E-3</v>
      </c>
      <c r="I67" s="13">
        <f t="shared" si="41"/>
        <v>6.8192284673281372E-3</v>
      </c>
      <c r="J67" s="13">
        <f t="shared" si="41"/>
        <v>7.7769856892057256E-3</v>
      </c>
      <c r="K67" s="13">
        <f t="shared" si="41"/>
        <v>5.6273883683191118E-3</v>
      </c>
      <c r="L67" s="13">
        <f t="shared" si="41"/>
        <v>1.1877234878637404E-3</v>
      </c>
      <c r="M67" s="13">
        <f t="shared" si="41"/>
        <v>5.7722275795564111E-3</v>
      </c>
      <c r="N67" s="13">
        <f t="shared" si="41"/>
        <v>4.575895517052361E-3</v>
      </c>
      <c r="O67" s="13">
        <f t="shared" si="41"/>
        <v>5.658454932498818E-3</v>
      </c>
      <c r="P67" s="13">
        <f t="shared" si="41"/>
        <v>5.6806680161943313E-3</v>
      </c>
      <c r="Q67" s="13">
        <f t="shared" si="41"/>
        <v>1.4488465037537296E-4</v>
      </c>
      <c r="R67" s="13">
        <f t="shared" si="41"/>
        <v>4.537129291503351E-3</v>
      </c>
      <c r="S67" s="13">
        <f t="shared" si="41"/>
        <v>4.9851116487305688E-3</v>
      </c>
      <c r="T67" s="13">
        <f t="shared" si="41"/>
        <v>4.7850653836180321E-3</v>
      </c>
      <c r="U67" s="13">
        <f t="shared" si="41"/>
        <v>4.6471506819160922E-3</v>
      </c>
      <c r="V67" s="13">
        <f t="shared" si="41"/>
        <v>4.4371803553748153E-3</v>
      </c>
      <c r="W67" s="13">
        <f t="shared" si="41"/>
        <v>3.6390277598392232E-3</v>
      </c>
      <c r="X67" s="13">
        <f t="shared" si="41"/>
        <v>4.2255070169287361E-3</v>
      </c>
      <c r="Y67" s="53">
        <f t="shared" si="0"/>
        <v>-0.11693849965038697</v>
      </c>
      <c r="Z67" s="53">
        <f t="shared" si="1"/>
        <v>0.16116372168466894</v>
      </c>
      <c r="AA67" s="13">
        <f>AA32/AA46</f>
        <v>3.8027380683295191E-3</v>
      </c>
      <c r="AB67" s="52">
        <f t="shared" si="2"/>
        <v>-0.18170545165933993</v>
      </c>
      <c r="AC67" s="52">
        <f t="shared" si="3"/>
        <v>-0.10005164987431545</v>
      </c>
      <c r="AD67" s="13">
        <f>AD32/AD46</f>
        <v>1.9587784270938976E-3</v>
      </c>
      <c r="AE67" s="52">
        <f t="shared" si="32"/>
        <v>-0.55855334464347306</v>
      </c>
      <c r="AF67" s="26" t="e">
        <f>AF32/AF46</f>
        <v>#DIV/0!</v>
      </c>
    </row>
    <row r="68" spans="1:32" x14ac:dyDescent="0.35">
      <c r="A68" s="27" t="s">
        <v>69</v>
      </c>
      <c r="B68" s="13">
        <f t="shared" ref="B68:X68" si="42">B12/(B40+B41)</f>
        <v>2.4443333461523671E-2</v>
      </c>
      <c r="C68" s="13">
        <f t="shared" si="42"/>
        <v>2.45880574452003E-2</v>
      </c>
      <c r="D68" s="13">
        <f t="shared" si="42"/>
        <v>2.4643876621341321E-2</v>
      </c>
      <c r="E68" s="13">
        <f t="shared" si="42"/>
        <v>2.7189655795138511E-2</v>
      </c>
      <c r="F68" s="13">
        <f t="shared" si="42"/>
        <v>2.5034624075106204E-2</v>
      </c>
      <c r="G68" s="13">
        <f t="shared" si="42"/>
        <v>2.4380556544307846E-2</v>
      </c>
      <c r="H68" s="13">
        <f t="shared" si="42"/>
        <v>2.4580361458971398E-2</v>
      </c>
      <c r="I68" s="13">
        <f t="shared" si="42"/>
        <v>2.3895378469324362E-2</v>
      </c>
      <c r="J68" s="13">
        <f t="shared" si="42"/>
        <v>2.4831243972999035E-2</v>
      </c>
      <c r="K68" s="13">
        <f t="shared" si="42"/>
        <v>2.478389651211993E-2</v>
      </c>
      <c r="L68" s="13">
        <f t="shared" si="42"/>
        <v>2.3952809390454625E-2</v>
      </c>
      <c r="M68" s="13">
        <f t="shared" si="42"/>
        <v>2.3763225621961682E-2</v>
      </c>
      <c r="N68" s="13">
        <f t="shared" si="42"/>
        <v>2.4122867269280434E-2</v>
      </c>
      <c r="O68" s="13">
        <f t="shared" si="42"/>
        <v>2.4287222808870117E-2</v>
      </c>
      <c r="P68" s="13">
        <f t="shared" si="42"/>
        <v>2.4516975230792513E-2</v>
      </c>
      <c r="Q68" s="13">
        <f t="shared" si="42"/>
        <v>2.1257307199349776E-2</v>
      </c>
      <c r="R68" s="13">
        <f t="shared" si="42"/>
        <v>2.441819598734777E-2</v>
      </c>
      <c r="S68" s="13">
        <f t="shared" si="42"/>
        <v>2.3992631476475391E-2</v>
      </c>
      <c r="T68" s="13">
        <f t="shared" si="42"/>
        <v>2.4132994419610251E-2</v>
      </c>
      <c r="U68" s="13">
        <f t="shared" si="42"/>
        <v>2.3133014835302994E-2</v>
      </c>
      <c r="V68" s="13">
        <f t="shared" si="42"/>
        <v>2.3739591312028185E-2</v>
      </c>
      <c r="W68" s="13">
        <f t="shared" si="42"/>
        <v>2.416023285871774E-2</v>
      </c>
      <c r="X68" s="13">
        <f t="shared" si="42"/>
        <v>2.387697288547147E-2</v>
      </c>
      <c r="Y68" s="53">
        <f t="shared" si="0"/>
        <v>-1.0608776088339029E-2</v>
      </c>
      <c r="Z68" s="53">
        <f t="shared" si="1"/>
        <v>-1.1724223640669943E-2</v>
      </c>
      <c r="AA68" s="13">
        <f>AA12/(AA40+AA41)</f>
        <v>2.3623403405150439E-2</v>
      </c>
      <c r="AB68" s="52">
        <f t="shared" si="2"/>
        <v>2.1198645024818347E-2</v>
      </c>
      <c r="AC68" s="52">
        <f t="shared" si="3"/>
        <v>-1.0619833658868967E-2</v>
      </c>
      <c r="AD68" s="13">
        <f>AD12/(AD40+AD41)</f>
        <v>2.4092493479353279E-2</v>
      </c>
      <c r="AE68" s="52">
        <f t="shared" si="32"/>
        <v>1.4865553609858809E-2</v>
      </c>
      <c r="AF68" s="26" t="e">
        <f>AF12/(AF40+AF41)</f>
        <v>#DIV/0!</v>
      </c>
    </row>
    <row r="69" spans="1:32" x14ac:dyDescent="0.35">
      <c r="A69" s="41" t="s">
        <v>86</v>
      </c>
      <c r="B69" s="24">
        <f t="shared" ref="B69:X69" si="43">B39/B52</f>
        <v>0.94204764971023824</v>
      </c>
      <c r="C69" s="24">
        <f t="shared" si="43"/>
        <v>0.83940042826552452</v>
      </c>
      <c r="D69" s="24">
        <f t="shared" si="43"/>
        <v>0.77106100279154322</v>
      </c>
      <c r="E69" s="24">
        <f t="shared" si="43"/>
        <v>0.77090010617502025</v>
      </c>
      <c r="F69" s="24">
        <f t="shared" si="43"/>
        <v>0.84115694642010441</v>
      </c>
      <c r="G69" s="24">
        <f t="shared" si="43"/>
        <v>0.83883611847864437</v>
      </c>
      <c r="H69" s="24">
        <f t="shared" si="43"/>
        <v>1.6793882861334486</v>
      </c>
      <c r="I69" s="24">
        <f t="shared" si="43"/>
        <v>0.93000772480766802</v>
      </c>
      <c r="J69" s="24">
        <f t="shared" si="43"/>
        <v>0.86692015209125473</v>
      </c>
      <c r="K69" s="24">
        <f t="shared" si="43"/>
        <v>2.0957446808510638</v>
      </c>
      <c r="L69" s="24">
        <f t="shared" si="43"/>
        <v>3.4025862068965518</v>
      </c>
      <c r="M69" s="24">
        <f t="shared" si="43"/>
        <v>3.3944954128440368</v>
      </c>
      <c r="N69" s="24">
        <f t="shared" si="43"/>
        <v>1.698961937716263</v>
      </c>
      <c r="O69" s="24">
        <f t="shared" si="43"/>
        <v>1.5971428571428572</v>
      </c>
      <c r="P69" s="24">
        <f t="shared" si="43"/>
        <v>2.3496459119169995</v>
      </c>
      <c r="Q69" s="24">
        <f t="shared" si="43"/>
        <v>1.3770381526104418</v>
      </c>
      <c r="R69" s="24">
        <f t="shared" si="43"/>
        <v>1.361578692919615</v>
      </c>
      <c r="S69" s="24">
        <f t="shared" si="43"/>
        <v>1.3259516116321224</v>
      </c>
      <c r="T69" s="24">
        <f t="shared" si="43"/>
        <v>1.268495575221239</v>
      </c>
      <c r="U69" s="24">
        <f t="shared" si="43"/>
        <v>1.3086594652027623</v>
      </c>
      <c r="V69" s="24">
        <f t="shared" si="43"/>
        <v>1.3142857142857143</v>
      </c>
      <c r="W69" s="24">
        <f t="shared" si="43"/>
        <v>1.1783268978413932</v>
      </c>
      <c r="X69" s="24">
        <f t="shared" si="43"/>
        <v>1.2061513198252187</v>
      </c>
      <c r="Y69" s="24">
        <f t="shared" ref="Y69:AF69" si="44">Y39/Y52</f>
        <v>0.85262081596849237</v>
      </c>
      <c r="Z69" s="24">
        <f t="shared" si="44"/>
        <v>1.1898234275098869</v>
      </c>
      <c r="AA69" s="24">
        <f t="shared" si="44"/>
        <v>1.0103669115599632</v>
      </c>
      <c r="AB69" s="52">
        <f t="shared" si="2"/>
        <v>-0.22793748990810381</v>
      </c>
      <c r="AC69" s="52">
        <f t="shared" si="3"/>
        <v>-0.16232159684045808</v>
      </c>
      <c r="AD69" s="24">
        <f t="shared" si="44"/>
        <v>1.4286825473991249</v>
      </c>
      <c r="AE69" s="52">
        <f t="shared" si="32"/>
        <v>8.7041068673247235E-2</v>
      </c>
      <c r="AF69" s="24" t="e">
        <f t="shared" si="44"/>
        <v>#DIV/0!</v>
      </c>
    </row>
    <row r="70" spans="1:32" x14ac:dyDescent="0.35">
      <c r="A70" s="19"/>
      <c r="B70" s="24"/>
      <c r="C70" s="24"/>
      <c r="D70" s="24"/>
      <c r="E70" s="24"/>
      <c r="F70" s="24"/>
      <c r="G70" s="24"/>
      <c r="H70" s="24"/>
      <c r="I70" s="24"/>
      <c r="J70" s="24"/>
      <c r="K70" s="24"/>
      <c r="L70" s="24"/>
      <c r="M70" s="24"/>
      <c r="N70" s="24"/>
      <c r="O70" s="24"/>
      <c r="P70" s="24"/>
      <c r="Q70" s="24"/>
      <c r="R70" s="24"/>
      <c r="S70" s="24"/>
      <c r="T70" s="24"/>
      <c r="U70" s="24"/>
      <c r="V70" s="24"/>
    </row>
    <row r="71" spans="1:32" x14ac:dyDescent="0.35">
      <c r="A71" s="19"/>
      <c r="B71" s="24"/>
      <c r="C71" s="24"/>
      <c r="D71" s="24"/>
      <c r="E71" s="24"/>
      <c r="F71" s="24"/>
      <c r="G71" s="24"/>
      <c r="H71" s="24"/>
      <c r="I71" s="24"/>
      <c r="J71" s="24"/>
      <c r="K71" s="24"/>
      <c r="L71" s="24"/>
      <c r="M71" s="24"/>
      <c r="N71" s="24"/>
      <c r="O71" s="24"/>
      <c r="P71" s="24"/>
      <c r="Q71" s="24"/>
      <c r="R71" s="24"/>
      <c r="S71" s="24"/>
      <c r="T71" s="24"/>
      <c r="U71" s="24"/>
      <c r="V71" s="24"/>
      <c r="AA71" s="51"/>
      <c r="AB71" s="51"/>
    </row>
    <row r="72" spans="1:32" x14ac:dyDescent="0.35">
      <c r="A72" s="19"/>
      <c r="B72" s="24"/>
      <c r="C72" s="24"/>
      <c r="D72" s="24"/>
      <c r="E72" s="24"/>
      <c r="F72" s="24"/>
      <c r="G72" s="24"/>
      <c r="H72" s="24"/>
      <c r="I72" s="24"/>
      <c r="J72" s="24"/>
      <c r="K72" s="24"/>
      <c r="L72" s="24"/>
      <c r="M72" s="24"/>
      <c r="N72" s="24"/>
      <c r="O72" s="24"/>
      <c r="P72" s="24"/>
      <c r="Q72" s="24"/>
      <c r="R72" s="24"/>
      <c r="S72" s="24"/>
      <c r="T72" s="24"/>
      <c r="U72" s="24"/>
      <c r="V72" s="24"/>
      <c r="X72" s="54"/>
      <c r="AA72" s="26"/>
      <c r="AB72" s="13"/>
    </row>
    <row r="73" spans="1:32" x14ac:dyDescent="0.35">
      <c r="A73" s="19"/>
      <c r="B73" s="24"/>
      <c r="C73" s="24"/>
      <c r="D73" s="24"/>
      <c r="E73" s="24"/>
      <c r="F73" s="24"/>
      <c r="G73" s="24"/>
      <c r="H73" s="24"/>
      <c r="I73" s="24"/>
      <c r="J73" s="24"/>
      <c r="K73" s="24"/>
      <c r="L73" s="24"/>
      <c r="M73" s="24"/>
      <c r="N73" s="24"/>
      <c r="O73" s="24"/>
      <c r="P73" s="24"/>
      <c r="Q73" s="24"/>
      <c r="R73" s="24"/>
      <c r="S73" s="24"/>
      <c r="T73" s="24"/>
      <c r="U73" s="24"/>
      <c r="V73" s="24"/>
      <c r="X73" s="54"/>
      <c r="AA73" s="26"/>
      <c r="AB73" s="13"/>
    </row>
    <row r="74" spans="1:32" x14ac:dyDescent="0.35">
      <c r="B74" s="14"/>
      <c r="E74" s="12"/>
    </row>
    <row r="75" spans="1:32" x14ac:dyDescent="0.35">
      <c r="E75" s="13"/>
      <c r="I75" s="13"/>
      <c r="M75" s="13"/>
      <c r="Q75" s="13"/>
      <c r="U75" s="13"/>
    </row>
    <row r="96" spans="3:3" x14ac:dyDescent="0.35">
      <c r="C96" s="14"/>
    </row>
    <row r="97" spans="4:4" x14ac:dyDescent="0.35">
      <c r="D97" s="13"/>
    </row>
    <row r="98" spans="4:4" x14ac:dyDescent="0.35">
      <c r="D98" s="13"/>
    </row>
    <row r="99" spans="4:4" x14ac:dyDescent="0.35">
      <c r="D99" s="13"/>
    </row>
    <row r="100" spans="4:4" x14ac:dyDescent="0.35">
      <c r="D100" s="13"/>
    </row>
    <row r="101" spans="4:4" x14ac:dyDescent="0.35">
      <c r="D101" s="13"/>
    </row>
    <row r="102" spans="4:4" x14ac:dyDescent="0.35">
      <c r="D102" s="13"/>
    </row>
    <row r="103" spans="4:4" x14ac:dyDescent="0.35">
      <c r="D103" s="13"/>
    </row>
    <row r="104" spans="4:4" x14ac:dyDescent="0.35">
      <c r="D104" s="13"/>
    </row>
    <row r="105" spans="4:4" x14ac:dyDescent="0.35">
      <c r="D105" s="13"/>
    </row>
    <row r="106" spans="4:4" x14ac:dyDescent="0.35">
      <c r="D106" s="13"/>
    </row>
    <row r="107" spans="4:4" x14ac:dyDescent="0.35">
      <c r="D107" s="13"/>
    </row>
    <row r="108" spans="4:4" x14ac:dyDescent="0.35">
      <c r="D108" s="13"/>
    </row>
    <row r="109" spans="4:4" x14ac:dyDescent="0.35">
      <c r="D109" s="13"/>
    </row>
    <row r="110" spans="4:4" x14ac:dyDescent="0.35">
      <c r="D110" s="13"/>
    </row>
    <row r="111" spans="4:4" x14ac:dyDescent="0.35">
      <c r="D111" s="13"/>
    </row>
    <row r="112" spans="4:4" x14ac:dyDescent="0.35">
      <c r="D112" s="13"/>
    </row>
    <row r="113" spans="4:4" x14ac:dyDescent="0.35">
      <c r="D113" s="13"/>
    </row>
    <row r="114" spans="4:4" x14ac:dyDescent="0.35">
      <c r="D114" s="13"/>
    </row>
    <row r="115" spans="4:4" x14ac:dyDescent="0.35">
      <c r="D115" s="13"/>
    </row>
    <row r="116" spans="4:4" x14ac:dyDescent="0.35">
      <c r="D116" s="1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2AF3359-AA7B-4C3F-BB32-4122371AAA35}">
  <ds:schemaRefs>
    <ds:schemaRef ds:uri="http://schemas.openxmlformats.org/package/2006/metadata/core-properties"/>
    <ds:schemaRef ds:uri="http://schemas.microsoft.com/office/2006/metadata/properties"/>
    <ds:schemaRef ds:uri="36567613-e428-4167-ab55-a4f66cede826"/>
    <ds:schemaRef ds:uri="http://schemas.microsoft.com/office/infopath/2007/PartnerControls"/>
    <ds:schemaRef ds:uri="http://schemas.microsoft.com/office/2006/documentManagement/types"/>
    <ds:schemaRef ds:uri="http://purl.org/dc/dcmitype/"/>
    <ds:schemaRef ds:uri="http://purl.org/dc/terms/"/>
    <ds:schemaRef ds:uri="http://www.w3.org/XML/1998/namespace"/>
    <ds:schemaRef ds:uri="http://purl.org/dc/elements/1.1/"/>
  </ds:schemaRefs>
</ds:datastoreItem>
</file>

<file path=customXml/itemProps2.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3.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Gonzalez Herrera, Abraham</cp:lastModifiedBy>
  <dcterms:created xsi:type="dcterms:W3CDTF">2023-02-21T16:55:27Z</dcterms:created>
  <dcterms:modified xsi:type="dcterms:W3CDTF">2024-05-13T17:52:30Z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