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542" documentId="8_{D33444CC-5682-48A7-95BC-D0F1F398E436}" xr6:coauthVersionLast="47" xr6:coauthVersionMax="47" xr10:uidLastSave="{87EE1448-49D4-4D2C-990C-F5DA9BC69762}"/>
  <bookViews>
    <workbookView xWindow="3510" yWindow="3510" windowWidth="20910" windowHeight="1183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 l="1"/>
  <c r="G7" i="1"/>
  <c r="G8" i="1"/>
  <c r="G9" i="1"/>
  <c r="G12" i="1"/>
  <c r="G13" i="1"/>
  <c r="G14" i="1"/>
  <c r="G17" i="1"/>
  <c r="G18" i="1"/>
  <c r="G19" i="1"/>
  <c r="G20" i="1"/>
  <c r="G21" i="1"/>
  <c r="G23" i="1"/>
  <c r="G24" i="1"/>
  <c r="G25" i="1"/>
  <c r="G26" i="1"/>
  <c r="G27" i="1"/>
  <c r="G28" i="1"/>
  <c r="G29" i="1"/>
  <c r="G30" i="1"/>
  <c r="G34" i="1"/>
  <c r="G35" i="1"/>
  <c r="G36" i="1"/>
  <c r="G37" i="1"/>
  <c r="G38" i="1"/>
  <c r="G39" i="1"/>
  <c r="G40" i="1"/>
  <c r="G41" i="1"/>
  <c r="G42" i="1"/>
  <c r="G43" i="1"/>
  <c r="G44" i="1"/>
  <c r="G45" i="1"/>
  <c r="G46" i="1"/>
  <c r="G50" i="1"/>
  <c r="G51" i="1"/>
  <c r="G52" i="1"/>
  <c r="G53" i="1"/>
  <c r="G54" i="1"/>
  <c r="G55" i="1"/>
  <c r="G56" i="1"/>
  <c r="G57" i="1"/>
  <c r="G58" i="1"/>
  <c r="G60" i="1"/>
  <c r="G61" i="1"/>
  <c r="G62" i="1"/>
  <c r="G64" i="1"/>
  <c r="G65" i="1"/>
  <c r="G66" i="1"/>
  <c r="G67" i="1"/>
  <c r="G68" i="1"/>
  <c r="G69" i="1"/>
  <c r="G70" i="1"/>
  <c r="G5" i="1"/>
  <c r="I6" i="1"/>
  <c r="I12" i="1"/>
  <c r="I13" i="1"/>
  <c r="I17" i="1"/>
  <c r="I18" i="1"/>
  <c r="I20" i="1"/>
  <c r="I23" i="1"/>
  <c r="I24" i="1"/>
  <c r="I25" i="1"/>
  <c r="I26" i="1"/>
  <c r="I28" i="1"/>
  <c r="I30" i="1"/>
  <c r="I34" i="1"/>
  <c r="I35" i="1"/>
  <c r="I36" i="1"/>
  <c r="I37" i="1"/>
  <c r="I38" i="1"/>
  <c r="I40" i="1"/>
  <c r="I41" i="1"/>
  <c r="I42" i="1"/>
  <c r="I43" i="1"/>
  <c r="I44" i="1"/>
  <c r="I45" i="1"/>
  <c r="I50" i="1"/>
  <c r="I51" i="1"/>
  <c r="I52" i="1"/>
  <c r="I54" i="1"/>
  <c r="I55" i="1"/>
  <c r="I56" i="1"/>
  <c r="I57" i="1"/>
  <c r="I60" i="1"/>
  <c r="I61" i="1"/>
  <c r="I62" i="1"/>
  <c r="I5" i="1"/>
  <c r="K6" i="1"/>
  <c r="K12" i="1"/>
  <c r="K13" i="1"/>
  <c r="K17" i="1"/>
  <c r="K18" i="1"/>
  <c r="K19" i="1"/>
  <c r="K20" i="1"/>
  <c r="K23" i="1"/>
  <c r="K24" i="1"/>
  <c r="K25" i="1"/>
  <c r="K26" i="1"/>
  <c r="K28" i="1"/>
  <c r="K30" i="1"/>
  <c r="K34" i="1"/>
  <c r="K35" i="1"/>
  <c r="K36" i="1"/>
  <c r="K37" i="1"/>
  <c r="K38" i="1"/>
  <c r="K40" i="1"/>
  <c r="K41" i="1"/>
  <c r="K42" i="1"/>
  <c r="K43" i="1"/>
  <c r="K44" i="1"/>
  <c r="K45" i="1"/>
  <c r="K50" i="1"/>
  <c r="K51" i="1"/>
  <c r="K52" i="1"/>
  <c r="K54" i="1"/>
  <c r="K55" i="1"/>
  <c r="K56" i="1"/>
  <c r="K57" i="1"/>
  <c r="K60" i="1"/>
  <c r="K61" i="1"/>
  <c r="K62" i="1"/>
  <c r="K5" i="1"/>
  <c r="M6" i="1"/>
  <c r="M34" i="1"/>
  <c r="M35" i="1"/>
  <c r="M36" i="1"/>
  <c r="M37" i="1"/>
  <c r="M38" i="1"/>
  <c r="M40" i="1"/>
  <c r="M41" i="1"/>
  <c r="M42" i="1"/>
  <c r="M43" i="1"/>
  <c r="M44" i="1"/>
  <c r="M45" i="1"/>
  <c r="M50" i="1"/>
  <c r="M51" i="1"/>
  <c r="M52" i="1"/>
  <c r="M54" i="1"/>
  <c r="M55" i="1"/>
  <c r="M56" i="1"/>
  <c r="M57" i="1"/>
  <c r="M60" i="1"/>
  <c r="M61" i="1"/>
  <c r="M62" i="1"/>
  <c r="M5" i="1"/>
  <c r="O6" i="1"/>
  <c r="O12" i="1"/>
  <c r="O13" i="1"/>
  <c r="O17" i="1"/>
  <c r="O18" i="1"/>
  <c r="O19" i="1"/>
  <c r="O20" i="1"/>
  <c r="O23" i="1"/>
  <c r="O24" i="1"/>
  <c r="O25" i="1"/>
  <c r="O26" i="1"/>
  <c r="O28" i="1"/>
  <c r="O30" i="1"/>
  <c r="O34" i="1"/>
  <c r="O35" i="1"/>
  <c r="O36" i="1"/>
  <c r="O37" i="1"/>
  <c r="O38" i="1"/>
  <c r="O40" i="1"/>
  <c r="O41" i="1"/>
  <c r="O42" i="1"/>
  <c r="O43" i="1"/>
  <c r="O44" i="1"/>
  <c r="O45" i="1"/>
  <c r="O50" i="1"/>
  <c r="O51" i="1"/>
  <c r="O52" i="1"/>
  <c r="O54" i="1"/>
  <c r="O55" i="1"/>
  <c r="O56" i="1"/>
  <c r="O57" i="1"/>
  <c r="O60" i="1"/>
  <c r="O61" i="1"/>
  <c r="O62" i="1"/>
  <c r="O5" i="1"/>
  <c r="Q6" i="1"/>
  <c r="Q12" i="1"/>
  <c r="Q13" i="1"/>
  <c r="Q17" i="1"/>
  <c r="Q18" i="1"/>
  <c r="Q19" i="1"/>
  <c r="Q20" i="1"/>
  <c r="Q23" i="1"/>
  <c r="Q24" i="1"/>
  <c r="Q25" i="1"/>
  <c r="Q26" i="1"/>
  <c r="Q28" i="1"/>
  <c r="Q30" i="1"/>
  <c r="Q34" i="1"/>
  <c r="Q35" i="1"/>
  <c r="Q36" i="1"/>
  <c r="Q37" i="1"/>
  <c r="Q38" i="1"/>
  <c r="Q40" i="1"/>
  <c r="Q41" i="1"/>
  <c r="Q42" i="1"/>
  <c r="Q43" i="1"/>
  <c r="Q44" i="1"/>
  <c r="Q45" i="1"/>
  <c r="Q50" i="1"/>
  <c r="Q51" i="1"/>
  <c r="Q52" i="1"/>
  <c r="Q54" i="1"/>
  <c r="Q55" i="1"/>
  <c r="Q56" i="1"/>
  <c r="Q57" i="1"/>
  <c r="Q60" i="1"/>
  <c r="Q61" i="1"/>
  <c r="Q62" i="1"/>
  <c r="Q5" i="1"/>
  <c r="S6" i="1"/>
  <c r="S12" i="1"/>
  <c r="S13" i="1"/>
  <c r="S17" i="1"/>
  <c r="S18" i="1"/>
  <c r="S19" i="1"/>
  <c r="S20" i="1"/>
  <c r="S23" i="1"/>
  <c r="S24" i="1"/>
  <c r="S25" i="1"/>
  <c r="S26" i="1"/>
  <c r="S28" i="1"/>
  <c r="S30" i="1"/>
  <c r="S34" i="1"/>
  <c r="S35" i="1"/>
  <c r="S36" i="1"/>
  <c r="S37" i="1"/>
  <c r="S38" i="1"/>
  <c r="S40" i="1"/>
  <c r="S41" i="1"/>
  <c r="S42" i="1"/>
  <c r="S43" i="1"/>
  <c r="S44" i="1"/>
  <c r="S45" i="1"/>
  <c r="S50" i="1"/>
  <c r="S51" i="1"/>
  <c r="S52" i="1"/>
  <c r="S54" i="1"/>
  <c r="S55" i="1"/>
  <c r="S56" i="1"/>
  <c r="S57" i="1"/>
  <c r="S60" i="1"/>
  <c r="S61" i="1"/>
  <c r="S62" i="1"/>
  <c r="S5" i="1"/>
  <c r="U6" i="1"/>
  <c r="U34" i="1"/>
  <c r="U35" i="1"/>
  <c r="U36" i="1"/>
  <c r="U37" i="1"/>
  <c r="U38" i="1"/>
  <c r="U40" i="1"/>
  <c r="U41" i="1"/>
  <c r="U42" i="1"/>
  <c r="U43" i="1"/>
  <c r="U44" i="1"/>
  <c r="U45" i="1"/>
  <c r="U50" i="1"/>
  <c r="U51" i="1"/>
  <c r="U52" i="1"/>
  <c r="U54" i="1"/>
  <c r="U55" i="1"/>
  <c r="U56" i="1"/>
  <c r="U57" i="1"/>
  <c r="U60" i="1"/>
  <c r="U61" i="1"/>
  <c r="U62" i="1"/>
  <c r="U5" i="1"/>
  <c r="W6" i="1" l="1"/>
  <c r="W12" i="1"/>
  <c r="W13" i="1"/>
  <c r="W17" i="1"/>
  <c r="W18" i="1"/>
  <c r="W19" i="1"/>
  <c r="W20" i="1"/>
  <c r="W23" i="1"/>
  <c r="W24" i="1"/>
  <c r="W25" i="1"/>
  <c r="W26" i="1"/>
  <c r="W28" i="1"/>
  <c r="W30" i="1"/>
  <c r="W34" i="1"/>
  <c r="W35" i="1"/>
  <c r="W36" i="1"/>
  <c r="W37" i="1"/>
  <c r="W38" i="1"/>
  <c r="W40" i="1"/>
  <c r="W41" i="1"/>
  <c r="W42" i="1"/>
  <c r="W43" i="1"/>
  <c r="W44" i="1"/>
  <c r="W45" i="1"/>
  <c r="W50" i="1"/>
  <c r="W51" i="1"/>
  <c r="W52" i="1"/>
  <c r="W54" i="1"/>
  <c r="W55" i="1"/>
  <c r="W56" i="1"/>
  <c r="W57" i="1"/>
  <c r="W60" i="1"/>
  <c r="W61" i="1"/>
  <c r="W62" i="1"/>
  <c r="W5" i="1"/>
  <c r="Y6" i="1"/>
  <c r="Y12" i="1"/>
  <c r="Y13" i="1"/>
  <c r="Y17" i="1"/>
  <c r="Y18" i="1"/>
  <c r="Y19" i="1"/>
  <c r="Y20" i="1"/>
  <c r="Y23" i="1"/>
  <c r="Y24" i="1"/>
  <c r="Y25" i="1"/>
  <c r="Y26" i="1"/>
  <c r="Y28" i="1"/>
  <c r="Y30" i="1"/>
  <c r="Y34" i="1"/>
  <c r="Y35" i="1"/>
  <c r="Y36" i="1"/>
  <c r="Y37" i="1"/>
  <c r="Y38" i="1"/>
  <c r="Y40" i="1"/>
  <c r="Y41" i="1"/>
  <c r="Y42" i="1"/>
  <c r="Y43" i="1"/>
  <c r="Y44" i="1"/>
  <c r="Y45" i="1"/>
  <c r="Y50" i="1"/>
  <c r="Y51" i="1"/>
  <c r="Y52" i="1"/>
  <c r="Y54" i="1"/>
  <c r="Y55" i="1"/>
  <c r="Y56" i="1"/>
  <c r="Y57" i="1"/>
  <c r="Y60" i="1"/>
  <c r="Y61" i="1"/>
  <c r="Y62" i="1"/>
  <c r="Y5" i="1"/>
  <c r="N53" i="1"/>
  <c r="N39" i="1"/>
  <c r="P53" i="1"/>
  <c r="P39" i="1"/>
  <c r="B70" i="1"/>
  <c r="C70" i="1"/>
  <c r="D70" i="1"/>
  <c r="F70" i="1"/>
  <c r="H70" i="1"/>
  <c r="I70" i="1" s="1"/>
  <c r="J70" i="1"/>
  <c r="K70" i="1" s="1"/>
  <c r="N70" i="1"/>
  <c r="P70" i="1"/>
  <c r="R70" i="1"/>
  <c r="V70" i="1"/>
  <c r="W70" i="1" s="1"/>
  <c r="X70" i="1"/>
  <c r="B69" i="1"/>
  <c r="C69" i="1"/>
  <c r="D69" i="1"/>
  <c r="F69" i="1"/>
  <c r="H69" i="1"/>
  <c r="I69" i="1" s="1"/>
  <c r="J69" i="1"/>
  <c r="N69" i="1"/>
  <c r="O69" i="1" s="1"/>
  <c r="P69" i="1"/>
  <c r="Q69" i="1" s="1"/>
  <c r="R69" i="1"/>
  <c r="S69" i="1" s="1"/>
  <c r="V69" i="1"/>
  <c r="W69" i="1" s="1"/>
  <c r="X69" i="1"/>
  <c r="C19" i="1"/>
  <c r="I19" i="1" s="1"/>
  <c r="E8" i="1"/>
  <c r="E30" i="1"/>
  <c r="E28" i="1"/>
  <c r="E26" i="1"/>
  <c r="E25" i="1"/>
  <c r="E24" i="1"/>
  <c r="E23" i="1"/>
  <c r="E20" i="1"/>
  <c r="E18" i="1"/>
  <c r="E17" i="1"/>
  <c r="E13" i="1"/>
  <c r="E12" i="1"/>
  <c r="L30" i="1"/>
  <c r="M30" i="1" s="1"/>
  <c r="L28" i="1"/>
  <c r="M28" i="1" s="1"/>
  <c r="L26" i="1"/>
  <c r="M26" i="1" s="1"/>
  <c r="L25" i="1"/>
  <c r="L24" i="1"/>
  <c r="L23" i="1"/>
  <c r="L20" i="1"/>
  <c r="L19" i="1"/>
  <c r="L18" i="1"/>
  <c r="L17" i="1"/>
  <c r="L13" i="1"/>
  <c r="L12" i="1"/>
  <c r="T30" i="1"/>
  <c r="T28" i="1"/>
  <c r="T26" i="1"/>
  <c r="T25" i="1"/>
  <c r="U25" i="1" s="1"/>
  <c r="T24" i="1"/>
  <c r="U24" i="1" s="1"/>
  <c r="T23" i="1"/>
  <c r="U23" i="1" s="1"/>
  <c r="T20" i="1"/>
  <c r="U20" i="1" s="1"/>
  <c r="T19" i="1"/>
  <c r="T18" i="1"/>
  <c r="T17" i="1"/>
  <c r="T13" i="1"/>
  <c r="T12" i="1"/>
  <c r="V8" i="1"/>
  <c r="T8" i="1"/>
  <c r="R8" i="1"/>
  <c r="P8" i="1"/>
  <c r="N8" i="1"/>
  <c r="L8" i="1"/>
  <c r="M8" i="1" s="1"/>
  <c r="J8" i="1"/>
  <c r="H8" i="1"/>
  <c r="F8" i="1"/>
  <c r="D8" i="1"/>
  <c r="C8" i="1"/>
  <c r="B8" i="1"/>
  <c r="V7" i="1"/>
  <c r="T7" i="1"/>
  <c r="R7" i="1"/>
  <c r="P7" i="1"/>
  <c r="N7" i="1"/>
  <c r="L7" i="1"/>
  <c r="J7" i="1"/>
  <c r="H7" i="1"/>
  <c r="F7" i="1"/>
  <c r="E7" i="1"/>
  <c r="D7" i="1"/>
  <c r="C7" i="1"/>
  <c r="B7" i="1"/>
  <c r="B9" i="1"/>
  <c r="C9" i="1"/>
  <c r="D9" i="1"/>
  <c r="E9" i="1"/>
  <c r="F9" i="1"/>
  <c r="H9" i="1"/>
  <c r="J9" i="1"/>
  <c r="K9" i="1" s="1"/>
  <c r="L9" i="1"/>
  <c r="M9" i="1" s="1"/>
  <c r="N9" i="1"/>
  <c r="O9" i="1" s="1"/>
  <c r="P9" i="1"/>
  <c r="R9" i="1"/>
  <c r="S9" i="1" s="1"/>
  <c r="T9" i="1"/>
  <c r="V9" i="1"/>
  <c r="W9" i="1" s="1"/>
  <c r="X9" i="1"/>
  <c r="X8" i="1"/>
  <c r="B53" i="1"/>
  <c r="B58" i="1" s="1"/>
  <c r="C53" i="1"/>
  <c r="C58" i="1" s="1"/>
  <c r="D53" i="1"/>
  <c r="D58" i="1" s="1"/>
  <c r="E53" i="1"/>
  <c r="E58" i="1" s="1"/>
  <c r="F53" i="1"/>
  <c r="H53" i="1"/>
  <c r="J53" i="1"/>
  <c r="L53" i="1"/>
  <c r="M53" i="1" s="1"/>
  <c r="R53" i="1"/>
  <c r="T53" i="1"/>
  <c r="V53" i="1"/>
  <c r="V58" i="1" s="1"/>
  <c r="B39" i="1"/>
  <c r="B46" i="1" s="1"/>
  <c r="C39" i="1"/>
  <c r="C46" i="1" s="1"/>
  <c r="D39" i="1"/>
  <c r="D46" i="1" s="1"/>
  <c r="E39" i="1"/>
  <c r="E46" i="1" s="1"/>
  <c r="F39" i="1"/>
  <c r="H39" i="1"/>
  <c r="I39" i="1" s="1"/>
  <c r="J39" i="1"/>
  <c r="K39" i="1" s="1"/>
  <c r="L39" i="1"/>
  <c r="M39" i="1" s="1"/>
  <c r="R39" i="1"/>
  <c r="T39" i="1"/>
  <c r="V39" i="1"/>
  <c r="V46" i="1" s="1"/>
  <c r="X53" i="1"/>
  <c r="X58" i="1" s="1"/>
  <c r="X39" i="1"/>
  <c r="X46" i="1" s="1"/>
  <c r="X7" i="1"/>
  <c r="B21" i="1"/>
  <c r="D21" i="1"/>
  <c r="F21" i="1"/>
  <c r="H21" i="1"/>
  <c r="J21" i="1"/>
  <c r="K21" i="1" s="1"/>
  <c r="N21" i="1"/>
  <c r="P21" i="1"/>
  <c r="Q21" i="1" s="1"/>
  <c r="R21" i="1"/>
  <c r="S21" i="1" s="1"/>
  <c r="V21" i="1"/>
  <c r="W21" i="1" s="1"/>
  <c r="B14" i="1"/>
  <c r="C14" i="1"/>
  <c r="D14" i="1"/>
  <c r="F14" i="1"/>
  <c r="H14" i="1"/>
  <c r="I14" i="1" s="1"/>
  <c r="J14" i="1"/>
  <c r="K14" i="1" s="1"/>
  <c r="N14" i="1"/>
  <c r="P14" i="1"/>
  <c r="R14" i="1"/>
  <c r="V14" i="1"/>
  <c r="X21" i="1"/>
  <c r="X14" i="1"/>
  <c r="A4" i="1" a="1"/>
  <c r="A4" i="1" s="1"/>
  <c r="T1" i="1"/>
  <c r="R1" i="1" s="1"/>
  <c r="P1" i="1" s="1"/>
  <c r="N1" i="1" s="1"/>
  <c r="L1" i="1" s="1"/>
  <c r="J1" i="1" s="1"/>
  <c r="H1" i="1" s="1"/>
  <c r="F1" i="1" s="1"/>
  <c r="E1" i="1" s="1"/>
  <c r="C1" i="1" s="1"/>
  <c r="B1" i="1" s="1"/>
  <c r="O21" i="1" l="1"/>
  <c r="K69" i="1"/>
  <c r="I8" i="1"/>
  <c r="I7" i="1"/>
  <c r="S14" i="1"/>
  <c r="U53" i="1"/>
  <c r="O14" i="1"/>
  <c r="I9" i="1"/>
  <c r="M20" i="1"/>
  <c r="I53" i="1"/>
  <c r="F46" i="1"/>
  <c r="F58" i="1"/>
  <c r="K8" i="1"/>
  <c r="H46" i="1"/>
  <c r="I46" i="1" s="1"/>
  <c r="K7" i="1"/>
  <c r="K53" i="1"/>
  <c r="H58" i="1"/>
  <c r="I58" i="1" s="1"/>
  <c r="J46" i="1"/>
  <c r="K46" i="1" s="1"/>
  <c r="M12" i="1"/>
  <c r="M13" i="1"/>
  <c r="M7" i="1"/>
  <c r="M17" i="1"/>
  <c r="O7" i="1"/>
  <c r="M18" i="1"/>
  <c r="J58" i="1"/>
  <c r="K58" i="1" s="1"/>
  <c r="M23" i="1"/>
  <c r="M24" i="1"/>
  <c r="M25" i="1"/>
  <c r="C21" i="1"/>
  <c r="C27" i="1" s="1"/>
  <c r="C29" i="1" s="1"/>
  <c r="L46" i="1"/>
  <c r="M46" i="1" s="1"/>
  <c r="U9" i="1"/>
  <c r="O8" i="1"/>
  <c r="W14" i="1"/>
  <c r="O39" i="1"/>
  <c r="O53" i="1"/>
  <c r="L58" i="1"/>
  <c r="M58" i="1" s="1"/>
  <c r="O70" i="1"/>
  <c r="Q39" i="1"/>
  <c r="Q8" i="1"/>
  <c r="Q53" i="1"/>
  <c r="Q9" i="1"/>
  <c r="N46" i="1"/>
  <c r="O46" i="1" s="1"/>
  <c r="N58" i="1"/>
  <c r="O58" i="1" s="1"/>
  <c r="Q14" i="1"/>
  <c r="Q7" i="1"/>
  <c r="Q70" i="1"/>
  <c r="P46" i="1"/>
  <c r="Q46" i="1" s="1"/>
  <c r="P58" i="1"/>
  <c r="Q58" i="1" s="1"/>
  <c r="S8" i="1"/>
  <c r="S53" i="1"/>
  <c r="U12" i="1"/>
  <c r="S7" i="1"/>
  <c r="U13" i="1"/>
  <c r="S70" i="1"/>
  <c r="S39" i="1"/>
  <c r="U26" i="1"/>
  <c r="U28" i="1"/>
  <c r="U30" i="1"/>
  <c r="U8" i="1"/>
  <c r="R58" i="1"/>
  <c r="W8" i="1"/>
  <c r="U7" i="1"/>
  <c r="U17" i="1"/>
  <c r="U39" i="1"/>
  <c r="W7" i="1"/>
  <c r="U18" i="1"/>
  <c r="R46" i="1"/>
  <c r="S46" i="1" s="1"/>
  <c r="U19" i="1"/>
  <c r="W39" i="1"/>
  <c r="W53" i="1"/>
  <c r="T58" i="1"/>
  <c r="T46" i="1"/>
  <c r="Y8" i="1"/>
  <c r="Y14" i="1"/>
  <c r="Y7" i="1"/>
  <c r="Y69" i="1"/>
  <c r="Y9" i="1"/>
  <c r="Y53" i="1"/>
  <c r="Y21" i="1"/>
  <c r="Y70" i="1"/>
  <c r="Y39" i="1"/>
  <c r="E70" i="1"/>
  <c r="E69" i="1"/>
  <c r="L69" i="1"/>
  <c r="L70" i="1"/>
  <c r="M70" i="1" s="1"/>
  <c r="T70" i="1"/>
  <c r="U70" i="1" s="1"/>
  <c r="T69" i="1"/>
  <c r="V68" i="1"/>
  <c r="T68" i="1"/>
  <c r="X68" i="1"/>
  <c r="R68" i="1"/>
  <c r="P68" i="1"/>
  <c r="N68" i="1"/>
  <c r="L68" i="1"/>
  <c r="J68" i="1"/>
  <c r="E68" i="1"/>
  <c r="F68" i="1"/>
  <c r="D68" i="1"/>
  <c r="C68" i="1"/>
  <c r="H68" i="1"/>
  <c r="B68" i="1"/>
  <c r="E19" i="1"/>
  <c r="M19" i="1" s="1"/>
  <c r="H65" i="1"/>
  <c r="I65" i="1" s="1"/>
  <c r="J65" i="1"/>
  <c r="X65" i="1"/>
  <c r="X27" i="1"/>
  <c r="E65" i="1"/>
  <c r="B64" i="1"/>
  <c r="E14" i="1"/>
  <c r="D65" i="1"/>
  <c r="C65" i="1"/>
  <c r="F65" i="1"/>
  <c r="B65" i="1"/>
  <c r="H64" i="1"/>
  <c r="L21" i="1"/>
  <c r="L14" i="1"/>
  <c r="M14" i="1" s="1"/>
  <c r="L65" i="1"/>
  <c r="R65" i="1"/>
  <c r="R27" i="1"/>
  <c r="T21" i="1"/>
  <c r="T14" i="1"/>
  <c r="F64" i="1"/>
  <c r="T65" i="1"/>
  <c r="V65" i="1"/>
  <c r="H27" i="1"/>
  <c r="F27" i="1"/>
  <c r="P65" i="1"/>
  <c r="C64" i="1"/>
  <c r="X64" i="1"/>
  <c r="D64" i="1"/>
  <c r="J27" i="1"/>
  <c r="D27" i="1"/>
  <c r="D29" i="1" s="1"/>
  <c r="V64" i="1"/>
  <c r="N65" i="1"/>
  <c r="V27" i="1"/>
  <c r="E64" i="1"/>
  <c r="P27" i="1"/>
  <c r="N27" i="1"/>
  <c r="B27" i="1"/>
  <c r="B29" i="1" s="1"/>
  <c r="M65" i="1" l="1"/>
  <c r="I68" i="1"/>
  <c r="M69" i="1"/>
  <c r="N64" i="1"/>
  <c r="I64" i="1"/>
  <c r="I21" i="1"/>
  <c r="I27" i="1"/>
  <c r="W46" i="1"/>
  <c r="K27" i="1"/>
  <c r="K68" i="1"/>
  <c r="K65" i="1"/>
  <c r="U46" i="1"/>
  <c r="O65" i="1"/>
  <c r="U69" i="1"/>
  <c r="U58" i="1"/>
  <c r="M68" i="1"/>
  <c r="O27" i="1"/>
  <c r="S58" i="1"/>
  <c r="Q27" i="1"/>
  <c r="J64" i="1"/>
  <c r="K64" i="1" s="1"/>
  <c r="O68" i="1"/>
  <c r="Y46" i="1"/>
  <c r="L64" i="1"/>
  <c r="M64" i="1" s="1"/>
  <c r="O64" i="1"/>
  <c r="S65" i="1"/>
  <c r="Q65" i="1"/>
  <c r="W58" i="1"/>
  <c r="Q68" i="1"/>
  <c r="W65" i="1"/>
  <c r="P64" i="1"/>
  <c r="Q64" i="1" s="1"/>
  <c r="Y58" i="1"/>
  <c r="R64" i="1"/>
  <c r="S68" i="1"/>
  <c r="T64" i="1"/>
  <c r="U65" i="1"/>
  <c r="W27" i="1"/>
  <c r="U21" i="1"/>
  <c r="U14" i="1"/>
  <c r="S27" i="1"/>
  <c r="U68" i="1"/>
  <c r="W64" i="1"/>
  <c r="W68" i="1"/>
  <c r="Y27" i="1"/>
  <c r="Y65" i="1"/>
  <c r="Y68" i="1"/>
  <c r="F29" i="1"/>
  <c r="H29" i="1"/>
  <c r="I29" i="1" s="1"/>
  <c r="J29" i="1"/>
  <c r="K29" i="1" s="1"/>
  <c r="N29" i="1"/>
  <c r="P29" i="1"/>
  <c r="R29" i="1"/>
  <c r="E21" i="1"/>
  <c r="M21" i="1" s="1"/>
  <c r="X29" i="1"/>
  <c r="V29" i="1"/>
  <c r="B66" i="1"/>
  <c r="B67" i="1"/>
  <c r="D66" i="1"/>
  <c r="D67" i="1"/>
  <c r="C66" i="1"/>
  <c r="C67" i="1"/>
  <c r="T27" i="1"/>
  <c r="L27" i="1"/>
  <c r="S29" i="1" l="1"/>
  <c r="Q29" i="1"/>
  <c r="O29" i="1"/>
  <c r="U64" i="1"/>
  <c r="S64" i="1"/>
  <c r="Y64" i="1"/>
  <c r="U27" i="1"/>
  <c r="W29" i="1"/>
  <c r="Y29" i="1"/>
  <c r="H67" i="1"/>
  <c r="I67" i="1" s="1"/>
  <c r="F67" i="1"/>
  <c r="F66" i="1"/>
  <c r="H66" i="1"/>
  <c r="I66" i="1" s="1"/>
  <c r="J67" i="1"/>
  <c r="K67" i="1" s="1"/>
  <c r="J66" i="1"/>
  <c r="K66" i="1" s="1"/>
  <c r="N67" i="1"/>
  <c r="O67" i="1" s="1"/>
  <c r="N66" i="1"/>
  <c r="L29" i="1"/>
  <c r="P66" i="1"/>
  <c r="R67" i="1"/>
  <c r="P67" i="1"/>
  <c r="R66" i="1"/>
  <c r="E27" i="1"/>
  <c r="M27" i="1" s="1"/>
  <c r="X67" i="1"/>
  <c r="X66" i="1"/>
  <c r="V67" i="1"/>
  <c r="V66" i="1"/>
  <c r="T29" i="1"/>
  <c r="O66" i="1" l="1"/>
  <c r="S67" i="1"/>
  <c r="Q66" i="1"/>
  <c r="Q67" i="1"/>
  <c r="S66" i="1"/>
  <c r="U29" i="1"/>
  <c r="W66" i="1"/>
  <c r="W67" i="1"/>
  <c r="Y67" i="1"/>
  <c r="Y66" i="1"/>
  <c r="L67" i="1"/>
  <c r="L66" i="1"/>
  <c r="E29" i="1"/>
  <c r="M29" i="1" s="1"/>
  <c r="T66" i="1"/>
  <c r="U66" i="1" s="1"/>
  <c r="T67" i="1"/>
  <c r="U67" i="1" s="1"/>
  <c r="E67" i="1" l="1"/>
  <c r="M67" i="1" s="1"/>
  <c r="E66" i="1"/>
  <c r="M66"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6"/>
        </ext>
      </extLst>
    </bk>
  </futureMetadata>
  <cellMetadata count="1">
    <bk>
      <rc t="1" v="0"/>
    </bk>
  </cellMetadata>
  <valueMetadata count="1">
    <bk>
      <rc t="2" v="0"/>
    </bk>
  </valueMetadata>
</metadata>
</file>

<file path=xl/sharedStrings.xml><?xml version="1.0" encoding="utf-8"?>
<sst xmlns="http://schemas.openxmlformats.org/spreadsheetml/2006/main" count="95" uniqueCount="74">
  <si>
    <t>Quarter &amp; Year</t>
  </si>
  <si>
    <t>Reported Date</t>
  </si>
  <si>
    <t>Q120</t>
  </si>
  <si>
    <t>Q220</t>
  </si>
  <si>
    <t>Q320</t>
  </si>
  <si>
    <t>Q420</t>
  </si>
  <si>
    <t>Q121</t>
  </si>
  <si>
    <t>Q221</t>
  </si>
  <si>
    <t>Q321</t>
  </si>
  <si>
    <t>Q421</t>
  </si>
  <si>
    <t>Q122</t>
  </si>
  <si>
    <t>Q222</t>
  </si>
  <si>
    <t>Q322</t>
  </si>
  <si>
    <t>Q422</t>
  </si>
  <si>
    <t>Q123</t>
  </si>
  <si>
    <t>Q223</t>
  </si>
  <si>
    <t>Price</t>
  </si>
  <si>
    <t>Shares outstanding</t>
  </si>
  <si>
    <t>Market cap</t>
  </si>
  <si>
    <t>Cash</t>
  </si>
  <si>
    <t>Debt</t>
  </si>
  <si>
    <t>Revenues</t>
  </si>
  <si>
    <t>Services</t>
  </si>
  <si>
    <t>Products</t>
  </si>
  <si>
    <t>Total revenues</t>
  </si>
  <si>
    <t>Cost of services</t>
  </si>
  <si>
    <t>Cost of products</t>
  </si>
  <si>
    <t>Selling, general, administrative &amp; other</t>
  </si>
  <si>
    <t>Depreciation &amp; amortization</t>
  </si>
  <si>
    <t>Total costs &amp; expenses</t>
  </si>
  <si>
    <t>Costs &amp; expenses</t>
  </si>
  <si>
    <t>Restructuring &amp; impairment charges</t>
  </si>
  <si>
    <t>Other income (expense)</t>
  </si>
  <si>
    <t>Interest expense</t>
  </si>
  <si>
    <t>Equity in the income of investees</t>
  </si>
  <si>
    <t>Income before income taxes</t>
  </si>
  <si>
    <t>Income taxes</t>
  </si>
  <si>
    <t>Net income (loss)</t>
  </si>
  <si>
    <t>Assets</t>
  </si>
  <si>
    <t>Current assets</t>
  </si>
  <si>
    <t>Receivables, net</t>
  </si>
  <si>
    <t>Inventories</t>
  </si>
  <si>
    <t>Content advances</t>
  </si>
  <si>
    <t>Other</t>
  </si>
  <si>
    <t>Total current assets</t>
  </si>
  <si>
    <t>Produced &amp; licensed content costs</t>
  </si>
  <si>
    <t>Investments</t>
  </si>
  <si>
    <t>Parks, resorts &amp; other property</t>
  </si>
  <si>
    <t>Intangible assets, net</t>
  </si>
  <si>
    <t>Goodwill</t>
  </si>
  <si>
    <t>Total assets</t>
  </si>
  <si>
    <t>Liabilities</t>
  </si>
  <si>
    <t>Current liabilities</t>
  </si>
  <si>
    <t>Accounts payable &amp; other accrued liabilities</t>
  </si>
  <si>
    <t>Current portion of borrowings</t>
  </si>
  <si>
    <t>Deferred revenue &amp; other</t>
  </si>
  <si>
    <t>Borrowings</t>
  </si>
  <si>
    <t>Deferred income taxes</t>
  </si>
  <si>
    <t>Other long-term liabilities</t>
  </si>
  <si>
    <t>Redeemable noncontrolling interests</t>
  </si>
  <si>
    <t>Total liabilities</t>
  </si>
  <si>
    <t>Equity</t>
  </si>
  <si>
    <t>Enterprise value</t>
  </si>
  <si>
    <t>EPS</t>
  </si>
  <si>
    <t>Preferred dividends</t>
  </si>
  <si>
    <t>HULU Subsribers</t>
  </si>
  <si>
    <t>ESPN+ Subsribers</t>
  </si>
  <si>
    <t>Disney+ Subsribers</t>
  </si>
  <si>
    <t>Current ratio</t>
  </si>
  <si>
    <t>Net profit margin</t>
  </si>
  <si>
    <t>Cost of services ratio</t>
  </si>
  <si>
    <t>Cost of products ratio</t>
  </si>
  <si>
    <t>% Change</t>
  </si>
  <si>
    <t>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</si>
</sst>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 #,##0.0_);_(* \(#,##0.0\);_(* &quot;-&quot;??_);_(@_)"/>
    <numFmt numFmtId="166" formatCode="_(* #,##0.000_);_(* \(#,##0.000\);_(* &quot;-&quot;??_);_(@_)"/>
    <numFmt numFmtId="167" formatCode="0.0%"/>
  </numFmts>
  <fonts count="9"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cellStyleXfs>
  <cellXfs count="25">
    <xf numFmtId="0" fontId="0" fillId="0" borderId="0" xfId="0"/>
    <xf numFmtId="14" fontId="4" fillId="2" borderId="0" xfId="0" applyNumberFormat="1" applyFont="1" applyFill="1" applyAlignment="1">
      <alignment horizontal="center" vertical="center"/>
    </xf>
    <xf numFmtId="0" fontId="5" fillId="0" borderId="0" xfId="0" applyFont="1"/>
    <xf numFmtId="0" fontId="4" fillId="2" borderId="0" xfId="0" applyFont="1" applyFill="1" applyAlignment="1">
      <alignment horizontal="center" vertical="center"/>
    </xf>
    <xf numFmtId="0" fontId="4" fillId="2" borderId="0" xfId="0" applyFont="1" applyFill="1" applyAlignment="1">
      <alignment vertical="center"/>
    </xf>
    <xf numFmtId="164" fontId="5" fillId="0" borderId="0" xfId="1" applyNumberFormat="1" applyFont="1"/>
    <xf numFmtId="0" fontId="3" fillId="0" borderId="0" xfId="0" applyFont="1" applyAlignment="1">
      <alignment horizontal="left"/>
    </xf>
    <xf numFmtId="0" fontId="3" fillId="0" borderId="0" xfId="0" applyFont="1"/>
    <xf numFmtId="0" fontId="7" fillId="0" borderId="0" xfId="0" applyFont="1"/>
    <xf numFmtId="164" fontId="7" fillId="0" borderId="0" xfId="1" applyNumberFormat="1" applyFont="1"/>
    <xf numFmtId="0" fontId="7" fillId="0" borderId="0" xfId="0" applyFont="1" applyAlignment="1">
      <alignment horizontal="left" indent="1"/>
    </xf>
    <xf numFmtId="0" fontId="3" fillId="0" borderId="0" xfId="0" applyFont="1" applyAlignment="1">
      <alignment horizontal="left" indent="1"/>
    </xf>
    <xf numFmtId="0" fontId="7" fillId="0" borderId="0" xfId="0" applyFont="1" applyAlignment="1">
      <alignment horizontal="left" indent="2"/>
    </xf>
    <xf numFmtId="0" fontId="3" fillId="0" borderId="0" xfId="0" applyFont="1" applyAlignment="1">
      <alignment horizontal="left" indent="2"/>
    </xf>
    <xf numFmtId="44" fontId="5" fillId="0" borderId="0" xfId="2" applyFont="1"/>
    <xf numFmtId="0" fontId="7" fillId="0" borderId="0" xfId="0" applyFont="1" applyAlignment="1">
      <alignment horizontal="left" indent="3"/>
    </xf>
    <xf numFmtId="43" fontId="5" fillId="0" borderId="0" xfId="1" applyFont="1"/>
    <xf numFmtId="164" fontId="3" fillId="0" borderId="0" xfId="1" applyNumberFormat="1" applyFont="1"/>
    <xf numFmtId="164" fontId="2" fillId="0" borderId="0" xfId="1" applyNumberFormat="1" applyFont="1"/>
    <xf numFmtId="0" fontId="1" fillId="0" borderId="0" xfId="0" applyFont="1"/>
    <xf numFmtId="165" fontId="5" fillId="0" borderId="0" xfId="1" applyNumberFormat="1" applyFont="1"/>
    <xf numFmtId="166" fontId="5" fillId="0" borderId="0" xfId="1" applyNumberFormat="1" applyFont="1"/>
    <xf numFmtId="167" fontId="5" fillId="0" borderId="0" xfId="3" applyNumberFormat="1" applyFont="1"/>
    <xf numFmtId="167" fontId="8" fillId="0" borderId="0" xfId="3" applyNumberFormat="1" applyFont="1" applyAlignment="1">
      <alignment horizontal="center"/>
    </xf>
    <xf numFmtId="0" fontId="4" fillId="2" borderId="0" xfId="0" applyFont="1" applyFill="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
  <rv s="0">
    <v>http://en.wikipedia.org/wiki/Public_domain</v>
    <v>Public domain</v>
  </rv>
  <rv s="0">
    <v>http://en.wikipedia.org/wiki/The_Walt_Disney_Company</v>
    <v>Wikipedia</v>
  </rv>
  <rv s="1">
    <v>0</v>
    <v>1</v>
  </rv>
  <rv s="2">
    <v>6</v>
    <v>https://www.bing.com/th?id=AMMS_0aa288ba528f6f45e3de87d97e250136&amp;qlt=95</v>
    <v>2</v>
    <v>0</v>
    <v>https://www.bing.com/images/search?form=xlimg&amp;q=the+walt+disney+company</v>
    <v>Image of THE WALT DISNEY COMPANY</v>
  </rv>
  <rv s="0">
    <v>https://www.bing.com/financeapi/forcetrigger?t=a1r2z2&amp;q=XNYS%3aDIS&amp;form=skydnc</v>
    <v>Learn more on Bing</v>
  </rv>
  <rv s="3">
    <v>en-US</v>
    <v>a1r2z2</v>
    <v>268435456</v>
    <v>1</v>
    <v>Powered by Refinitiv</v>
    <v>0</v>
    <v>THE WALT DISNEY COMPANY (XNYS:DIS)</v>
    <v>3</v>
    <v>4</v>
    <v>Finance</v>
    <v>5</v>
    <v>126.48</v>
    <v>84.07</v>
    <v>1.3099000000000001</v>
    <v>0.71</v>
    <v>1.0659999999999999E-4</v>
    <v>7.6229999999999996E-3</v>
    <v>0.01</v>
    <v>USD</v>
    <v>The Walt Disney Company is a worldwide entertainment company. The Company’s segments include Disney Media and Entertainment Distribution (DMED), and Disney Parks, Experiences and Products (DPEP). The DMED segment encompasses the Company’s global film and episodic television content production and distribution activities. The Company’s DMED’s lines of business consists of Linear Networks, Direct-to-Consumer and Content Sales/Licensing. The Company’s DPEP segment business consists of sale of admissions to theme parks, the sale of food, beverage and merchandise at its theme parks and resorts, sales of cruise vacations, sales and rentals of vacation club properties, royalties from licensing its intellectual properties (IP) for use on consumer goods and the sale of branded merchandise. The Company's Content Sales/Licensing business consist of selling film and episodic television content in the television and subscription video-on-demand (TV/SVOD) and home entertainment markets.</v>
    <v>220000</v>
    <v>New York Stock Exchange</v>
    <v>XNYS</v>
    <v>XNYS</v>
    <v>500 S Buena Vista St, BURBANK, CA, 91521-0001 US</v>
    <v>94.44</v>
    <v>3</v>
    <v>Media &amp; Publishing</v>
    <v>Stock</v>
    <v>45090.999758135935</v>
    <v>4</v>
    <v>93.44</v>
    <v>171492574250</v>
    <v>THE WALT DISNEY COMPANY</v>
    <v>THE WALT DISNEY COMPANY</v>
    <v>94.12</v>
    <v>41.305100000000003</v>
    <v>93.14</v>
    <v>93.85</v>
    <v>93.86</v>
    <v>1827305000</v>
    <v>DIS</v>
    <v>THE WALT DISNEY COMPANY (XNYS:DIS)</v>
    <v>12964433</v>
    <v>15647796</v>
    <v>2018</v>
  </rv>
  <rv s="4">
    <v>5</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v>
      <v>GMT</v>
      <v>Delayed 15 minutes</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J71"/>
  <sheetViews>
    <sheetView tabSelected="1" zoomScale="110" zoomScaleNormal="110" workbookViewId="0">
      <pane xSplit="1" topLeftCell="O1" activePane="topRight" state="frozen"/>
      <selection pane="topRight" activeCell="AA8" sqref="AA8"/>
    </sheetView>
  </sheetViews>
  <sheetFormatPr defaultColWidth="8.85546875" defaultRowHeight="12.75" x14ac:dyDescent="0.2"/>
  <cols>
    <col min="1" max="1" width="42.7109375" style="2" customWidth="1"/>
    <col min="2" max="6" width="12.7109375" style="5" customWidth="1"/>
    <col min="7" max="7" width="10.7109375" style="5" customWidth="1"/>
    <col min="8" max="8" width="12.7109375" style="5" customWidth="1"/>
    <col min="9" max="9" width="10.7109375" style="5" customWidth="1"/>
    <col min="10" max="10" width="12.7109375" style="5" customWidth="1"/>
    <col min="11" max="11" width="10.7109375" style="5" customWidth="1"/>
    <col min="12" max="12" width="12.7109375" style="5" customWidth="1"/>
    <col min="13" max="13" width="10.7109375" style="5" customWidth="1"/>
    <col min="14" max="14" width="12.7109375" style="5" customWidth="1"/>
    <col min="15" max="15" width="10.7109375" style="5" customWidth="1"/>
    <col min="16" max="16" width="12.7109375" style="5" customWidth="1"/>
    <col min="17" max="17" width="10.7109375" style="5" customWidth="1"/>
    <col min="18" max="18" width="12.7109375" style="5" customWidth="1"/>
    <col min="19" max="19" width="10.7109375" style="5" customWidth="1"/>
    <col min="20" max="20" width="12.7109375" style="5" customWidth="1"/>
    <col min="21" max="21" width="10.7109375" style="5" customWidth="1"/>
    <col min="22" max="22" width="12.7109375" style="5" customWidth="1"/>
    <col min="23" max="23" width="10.7109375" style="5" customWidth="1"/>
    <col min="24" max="24" width="12.7109375" style="5" customWidth="1"/>
    <col min="25" max="56" width="10.7109375" style="5" customWidth="1"/>
    <col min="57" max="16384" width="8.85546875" style="5"/>
  </cols>
  <sheetData>
    <row r="1" spans="1:36" s="24" customFormat="1" ht="15" customHeight="1" x14ac:dyDescent="0.2">
      <c r="A1" s="4" t="s">
        <v>1</v>
      </c>
      <c r="B1" s="1">
        <f t="shared" ref="B1:C1" si="0">C1-91</f>
        <v>43827</v>
      </c>
      <c r="C1" s="1">
        <f t="shared" si="0"/>
        <v>43918</v>
      </c>
      <c r="D1" s="1">
        <v>44009</v>
      </c>
      <c r="E1" s="1">
        <f>F1-91</f>
        <v>44107</v>
      </c>
      <c r="F1" s="1">
        <f t="shared" ref="F1" si="1">H1-91</f>
        <v>44198</v>
      </c>
      <c r="G1" s="1" t="s">
        <v>72</v>
      </c>
      <c r="H1" s="1">
        <f t="shared" ref="H1" si="2">J1-91</f>
        <v>44289</v>
      </c>
      <c r="I1" s="1" t="s">
        <v>72</v>
      </c>
      <c r="J1" s="1">
        <f>L1-91</f>
        <v>44380</v>
      </c>
      <c r="K1" s="1" t="s">
        <v>72</v>
      </c>
      <c r="L1" s="1">
        <f>N1-91</f>
        <v>44471</v>
      </c>
      <c r="M1" s="1" t="s">
        <v>72</v>
      </c>
      <c r="N1" s="1">
        <f>P1-91</f>
        <v>44562</v>
      </c>
      <c r="O1" s="1" t="s">
        <v>72</v>
      </c>
      <c r="P1" s="1">
        <f>R1-91</f>
        <v>44653</v>
      </c>
      <c r="Q1" s="1" t="s">
        <v>72</v>
      </c>
      <c r="R1" s="1">
        <f>T1-91</f>
        <v>44744</v>
      </c>
      <c r="S1" s="1" t="s">
        <v>72</v>
      </c>
      <c r="T1" s="1">
        <f>V1-91</f>
        <v>44835</v>
      </c>
      <c r="U1" s="1" t="s">
        <v>72</v>
      </c>
      <c r="V1" s="1">
        <v>44926</v>
      </c>
      <c r="W1" s="1" t="s">
        <v>72</v>
      </c>
      <c r="X1" s="1">
        <v>45017</v>
      </c>
      <c r="Y1" s="1" t="s">
        <v>72</v>
      </c>
      <c r="Z1" s="3"/>
      <c r="AA1" s="3"/>
      <c r="AB1" s="3"/>
      <c r="AC1" s="3"/>
      <c r="AD1" s="3"/>
      <c r="AE1" s="3"/>
      <c r="AF1" s="3"/>
      <c r="AG1" s="3"/>
      <c r="AH1" s="3"/>
      <c r="AI1" s="3"/>
      <c r="AJ1" s="3"/>
    </row>
    <row r="2" spans="1:36" s="24" customFormat="1" ht="15" customHeight="1" x14ac:dyDescent="0.2">
      <c r="A2" s="4" t="s">
        <v>0</v>
      </c>
      <c r="B2" s="3" t="s">
        <v>2</v>
      </c>
      <c r="C2" s="3" t="s">
        <v>3</v>
      </c>
      <c r="D2" s="3" t="s">
        <v>4</v>
      </c>
      <c r="E2" s="3" t="s">
        <v>5</v>
      </c>
      <c r="F2" s="3" t="s">
        <v>6</v>
      </c>
      <c r="G2" s="3" t="s">
        <v>73</v>
      </c>
      <c r="H2" s="3" t="s">
        <v>7</v>
      </c>
      <c r="I2" s="3" t="s">
        <v>73</v>
      </c>
      <c r="J2" s="3" t="s">
        <v>8</v>
      </c>
      <c r="K2" s="3" t="s">
        <v>73</v>
      </c>
      <c r="L2" s="3" t="s">
        <v>9</v>
      </c>
      <c r="M2" s="3" t="s">
        <v>73</v>
      </c>
      <c r="N2" s="3" t="s">
        <v>10</v>
      </c>
      <c r="O2" s="3" t="s">
        <v>73</v>
      </c>
      <c r="P2" s="3" t="s">
        <v>11</v>
      </c>
      <c r="Q2" s="3" t="s">
        <v>73</v>
      </c>
      <c r="R2" s="3" t="s">
        <v>12</v>
      </c>
      <c r="S2" s="3" t="s">
        <v>73</v>
      </c>
      <c r="T2" s="3" t="s">
        <v>13</v>
      </c>
      <c r="U2" s="3" t="s">
        <v>73</v>
      </c>
      <c r="V2" s="3" t="s">
        <v>14</v>
      </c>
      <c r="W2" s="3" t="s">
        <v>73</v>
      </c>
      <c r="X2" s="3" t="s">
        <v>15</v>
      </c>
      <c r="Y2" s="3" t="s">
        <v>73</v>
      </c>
      <c r="Z2" s="3"/>
      <c r="AA2" s="3"/>
      <c r="AB2" s="3"/>
      <c r="AC2" s="3"/>
      <c r="AD2" s="3"/>
      <c r="AE2" s="3"/>
      <c r="AF2" s="3"/>
      <c r="AG2" s="3"/>
      <c r="AH2" s="3"/>
      <c r="AI2" s="3"/>
      <c r="AJ2" s="3"/>
    </row>
    <row r="3" spans="1:36" x14ac:dyDescent="0.2">
      <c r="A3" s="6" t="e" vm="1">
        <v>#VALUE!</v>
      </c>
    </row>
    <row r="4" spans="1:36" x14ac:dyDescent="0.2">
      <c r="A4" s="14" cm="1">
        <f t="array" ref="A4">_FV(A3,"Price")</f>
        <v>93.85</v>
      </c>
    </row>
    <row r="5" spans="1:36" x14ac:dyDescent="0.2">
      <c r="A5" s="7" t="s">
        <v>16</v>
      </c>
      <c r="B5" s="14">
        <v>143.80000000000001</v>
      </c>
      <c r="C5" s="14">
        <v>96.4</v>
      </c>
      <c r="D5" s="14">
        <v>109.07</v>
      </c>
      <c r="E5" s="14">
        <v>122.7</v>
      </c>
      <c r="F5" s="14">
        <v>177.71</v>
      </c>
      <c r="G5" s="23">
        <f>(F5-B5)/B5</f>
        <v>0.23581363004172456</v>
      </c>
      <c r="H5" s="14">
        <v>189.15</v>
      </c>
      <c r="I5" s="23">
        <f>(H5-C5)/C5</f>
        <v>0.96213692946058083</v>
      </c>
      <c r="J5" s="14">
        <v>177.21</v>
      </c>
      <c r="K5" s="23">
        <f>(J5-D5)/D5</f>
        <v>0.62473640781149742</v>
      </c>
      <c r="L5" s="14">
        <v>176.09</v>
      </c>
      <c r="M5" s="23">
        <f>(L5-E5)/E5</f>
        <v>0.43512632436837817</v>
      </c>
      <c r="N5" s="14">
        <v>156.9</v>
      </c>
      <c r="O5" s="23">
        <f>(N5-F5)/F5</f>
        <v>-0.11710089471611053</v>
      </c>
      <c r="P5" s="14">
        <v>137.29</v>
      </c>
      <c r="Q5" s="23">
        <f>(P5-H5)/H5</f>
        <v>-0.27417393602960621</v>
      </c>
      <c r="R5" s="14">
        <v>96.09</v>
      </c>
      <c r="S5" s="23">
        <f>(R5-J5)/J5</f>
        <v>-0.45776197731504997</v>
      </c>
      <c r="T5" s="14">
        <v>97.06</v>
      </c>
      <c r="U5" s="23">
        <f>(T5-L5)/L5</f>
        <v>-0.44880458856266681</v>
      </c>
      <c r="V5" s="14">
        <v>86.92</v>
      </c>
      <c r="W5" s="23">
        <f>(V5-N5)/N5</f>
        <v>-0.4460165710643722</v>
      </c>
      <c r="X5" s="14">
        <v>100.17</v>
      </c>
      <c r="Y5" s="23">
        <f>(X5-P5)/P5</f>
        <v>-0.27037657513293023</v>
      </c>
    </row>
    <row r="6" spans="1:36" x14ac:dyDescent="0.2">
      <c r="A6" s="6" t="s">
        <v>17</v>
      </c>
      <c r="B6" s="5">
        <v>1817</v>
      </c>
      <c r="C6" s="5">
        <v>1816</v>
      </c>
      <c r="D6" s="5">
        <v>1809</v>
      </c>
      <c r="E6" s="5">
        <v>1808</v>
      </c>
      <c r="F6" s="5">
        <v>1823</v>
      </c>
      <c r="G6" s="23">
        <f t="shared" ref="G6:G69" si="3">(F6-B6)/B6</f>
        <v>3.3021463951568518E-3</v>
      </c>
      <c r="H6" s="5">
        <v>1829</v>
      </c>
      <c r="I6" s="23">
        <f>(H6-C6)/C6</f>
        <v>7.1585903083700442E-3</v>
      </c>
      <c r="J6" s="5">
        <v>1830</v>
      </c>
      <c r="K6" s="23">
        <f>(J6-D6)/D6</f>
        <v>1.1608623548922056E-2</v>
      </c>
      <c r="L6" s="5">
        <v>1828</v>
      </c>
      <c r="M6" s="23">
        <f>(L6-E6)/E6</f>
        <v>1.1061946902654867E-2</v>
      </c>
      <c r="N6" s="5">
        <v>1828</v>
      </c>
      <c r="O6" s="23">
        <f>(N6-F6)/F6</f>
        <v>2.7427317608337905E-3</v>
      </c>
      <c r="P6" s="5">
        <v>1828</v>
      </c>
      <c r="Q6" s="23">
        <f>(P6-H6)/H6</f>
        <v>-5.4674685620557679E-4</v>
      </c>
      <c r="R6" s="5">
        <v>1825</v>
      </c>
      <c r="S6" s="23">
        <f>(R6-J6)/J6</f>
        <v>-2.7322404371584699E-3</v>
      </c>
      <c r="T6" s="5">
        <v>1827</v>
      </c>
      <c r="U6" s="23">
        <f>(T6-L6)/L6</f>
        <v>-5.4704595185995622E-4</v>
      </c>
      <c r="V6" s="5">
        <v>1827</v>
      </c>
      <c r="W6" s="23">
        <f>(V6-N6)/N6</f>
        <v>-5.4704595185995622E-4</v>
      </c>
      <c r="X6" s="5">
        <v>1831</v>
      </c>
      <c r="Y6" s="23">
        <f>(X6-P6)/P6</f>
        <v>1.6411378555798686E-3</v>
      </c>
    </row>
    <row r="7" spans="1:36" x14ac:dyDescent="0.2">
      <c r="A7" s="7" t="s">
        <v>18</v>
      </c>
      <c r="B7" s="5">
        <f t="shared" ref="B7:V7" si="4">B5*B6</f>
        <v>261284.60000000003</v>
      </c>
      <c r="C7" s="5">
        <f t="shared" si="4"/>
        <v>175062.40000000002</v>
      </c>
      <c r="D7" s="5">
        <f t="shared" si="4"/>
        <v>197307.62999999998</v>
      </c>
      <c r="E7" s="5">
        <f t="shared" si="4"/>
        <v>221841.6</v>
      </c>
      <c r="F7" s="5">
        <f t="shared" si="4"/>
        <v>323965.33</v>
      </c>
      <c r="G7" s="23">
        <f t="shared" si="3"/>
        <v>0.23989446756525251</v>
      </c>
      <c r="H7" s="5">
        <f t="shared" si="4"/>
        <v>345955.35000000003</v>
      </c>
      <c r="I7" s="23">
        <f>(H7-C7)/C7</f>
        <v>0.9761830638675123</v>
      </c>
      <c r="J7" s="5">
        <f t="shared" si="4"/>
        <v>324294.3</v>
      </c>
      <c r="K7" s="23">
        <f>(J7-D7)/D7</f>
        <v>0.64359736113600896</v>
      </c>
      <c r="L7" s="5">
        <f t="shared" si="4"/>
        <v>321892.52</v>
      </c>
      <c r="M7" s="23">
        <f>(L7-E7)/E7</f>
        <v>0.45100161556714347</v>
      </c>
      <c r="N7" s="5">
        <f t="shared" si="4"/>
        <v>286813.2</v>
      </c>
      <c r="O7" s="23">
        <f>(N7-F7)/F7</f>
        <v>-0.11467933929843667</v>
      </c>
      <c r="P7" s="5">
        <f t="shared" si="4"/>
        <v>250966.12</v>
      </c>
      <c r="Q7" s="23">
        <f>(P7-H7)/H7</f>
        <v>-0.27457077914823408</v>
      </c>
      <c r="R7" s="5">
        <f t="shared" si="4"/>
        <v>175364.25</v>
      </c>
      <c r="S7" s="23">
        <f>(R7-J7)/J7</f>
        <v>-0.4592435019671946</v>
      </c>
      <c r="T7" s="5">
        <f t="shared" si="4"/>
        <v>177328.62</v>
      </c>
      <c r="U7" s="23">
        <f>(T7-L7)/L7</f>
        <v>-0.44910611778117743</v>
      </c>
      <c r="V7" s="5">
        <f t="shared" si="4"/>
        <v>158802.84</v>
      </c>
      <c r="W7" s="23">
        <f>(V7-N7)/N7</f>
        <v>-0.446319625456569</v>
      </c>
      <c r="X7" s="5">
        <f>X5*X6</f>
        <v>183411.27</v>
      </c>
      <c r="Y7" s="23">
        <f>(X7-P7)/P7</f>
        <v>-0.26917916251006313</v>
      </c>
    </row>
    <row r="8" spans="1:36" x14ac:dyDescent="0.2">
      <c r="A8" s="7" t="s">
        <v>19</v>
      </c>
      <c r="B8" s="5">
        <f t="shared" ref="B8:V8" si="5">B34</f>
        <v>6833</v>
      </c>
      <c r="C8" s="5">
        <f t="shared" si="5"/>
        <v>14339</v>
      </c>
      <c r="D8" s="5">
        <f t="shared" si="5"/>
        <v>23115</v>
      </c>
      <c r="E8" s="5">
        <f t="shared" si="5"/>
        <v>17914</v>
      </c>
      <c r="F8" s="5">
        <f t="shared" si="5"/>
        <v>17068</v>
      </c>
      <c r="G8" s="23">
        <f t="shared" si="3"/>
        <v>1.4978779452656228</v>
      </c>
      <c r="H8" s="5">
        <f t="shared" si="5"/>
        <v>15890</v>
      </c>
      <c r="I8" s="23">
        <f>(H8-C8)/C8</f>
        <v>0.10816653881023781</v>
      </c>
      <c r="J8" s="5">
        <f t="shared" si="5"/>
        <v>16070</v>
      </c>
      <c r="K8" s="23">
        <f>(J8-D8)/D8</f>
        <v>-0.30478044559809647</v>
      </c>
      <c r="L8" s="5">
        <f t="shared" si="5"/>
        <v>15959</v>
      </c>
      <c r="M8" s="23">
        <f>(L8-E8)/E8</f>
        <v>-0.10913252204979346</v>
      </c>
      <c r="N8" s="5">
        <f t="shared" si="5"/>
        <v>14444</v>
      </c>
      <c r="O8" s="23">
        <f>(N8-F8)/F8</f>
        <v>-0.15373798921959222</v>
      </c>
      <c r="P8" s="5">
        <f t="shared" si="5"/>
        <v>13272</v>
      </c>
      <c r="Q8" s="23">
        <f>(P8-H8)/H8</f>
        <v>-0.16475770925110131</v>
      </c>
      <c r="R8" s="5">
        <f t="shared" si="5"/>
        <v>12959</v>
      </c>
      <c r="S8" s="23">
        <f>(R8-J8)/J8</f>
        <v>-0.19359054138145612</v>
      </c>
      <c r="T8" s="5">
        <f t="shared" si="5"/>
        <v>11615</v>
      </c>
      <c r="U8" s="23">
        <f>(T8-L8)/L8</f>
        <v>-0.27219750610940535</v>
      </c>
      <c r="V8" s="5">
        <f t="shared" si="5"/>
        <v>8470</v>
      </c>
      <c r="W8" s="23">
        <f>(V8-N8)/N8</f>
        <v>-0.41359734145666022</v>
      </c>
      <c r="X8" s="5">
        <f>X34</f>
        <v>10399</v>
      </c>
      <c r="Y8" s="23">
        <f>(X8-P8)/P8</f>
        <v>-0.21647076552139843</v>
      </c>
    </row>
    <row r="9" spans="1:36" x14ac:dyDescent="0.2">
      <c r="A9" s="7" t="s">
        <v>20</v>
      </c>
      <c r="B9" s="5">
        <f t="shared" ref="B9:V9" si="6">B51+B54</f>
        <v>48075</v>
      </c>
      <c r="C9" s="5">
        <f t="shared" si="6"/>
        <v>55446</v>
      </c>
      <c r="D9" s="5">
        <f t="shared" si="6"/>
        <v>65141</v>
      </c>
      <c r="E9" s="5">
        <f t="shared" si="6"/>
        <v>58628</v>
      </c>
      <c r="F9" s="5">
        <f t="shared" si="6"/>
        <v>58275</v>
      </c>
      <c r="G9" s="23">
        <f t="shared" si="3"/>
        <v>0.21216848673946959</v>
      </c>
      <c r="H9" s="5">
        <f t="shared" si="6"/>
        <v>56146</v>
      </c>
      <c r="I9" s="23">
        <f>(H9-C9)/C9</f>
        <v>1.2624896295494716E-2</v>
      </c>
      <c r="J9" s="5">
        <f t="shared" si="6"/>
        <v>55838</v>
      </c>
      <c r="K9" s="23">
        <f>(J9-D9)/D9</f>
        <v>-0.14281328195759968</v>
      </c>
      <c r="L9" s="5">
        <f t="shared" si="6"/>
        <v>54406</v>
      </c>
      <c r="M9" s="23">
        <f>(L9-E9)/E9</f>
        <v>-7.2013372450023885E-2</v>
      </c>
      <c r="N9" s="5">
        <f t="shared" si="6"/>
        <v>54132</v>
      </c>
      <c r="O9" s="23">
        <f>(N9-F9)/F9</f>
        <v>-7.1093951093951099E-2</v>
      </c>
      <c r="P9" s="5">
        <f t="shared" si="6"/>
        <v>52023</v>
      </c>
      <c r="Q9" s="23">
        <f>(P9-H9)/H9</f>
        <v>-7.343354824920742E-2</v>
      </c>
      <c r="R9" s="5">
        <f t="shared" si="6"/>
        <v>51602</v>
      </c>
      <c r="S9" s="23">
        <f>(R9-J9)/J9</f>
        <v>-7.5862315985529574E-2</v>
      </c>
      <c r="T9" s="5">
        <f t="shared" si="6"/>
        <v>48369</v>
      </c>
      <c r="U9" s="23">
        <f>(T9-L9)/L9</f>
        <v>-0.11096202624710511</v>
      </c>
      <c r="V9" s="5">
        <f t="shared" si="6"/>
        <v>48377</v>
      </c>
      <c r="W9" s="23">
        <f>(V9-N9)/N9</f>
        <v>-0.10631419493090963</v>
      </c>
      <c r="X9" s="5">
        <f>X51+X54</f>
        <v>48518</v>
      </c>
      <c r="Y9" s="23">
        <f>(X9-P9)/P9</f>
        <v>-6.7374046094996448E-2</v>
      </c>
    </row>
    <row r="10" spans="1:36" x14ac:dyDescent="0.2">
      <c r="G10" s="23"/>
      <c r="I10" s="23"/>
      <c r="K10" s="23"/>
      <c r="M10" s="23"/>
      <c r="O10" s="23"/>
      <c r="Q10" s="23"/>
      <c r="S10" s="23"/>
      <c r="U10" s="23"/>
      <c r="W10" s="23"/>
      <c r="Y10" s="23"/>
    </row>
    <row r="11" spans="1:36" x14ac:dyDescent="0.2">
      <c r="A11" s="8" t="s">
        <v>21</v>
      </c>
      <c r="G11" s="23"/>
      <c r="I11" s="23"/>
      <c r="K11" s="23"/>
      <c r="M11" s="23"/>
      <c r="O11" s="23"/>
      <c r="Q11" s="23"/>
      <c r="S11" s="23"/>
      <c r="U11" s="23"/>
      <c r="W11" s="23"/>
      <c r="Y11" s="23"/>
    </row>
    <row r="12" spans="1:36" x14ac:dyDescent="0.2">
      <c r="A12" s="11" t="s">
        <v>22</v>
      </c>
      <c r="B12" s="5">
        <v>18075</v>
      </c>
      <c r="C12" s="5">
        <v>16174</v>
      </c>
      <c r="D12" s="5">
        <v>11235</v>
      </c>
      <c r="E12" s="5">
        <f>59265-D12-C12-B12</f>
        <v>13781</v>
      </c>
      <c r="F12" s="5">
        <v>14871</v>
      </c>
      <c r="G12" s="23">
        <f t="shared" si="3"/>
        <v>-0.17726141078838173</v>
      </c>
      <c r="H12" s="5">
        <v>14522</v>
      </c>
      <c r="I12" s="23">
        <f>(H12-C12)/C12</f>
        <v>-0.10213923581056016</v>
      </c>
      <c r="J12" s="5">
        <v>15585</v>
      </c>
      <c r="K12" s="23">
        <f>(J12-D12)/D12</f>
        <v>0.38718291054739651</v>
      </c>
      <c r="L12" s="5">
        <f>61768-J12-H12-F12</f>
        <v>16790</v>
      </c>
      <c r="M12" s="23">
        <f>(L12-E12)/E12</f>
        <v>0.21834409694506929</v>
      </c>
      <c r="N12" s="5">
        <v>19542</v>
      </c>
      <c r="O12" s="23">
        <f>(N12-F12)/F12</f>
        <v>0.31410127092999796</v>
      </c>
      <c r="P12" s="5">
        <v>17212</v>
      </c>
      <c r="Q12" s="23">
        <f>(P12-H12)/H12</f>
        <v>0.18523619336179589</v>
      </c>
      <c r="R12" s="5">
        <v>19461</v>
      </c>
      <c r="S12" s="23">
        <f>(R12-J12)/J12</f>
        <v>0.24870067372473531</v>
      </c>
      <c r="T12" s="5">
        <f>74200-R12-P12-N12</f>
        <v>17985</v>
      </c>
      <c r="U12" s="23">
        <f>(T12-L12)/L12</f>
        <v>7.117331745086361E-2</v>
      </c>
      <c r="V12" s="5">
        <v>20997</v>
      </c>
      <c r="W12" s="23">
        <f>(V12-N12)/N12</f>
        <v>7.4455019957015658E-2</v>
      </c>
      <c r="X12" s="5">
        <v>19586</v>
      </c>
      <c r="Y12" s="23">
        <f>(X12-P12)/P12</f>
        <v>0.13792702765512432</v>
      </c>
    </row>
    <row r="13" spans="1:36" x14ac:dyDescent="0.2">
      <c r="A13" s="11" t="s">
        <v>23</v>
      </c>
      <c r="B13" s="5">
        <v>2783</v>
      </c>
      <c r="C13" s="5">
        <v>1835</v>
      </c>
      <c r="D13" s="5">
        <v>544</v>
      </c>
      <c r="E13" s="5">
        <f>6123-D13-C13-B13</f>
        <v>961</v>
      </c>
      <c r="F13" s="5">
        <v>1378</v>
      </c>
      <c r="G13" s="23">
        <f t="shared" si="3"/>
        <v>-0.50485088034495151</v>
      </c>
      <c r="H13" s="5">
        <v>1091</v>
      </c>
      <c r="I13" s="23">
        <f>(H13-C13)/C13</f>
        <v>-0.40544959128065394</v>
      </c>
      <c r="J13" s="5">
        <v>1437</v>
      </c>
      <c r="K13" s="23">
        <f>(J13-D13)/D13</f>
        <v>1.6415441176470589</v>
      </c>
      <c r="L13" s="5">
        <f>5650-J13-H13-F13</f>
        <v>1744</v>
      </c>
      <c r="M13" s="23">
        <f>(L13-E13)/E13</f>
        <v>0.81477627471383973</v>
      </c>
      <c r="N13" s="5">
        <v>2277</v>
      </c>
      <c r="O13" s="23">
        <f>(N13-F13)/F13</f>
        <v>0.65239477503628451</v>
      </c>
      <c r="P13" s="5">
        <v>2037</v>
      </c>
      <c r="Q13" s="23">
        <f>(P13-H13)/H13</f>
        <v>0.86709440879926669</v>
      </c>
      <c r="R13" s="5">
        <v>2043</v>
      </c>
      <c r="S13" s="23">
        <f>(R13-J13)/J13</f>
        <v>0.42171189979123175</v>
      </c>
      <c r="T13" s="5">
        <f>8522-R13-P13-N13</f>
        <v>2165</v>
      </c>
      <c r="U13" s="23">
        <f>(T13-L13)/L13</f>
        <v>0.24139908256880735</v>
      </c>
      <c r="V13" s="5">
        <v>2515</v>
      </c>
      <c r="W13" s="23">
        <f>(V13-N13)/N13</f>
        <v>0.10452349582784365</v>
      </c>
      <c r="X13" s="5">
        <v>2229</v>
      </c>
      <c r="Y13" s="23">
        <f>(X13-P13)/P13</f>
        <v>9.4256259204712811E-2</v>
      </c>
    </row>
    <row r="14" spans="1:36" s="9" customFormat="1" x14ac:dyDescent="0.2">
      <c r="A14" s="12" t="s">
        <v>24</v>
      </c>
      <c r="B14" s="9">
        <f t="shared" ref="B14:V14" si="7">SUM(B12:B13)</f>
        <v>20858</v>
      </c>
      <c r="C14" s="9">
        <f t="shared" si="7"/>
        <v>18009</v>
      </c>
      <c r="D14" s="9">
        <f t="shared" si="7"/>
        <v>11779</v>
      </c>
      <c r="E14" s="9">
        <f t="shared" si="7"/>
        <v>14742</v>
      </c>
      <c r="F14" s="9">
        <f t="shared" si="7"/>
        <v>16249</v>
      </c>
      <c r="G14" s="23">
        <f t="shared" si="3"/>
        <v>-0.22097037108064052</v>
      </c>
      <c r="H14" s="9">
        <f t="shared" si="7"/>
        <v>15613</v>
      </c>
      <c r="I14" s="23">
        <f>(H14-C14)/C14</f>
        <v>-0.13304458881670275</v>
      </c>
      <c r="J14" s="9">
        <f t="shared" si="7"/>
        <v>17022</v>
      </c>
      <c r="K14" s="23">
        <f>(J14-D14)/D14</f>
        <v>0.44511418626368959</v>
      </c>
      <c r="L14" s="9">
        <f t="shared" si="7"/>
        <v>18534</v>
      </c>
      <c r="M14" s="23">
        <f>(L14-E14)/E14</f>
        <v>0.25722425722425724</v>
      </c>
      <c r="N14" s="9">
        <f t="shared" si="7"/>
        <v>21819</v>
      </c>
      <c r="O14" s="23">
        <f>(N14-F14)/F14</f>
        <v>0.34279032555849592</v>
      </c>
      <c r="P14" s="9">
        <f t="shared" si="7"/>
        <v>19249</v>
      </c>
      <c r="Q14" s="23">
        <f>(P14-H14)/H14</f>
        <v>0.23288285403189649</v>
      </c>
      <c r="R14" s="9">
        <f t="shared" si="7"/>
        <v>21504</v>
      </c>
      <c r="S14" s="23">
        <f>(R14-J14)/J14</f>
        <v>0.26330630948184702</v>
      </c>
      <c r="T14" s="9">
        <f t="shared" si="7"/>
        <v>20150</v>
      </c>
      <c r="U14" s="23">
        <f>(T14-L14)/L14</f>
        <v>8.7191108233516779E-2</v>
      </c>
      <c r="V14" s="9">
        <f t="shared" si="7"/>
        <v>23512</v>
      </c>
      <c r="W14" s="23">
        <f>(V14-N14)/N14</f>
        <v>7.7592923598698377E-2</v>
      </c>
      <c r="X14" s="9">
        <f>SUM(X12:X13)</f>
        <v>21815</v>
      </c>
      <c r="Y14" s="23">
        <f>(X14-P14)/P14</f>
        <v>0.13330562626629955</v>
      </c>
    </row>
    <row r="15" spans="1:36" x14ac:dyDescent="0.2">
      <c r="G15" s="23"/>
      <c r="I15" s="23"/>
      <c r="K15" s="23"/>
      <c r="M15" s="23"/>
      <c r="O15" s="23"/>
      <c r="Q15" s="23"/>
      <c r="S15" s="23"/>
      <c r="U15" s="23"/>
      <c r="W15" s="23"/>
      <c r="Y15" s="23"/>
    </row>
    <row r="16" spans="1:36" x14ac:dyDescent="0.2">
      <c r="A16" s="8" t="s">
        <v>30</v>
      </c>
      <c r="G16" s="23"/>
      <c r="I16" s="23"/>
      <c r="K16" s="23"/>
      <c r="M16" s="23"/>
      <c r="O16" s="23"/>
      <c r="Q16" s="23"/>
      <c r="S16" s="23"/>
      <c r="U16" s="23"/>
      <c r="W16" s="23"/>
      <c r="Y16" s="23"/>
    </row>
    <row r="17" spans="1:25" x14ac:dyDescent="0.2">
      <c r="A17" s="11" t="s">
        <v>25</v>
      </c>
      <c r="B17" s="5">
        <v>-11377</v>
      </c>
      <c r="C17" s="5">
        <v>-10664</v>
      </c>
      <c r="D17" s="5">
        <v>-7209</v>
      </c>
      <c r="E17" s="5">
        <f>-39406-D17-C17-B17</f>
        <v>-10156</v>
      </c>
      <c r="F17" s="5">
        <v>-10738</v>
      </c>
      <c r="G17" s="23">
        <f t="shared" si="3"/>
        <v>-5.6165948844159271E-2</v>
      </c>
      <c r="H17" s="5">
        <v>-8932</v>
      </c>
      <c r="I17" s="23">
        <f>(H17-C17)/C17</f>
        <v>-0.16241560390097523</v>
      </c>
      <c r="J17" s="5">
        <v>-10251</v>
      </c>
      <c r="K17" s="23">
        <f>(J17-D17)/D17</f>
        <v>0.42197253433208487</v>
      </c>
      <c r="L17" s="5">
        <f>-41129-J17-H17-F17</f>
        <v>-11208</v>
      </c>
      <c r="M17" s="23">
        <f>(L17-E17)/E17</f>
        <v>0.10358408822371012</v>
      </c>
      <c r="N17" s="5">
        <v>-13161</v>
      </c>
      <c r="O17" s="23">
        <f>(N17-F17)/F17</f>
        <v>0.2256472341218104</v>
      </c>
      <c r="P17" s="5">
        <v>-11330</v>
      </c>
      <c r="Q17" s="23">
        <f>(P17-H17)/H17</f>
        <v>0.26847290640394089</v>
      </c>
      <c r="R17" s="5">
        <v>-12404</v>
      </c>
      <c r="S17" s="23">
        <f>(R17-J17)/J17</f>
        <v>0.21002828992293435</v>
      </c>
      <c r="T17" s="5">
        <f>-48962-R17-P17-N17</f>
        <v>-12067</v>
      </c>
      <c r="U17" s="23">
        <f>(T17-L17)/L17</f>
        <v>7.6641684511063526E-2</v>
      </c>
      <c r="V17" s="5">
        <v>-14781</v>
      </c>
      <c r="W17" s="23">
        <f>(V17-N17)/N17</f>
        <v>0.12309095053567358</v>
      </c>
      <c r="X17" s="5">
        <v>-13160</v>
      </c>
      <c r="Y17" s="23">
        <f>(X17-P17)/P17</f>
        <v>0.1615180935569285</v>
      </c>
    </row>
    <row r="18" spans="1:25" x14ac:dyDescent="0.2">
      <c r="A18" s="11" t="s">
        <v>26</v>
      </c>
      <c r="B18" s="5">
        <v>-1639</v>
      </c>
      <c r="C18" s="5">
        <v>-1254</v>
      </c>
      <c r="D18" s="5">
        <v>-687</v>
      </c>
      <c r="E18" s="5">
        <f>-4474-D18-C18-B18</f>
        <v>-894</v>
      </c>
      <c r="F18" s="5">
        <v>-1037</v>
      </c>
      <c r="G18" s="23">
        <f t="shared" si="3"/>
        <v>-0.36729713239780354</v>
      </c>
      <c r="H18" s="5">
        <v>-850</v>
      </c>
      <c r="I18" s="23">
        <f>(H18-C18)/C18</f>
        <v>-0.32216905901116427</v>
      </c>
      <c r="J18" s="5">
        <v>-982</v>
      </c>
      <c r="K18" s="23">
        <f>(J18-D18)/D18</f>
        <v>0.4294032023289665</v>
      </c>
      <c r="L18" s="5">
        <f>-4002-J18-H18-F18</f>
        <v>-1133</v>
      </c>
      <c r="M18" s="23">
        <f>(L18-E18)/E18</f>
        <v>0.26733780760626397</v>
      </c>
      <c r="N18" s="5">
        <v>-1406</v>
      </c>
      <c r="O18" s="23">
        <f>(N18-F18)/F18</f>
        <v>0.35583413693346189</v>
      </c>
      <c r="P18" s="5">
        <v>-1264</v>
      </c>
      <c r="Q18" s="23">
        <f>(P18-H18)/H18</f>
        <v>0.48705882352941177</v>
      </c>
      <c r="R18" s="5">
        <v>-1278</v>
      </c>
      <c r="S18" s="23">
        <f>(R18-J18)/J18</f>
        <v>0.3014256619144603</v>
      </c>
      <c r="T18" s="5">
        <f>-5439-R18-P18-N18</f>
        <v>-1491</v>
      </c>
      <c r="U18" s="23">
        <f>(T18-L18)/L18</f>
        <v>0.31597528684907328</v>
      </c>
      <c r="V18" s="5">
        <v>-1605</v>
      </c>
      <c r="W18" s="23">
        <f>(V18-N18)/N18</f>
        <v>0.14153627311522049</v>
      </c>
      <c r="X18" s="5">
        <v>-1456</v>
      </c>
      <c r="Y18" s="23">
        <f>(X18-P18)/P18</f>
        <v>0.15189873417721519</v>
      </c>
    </row>
    <row r="19" spans="1:25" x14ac:dyDescent="0.2">
      <c r="A19" s="11" t="s">
        <v>27</v>
      </c>
      <c r="B19" s="5">
        <v>-3703</v>
      </c>
      <c r="C19" s="5">
        <f>-3388</f>
        <v>-3388</v>
      </c>
      <c r="D19" s="5">
        <v>-2455</v>
      </c>
      <c r="E19" s="5">
        <f>-12369-D19-C19-B19</f>
        <v>-2823</v>
      </c>
      <c r="F19" s="5">
        <v>-2917</v>
      </c>
      <c r="G19" s="23">
        <f t="shared" si="3"/>
        <v>-0.2122603294625979</v>
      </c>
      <c r="H19" s="5">
        <v>-3113</v>
      </c>
      <c r="I19" s="23">
        <f>(H19-C19)/C19</f>
        <v>-8.1168831168831168E-2</v>
      </c>
      <c r="J19" s="5">
        <v>-3168</v>
      </c>
      <c r="K19" s="23">
        <f>(J19-D19)/D19</f>
        <v>0.29042769857433809</v>
      </c>
      <c r="L19" s="5">
        <f>-13517-J19-H19-F19</f>
        <v>-4319</v>
      </c>
      <c r="M19" s="23">
        <f>(L19-E19)/E19</f>
        <v>0.52993269571377966</v>
      </c>
      <c r="N19" s="5">
        <v>-3787</v>
      </c>
      <c r="O19" s="23">
        <f>(N19-F19)/F19</f>
        <v>0.29825162838532737</v>
      </c>
      <c r="P19" s="5">
        <v>-3768</v>
      </c>
      <c r="Q19" s="23">
        <f>(P19-H19)/H19</f>
        <v>0.21040796659171218</v>
      </c>
      <c r="R19" s="5">
        <v>-4100</v>
      </c>
      <c r="S19" s="23">
        <f>(R19-J19)/J19</f>
        <v>0.29419191919191917</v>
      </c>
      <c r="T19" s="5">
        <f>-16388-R19-P19-N19</f>
        <v>-4733</v>
      </c>
      <c r="U19" s="23">
        <f>(T19-L19)/L19</f>
        <v>9.5855522111599908E-2</v>
      </c>
      <c r="V19" s="5">
        <v>-3827</v>
      </c>
      <c r="W19" s="23">
        <f>(V19-N19)/N19</f>
        <v>1.0562450488513335E-2</v>
      </c>
      <c r="X19" s="5">
        <v>-3614</v>
      </c>
      <c r="Y19" s="23">
        <f>(X19-P19)/P19</f>
        <v>-4.087048832271762E-2</v>
      </c>
    </row>
    <row r="20" spans="1:25" x14ac:dyDescent="0.2">
      <c r="A20" s="11" t="s">
        <v>28</v>
      </c>
      <c r="B20" s="5">
        <v>-1298</v>
      </c>
      <c r="C20" s="5">
        <v>-1333</v>
      </c>
      <c r="D20" s="5">
        <v>-1377</v>
      </c>
      <c r="E20" s="5">
        <f>-5345-D20-C20-B20</f>
        <v>-1337</v>
      </c>
      <c r="F20" s="5">
        <v>-1298</v>
      </c>
      <c r="G20" s="23">
        <f t="shared" si="3"/>
        <v>0</v>
      </c>
      <c r="H20" s="5">
        <v>-1272</v>
      </c>
      <c r="I20" s="23">
        <f>(H20-C20)/C20</f>
        <v>-4.5761440360090021E-2</v>
      </c>
      <c r="J20" s="5">
        <v>-1266</v>
      </c>
      <c r="K20" s="23">
        <f>(J20-D20)/D20</f>
        <v>-8.0610021786492375E-2</v>
      </c>
      <c r="L20" s="5">
        <f>-5111-J20-H20-F20</f>
        <v>-1275</v>
      </c>
      <c r="M20" s="23">
        <f>(L20-E20)/E20</f>
        <v>-4.6372475691847423E-2</v>
      </c>
      <c r="N20" s="5">
        <v>-1269</v>
      </c>
      <c r="O20" s="23">
        <f>(N20-F20)/F20</f>
        <v>-2.2342064714946069E-2</v>
      </c>
      <c r="P20" s="5">
        <v>-1287</v>
      </c>
      <c r="Q20" s="23">
        <f>(P20-H20)/H20</f>
        <v>1.179245283018868E-2</v>
      </c>
      <c r="R20" s="5">
        <v>-1290</v>
      </c>
      <c r="S20" s="23">
        <f>(R20-J20)/J20</f>
        <v>1.8957345971563982E-2</v>
      </c>
      <c r="T20" s="5">
        <f>-5163-R20-P20-N20</f>
        <v>-1317</v>
      </c>
      <c r="U20" s="23">
        <f>(T20-L20)/L20</f>
        <v>3.2941176470588238E-2</v>
      </c>
      <c r="V20" s="5">
        <v>-1306</v>
      </c>
      <c r="W20" s="23">
        <f>(V20-N20)/N20</f>
        <v>2.9156816390858944E-2</v>
      </c>
      <c r="X20" s="5">
        <v>-1310</v>
      </c>
      <c r="Y20" s="23">
        <f>(X20-P20)/P20</f>
        <v>1.7871017871017872E-2</v>
      </c>
    </row>
    <row r="21" spans="1:25" s="9" customFormat="1" x14ac:dyDescent="0.2">
      <c r="A21" s="12" t="s">
        <v>29</v>
      </c>
      <c r="B21" s="9">
        <f t="shared" ref="B21:V21" si="8">SUM(B17:B20)</f>
        <v>-18017</v>
      </c>
      <c r="C21" s="9">
        <f t="shared" si="8"/>
        <v>-16639</v>
      </c>
      <c r="D21" s="9">
        <f t="shared" si="8"/>
        <v>-11728</v>
      </c>
      <c r="E21" s="9">
        <f t="shared" si="8"/>
        <v>-15210</v>
      </c>
      <c r="F21" s="9">
        <f t="shared" si="8"/>
        <v>-15990</v>
      </c>
      <c r="G21" s="23">
        <f t="shared" si="3"/>
        <v>-0.11250485652439363</v>
      </c>
      <c r="H21" s="9">
        <f t="shared" si="8"/>
        <v>-14167</v>
      </c>
      <c r="I21" s="23">
        <f>(H21-C21)/C21</f>
        <v>-0.14856662059017969</v>
      </c>
      <c r="J21" s="9">
        <f t="shared" si="8"/>
        <v>-15667</v>
      </c>
      <c r="K21" s="23">
        <f>(J21-D21)/D21</f>
        <v>0.33586289222373805</v>
      </c>
      <c r="L21" s="9">
        <f t="shared" si="8"/>
        <v>-17935</v>
      </c>
      <c r="M21" s="23">
        <f>(L21-E21)/E21</f>
        <v>0.17915844838921763</v>
      </c>
      <c r="N21" s="9">
        <f t="shared" si="8"/>
        <v>-19623</v>
      </c>
      <c r="O21" s="23">
        <f>(N21-F21)/F21</f>
        <v>0.22720450281425891</v>
      </c>
      <c r="P21" s="9">
        <f t="shared" si="8"/>
        <v>-17649</v>
      </c>
      <c r="Q21" s="23">
        <f>(P21-H21)/H21</f>
        <v>0.24578245217759581</v>
      </c>
      <c r="R21" s="9">
        <f t="shared" si="8"/>
        <v>-19072</v>
      </c>
      <c r="S21" s="23">
        <f>(R21-J21)/J21</f>
        <v>0.21733580136592839</v>
      </c>
      <c r="T21" s="9">
        <f t="shared" si="8"/>
        <v>-19608</v>
      </c>
      <c r="U21" s="23">
        <f>(T21-L21)/L21</f>
        <v>9.3281293560078055E-2</v>
      </c>
      <c r="V21" s="9">
        <f t="shared" si="8"/>
        <v>-21519</v>
      </c>
      <c r="W21" s="23">
        <f>(V21-N21)/N21</f>
        <v>9.6621311726035775E-2</v>
      </c>
      <c r="X21" s="9">
        <f>SUM(X17:X20)</f>
        <v>-19540</v>
      </c>
      <c r="Y21" s="23">
        <f>(X21-P21)/P21</f>
        <v>0.1071448807297864</v>
      </c>
    </row>
    <row r="22" spans="1:25" x14ac:dyDescent="0.2">
      <c r="G22" s="23"/>
      <c r="I22" s="23"/>
      <c r="K22" s="23"/>
      <c r="M22" s="23"/>
      <c r="O22" s="23"/>
      <c r="Q22" s="23"/>
      <c r="S22" s="23"/>
      <c r="U22" s="23"/>
      <c r="W22" s="23"/>
      <c r="Y22" s="23"/>
    </row>
    <row r="23" spans="1:25" x14ac:dyDescent="0.2">
      <c r="A23" s="7" t="s">
        <v>31</v>
      </c>
      <c r="B23" s="5">
        <v>-150</v>
      </c>
      <c r="C23" s="5">
        <v>-145</v>
      </c>
      <c r="D23" s="5">
        <v>-5047</v>
      </c>
      <c r="E23" s="5">
        <f>-5735-D23-C23-B23</f>
        <v>-393</v>
      </c>
      <c r="F23" s="5">
        <v>-113</v>
      </c>
      <c r="G23" s="23">
        <f t="shared" si="3"/>
        <v>-0.24666666666666667</v>
      </c>
      <c r="H23" s="5">
        <v>-414</v>
      </c>
      <c r="I23" s="23">
        <f t="shared" ref="I23:I30" si="9">(H23-C23)/C23</f>
        <v>1.8551724137931034</v>
      </c>
      <c r="J23" s="5">
        <v>-35</v>
      </c>
      <c r="K23" s="23">
        <f t="shared" ref="K23:K30" si="10">(J23-D23)/D23</f>
        <v>-0.99306518723994452</v>
      </c>
      <c r="L23" s="5">
        <f>-654-J23-H23-F23</f>
        <v>-92</v>
      </c>
      <c r="M23" s="23">
        <f t="shared" ref="M23:M30" si="11">(L23-E23)/E23</f>
        <v>-0.76590330788804073</v>
      </c>
      <c r="N23" s="5">
        <v>0</v>
      </c>
      <c r="O23" s="23">
        <f t="shared" ref="O23:O30" si="12">(N23-F23)/F23</f>
        <v>-1</v>
      </c>
      <c r="P23" s="5">
        <v>-195</v>
      </c>
      <c r="Q23" s="23">
        <f t="shared" ref="Q23:Q30" si="13">(P23-H23)/H23</f>
        <v>-0.52898550724637683</v>
      </c>
      <c r="R23" s="5">
        <v>-42</v>
      </c>
      <c r="S23" s="23">
        <f t="shared" ref="S23:S30" si="14">(R23-J23)/J23</f>
        <v>0.2</v>
      </c>
      <c r="T23" s="5">
        <f>-237-R23-P23-N23</f>
        <v>0</v>
      </c>
      <c r="U23" s="23">
        <f t="shared" ref="U23:U30" si="15">(T23-L23)/L23</f>
        <v>-1</v>
      </c>
      <c r="V23" s="5">
        <v>-69</v>
      </c>
      <c r="W23" s="23" t="e">
        <f t="shared" ref="W23:W30" si="16">(V23-N23)/N23</f>
        <v>#DIV/0!</v>
      </c>
      <c r="X23" s="5">
        <v>-152</v>
      </c>
      <c r="Y23" s="23">
        <f t="shared" ref="Y23:Y30" si="17">(X23-P23)/P23</f>
        <v>-0.22051282051282051</v>
      </c>
    </row>
    <row r="24" spans="1:25" x14ac:dyDescent="0.2">
      <c r="A24" s="7" t="s">
        <v>32</v>
      </c>
      <c r="B24" s="5">
        <v>0</v>
      </c>
      <c r="C24" s="5">
        <v>0</v>
      </c>
      <c r="D24" s="5">
        <v>382</v>
      </c>
      <c r="E24" s="5">
        <f>1038-D24-C24-B24</f>
        <v>656</v>
      </c>
      <c r="F24" s="5">
        <v>0</v>
      </c>
      <c r="G24" s="23" t="e">
        <f t="shared" si="3"/>
        <v>#DIV/0!</v>
      </c>
      <c r="H24" s="5">
        <v>305</v>
      </c>
      <c r="I24" s="23" t="e">
        <f t="shared" si="9"/>
        <v>#DIV/0!</v>
      </c>
      <c r="J24" s="5">
        <v>-91</v>
      </c>
      <c r="K24" s="23">
        <f t="shared" si="10"/>
        <v>-1.2382198952879582</v>
      </c>
      <c r="L24" s="5">
        <f>201-J24-H24-F24</f>
        <v>-13</v>
      </c>
      <c r="M24" s="23">
        <f t="shared" si="11"/>
        <v>-1.0198170731707317</v>
      </c>
      <c r="N24" s="5">
        <v>-436</v>
      </c>
      <c r="O24" s="23" t="e">
        <f t="shared" si="12"/>
        <v>#DIV/0!</v>
      </c>
      <c r="P24" s="5">
        <v>-158</v>
      </c>
      <c r="Q24" s="23">
        <f t="shared" si="13"/>
        <v>-1.5180327868852459</v>
      </c>
      <c r="R24" s="5">
        <v>-136</v>
      </c>
      <c r="S24" s="23">
        <f t="shared" si="14"/>
        <v>0.49450549450549453</v>
      </c>
      <c r="T24" s="5">
        <f>-667-R24-P24-N24</f>
        <v>63</v>
      </c>
      <c r="U24" s="23">
        <f t="shared" si="15"/>
        <v>-5.8461538461538458</v>
      </c>
      <c r="V24" s="5">
        <v>-42</v>
      </c>
      <c r="W24" s="23">
        <f t="shared" si="16"/>
        <v>-0.90366972477064222</v>
      </c>
      <c r="X24" s="5">
        <v>149</v>
      </c>
      <c r="Y24" s="23">
        <f t="shared" si="17"/>
        <v>-1.9430379746835442</v>
      </c>
    </row>
    <row r="25" spans="1:25" x14ac:dyDescent="0.2">
      <c r="A25" s="7" t="s">
        <v>33</v>
      </c>
      <c r="B25" s="5">
        <v>-283</v>
      </c>
      <c r="C25" s="5">
        <v>-300</v>
      </c>
      <c r="D25" s="5">
        <v>-412</v>
      </c>
      <c r="E25" s="5">
        <f>-1491-D25-C25-B25</f>
        <v>-496</v>
      </c>
      <c r="F25" s="5">
        <v>-324</v>
      </c>
      <c r="G25" s="23">
        <f t="shared" si="3"/>
        <v>0.14487632508833923</v>
      </c>
      <c r="H25" s="5">
        <v>-320</v>
      </c>
      <c r="I25" s="23">
        <f t="shared" si="9"/>
        <v>6.6666666666666666E-2</v>
      </c>
      <c r="J25" s="5">
        <v>-445</v>
      </c>
      <c r="K25" s="23">
        <f t="shared" si="10"/>
        <v>8.0097087378640783E-2</v>
      </c>
      <c r="L25" s="5">
        <f>-1406-J25-H25-F25</f>
        <v>-317</v>
      </c>
      <c r="M25" s="23">
        <f t="shared" si="11"/>
        <v>-0.36088709677419356</v>
      </c>
      <c r="N25" s="5">
        <v>-311</v>
      </c>
      <c r="O25" s="23">
        <f t="shared" si="12"/>
        <v>-4.0123456790123455E-2</v>
      </c>
      <c r="P25" s="5">
        <v>-355</v>
      </c>
      <c r="Q25" s="23">
        <f t="shared" si="13"/>
        <v>0.109375</v>
      </c>
      <c r="R25" s="5">
        <v>-360</v>
      </c>
      <c r="S25" s="23">
        <f t="shared" si="14"/>
        <v>-0.19101123595505617</v>
      </c>
      <c r="T25" s="5">
        <f>-1397-R25-P25-N25</f>
        <v>-371</v>
      </c>
      <c r="U25" s="23">
        <f t="shared" si="15"/>
        <v>0.17034700315457413</v>
      </c>
      <c r="V25" s="5">
        <v>-300</v>
      </c>
      <c r="W25" s="23">
        <f t="shared" si="16"/>
        <v>-3.5369774919614148E-2</v>
      </c>
      <c r="X25" s="5">
        <v>-322</v>
      </c>
      <c r="Y25" s="23">
        <f t="shared" si="17"/>
        <v>-9.295774647887324E-2</v>
      </c>
    </row>
    <row r="26" spans="1:25" x14ac:dyDescent="0.2">
      <c r="A26" s="7" t="s">
        <v>34</v>
      </c>
      <c r="B26" s="5">
        <v>224</v>
      </c>
      <c r="C26" s="5">
        <v>135</v>
      </c>
      <c r="D26" s="5">
        <v>186</v>
      </c>
      <c r="E26" s="5">
        <f>651-D26-C26-B26</f>
        <v>106</v>
      </c>
      <c r="F26" s="5">
        <v>224</v>
      </c>
      <c r="G26" s="23">
        <f t="shared" si="3"/>
        <v>0</v>
      </c>
      <c r="H26" s="5">
        <v>213</v>
      </c>
      <c r="I26" s="23">
        <f t="shared" si="9"/>
        <v>0.57777777777777772</v>
      </c>
      <c r="J26" s="5">
        <v>211</v>
      </c>
      <c r="K26" s="23">
        <f t="shared" si="10"/>
        <v>0.13440860215053763</v>
      </c>
      <c r="L26" s="5">
        <f>761-J26-H26-F26</f>
        <v>113</v>
      </c>
      <c r="M26" s="23">
        <f t="shared" si="11"/>
        <v>6.6037735849056603E-2</v>
      </c>
      <c r="N26" s="5">
        <v>239</v>
      </c>
      <c r="O26" s="23">
        <f t="shared" si="12"/>
        <v>6.6964285714285712E-2</v>
      </c>
      <c r="P26" s="5">
        <v>210</v>
      </c>
      <c r="Q26" s="23">
        <f t="shared" si="13"/>
        <v>-1.4084507042253521E-2</v>
      </c>
      <c r="R26" s="5">
        <v>225</v>
      </c>
      <c r="S26" s="23">
        <f t="shared" si="14"/>
        <v>6.6350710900473939E-2</v>
      </c>
      <c r="T26" s="5">
        <f>816-R26-P26-N26</f>
        <v>142</v>
      </c>
      <c r="U26" s="23">
        <f t="shared" si="15"/>
        <v>0.25663716814159293</v>
      </c>
      <c r="V26" s="5">
        <v>191</v>
      </c>
      <c r="W26" s="23">
        <f t="shared" si="16"/>
        <v>-0.20083682008368201</v>
      </c>
      <c r="X26" s="5">
        <v>173</v>
      </c>
      <c r="Y26" s="23">
        <f t="shared" si="17"/>
        <v>-0.1761904761904762</v>
      </c>
    </row>
    <row r="27" spans="1:25" x14ac:dyDescent="0.2">
      <c r="A27" s="11" t="s">
        <v>35</v>
      </c>
      <c r="B27" s="5">
        <f t="shared" ref="B27:V27" si="18">B14+B21+(SUM(B23:B26))</f>
        <v>2632</v>
      </c>
      <c r="C27" s="5">
        <f t="shared" si="18"/>
        <v>1060</v>
      </c>
      <c r="D27" s="5">
        <f t="shared" si="18"/>
        <v>-4840</v>
      </c>
      <c r="E27" s="5">
        <f t="shared" si="18"/>
        <v>-595</v>
      </c>
      <c r="F27" s="5">
        <f t="shared" si="18"/>
        <v>46</v>
      </c>
      <c r="G27" s="23">
        <f t="shared" si="3"/>
        <v>-0.98252279635258355</v>
      </c>
      <c r="H27" s="5">
        <f t="shared" si="18"/>
        <v>1230</v>
      </c>
      <c r="I27" s="23">
        <f t="shared" si="9"/>
        <v>0.16037735849056603</v>
      </c>
      <c r="J27" s="5">
        <f t="shared" si="18"/>
        <v>995</v>
      </c>
      <c r="K27" s="23">
        <f t="shared" si="10"/>
        <v>-1.2055785123966942</v>
      </c>
      <c r="L27" s="5">
        <f t="shared" si="18"/>
        <v>290</v>
      </c>
      <c r="M27" s="23">
        <f t="shared" si="11"/>
        <v>-1.4873949579831933</v>
      </c>
      <c r="N27" s="5">
        <f t="shared" si="18"/>
        <v>1688</v>
      </c>
      <c r="O27" s="23">
        <f t="shared" si="12"/>
        <v>35.695652173913047</v>
      </c>
      <c r="P27" s="5">
        <f t="shared" si="18"/>
        <v>1102</v>
      </c>
      <c r="Q27" s="23">
        <f t="shared" si="13"/>
        <v>-0.1040650406504065</v>
      </c>
      <c r="R27" s="5">
        <f t="shared" si="18"/>
        <v>2119</v>
      </c>
      <c r="S27" s="23">
        <f t="shared" si="14"/>
        <v>1.1296482412060302</v>
      </c>
      <c r="T27" s="5">
        <f>T14+T21+(SUM(T23:T26))</f>
        <v>376</v>
      </c>
      <c r="U27" s="23">
        <f t="shared" si="15"/>
        <v>0.29655172413793102</v>
      </c>
      <c r="V27" s="5">
        <f t="shared" si="18"/>
        <v>1773</v>
      </c>
      <c r="W27" s="23">
        <f t="shared" si="16"/>
        <v>5.0355450236966824E-2</v>
      </c>
      <c r="X27" s="5">
        <f>X14+X21+(SUM(X23:X26))</f>
        <v>2123</v>
      </c>
      <c r="Y27" s="23">
        <f t="shared" si="17"/>
        <v>0.926497277676951</v>
      </c>
    </row>
    <row r="28" spans="1:25" x14ac:dyDescent="0.2">
      <c r="A28" s="11" t="s">
        <v>36</v>
      </c>
      <c r="B28" s="5">
        <v>-459</v>
      </c>
      <c r="C28" s="5">
        <v>-525</v>
      </c>
      <c r="D28" s="5">
        <v>331</v>
      </c>
      <c r="E28" s="5">
        <f>-699-D28-C28-B28</f>
        <v>-46</v>
      </c>
      <c r="F28" s="5">
        <v>-16</v>
      </c>
      <c r="G28" s="23">
        <f t="shared" si="3"/>
        <v>-0.96514161220043571</v>
      </c>
      <c r="H28" s="5">
        <v>-108</v>
      </c>
      <c r="I28" s="23">
        <f t="shared" si="9"/>
        <v>-0.79428571428571426</v>
      </c>
      <c r="J28" s="5">
        <v>133</v>
      </c>
      <c r="K28" s="23">
        <f t="shared" si="10"/>
        <v>-0.59818731117824775</v>
      </c>
      <c r="L28" s="5">
        <f>-29-J28-H28-F28</f>
        <v>-38</v>
      </c>
      <c r="M28" s="23">
        <f t="shared" si="11"/>
        <v>-0.17391304347826086</v>
      </c>
      <c r="N28" s="5">
        <v>-488</v>
      </c>
      <c r="O28" s="23">
        <f t="shared" si="12"/>
        <v>29.5</v>
      </c>
      <c r="P28" s="5">
        <v>-505</v>
      </c>
      <c r="Q28" s="23">
        <f t="shared" si="13"/>
        <v>3.675925925925926</v>
      </c>
      <c r="R28" s="5">
        <v>-617</v>
      </c>
      <c r="S28" s="23">
        <f t="shared" si="14"/>
        <v>-5.6390977443609023</v>
      </c>
      <c r="T28" s="5">
        <f>-1732-R28-P28-N28</f>
        <v>-122</v>
      </c>
      <c r="U28" s="23">
        <f t="shared" si="15"/>
        <v>2.2105263157894739</v>
      </c>
      <c r="V28" s="5">
        <v>-412</v>
      </c>
      <c r="W28" s="23">
        <f t="shared" si="16"/>
        <v>-0.15573770491803279</v>
      </c>
      <c r="X28" s="5">
        <v>-635</v>
      </c>
      <c r="Y28" s="23">
        <f t="shared" si="17"/>
        <v>0.25742574257425743</v>
      </c>
    </row>
    <row r="29" spans="1:25" s="9" customFormat="1" x14ac:dyDescent="0.2">
      <c r="A29" s="12" t="s">
        <v>37</v>
      </c>
      <c r="B29" s="9">
        <f t="shared" ref="B29:V29" si="19">SUM(B27:B28)</f>
        <v>2173</v>
      </c>
      <c r="C29" s="9">
        <f t="shared" si="19"/>
        <v>535</v>
      </c>
      <c r="D29" s="9">
        <f t="shared" si="19"/>
        <v>-4509</v>
      </c>
      <c r="E29" s="9">
        <f t="shared" si="19"/>
        <v>-641</v>
      </c>
      <c r="F29" s="9">
        <f t="shared" si="19"/>
        <v>30</v>
      </c>
      <c r="G29" s="23">
        <f t="shared" si="3"/>
        <v>-0.9861942015646572</v>
      </c>
      <c r="H29" s="9">
        <f t="shared" si="19"/>
        <v>1122</v>
      </c>
      <c r="I29" s="23">
        <f t="shared" si="9"/>
        <v>1.097196261682243</v>
      </c>
      <c r="J29" s="9">
        <f t="shared" si="19"/>
        <v>1128</v>
      </c>
      <c r="K29" s="23">
        <f t="shared" si="10"/>
        <v>-1.2501663339986693</v>
      </c>
      <c r="L29" s="9">
        <f t="shared" si="19"/>
        <v>252</v>
      </c>
      <c r="M29" s="23">
        <f t="shared" si="11"/>
        <v>-1.3931357254290171</v>
      </c>
      <c r="N29" s="9">
        <f t="shared" si="19"/>
        <v>1200</v>
      </c>
      <c r="O29" s="23">
        <f t="shared" si="12"/>
        <v>39</v>
      </c>
      <c r="P29" s="9">
        <f t="shared" si="19"/>
        <v>597</v>
      </c>
      <c r="Q29" s="23">
        <f t="shared" si="13"/>
        <v>-0.46791443850267378</v>
      </c>
      <c r="R29" s="9">
        <f t="shared" si="19"/>
        <v>1502</v>
      </c>
      <c r="S29" s="23">
        <f t="shared" si="14"/>
        <v>0.33156028368794327</v>
      </c>
      <c r="T29" s="9">
        <f t="shared" si="19"/>
        <v>254</v>
      </c>
      <c r="U29" s="23">
        <f t="shared" si="15"/>
        <v>7.9365079365079361E-3</v>
      </c>
      <c r="V29" s="9">
        <f t="shared" si="19"/>
        <v>1361</v>
      </c>
      <c r="W29" s="23">
        <f t="shared" si="16"/>
        <v>0.13416666666666666</v>
      </c>
      <c r="X29" s="9">
        <f>SUM(X27:X28)</f>
        <v>1488</v>
      </c>
      <c r="Y29" s="23">
        <f t="shared" si="17"/>
        <v>1.4924623115577889</v>
      </c>
    </row>
    <row r="30" spans="1:25" s="17" customFormat="1" x14ac:dyDescent="0.2">
      <c r="A30" s="6" t="s">
        <v>64</v>
      </c>
      <c r="B30" s="17">
        <v>-40</v>
      </c>
      <c r="C30" s="17">
        <v>-60</v>
      </c>
      <c r="D30" s="17">
        <v>-209</v>
      </c>
      <c r="E30" s="5">
        <f>-390-D30-C30-B30</f>
        <v>-81</v>
      </c>
      <c r="F30" s="17">
        <v>-1</v>
      </c>
      <c r="G30" s="23">
        <f t="shared" si="3"/>
        <v>-0.97499999999999998</v>
      </c>
      <c r="H30" s="17">
        <v>-210</v>
      </c>
      <c r="I30" s="23">
        <f t="shared" si="9"/>
        <v>2.5</v>
      </c>
      <c r="J30" s="5">
        <v>-205</v>
      </c>
      <c r="K30" s="23">
        <f t="shared" si="10"/>
        <v>-1.9138755980861243E-2</v>
      </c>
      <c r="L30" s="5">
        <f>-512-J30-H30-F30</f>
        <v>-96</v>
      </c>
      <c r="M30" s="23">
        <f t="shared" si="11"/>
        <v>0.18518518518518517</v>
      </c>
      <c r="N30" s="17">
        <v>-48</v>
      </c>
      <c r="O30" s="23">
        <f t="shared" si="12"/>
        <v>47</v>
      </c>
      <c r="P30" s="17">
        <v>-127</v>
      </c>
      <c r="Q30" s="23">
        <f t="shared" si="13"/>
        <v>-0.39523809523809522</v>
      </c>
      <c r="R30" s="17">
        <v>-93</v>
      </c>
      <c r="S30" s="23">
        <f t="shared" si="14"/>
        <v>-0.54634146341463419</v>
      </c>
      <c r="T30" s="5">
        <f>-360-R30-P30-N30</f>
        <v>-92</v>
      </c>
      <c r="U30" s="23">
        <f t="shared" si="15"/>
        <v>-4.1666666666666664E-2</v>
      </c>
      <c r="V30" s="17">
        <v>-82</v>
      </c>
      <c r="W30" s="23">
        <f t="shared" si="16"/>
        <v>0.70833333333333337</v>
      </c>
      <c r="X30" s="17">
        <v>-217</v>
      </c>
      <c r="Y30" s="23">
        <f t="shared" si="17"/>
        <v>0.70866141732283461</v>
      </c>
    </row>
    <row r="31" spans="1:25" x14ac:dyDescent="0.2">
      <c r="G31" s="23"/>
      <c r="I31" s="23"/>
      <c r="K31" s="23"/>
      <c r="M31" s="23"/>
      <c r="O31" s="23"/>
      <c r="Q31" s="23"/>
      <c r="S31" s="23"/>
      <c r="U31" s="23"/>
      <c r="W31" s="23"/>
      <c r="Y31" s="23"/>
    </row>
    <row r="32" spans="1:25" x14ac:dyDescent="0.2">
      <c r="A32" s="8" t="s">
        <v>38</v>
      </c>
      <c r="G32" s="23"/>
      <c r="I32" s="23"/>
      <c r="K32" s="23"/>
      <c r="M32" s="23"/>
      <c r="O32" s="23"/>
      <c r="Q32" s="23"/>
      <c r="S32" s="23"/>
      <c r="U32" s="23"/>
      <c r="W32" s="23"/>
      <c r="Y32" s="23"/>
    </row>
    <row r="33" spans="1:25" x14ac:dyDescent="0.2">
      <c r="A33" s="10" t="s">
        <v>39</v>
      </c>
      <c r="G33" s="23"/>
      <c r="I33" s="23"/>
      <c r="K33" s="23"/>
      <c r="M33" s="23"/>
      <c r="O33" s="23"/>
      <c r="Q33" s="23"/>
      <c r="S33" s="23"/>
      <c r="U33" s="23"/>
      <c r="W33" s="23"/>
      <c r="Y33" s="23"/>
    </row>
    <row r="34" spans="1:25" x14ac:dyDescent="0.2">
      <c r="A34" s="13" t="s">
        <v>19</v>
      </c>
      <c r="B34" s="5">
        <v>6833</v>
      </c>
      <c r="C34" s="5">
        <v>14339</v>
      </c>
      <c r="D34" s="5">
        <v>23115</v>
      </c>
      <c r="E34" s="18">
        <v>17914</v>
      </c>
      <c r="F34" s="5">
        <v>17068</v>
      </c>
      <c r="G34" s="23">
        <f t="shared" si="3"/>
        <v>1.4978779452656228</v>
      </c>
      <c r="H34" s="5">
        <v>15890</v>
      </c>
      <c r="I34" s="23">
        <f t="shared" ref="I34:I46" si="20">(H34-C34)/C34</f>
        <v>0.10816653881023781</v>
      </c>
      <c r="J34" s="5">
        <v>16070</v>
      </c>
      <c r="K34" s="23">
        <f t="shared" ref="K34:K46" si="21">(J34-D34)/D34</f>
        <v>-0.30478044559809647</v>
      </c>
      <c r="L34" s="5">
        <v>15959</v>
      </c>
      <c r="M34" s="23">
        <f t="shared" ref="M34:M46" si="22">(L34-E34)/E34</f>
        <v>-0.10913252204979346</v>
      </c>
      <c r="N34" s="5">
        <v>14444</v>
      </c>
      <c r="O34" s="23">
        <f t="shared" ref="O34:O46" si="23">(N34-F34)/F34</f>
        <v>-0.15373798921959222</v>
      </c>
      <c r="P34" s="5">
        <v>13272</v>
      </c>
      <c r="Q34" s="23">
        <f t="shared" ref="Q34:Q46" si="24">(P34-H34)/H34</f>
        <v>-0.16475770925110131</v>
      </c>
      <c r="R34" s="5">
        <v>12959</v>
      </c>
      <c r="S34" s="23">
        <f t="shared" ref="S34:S46" si="25">(R34-J34)/J34</f>
        <v>-0.19359054138145612</v>
      </c>
      <c r="T34" s="5">
        <v>11615</v>
      </c>
      <c r="U34" s="23">
        <f t="shared" ref="U34:U46" si="26">(T34-L34)/L34</f>
        <v>-0.27219750610940535</v>
      </c>
      <c r="V34" s="5">
        <v>8470</v>
      </c>
      <c r="W34" s="23">
        <f t="shared" ref="W34:W46" si="27">(V34-N34)/N34</f>
        <v>-0.41359734145666022</v>
      </c>
      <c r="X34" s="5">
        <v>10399</v>
      </c>
      <c r="Y34" s="23">
        <f t="shared" ref="Y34:Y46" si="28">(X34-P34)/P34</f>
        <v>-0.21647076552139843</v>
      </c>
    </row>
    <row r="35" spans="1:25" x14ac:dyDescent="0.2">
      <c r="A35" s="13" t="s">
        <v>40</v>
      </c>
      <c r="B35" s="5">
        <v>17100</v>
      </c>
      <c r="C35" s="5">
        <v>14532</v>
      </c>
      <c r="D35" s="5">
        <v>12622</v>
      </c>
      <c r="E35" s="5">
        <v>12708</v>
      </c>
      <c r="F35" s="5">
        <v>14051</v>
      </c>
      <c r="G35" s="23">
        <f t="shared" si="3"/>
        <v>-0.17830409356725146</v>
      </c>
      <c r="H35" s="5">
        <v>12533</v>
      </c>
      <c r="I35" s="23">
        <f t="shared" si="20"/>
        <v>-0.13755849160473438</v>
      </c>
      <c r="J35" s="5">
        <v>13355</v>
      </c>
      <c r="K35" s="23">
        <f t="shared" si="21"/>
        <v>5.8073205514181589E-2</v>
      </c>
      <c r="L35" s="5">
        <v>13367</v>
      </c>
      <c r="M35" s="23">
        <f t="shared" si="22"/>
        <v>5.1857097891092226E-2</v>
      </c>
      <c r="N35" s="5">
        <v>14882</v>
      </c>
      <c r="O35" s="23">
        <f t="shared" si="23"/>
        <v>5.9141698099779372E-2</v>
      </c>
      <c r="P35" s="5">
        <v>13746</v>
      </c>
      <c r="Q35" s="23">
        <f t="shared" si="24"/>
        <v>9.6784488949174186E-2</v>
      </c>
      <c r="R35" s="5">
        <v>13685</v>
      </c>
      <c r="S35" s="23">
        <f t="shared" si="25"/>
        <v>2.4709846499438411E-2</v>
      </c>
      <c r="T35" s="5">
        <v>12652</v>
      </c>
      <c r="U35" s="23">
        <f t="shared" si="26"/>
        <v>-5.348993790678537E-2</v>
      </c>
      <c r="V35" s="5">
        <v>13993</v>
      </c>
      <c r="W35" s="23">
        <f t="shared" si="27"/>
        <v>-5.9736594543744123E-2</v>
      </c>
      <c r="X35" s="5">
        <v>12770</v>
      </c>
      <c r="Y35" s="23">
        <f t="shared" si="28"/>
        <v>-7.1002473446820896E-2</v>
      </c>
    </row>
    <row r="36" spans="1:25" x14ac:dyDescent="0.2">
      <c r="A36" s="13" t="s">
        <v>41</v>
      </c>
      <c r="B36" s="5">
        <v>1571</v>
      </c>
      <c r="C36" s="5">
        <v>1531</v>
      </c>
      <c r="D36" s="5">
        <v>1559</v>
      </c>
      <c r="E36" s="5">
        <v>1583</v>
      </c>
      <c r="F36" s="5">
        <v>1480</v>
      </c>
      <c r="G36" s="23">
        <f t="shared" si="3"/>
        <v>-5.7924888605983452E-2</v>
      </c>
      <c r="H36" s="5">
        <v>1406</v>
      </c>
      <c r="I36" s="23">
        <f t="shared" si="20"/>
        <v>-8.1645983017635537E-2</v>
      </c>
      <c r="J36" s="5">
        <v>1344</v>
      </c>
      <c r="K36" s="23">
        <f t="shared" si="21"/>
        <v>-0.13790891597177679</v>
      </c>
      <c r="L36" s="5">
        <v>1331</v>
      </c>
      <c r="M36" s="23">
        <f t="shared" si="22"/>
        <v>-0.15919140871762477</v>
      </c>
      <c r="N36" s="5">
        <v>1345</v>
      </c>
      <c r="O36" s="23">
        <f t="shared" si="23"/>
        <v>-9.1216216216216214E-2</v>
      </c>
      <c r="P36" s="5">
        <v>1428</v>
      </c>
      <c r="Q36" s="23">
        <f t="shared" si="24"/>
        <v>1.5647226173541962E-2</v>
      </c>
      <c r="R36" s="5">
        <v>1590</v>
      </c>
      <c r="S36" s="23">
        <f t="shared" si="25"/>
        <v>0.18303571428571427</v>
      </c>
      <c r="T36" s="5">
        <v>1742</v>
      </c>
      <c r="U36" s="23">
        <f t="shared" si="26"/>
        <v>0.30879038317054847</v>
      </c>
      <c r="V36" s="5">
        <v>1830</v>
      </c>
      <c r="W36" s="23">
        <f t="shared" si="27"/>
        <v>0.36059479553903345</v>
      </c>
      <c r="X36" s="5">
        <v>1848</v>
      </c>
      <c r="Y36" s="23">
        <f t="shared" si="28"/>
        <v>0.29411764705882354</v>
      </c>
    </row>
    <row r="37" spans="1:25" x14ac:dyDescent="0.2">
      <c r="A37" s="13" t="s">
        <v>42</v>
      </c>
      <c r="B37" s="5">
        <v>1334</v>
      </c>
      <c r="C37" s="5">
        <v>1869</v>
      </c>
      <c r="D37" s="5">
        <v>3135</v>
      </c>
      <c r="E37" s="5">
        <v>2171</v>
      </c>
      <c r="F37" s="5">
        <v>1423</v>
      </c>
      <c r="G37" s="23">
        <f t="shared" si="3"/>
        <v>6.6716641679160416E-2</v>
      </c>
      <c r="H37" s="5">
        <v>2204</v>
      </c>
      <c r="I37" s="23">
        <f t="shared" si="20"/>
        <v>0.17924023542001069</v>
      </c>
      <c r="J37" s="5">
        <v>2367</v>
      </c>
      <c r="K37" s="23">
        <f t="shared" si="21"/>
        <v>-0.24497607655502393</v>
      </c>
      <c r="L37" s="5">
        <v>2183</v>
      </c>
      <c r="M37" s="23">
        <f t="shared" si="22"/>
        <v>5.5274067250115156E-3</v>
      </c>
      <c r="N37" s="5">
        <v>1125</v>
      </c>
      <c r="O37" s="23">
        <f t="shared" si="23"/>
        <v>-0.20941672522839072</v>
      </c>
      <c r="P37" s="5">
        <v>1796</v>
      </c>
      <c r="Q37" s="23">
        <f t="shared" si="24"/>
        <v>-0.18511796733212341</v>
      </c>
      <c r="R37" s="5">
        <v>1902</v>
      </c>
      <c r="S37" s="23">
        <f t="shared" si="25"/>
        <v>-0.1964512040557668</v>
      </c>
      <c r="T37" s="5">
        <v>1890</v>
      </c>
      <c r="U37" s="23">
        <f t="shared" si="26"/>
        <v>-0.1342189647274393</v>
      </c>
      <c r="V37" s="5">
        <v>1300</v>
      </c>
      <c r="W37" s="23">
        <f t="shared" si="27"/>
        <v>0.15555555555555556</v>
      </c>
      <c r="X37" s="5">
        <v>1872</v>
      </c>
      <c r="Y37" s="23">
        <f t="shared" si="28"/>
        <v>4.2316258351893093E-2</v>
      </c>
    </row>
    <row r="38" spans="1:25" x14ac:dyDescent="0.2">
      <c r="A38" s="13" t="s">
        <v>43</v>
      </c>
      <c r="B38" s="5">
        <v>938</v>
      </c>
      <c r="C38" s="5">
        <v>1003</v>
      </c>
      <c r="D38" s="5">
        <v>899</v>
      </c>
      <c r="E38" s="5">
        <v>875</v>
      </c>
      <c r="F38" s="5">
        <v>852</v>
      </c>
      <c r="G38" s="23">
        <f t="shared" si="3"/>
        <v>-9.1684434968017064E-2</v>
      </c>
      <c r="H38" s="5">
        <v>844</v>
      </c>
      <c r="I38" s="23">
        <f t="shared" si="20"/>
        <v>-0.15852442671984049</v>
      </c>
      <c r="J38" s="5">
        <v>830</v>
      </c>
      <c r="K38" s="23">
        <f t="shared" si="21"/>
        <v>-7.6751946607341484E-2</v>
      </c>
      <c r="L38" s="5">
        <v>817</v>
      </c>
      <c r="M38" s="23">
        <f t="shared" si="22"/>
        <v>-6.6285714285714281E-2</v>
      </c>
      <c r="N38" s="5">
        <v>1117</v>
      </c>
      <c r="O38" s="23">
        <f t="shared" si="23"/>
        <v>0.31103286384976525</v>
      </c>
      <c r="P38" s="5">
        <v>1185</v>
      </c>
      <c r="Q38" s="23">
        <f t="shared" si="24"/>
        <v>0.40402843601895733</v>
      </c>
      <c r="R38" s="5">
        <v>1286</v>
      </c>
      <c r="S38" s="23">
        <f t="shared" si="25"/>
        <v>0.54939759036144575</v>
      </c>
      <c r="T38" s="5">
        <v>1199</v>
      </c>
      <c r="U38" s="23">
        <f t="shared" si="26"/>
        <v>0.46756425948592412</v>
      </c>
      <c r="V38" s="5">
        <v>1319</v>
      </c>
      <c r="W38" s="23">
        <f t="shared" si="27"/>
        <v>0.18084153983885407</v>
      </c>
      <c r="X38" s="5">
        <v>1374</v>
      </c>
      <c r="Y38" s="23">
        <f t="shared" si="28"/>
        <v>0.15949367088607594</v>
      </c>
    </row>
    <row r="39" spans="1:25" s="9" customFormat="1" x14ac:dyDescent="0.2">
      <c r="A39" s="15" t="s">
        <v>44</v>
      </c>
      <c r="B39" s="9">
        <f t="shared" ref="B39:V39" si="29">SUM(B34:B38)</f>
        <v>27776</v>
      </c>
      <c r="C39" s="9">
        <f t="shared" si="29"/>
        <v>33274</v>
      </c>
      <c r="D39" s="9">
        <f t="shared" si="29"/>
        <v>41330</v>
      </c>
      <c r="E39" s="9">
        <f t="shared" si="29"/>
        <v>35251</v>
      </c>
      <c r="F39" s="9">
        <f t="shared" si="29"/>
        <v>34874</v>
      </c>
      <c r="G39" s="23">
        <f t="shared" si="3"/>
        <v>0.25554435483870969</v>
      </c>
      <c r="H39" s="9">
        <f t="shared" si="29"/>
        <v>32877</v>
      </c>
      <c r="I39" s="23">
        <f t="shared" si="20"/>
        <v>-1.1931237602933221E-2</v>
      </c>
      <c r="J39" s="9">
        <f t="shared" si="29"/>
        <v>33966</v>
      </c>
      <c r="K39" s="23">
        <f t="shared" si="21"/>
        <v>-0.17817565932736512</v>
      </c>
      <c r="L39" s="9">
        <f t="shared" si="29"/>
        <v>33657</v>
      </c>
      <c r="M39" s="23">
        <f t="shared" si="22"/>
        <v>-4.5218575359564264E-2</v>
      </c>
      <c r="N39" s="9">
        <f t="shared" si="29"/>
        <v>32913</v>
      </c>
      <c r="O39" s="23">
        <f t="shared" si="23"/>
        <v>-5.6231003039513679E-2</v>
      </c>
      <c r="P39" s="9">
        <f t="shared" si="29"/>
        <v>31427</v>
      </c>
      <c r="Q39" s="23">
        <f t="shared" si="24"/>
        <v>-4.410378075858503E-2</v>
      </c>
      <c r="R39" s="9">
        <f t="shared" si="29"/>
        <v>31422</v>
      </c>
      <c r="S39" s="23">
        <f t="shared" si="25"/>
        <v>-7.4898427839604306E-2</v>
      </c>
      <c r="T39" s="9">
        <f t="shared" si="29"/>
        <v>29098</v>
      </c>
      <c r="U39" s="23">
        <f t="shared" si="26"/>
        <v>-0.13545473452773568</v>
      </c>
      <c r="V39" s="9">
        <f t="shared" si="29"/>
        <v>26912</v>
      </c>
      <c r="W39" s="23">
        <f t="shared" si="27"/>
        <v>-0.18232917084434722</v>
      </c>
      <c r="X39" s="9">
        <f>SUM(X34:X38)</f>
        <v>28263</v>
      </c>
      <c r="Y39" s="23">
        <f t="shared" si="28"/>
        <v>-0.10067776116078531</v>
      </c>
    </row>
    <row r="40" spans="1:25" x14ac:dyDescent="0.2">
      <c r="A40" s="11" t="s">
        <v>45</v>
      </c>
      <c r="B40" s="5">
        <v>26539</v>
      </c>
      <c r="C40" s="5">
        <v>26757</v>
      </c>
      <c r="D40" s="5">
        <v>25560</v>
      </c>
      <c r="E40" s="5">
        <v>25022</v>
      </c>
      <c r="F40" s="5">
        <v>25929</v>
      </c>
      <c r="G40" s="23">
        <f t="shared" si="3"/>
        <v>-2.2985040883228457E-2</v>
      </c>
      <c r="H40" s="5">
        <v>26858</v>
      </c>
      <c r="I40" s="23">
        <f t="shared" si="20"/>
        <v>3.7747131591733003E-3</v>
      </c>
      <c r="J40" s="5">
        <v>27889</v>
      </c>
      <c r="K40" s="23">
        <f t="shared" si="21"/>
        <v>9.1118935837245701E-2</v>
      </c>
      <c r="L40" s="5">
        <v>29549</v>
      </c>
      <c r="M40" s="23">
        <f t="shared" si="22"/>
        <v>0.18092078970505954</v>
      </c>
      <c r="N40" s="5">
        <v>30669</v>
      </c>
      <c r="O40" s="23">
        <f t="shared" si="23"/>
        <v>0.18280689575378919</v>
      </c>
      <c r="P40" s="5">
        <v>32349</v>
      </c>
      <c r="Q40" s="23">
        <f t="shared" si="24"/>
        <v>0.20444560279991064</v>
      </c>
      <c r="R40" s="5">
        <v>34077</v>
      </c>
      <c r="S40" s="23">
        <f t="shared" si="25"/>
        <v>0.22187959410520278</v>
      </c>
      <c r="T40" s="5">
        <v>35777</v>
      </c>
      <c r="U40" s="23">
        <f t="shared" si="26"/>
        <v>0.21076855392737487</v>
      </c>
      <c r="V40" s="5">
        <v>36266</v>
      </c>
      <c r="W40" s="23">
        <f t="shared" si="27"/>
        <v>0.18249698392513614</v>
      </c>
      <c r="X40" s="5">
        <v>36949</v>
      </c>
      <c r="Y40" s="23">
        <f t="shared" si="28"/>
        <v>0.14219914062258493</v>
      </c>
    </row>
    <row r="41" spans="1:25" x14ac:dyDescent="0.2">
      <c r="A41" s="11" t="s">
        <v>46</v>
      </c>
      <c r="B41" s="5">
        <v>3312</v>
      </c>
      <c r="C41" s="5">
        <v>3180</v>
      </c>
      <c r="D41" s="5">
        <v>3611</v>
      </c>
      <c r="E41" s="5">
        <v>3903</v>
      </c>
      <c r="F41" s="5">
        <v>4037</v>
      </c>
      <c r="G41" s="23">
        <f t="shared" si="3"/>
        <v>0.21890096618357488</v>
      </c>
      <c r="H41" s="5">
        <v>4309</v>
      </c>
      <c r="I41" s="23">
        <f t="shared" si="20"/>
        <v>0.35503144654088048</v>
      </c>
      <c r="J41" s="5">
        <v>4045</v>
      </c>
      <c r="K41" s="23">
        <f t="shared" si="21"/>
        <v>0.12018831348656882</v>
      </c>
      <c r="L41" s="5">
        <v>3935</v>
      </c>
      <c r="M41" s="23">
        <f t="shared" si="22"/>
        <v>8.1988214194209583E-3</v>
      </c>
      <c r="N41" s="5">
        <v>3549</v>
      </c>
      <c r="O41" s="23">
        <f t="shared" si="23"/>
        <v>-0.12088184295268764</v>
      </c>
      <c r="P41" s="5">
        <v>3356</v>
      </c>
      <c r="Q41" s="23">
        <f t="shared" si="24"/>
        <v>-0.22116500348108609</v>
      </c>
      <c r="R41" s="5">
        <v>3236</v>
      </c>
      <c r="S41" s="23">
        <f t="shared" si="25"/>
        <v>-0.2</v>
      </c>
      <c r="T41" s="5">
        <v>3218</v>
      </c>
      <c r="U41" s="23">
        <f t="shared" si="26"/>
        <v>-0.18221092757306226</v>
      </c>
      <c r="V41" s="5">
        <v>3169</v>
      </c>
      <c r="W41" s="23">
        <f t="shared" si="27"/>
        <v>-0.10707241476472246</v>
      </c>
      <c r="X41" s="5">
        <v>3387</v>
      </c>
      <c r="Y41" s="23">
        <f t="shared" si="28"/>
        <v>9.2371871275327769E-3</v>
      </c>
    </row>
    <row r="42" spans="1:25" x14ac:dyDescent="0.2">
      <c r="A42" s="11" t="s">
        <v>47</v>
      </c>
      <c r="B42" s="5">
        <v>31895</v>
      </c>
      <c r="C42" s="5">
        <v>32151</v>
      </c>
      <c r="D42" s="5">
        <v>31891</v>
      </c>
      <c r="E42" s="5">
        <v>32078</v>
      </c>
      <c r="F42" s="5">
        <v>32263</v>
      </c>
      <c r="G42" s="23">
        <f t="shared" si="3"/>
        <v>1.1537858598526414E-2</v>
      </c>
      <c r="H42" s="5">
        <v>32137</v>
      </c>
      <c r="I42" s="23">
        <f t="shared" si="20"/>
        <v>-4.3544524276072284E-4</v>
      </c>
      <c r="J42" s="5">
        <v>32377</v>
      </c>
      <c r="K42" s="23">
        <f t="shared" si="21"/>
        <v>1.5239409237715971E-2</v>
      </c>
      <c r="L42" s="5">
        <v>32624</v>
      </c>
      <c r="M42" s="23">
        <f t="shared" si="22"/>
        <v>1.7021011284992831E-2</v>
      </c>
      <c r="N42" s="5">
        <v>32681</v>
      </c>
      <c r="O42" s="23">
        <f t="shared" si="23"/>
        <v>1.2956017729287419E-2</v>
      </c>
      <c r="P42" s="5">
        <v>32917</v>
      </c>
      <c r="Q42" s="23">
        <f t="shared" si="24"/>
        <v>2.4271089398512618E-2</v>
      </c>
      <c r="R42" s="5">
        <v>33583</v>
      </c>
      <c r="S42" s="23">
        <f t="shared" si="25"/>
        <v>3.7248664175186089E-2</v>
      </c>
      <c r="T42" s="5">
        <v>33596</v>
      </c>
      <c r="U42" s="23">
        <f t="shared" si="26"/>
        <v>2.9794016674840607E-2</v>
      </c>
      <c r="V42" s="5">
        <v>34200</v>
      </c>
      <c r="W42" s="23">
        <f t="shared" si="27"/>
        <v>4.6479605887212755E-2</v>
      </c>
      <c r="X42" s="5">
        <v>34579</v>
      </c>
      <c r="Y42" s="23">
        <f t="shared" si="28"/>
        <v>5.0490627943008175E-2</v>
      </c>
    </row>
    <row r="43" spans="1:25" x14ac:dyDescent="0.2">
      <c r="A43" s="11" t="s">
        <v>48</v>
      </c>
      <c r="B43" s="5">
        <v>22669</v>
      </c>
      <c r="C43" s="5">
        <v>22037</v>
      </c>
      <c r="D43" s="5">
        <v>19589</v>
      </c>
      <c r="E43" s="5">
        <v>19173</v>
      </c>
      <c r="F43" s="5">
        <v>18642</v>
      </c>
      <c r="G43" s="23">
        <f t="shared" si="3"/>
        <v>-0.17764347787727733</v>
      </c>
      <c r="H43" s="5">
        <v>18123</v>
      </c>
      <c r="I43" s="23">
        <f t="shared" si="20"/>
        <v>-0.17761038253845804</v>
      </c>
      <c r="J43" s="5">
        <v>17601</v>
      </c>
      <c r="K43" s="23">
        <f t="shared" si="21"/>
        <v>-0.10148552759201593</v>
      </c>
      <c r="L43" s="5">
        <v>17115</v>
      </c>
      <c r="M43" s="23">
        <f t="shared" si="22"/>
        <v>-0.10733844468784227</v>
      </c>
      <c r="N43" s="5">
        <v>16574</v>
      </c>
      <c r="O43" s="23">
        <f t="shared" si="23"/>
        <v>-0.11093230340092265</v>
      </c>
      <c r="P43" s="5">
        <v>15875</v>
      </c>
      <c r="Q43" s="23">
        <f t="shared" si="24"/>
        <v>-0.12404127351983667</v>
      </c>
      <c r="R43" s="5">
        <v>15334</v>
      </c>
      <c r="S43" s="23">
        <f t="shared" si="25"/>
        <v>-0.12879950002840748</v>
      </c>
      <c r="T43" s="5">
        <v>14837</v>
      </c>
      <c r="U43" s="23">
        <f t="shared" si="26"/>
        <v>-0.13309962021618463</v>
      </c>
      <c r="V43" s="5">
        <v>14347</v>
      </c>
      <c r="W43" s="23">
        <f t="shared" si="27"/>
        <v>-0.13436708097019429</v>
      </c>
      <c r="X43" s="5">
        <v>13887</v>
      </c>
      <c r="Y43" s="23">
        <f t="shared" si="28"/>
        <v>-0.12522834645669292</v>
      </c>
    </row>
    <row r="44" spans="1:25" x14ac:dyDescent="0.2">
      <c r="A44" s="11" t="s">
        <v>49</v>
      </c>
      <c r="B44" s="5">
        <v>80314</v>
      </c>
      <c r="C44" s="5">
        <v>80320</v>
      </c>
      <c r="D44" s="5">
        <v>77233</v>
      </c>
      <c r="E44" s="5">
        <v>77689</v>
      </c>
      <c r="F44" s="5">
        <v>77800</v>
      </c>
      <c r="G44" s="23">
        <f t="shared" si="3"/>
        <v>-3.1302139104016732E-2</v>
      </c>
      <c r="H44" s="5">
        <v>77861</v>
      </c>
      <c r="I44" s="23">
        <f t="shared" si="20"/>
        <v>-3.0615039840637449E-2</v>
      </c>
      <c r="J44" s="5">
        <v>77835</v>
      </c>
      <c r="K44" s="23">
        <f t="shared" si="21"/>
        <v>7.794595574430619E-3</v>
      </c>
      <c r="L44" s="5">
        <v>78071</v>
      </c>
      <c r="M44" s="23">
        <f t="shared" si="22"/>
        <v>4.9170410225385834E-3</v>
      </c>
      <c r="N44" s="5">
        <v>78052</v>
      </c>
      <c r="O44" s="23">
        <f t="shared" si="23"/>
        <v>3.2390745501285345E-3</v>
      </c>
      <c r="P44" s="5">
        <v>78019</v>
      </c>
      <c r="Q44" s="23">
        <f t="shared" si="24"/>
        <v>2.029257266153787E-3</v>
      </c>
      <c r="R44" s="5">
        <v>77945</v>
      </c>
      <c r="S44" s="23">
        <f t="shared" si="25"/>
        <v>1.4132459690370657E-3</v>
      </c>
      <c r="T44" s="5">
        <v>77897</v>
      </c>
      <c r="U44" s="23">
        <f t="shared" si="26"/>
        <v>-2.2287405054373581E-3</v>
      </c>
      <c r="V44" s="5">
        <v>77867</v>
      </c>
      <c r="W44" s="23">
        <f t="shared" si="27"/>
        <v>-2.3702147286424435E-3</v>
      </c>
      <c r="X44" s="5">
        <v>77878</v>
      </c>
      <c r="Y44" s="23">
        <f t="shared" si="28"/>
        <v>-1.8072520796216305E-3</v>
      </c>
    </row>
    <row r="45" spans="1:25" x14ac:dyDescent="0.2">
      <c r="A45" s="11" t="s">
        <v>43</v>
      </c>
      <c r="B45" s="5">
        <v>8443</v>
      </c>
      <c r="C45" s="5">
        <v>8575</v>
      </c>
      <c r="D45" s="5">
        <v>8435</v>
      </c>
      <c r="E45" s="5">
        <v>8433</v>
      </c>
      <c r="F45" s="5">
        <v>8343</v>
      </c>
      <c r="G45" s="23">
        <f t="shared" si="3"/>
        <v>-1.1844131232974061E-2</v>
      </c>
      <c r="H45" s="5">
        <v>8085</v>
      </c>
      <c r="I45" s="23">
        <f t="shared" si="20"/>
        <v>-5.7142857142857141E-2</v>
      </c>
      <c r="J45" s="5">
        <v>8508</v>
      </c>
      <c r="K45" s="23">
        <f t="shared" si="21"/>
        <v>8.6544161232957918E-3</v>
      </c>
      <c r="L45" s="5">
        <v>8658</v>
      </c>
      <c r="M45" s="23">
        <f t="shared" si="22"/>
        <v>2.6680896478121666E-2</v>
      </c>
      <c r="N45" s="5">
        <v>8873</v>
      </c>
      <c r="O45" s="23">
        <f t="shared" si="23"/>
        <v>6.3526309481002033E-2</v>
      </c>
      <c r="P45" s="5">
        <v>8510</v>
      </c>
      <c r="Q45" s="23">
        <f t="shared" si="24"/>
        <v>5.256648113790971E-2</v>
      </c>
      <c r="R45" s="5">
        <v>8477</v>
      </c>
      <c r="S45" s="23">
        <f t="shared" si="25"/>
        <v>-3.6436295251527973E-3</v>
      </c>
      <c r="T45" s="5">
        <v>9208</v>
      </c>
      <c r="U45" s="23">
        <f t="shared" si="26"/>
        <v>6.3525063525063527E-2</v>
      </c>
      <c r="V45" s="5">
        <v>9363</v>
      </c>
      <c r="W45" s="23">
        <f t="shared" si="27"/>
        <v>5.522371238588978E-2</v>
      </c>
      <c r="X45" s="5">
        <v>9915</v>
      </c>
      <c r="Y45" s="23">
        <f t="shared" si="28"/>
        <v>0.16509988249118684</v>
      </c>
    </row>
    <row r="46" spans="1:25" s="9" customFormat="1" x14ac:dyDescent="0.2">
      <c r="A46" s="15" t="s">
        <v>50</v>
      </c>
      <c r="B46" s="9">
        <f t="shared" ref="B46:V46" si="30">SUM(B39:B45)</f>
        <v>200948</v>
      </c>
      <c r="C46" s="9">
        <f t="shared" si="30"/>
        <v>206294</v>
      </c>
      <c r="D46" s="9">
        <f t="shared" si="30"/>
        <v>207649</v>
      </c>
      <c r="E46" s="9">
        <f t="shared" si="30"/>
        <v>201549</v>
      </c>
      <c r="F46" s="9">
        <f t="shared" si="30"/>
        <v>201888</v>
      </c>
      <c r="G46" s="23">
        <f t="shared" si="3"/>
        <v>4.6778270995481422E-3</v>
      </c>
      <c r="H46" s="9">
        <f t="shared" si="30"/>
        <v>200250</v>
      </c>
      <c r="I46" s="23">
        <f t="shared" si="20"/>
        <v>-2.9297992185909429E-2</v>
      </c>
      <c r="J46" s="9">
        <f t="shared" si="30"/>
        <v>202221</v>
      </c>
      <c r="K46" s="23">
        <f t="shared" si="21"/>
        <v>-2.6140265544259786E-2</v>
      </c>
      <c r="L46" s="9">
        <f t="shared" si="30"/>
        <v>203609</v>
      </c>
      <c r="M46" s="23">
        <f t="shared" si="22"/>
        <v>1.0220839597318766E-2</v>
      </c>
      <c r="N46" s="9">
        <f t="shared" si="30"/>
        <v>203311</v>
      </c>
      <c r="O46" s="23">
        <f t="shared" si="23"/>
        <v>7.0484625138690759E-3</v>
      </c>
      <c r="P46" s="9">
        <f t="shared" si="30"/>
        <v>202453</v>
      </c>
      <c r="Q46" s="23">
        <f t="shared" si="24"/>
        <v>1.1001248439450686E-2</v>
      </c>
      <c r="R46" s="9">
        <f t="shared" si="30"/>
        <v>204074</v>
      </c>
      <c r="S46" s="23">
        <f t="shared" si="25"/>
        <v>9.1632421954198628E-3</v>
      </c>
      <c r="T46" s="9">
        <f t="shared" si="30"/>
        <v>203631</v>
      </c>
      <c r="U46" s="23">
        <f t="shared" si="26"/>
        <v>1.0805023353584566E-4</v>
      </c>
      <c r="V46" s="9">
        <f t="shared" si="30"/>
        <v>202124</v>
      </c>
      <c r="W46" s="23">
        <f t="shared" si="27"/>
        <v>-5.8383461790065469E-3</v>
      </c>
      <c r="X46" s="9">
        <f>SUM(X39:X45)</f>
        <v>204858</v>
      </c>
      <c r="Y46" s="23">
        <f t="shared" si="28"/>
        <v>1.1879300380829131E-2</v>
      </c>
    </row>
    <row r="47" spans="1:25" x14ac:dyDescent="0.2">
      <c r="G47" s="23"/>
      <c r="I47" s="23"/>
      <c r="K47" s="23"/>
      <c r="M47" s="23"/>
      <c r="O47" s="23"/>
      <c r="Q47" s="23"/>
      <c r="S47" s="23"/>
      <c r="U47" s="23"/>
      <c r="W47" s="23"/>
      <c r="Y47" s="23"/>
    </row>
    <row r="48" spans="1:25" x14ac:dyDescent="0.2">
      <c r="A48" s="8" t="s">
        <v>51</v>
      </c>
      <c r="G48" s="23"/>
      <c r="I48" s="23"/>
      <c r="K48" s="23"/>
      <c r="M48" s="23"/>
      <c r="O48" s="23"/>
      <c r="Q48" s="23"/>
      <c r="S48" s="23"/>
      <c r="U48" s="23"/>
      <c r="W48" s="23"/>
      <c r="Y48" s="23"/>
    </row>
    <row r="49" spans="1:25" x14ac:dyDescent="0.2">
      <c r="A49" s="10" t="s">
        <v>52</v>
      </c>
      <c r="G49" s="23"/>
      <c r="I49" s="23"/>
      <c r="K49" s="23"/>
      <c r="M49" s="23"/>
      <c r="O49" s="23"/>
      <c r="Q49" s="23"/>
      <c r="S49" s="23"/>
      <c r="U49" s="23"/>
      <c r="W49" s="23"/>
      <c r="Y49" s="23"/>
    </row>
    <row r="50" spans="1:25" x14ac:dyDescent="0.2">
      <c r="A50" s="13" t="s">
        <v>53</v>
      </c>
      <c r="B50" s="5">
        <v>19755</v>
      </c>
      <c r="C50" s="5">
        <v>17906</v>
      </c>
      <c r="D50" s="5">
        <v>16986</v>
      </c>
      <c r="E50" s="5">
        <v>16801</v>
      </c>
      <c r="F50" s="5">
        <v>16846</v>
      </c>
      <c r="G50" s="23">
        <f t="shared" si="3"/>
        <v>-0.14725385978233357</v>
      </c>
      <c r="H50" s="5">
        <v>17062</v>
      </c>
      <c r="I50" s="23">
        <f t="shared" ref="I50:I58" si="31">(H50-C50)/C50</f>
        <v>-4.7135038534569421E-2</v>
      </c>
      <c r="J50" s="5">
        <v>18317</v>
      </c>
      <c r="K50" s="23">
        <f t="shared" ref="K50:K58" si="32">(J50-D50)/D50</f>
        <v>7.8358648298598843E-2</v>
      </c>
      <c r="L50" s="5">
        <v>20894</v>
      </c>
      <c r="M50" s="23">
        <f t="shared" ref="M50:M58" si="33">(L50-E50)/E50</f>
        <v>0.24361645140170227</v>
      </c>
      <c r="N50" s="5">
        <v>18709</v>
      </c>
      <c r="O50" s="23">
        <f t="shared" ref="O50:O58" si="34">(N50-F50)/F50</f>
        <v>0.11059005105069453</v>
      </c>
      <c r="P50" s="5">
        <v>19669</v>
      </c>
      <c r="Q50" s="23">
        <f t="shared" ref="Q50:Q58" si="35">(P50-H50)/H50</f>
        <v>0.15279568632047827</v>
      </c>
      <c r="R50" s="5">
        <v>20858</v>
      </c>
      <c r="S50" s="23">
        <f t="shared" ref="S50:S58" si="36">(R50-J50)/J50</f>
        <v>0.13872359010755037</v>
      </c>
      <c r="T50" s="5">
        <v>20213</v>
      </c>
      <c r="U50" s="23">
        <f t="shared" ref="U50:U58" si="37">(T50-L50)/L50</f>
        <v>-3.2593088925050251E-2</v>
      </c>
      <c r="V50" s="5">
        <v>18149</v>
      </c>
      <c r="W50" s="23">
        <f t="shared" ref="W50:W58" si="38">(V50-N50)/N50</f>
        <v>-2.9932118231867016E-2</v>
      </c>
      <c r="X50" s="5">
        <v>18591</v>
      </c>
      <c r="Y50" s="23">
        <f t="shared" ref="Y50:Y58" si="39">(X50-P50)/P50</f>
        <v>-5.480705678987239E-2</v>
      </c>
    </row>
    <row r="51" spans="1:25" x14ac:dyDescent="0.2">
      <c r="A51" s="13" t="s">
        <v>54</v>
      </c>
      <c r="B51" s="5">
        <v>10018</v>
      </c>
      <c r="C51" s="5">
        <v>12676</v>
      </c>
      <c r="D51" s="5">
        <v>10224</v>
      </c>
      <c r="E51" s="5">
        <v>5711</v>
      </c>
      <c r="F51" s="5">
        <v>5397</v>
      </c>
      <c r="G51" s="23">
        <f t="shared" si="3"/>
        <v>-0.46126971451387505</v>
      </c>
      <c r="H51" s="5">
        <v>5243</v>
      </c>
      <c r="I51" s="23">
        <f t="shared" si="31"/>
        <v>-0.58638371726096561</v>
      </c>
      <c r="J51" s="5">
        <v>4728</v>
      </c>
      <c r="K51" s="23">
        <f t="shared" si="32"/>
        <v>-0.53755868544600938</v>
      </c>
      <c r="L51" s="5">
        <v>5866</v>
      </c>
      <c r="M51" s="23">
        <f t="shared" si="33"/>
        <v>2.7140605848362809E-2</v>
      </c>
      <c r="N51" s="5">
        <v>6783</v>
      </c>
      <c r="O51" s="23">
        <f t="shared" si="34"/>
        <v>0.25680933852140075</v>
      </c>
      <c r="P51" s="5">
        <v>5399</v>
      </c>
      <c r="Q51" s="23">
        <f t="shared" si="35"/>
        <v>2.9753957657829486E-2</v>
      </c>
      <c r="R51" s="5">
        <v>5580</v>
      </c>
      <c r="S51" s="23">
        <f t="shared" si="36"/>
        <v>0.1802030456852792</v>
      </c>
      <c r="T51" s="5">
        <v>3070</v>
      </c>
      <c r="U51" s="23">
        <f t="shared" si="37"/>
        <v>-0.47664507330378453</v>
      </c>
      <c r="V51" s="5">
        <v>3249</v>
      </c>
      <c r="W51" s="23">
        <f t="shared" si="38"/>
        <v>-0.52100840336134457</v>
      </c>
      <c r="X51" s="5">
        <v>3452</v>
      </c>
      <c r="Y51" s="23">
        <f t="shared" si="39"/>
        <v>-0.36062233746990185</v>
      </c>
    </row>
    <row r="52" spans="1:25" x14ac:dyDescent="0.2">
      <c r="A52" s="13" t="s">
        <v>55</v>
      </c>
      <c r="B52" s="5">
        <v>5024</v>
      </c>
      <c r="C52" s="5">
        <v>4891</v>
      </c>
      <c r="D52" s="5">
        <v>3707</v>
      </c>
      <c r="E52" s="5">
        <v>4116</v>
      </c>
      <c r="F52" s="5">
        <v>4303</v>
      </c>
      <c r="G52" s="23">
        <f t="shared" si="3"/>
        <v>-0.14351114649681529</v>
      </c>
      <c r="H52" s="5">
        <v>4337</v>
      </c>
      <c r="I52" s="23">
        <f t="shared" si="31"/>
        <v>-0.11326927008791658</v>
      </c>
      <c r="J52" s="5">
        <v>4368</v>
      </c>
      <c r="K52" s="23">
        <f t="shared" si="32"/>
        <v>0.17831130294038305</v>
      </c>
      <c r="L52" s="5">
        <v>4317</v>
      </c>
      <c r="M52" s="23">
        <f t="shared" si="33"/>
        <v>4.8833819241982504E-2</v>
      </c>
      <c r="N52" s="5">
        <v>4545</v>
      </c>
      <c r="O52" s="23">
        <f t="shared" si="34"/>
        <v>5.623983267487799E-2</v>
      </c>
      <c r="P52" s="5">
        <v>4533</v>
      </c>
      <c r="Q52" s="23">
        <f t="shared" si="35"/>
        <v>4.5192529398201522E-2</v>
      </c>
      <c r="R52" s="5">
        <v>4266</v>
      </c>
      <c r="S52" s="23">
        <f t="shared" si="36"/>
        <v>-2.3351648351648352E-2</v>
      </c>
      <c r="T52" s="5">
        <v>5790</v>
      </c>
      <c r="U52" s="23">
        <f t="shared" si="37"/>
        <v>0.34120917303683113</v>
      </c>
      <c r="V52" s="5">
        <v>5672</v>
      </c>
      <c r="W52" s="23">
        <f t="shared" si="38"/>
        <v>0.24796479647964798</v>
      </c>
      <c r="X52" s="5">
        <v>6013</v>
      </c>
      <c r="Y52" s="23">
        <f t="shared" si="39"/>
        <v>0.32649459519082286</v>
      </c>
    </row>
    <row r="53" spans="1:25" s="9" customFormat="1" x14ac:dyDescent="0.2">
      <c r="A53" s="15" t="s">
        <v>44</v>
      </c>
      <c r="B53" s="9">
        <f t="shared" ref="B53:V53" si="40">SUM(B50:B52)</f>
        <v>34797</v>
      </c>
      <c r="C53" s="9">
        <f t="shared" si="40"/>
        <v>35473</v>
      </c>
      <c r="D53" s="9">
        <f t="shared" si="40"/>
        <v>30917</v>
      </c>
      <c r="E53" s="9">
        <f t="shared" si="40"/>
        <v>26628</v>
      </c>
      <c r="F53" s="9">
        <f t="shared" si="40"/>
        <v>26546</v>
      </c>
      <c r="G53" s="23">
        <f t="shared" si="3"/>
        <v>-0.23711814236859499</v>
      </c>
      <c r="H53" s="9">
        <f t="shared" si="40"/>
        <v>26642</v>
      </c>
      <c r="I53" s="23">
        <f t="shared" si="31"/>
        <v>-0.24894990556197671</v>
      </c>
      <c r="J53" s="9">
        <f t="shared" si="40"/>
        <v>27413</v>
      </c>
      <c r="K53" s="23">
        <f t="shared" si="32"/>
        <v>-0.11333570527541482</v>
      </c>
      <c r="L53" s="9">
        <f t="shared" si="40"/>
        <v>31077</v>
      </c>
      <c r="M53" s="23">
        <f t="shared" si="33"/>
        <v>0.1670797656602073</v>
      </c>
      <c r="N53" s="9">
        <f t="shared" si="40"/>
        <v>30037</v>
      </c>
      <c r="O53" s="23">
        <f t="shared" si="34"/>
        <v>0.13150757176222405</v>
      </c>
      <c r="P53" s="9">
        <f t="shared" si="40"/>
        <v>29601</v>
      </c>
      <c r="Q53" s="23">
        <f t="shared" si="35"/>
        <v>0.11106523534269198</v>
      </c>
      <c r="R53" s="9">
        <f t="shared" si="40"/>
        <v>30704</v>
      </c>
      <c r="S53" s="23">
        <f t="shared" si="36"/>
        <v>0.12005252982161749</v>
      </c>
      <c r="T53" s="9">
        <f t="shared" si="40"/>
        <v>29073</v>
      </c>
      <c r="U53" s="23">
        <f t="shared" si="37"/>
        <v>-6.4484988898542331E-2</v>
      </c>
      <c r="V53" s="9">
        <f t="shared" si="40"/>
        <v>27070</v>
      </c>
      <c r="W53" s="23">
        <f t="shared" si="38"/>
        <v>-9.8778173585910706E-2</v>
      </c>
      <c r="X53" s="9">
        <f>SUM(X50:X52)</f>
        <v>28056</v>
      </c>
      <c r="Y53" s="23">
        <f t="shared" si="39"/>
        <v>-5.219418262896524E-2</v>
      </c>
    </row>
    <row r="54" spans="1:25" x14ac:dyDescent="0.2">
      <c r="A54" s="11" t="s">
        <v>56</v>
      </c>
      <c r="B54" s="5">
        <v>38057</v>
      </c>
      <c r="C54" s="5">
        <v>42770</v>
      </c>
      <c r="D54" s="5">
        <v>54917</v>
      </c>
      <c r="E54" s="5">
        <v>52917</v>
      </c>
      <c r="F54" s="5">
        <v>52878</v>
      </c>
      <c r="G54" s="23">
        <f t="shared" si="3"/>
        <v>0.38944215256063275</v>
      </c>
      <c r="H54" s="5">
        <v>50903</v>
      </c>
      <c r="I54" s="23">
        <f t="shared" si="31"/>
        <v>0.19015665185877953</v>
      </c>
      <c r="J54" s="5">
        <v>51110</v>
      </c>
      <c r="K54" s="23">
        <f t="shared" si="32"/>
        <v>-6.9322796219749808E-2</v>
      </c>
      <c r="L54" s="5">
        <v>48540</v>
      </c>
      <c r="M54" s="23">
        <f t="shared" si="33"/>
        <v>-8.2714439594081299E-2</v>
      </c>
      <c r="N54" s="5">
        <v>47349</v>
      </c>
      <c r="O54" s="23">
        <f t="shared" si="34"/>
        <v>-0.10456144332236469</v>
      </c>
      <c r="P54" s="5">
        <v>46624</v>
      </c>
      <c r="Q54" s="23">
        <f t="shared" si="35"/>
        <v>-8.4061843113372489E-2</v>
      </c>
      <c r="R54" s="5">
        <v>46022</v>
      </c>
      <c r="S54" s="23">
        <f t="shared" si="36"/>
        <v>-9.9549990217178641E-2</v>
      </c>
      <c r="T54" s="5">
        <v>45299</v>
      </c>
      <c r="U54" s="23">
        <f t="shared" si="37"/>
        <v>-6.6769674495261638E-2</v>
      </c>
      <c r="V54" s="5">
        <v>45128</v>
      </c>
      <c r="W54" s="23">
        <f t="shared" si="38"/>
        <v>-4.6907009651734992E-2</v>
      </c>
      <c r="X54" s="5">
        <v>45066</v>
      </c>
      <c r="Y54" s="23">
        <f t="shared" si="39"/>
        <v>-3.3416266300617704E-2</v>
      </c>
    </row>
    <row r="55" spans="1:25" x14ac:dyDescent="0.2">
      <c r="A55" s="11" t="s">
        <v>57</v>
      </c>
      <c r="B55" s="5">
        <v>8364</v>
      </c>
      <c r="C55" s="5">
        <v>7965</v>
      </c>
      <c r="D55" s="5">
        <v>7055</v>
      </c>
      <c r="E55" s="5">
        <v>7288</v>
      </c>
      <c r="F55" s="5">
        <v>7201</v>
      </c>
      <c r="G55" s="23">
        <f t="shared" si="3"/>
        <v>-0.13904830224772835</v>
      </c>
      <c r="H55" s="5">
        <v>6894</v>
      </c>
      <c r="I55" s="23">
        <f t="shared" si="31"/>
        <v>-0.13446327683615819</v>
      </c>
      <c r="J55" s="5">
        <v>6835</v>
      </c>
      <c r="K55" s="23">
        <f t="shared" si="32"/>
        <v>-3.1183557760453579E-2</v>
      </c>
      <c r="L55" s="5">
        <v>7246</v>
      </c>
      <c r="M55" s="23">
        <f t="shared" si="33"/>
        <v>-5.7628979143798022E-3</v>
      </c>
      <c r="N55" s="5">
        <v>8124</v>
      </c>
      <c r="O55" s="23">
        <f t="shared" si="34"/>
        <v>0.12817664213303709</v>
      </c>
      <c r="P55" s="5">
        <v>8407</v>
      </c>
      <c r="Q55" s="23">
        <f t="shared" si="35"/>
        <v>0.21946620249492313</v>
      </c>
      <c r="R55" s="5">
        <v>8034</v>
      </c>
      <c r="S55" s="23">
        <f t="shared" si="36"/>
        <v>0.17542062911485004</v>
      </c>
      <c r="T55" s="5">
        <v>8363</v>
      </c>
      <c r="U55" s="23">
        <f t="shared" si="37"/>
        <v>0.15415401600883247</v>
      </c>
      <c r="V55" s="5">
        <v>8236</v>
      </c>
      <c r="W55" s="23">
        <f t="shared" si="38"/>
        <v>1.3786312161496799E-2</v>
      </c>
      <c r="X55" s="5">
        <v>8814</v>
      </c>
      <c r="Y55" s="23">
        <f t="shared" si="39"/>
        <v>4.8412037587724513E-2</v>
      </c>
    </row>
    <row r="56" spans="1:25" x14ac:dyDescent="0.2">
      <c r="A56" s="11" t="s">
        <v>58</v>
      </c>
      <c r="B56" s="5">
        <v>15928</v>
      </c>
      <c r="C56" s="5">
        <v>16113</v>
      </c>
      <c r="D56" s="5">
        <v>15855</v>
      </c>
      <c r="E56" s="5">
        <v>17204</v>
      </c>
      <c r="F56" s="5">
        <v>17205</v>
      </c>
      <c r="G56" s="23">
        <f t="shared" si="3"/>
        <v>8.0173279758915111E-2</v>
      </c>
      <c r="H56" s="5">
        <v>16615</v>
      </c>
      <c r="I56" s="23">
        <f t="shared" si="31"/>
        <v>3.1154968038230001E-2</v>
      </c>
      <c r="J56" s="5">
        <v>16249</v>
      </c>
      <c r="K56" s="23">
        <f t="shared" si="32"/>
        <v>2.4850204982655315E-2</v>
      </c>
      <c r="L56" s="5">
        <v>14522</v>
      </c>
      <c r="M56" s="23">
        <f t="shared" si="33"/>
        <v>-0.15589397814461753</v>
      </c>
      <c r="N56" s="5">
        <v>14208</v>
      </c>
      <c r="O56" s="23">
        <f t="shared" si="34"/>
        <v>-0.17419354838709677</v>
      </c>
      <c r="P56" s="5">
        <v>13808</v>
      </c>
      <c r="Q56" s="23">
        <f t="shared" si="35"/>
        <v>-0.16894372554920253</v>
      </c>
      <c r="R56" s="5">
        <v>13456</v>
      </c>
      <c r="S56" s="23">
        <f t="shared" si="36"/>
        <v>-0.17188750076927811</v>
      </c>
      <c r="T56" s="5">
        <v>12518</v>
      </c>
      <c r="U56" s="23">
        <f t="shared" si="37"/>
        <v>-0.13799752100261672</v>
      </c>
      <c r="V56" s="5">
        <v>12812</v>
      </c>
      <c r="W56" s="23">
        <f t="shared" si="38"/>
        <v>-9.82545045045045E-2</v>
      </c>
      <c r="X56" s="5">
        <v>13232</v>
      </c>
      <c r="Y56" s="23">
        <f t="shared" si="39"/>
        <v>-4.1714947856315181E-2</v>
      </c>
    </row>
    <row r="57" spans="1:25" x14ac:dyDescent="0.2">
      <c r="A57" s="11" t="s">
        <v>59</v>
      </c>
      <c r="B57" s="5">
        <v>9029</v>
      </c>
      <c r="C57" s="5">
        <v>9096</v>
      </c>
      <c r="D57" s="5">
        <v>9162</v>
      </c>
      <c r="E57" s="5">
        <v>9249</v>
      </c>
      <c r="F57" s="5">
        <v>9330</v>
      </c>
      <c r="G57" s="23">
        <f t="shared" si="3"/>
        <v>3.3337025141211653E-2</v>
      </c>
      <c r="H57" s="5">
        <v>9410</v>
      </c>
      <c r="I57" s="23">
        <f t="shared" si="31"/>
        <v>3.4520668425681619E-2</v>
      </c>
      <c r="J57" s="5">
        <v>9492</v>
      </c>
      <c r="K57" s="23">
        <f t="shared" si="32"/>
        <v>3.6018336607727568E-2</v>
      </c>
      <c r="L57" s="5">
        <v>9213</v>
      </c>
      <c r="M57" s="23">
        <f t="shared" si="33"/>
        <v>-3.8923126824521571E-3</v>
      </c>
      <c r="N57" s="5">
        <v>9283</v>
      </c>
      <c r="O57" s="23">
        <f t="shared" si="34"/>
        <v>-5.0375133976420152E-3</v>
      </c>
      <c r="P57" s="5">
        <v>9354</v>
      </c>
      <c r="Q57" s="23">
        <f t="shared" si="35"/>
        <v>-5.951115834218916E-3</v>
      </c>
      <c r="R57" s="5">
        <v>9425</v>
      </c>
      <c r="S57" s="23">
        <f t="shared" si="36"/>
        <v>-7.0585756426464388E-3</v>
      </c>
      <c r="T57" s="5">
        <v>9499</v>
      </c>
      <c r="U57" s="23">
        <f t="shared" si="37"/>
        <v>3.1043091284055139E-2</v>
      </c>
      <c r="V57" s="5">
        <v>8743</v>
      </c>
      <c r="W57" s="23">
        <f t="shared" si="38"/>
        <v>-5.8170849940751911E-2</v>
      </c>
      <c r="X57" s="5">
        <v>8814</v>
      </c>
      <c r="Y57" s="23">
        <f t="shared" si="39"/>
        <v>-5.7729313662604233E-2</v>
      </c>
    </row>
    <row r="58" spans="1:25" s="9" customFormat="1" x14ac:dyDescent="0.2">
      <c r="A58" s="15" t="s">
        <v>60</v>
      </c>
      <c r="B58" s="9">
        <f t="shared" ref="B58:V58" si="41">SUM(B53:B57)</f>
        <v>106175</v>
      </c>
      <c r="C58" s="9">
        <f t="shared" si="41"/>
        <v>111417</v>
      </c>
      <c r="D58" s="9">
        <f t="shared" si="41"/>
        <v>117906</v>
      </c>
      <c r="E58" s="9">
        <f t="shared" si="41"/>
        <v>113286</v>
      </c>
      <c r="F58" s="9">
        <f t="shared" si="41"/>
        <v>113160</v>
      </c>
      <c r="G58" s="23">
        <f t="shared" si="3"/>
        <v>6.5787614786908408E-2</v>
      </c>
      <c r="H58" s="9">
        <f t="shared" si="41"/>
        <v>110464</v>
      </c>
      <c r="I58" s="23">
        <f t="shared" si="31"/>
        <v>-8.5534523456923094E-3</v>
      </c>
      <c r="J58" s="9">
        <f t="shared" si="41"/>
        <v>111099</v>
      </c>
      <c r="K58" s="23">
        <f t="shared" si="32"/>
        <v>-5.7732430919546079E-2</v>
      </c>
      <c r="L58" s="9">
        <f t="shared" si="41"/>
        <v>110598</v>
      </c>
      <c r="M58" s="23">
        <f t="shared" si="33"/>
        <v>-2.3727556803135427E-2</v>
      </c>
      <c r="N58" s="9">
        <f t="shared" si="41"/>
        <v>109001</v>
      </c>
      <c r="O58" s="23">
        <f t="shared" si="34"/>
        <v>-3.6753269706610109E-2</v>
      </c>
      <c r="P58" s="9">
        <f t="shared" si="41"/>
        <v>107794</v>
      </c>
      <c r="Q58" s="23">
        <f t="shared" si="35"/>
        <v>-2.4170770567786791E-2</v>
      </c>
      <c r="R58" s="9">
        <f t="shared" si="41"/>
        <v>107641</v>
      </c>
      <c r="S58" s="23">
        <f t="shared" si="36"/>
        <v>-3.1125392667800789E-2</v>
      </c>
      <c r="T58" s="9">
        <f t="shared" si="41"/>
        <v>104752</v>
      </c>
      <c r="U58" s="23">
        <f t="shared" si="37"/>
        <v>-5.2858098699795658E-2</v>
      </c>
      <c r="V58" s="9">
        <f t="shared" si="41"/>
        <v>101989</v>
      </c>
      <c r="W58" s="23">
        <f t="shared" si="38"/>
        <v>-6.4329685048761021E-2</v>
      </c>
      <c r="X58" s="9">
        <f>SUM(X53:X57)</f>
        <v>103982</v>
      </c>
      <c r="Y58" s="23">
        <f t="shared" si="39"/>
        <v>-3.5363749373805591E-2</v>
      </c>
    </row>
    <row r="59" spans="1:25" x14ac:dyDescent="0.2">
      <c r="G59" s="23"/>
      <c r="I59" s="23"/>
      <c r="K59" s="23"/>
      <c r="M59" s="23"/>
      <c r="O59" s="23"/>
      <c r="Q59" s="23"/>
      <c r="S59" s="23"/>
      <c r="U59" s="23"/>
      <c r="W59" s="23"/>
      <c r="Y59" s="23"/>
    </row>
    <row r="60" spans="1:25" x14ac:dyDescent="0.2">
      <c r="A60" s="19" t="s">
        <v>67</v>
      </c>
      <c r="B60" s="20">
        <v>26.5</v>
      </c>
      <c r="C60" s="20">
        <v>33.5</v>
      </c>
      <c r="D60" s="20">
        <v>57.5</v>
      </c>
      <c r="E60" s="20">
        <v>73.7</v>
      </c>
      <c r="F60" s="20">
        <v>94.9</v>
      </c>
      <c r="G60" s="23">
        <f t="shared" si="3"/>
        <v>2.5811320754716984</v>
      </c>
      <c r="H60" s="20">
        <v>103.6</v>
      </c>
      <c r="I60" s="23">
        <f>(H60-C60)/C60</f>
        <v>2.0925373134328358</v>
      </c>
      <c r="J60" s="20">
        <v>116</v>
      </c>
      <c r="K60" s="23">
        <f>(J60-D60)/D60</f>
        <v>1.017391304347826</v>
      </c>
      <c r="L60" s="20">
        <v>118.1</v>
      </c>
      <c r="M60" s="23">
        <f>(L60-E60)/E60</f>
        <v>0.60244233378561718</v>
      </c>
      <c r="N60" s="20">
        <v>129.80000000000001</v>
      </c>
      <c r="O60" s="23">
        <f>(N60-F60)/F60</f>
        <v>0.36775553213909384</v>
      </c>
      <c r="P60" s="20">
        <v>137.69999999999999</v>
      </c>
      <c r="Q60" s="23">
        <f>(P60-H60)/H60</f>
        <v>0.3291505791505791</v>
      </c>
      <c r="R60" s="20">
        <v>152.1</v>
      </c>
      <c r="S60" s="23">
        <f>(R60-J60)/J60</f>
        <v>0.31120689655172407</v>
      </c>
      <c r="T60" s="20">
        <v>164.2</v>
      </c>
      <c r="U60" s="23">
        <f>(T60-L60)/L60</f>
        <v>0.39034716342082976</v>
      </c>
      <c r="V60" s="20">
        <v>161.80000000000001</v>
      </c>
      <c r="W60" s="23">
        <f>(V60-N60)/N60</f>
        <v>0.24653312788906007</v>
      </c>
      <c r="X60" s="20">
        <v>157.80000000000001</v>
      </c>
      <c r="Y60" s="23">
        <f>(X60-P60)/P60</f>
        <v>0.14596949891067557</v>
      </c>
    </row>
    <row r="61" spans="1:25" x14ac:dyDescent="0.2">
      <c r="A61" s="19" t="s">
        <v>66</v>
      </c>
      <c r="B61" s="20">
        <v>6.6</v>
      </c>
      <c r="C61" s="20">
        <v>8</v>
      </c>
      <c r="D61" s="20">
        <v>8.5</v>
      </c>
      <c r="E61" s="20">
        <v>10.3</v>
      </c>
      <c r="F61" s="20">
        <v>12.1</v>
      </c>
      <c r="G61" s="23">
        <f t="shared" si="3"/>
        <v>0.83333333333333337</v>
      </c>
      <c r="H61" s="20">
        <v>13.8</v>
      </c>
      <c r="I61" s="23">
        <f>(H61-C61)/C61</f>
        <v>0.72500000000000009</v>
      </c>
      <c r="J61" s="20">
        <v>14.9</v>
      </c>
      <c r="K61" s="23">
        <f>(J61-D61)/D61</f>
        <v>0.75294117647058822</v>
      </c>
      <c r="L61" s="20">
        <v>17.100000000000001</v>
      </c>
      <c r="M61" s="23">
        <f>(L61-E61)/E61</f>
        <v>0.66019417475728159</v>
      </c>
      <c r="N61" s="20">
        <v>21.3</v>
      </c>
      <c r="O61" s="23">
        <f>(N61-F61)/F61</f>
        <v>0.76033057851239683</v>
      </c>
      <c r="P61" s="20">
        <v>22.3</v>
      </c>
      <c r="Q61" s="23">
        <f>(P61-H61)/H61</f>
        <v>0.61594202898550721</v>
      </c>
      <c r="R61" s="20">
        <v>22.8</v>
      </c>
      <c r="S61" s="23">
        <f>(R61-J61)/J61</f>
        <v>0.53020134228187921</v>
      </c>
      <c r="T61" s="20">
        <v>24.3</v>
      </c>
      <c r="U61" s="23">
        <f>(T61-L61)/L61</f>
        <v>0.42105263157894729</v>
      </c>
      <c r="V61" s="20">
        <v>24.9</v>
      </c>
      <c r="W61" s="23">
        <f>(V61-N61)/N61</f>
        <v>0.16901408450704214</v>
      </c>
      <c r="X61" s="20">
        <v>25.3</v>
      </c>
      <c r="Y61" s="23">
        <f>(X61-P61)/P61</f>
        <v>0.13452914798206278</v>
      </c>
    </row>
    <row r="62" spans="1:25" x14ac:dyDescent="0.2">
      <c r="A62" s="19" t="s">
        <v>65</v>
      </c>
      <c r="B62" s="20">
        <v>30.4</v>
      </c>
      <c r="C62" s="20">
        <v>32.1</v>
      </c>
      <c r="D62" s="20">
        <v>35.5</v>
      </c>
      <c r="E62" s="20">
        <v>36.6</v>
      </c>
      <c r="F62" s="20">
        <v>39.4</v>
      </c>
      <c r="G62" s="23">
        <f t="shared" si="3"/>
        <v>0.2960526315789474</v>
      </c>
      <c r="H62" s="20">
        <v>41.6</v>
      </c>
      <c r="I62" s="23">
        <f>(H62-C62)/C62</f>
        <v>0.29595015576323985</v>
      </c>
      <c r="J62" s="20">
        <v>42.8</v>
      </c>
      <c r="K62" s="23">
        <f>(J62-D62)/D62</f>
        <v>0.20563380281690133</v>
      </c>
      <c r="L62" s="20">
        <v>43.8</v>
      </c>
      <c r="M62" s="23">
        <f>(L62-E62)/E62</f>
        <v>0.19672131147540972</v>
      </c>
      <c r="N62" s="20">
        <v>45.3</v>
      </c>
      <c r="O62" s="23">
        <f>(N62-F62)/F62</f>
        <v>0.14974619289340099</v>
      </c>
      <c r="P62" s="20">
        <v>45.6</v>
      </c>
      <c r="Q62" s="23">
        <f>(P62-H62)/H62</f>
        <v>9.6153846153846145E-2</v>
      </c>
      <c r="R62" s="20">
        <v>46.2</v>
      </c>
      <c r="S62" s="23">
        <f>(R62-J62)/J62</f>
        <v>7.9439252336448732E-2</v>
      </c>
      <c r="T62" s="20">
        <v>47.2</v>
      </c>
      <c r="U62" s="23">
        <f>(T62-L62)/L62</f>
        <v>7.7625570776255842E-2</v>
      </c>
      <c r="V62" s="20">
        <v>22.3</v>
      </c>
      <c r="W62" s="23">
        <f>(V62-N62)/N62</f>
        <v>-0.50772626931567322</v>
      </c>
      <c r="X62" s="20">
        <v>48.2</v>
      </c>
      <c r="Y62" s="23">
        <f>(X62-P62)/P62</f>
        <v>5.7017543859649154E-2</v>
      </c>
    </row>
    <row r="63" spans="1:25" x14ac:dyDescent="0.2">
      <c r="G63" s="23"/>
      <c r="I63" s="23"/>
      <c r="K63" s="23"/>
      <c r="M63" s="23"/>
      <c r="O63" s="23"/>
      <c r="Q63" s="23"/>
      <c r="S63" s="23"/>
      <c r="U63" s="23"/>
      <c r="W63" s="23"/>
      <c r="Y63" s="23"/>
    </row>
    <row r="64" spans="1:25" s="9" customFormat="1" x14ac:dyDescent="0.2">
      <c r="A64" s="8" t="s">
        <v>61</v>
      </c>
      <c r="B64" s="9">
        <f t="shared" ref="B64:V64" si="42">B46-B58</f>
        <v>94773</v>
      </c>
      <c r="C64" s="9">
        <f t="shared" si="42"/>
        <v>94877</v>
      </c>
      <c r="D64" s="9">
        <f t="shared" si="42"/>
        <v>89743</v>
      </c>
      <c r="E64" s="9">
        <f t="shared" si="42"/>
        <v>88263</v>
      </c>
      <c r="F64" s="9">
        <f t="shared" si="42"/>
        <v>88728</v>
      </c>
      <c r="G64" s="23">
        <f t="shared" si="3"/>
        <v>-6.3783989110822698E-2</v>
      </c>
      <c r="H64" s="9">
        <f t="shared" si="42"/>
        <v>89786</v>
      </c>
      <c r="I64" s="23">
        <f t="shared" ref="I64:I70" si="43">(H64-C64)/C64</f>
        <v>-5.3658947900966515E-2</v>
      </c>
      <c r="J64" s="9">
        <f t="shared" si="42"/>
        <v>91122</v>
      </c>
      <c r="K64" s="23">
        <f t="shared" ref="K64:K70" si="44">(J64-D64)/D64</f>
        <v>1.5366100977234993E-2</v>
      </c>
      <c r="L64" s="9">
        <f t="shared" si="42"/>
        <v>93011</v>
      </c>
      <c r="M64" s="23">
        <f t="shared" ref="M64:M70" si="45">(L64-E64)/E64</f>
        <v>5.3793775421184416E-2</v>
      </c>
      <c r="N64" s="9">
        <f t="shared" si="42"/>
        <v>94310</v>
      </c>
      <c r="O64" s="23">
        <f t="shared" ref="O64:O70" si="46">(N64-F64)/F64</f>
        <v>6.2911369578937879E-2</v>
      </c>
      <c r="P64" s="9">
        <f t="shared" si="42"/>
        <v>94659</v>
      </c>
      <c r="Q64" s="23">
        <f t="shared" ref="Q64:Q70" si="47">(P64-H64)/H64</f>
        <v>5.4273494754193304E-2</v>
      </c>
      <c r="R64" s="9">
        <f t="shared" si="42"/>
        <v>96433</v>
      </c>
      <c r="S64" s="23">
        <f t="shared" ref="S64:S70" si="48">(R64-J64)/J64</f>
        <v>5.8284497706371681E-2</v>
      </c>
      <c r="T64" s="9">
        <f t="shared" si="42"/>
        <v>98879</v>
      </c>
      <c r="U64" s="23">
        <f t="shared" ref="U64:U70" si="49">(T64-L64)/L64</f>
        <v>6.3089312016858218E-2</v>
      </c>
      <c r="V64" s="9">
        <f t="shared" si="42"/>
        <v>100135</v>
      </c>
      <c r="W64" s="23">
        <f t="shared" ref="W64:W70" si="50">(V64-N64)/N64</f>
        <v>6.1764394019722189E-2</v>
      </c>
      <c r="X64" s="9">
        <f>X46-X58</f>
        <v>100876</v>
      </c>
      <c r="Y64" s="23">
        <f t="shared" ref="Y64:Y70" si="51">(X64-P64)/P64</f>
        <v>6.5677854192416993E-2</v>
      </c>
    </row>
    <row r="65" spans="1:25" x14ac:dyDescent="0.2">
      <c r="A65" s="7" t="s">
        <v>62</v>
      </c>
      <c r="B65" s="5">
        <f t="shared" ref="B65:V65" si="52">B7-B8+B9</f>
        <v>302526.60000000003</v>
      </c>
      <c r="C65" s="5">
        <f t="shared" si="52"/>
        <v>216169.40000000002</v>
      </c>
      <c r="D65" s="5">
        <f t="shared" si="52"/>
        <v>239333.62999999998</v>
      </c>
      <c r="E65" s="5">
        <f t="shared" si="52"/>
        <v>262555.59999999998</v>
      </c>
      <c r="F65" s="5">
        <f t="shared" si="52"/>
        <v>365172.33</v>
      </c>
      <c r="G65" s="23">
        <f t="shared" si="3"/>
        <v>0.20707511339498733</v>
      </c>
      <c r="H65" s="5">
        <f t="shared" si="52"/>
        <v>386211.35000000003</v>
      </c>
      <c r="I65" s="23">
        <f t="shared" si="43"/>
        <v>0.7866143404200594</v>
      </c>
      <c r="J65" s="5">
        <f t="shared" si="52"/>
        <v>364062.3</v>
      </c>
      <c r="K65" s="23">
        <f t="shared" si="44"/>
        <v>0.52114978576140769</v>
      </c>
      <c r="L65" s="5">
        <f t="shared" si="52"/>
        <v>360339.52</v>
      </c>
      <c r="M65" s="23">
        <f t="shared" si="45"/>
        <v>0.37243128693503413</v>
      </c>
      <c r="N65" s="5">
        <f t="shared" si="52"/>
        <v>326501.2</v>
      </c>
      <c r="O65" s="23">
        <f t="shared" si="46"/>
        <v>-0.10589830286429425</v>
      </c>
      <c r="P65" s="5">
        <f t="shared" si="52"/>
        <v>289717.12</v>
      </c>
      <c r="Q65" s="23">
        <f t="shared" si="47"/>
        <v>-0.24984825018736512</v>
      </c>
      <c r="R65" s="5">
        <f t="shared" si="52"/>
        <v>214007.25</v>
      </c>
      <c r="S65" s="23">
        <f t="shared" si="48"/>
        <v>-0.41216860410979106</v>
      </c>
      <c r="T65" s="5">
        <f t="shared" si="52"/>
        <v>214082.62</v>
      </c>
      <c r="U65" s="23">
        <f t="shared" si="49"/>
        <v>-0.40588637072059158</v>
      </c>
      <c r="V65" s="5">
        <f t="shared" si="52"/>
        <v>198709.84</v>
      </c>
      <c r="W65" s="23">
        <f t="shared" si="50"/>
        <v>-0.3913962950212741</v>
      </c>
      <c r="X65" s="5">
        <f>X7-X8+X9</f>
        <v>221530.27</v>
      </c>
      <c r="Y65" s="23">
        <f t="shared" si="51"/>
        <v>-0.23535664720124239</v>
      </c>
    </row>
    <row r="66" spans="1:25" x14ac:dyDescent="0.2">
      <c r="A66" s="7" t="s">
        <v>63</v>
      </c>
      <c r="B66" s="16">
        <f t="shared" ref="B66:V66" si="53">(B29+B30)/B6</f>
        <v>1.173913043478261</v>
      </c>
      <c r="C66" s="16">
        <f t="shared" si="53"/>
        <v>0.26156387665198239</v>
      </c>
      <c r="D66" s="16">
        <f t="shared" si="53"/>
        <v>-2.6080707573244886</v>
      </c>
      <c r="E66" s="16">
        <f t="shared" si="53"/>
        <v>-0.39933628318584069</v>
      </c>
      <c r="F66" s="16">
        <f t="shared" si="53"/>
        <v>1.5907844212835986E-2</v>
      </c>
      <c r="G66" s="23">
        <f t="shared" si="3"/>
        <v>-0.98644887344832488</v>
      </c>
      <c r="H66" s="16">
        <f t="shared" si="53"/>
        <v>0.49863313285948607</v>
      </c>
      <c r="I66" s="23">
        <f t="shared" si="43"/>
        <v>0.90635319846910878</v>
      </c>
      <c r="J66" s="16">
        <f t="shared" si="53"/>
        <v>0.50437158469945353</v>
      </c>
      <c r="K66" s="23">
        <f t="shared" si="44"/>
        <v>-1.1933887657315201</v>
      </c>
      <c r="L66" s="16">
        <f t="shared" si="53"/>
        <v>8.5339168490153175E-2</v>
      </c>
      <c r="M66" s="23">
        <f t="shared" si="45"/>
        <v>-1.2137025161083059</v>
      </c>
      <c r="N66" s="16">
        <f t="shared" si="53"/>
        <v>0.63019693654266962</v>
      </c>
      <c r="O66" s="23">
        <f t="shared" si="46"/>
        <v>38.615483286802991</v>
      </c>
      <c r="P66" s="16">
        <f t="shared" si="53"/>
        <v>0.25711159737417943</v>
      </c>
      <c r="Q66" s="23">
        <f t="shared" si="47"/>
        <v>-0.48436720219586166</v>
      </c>
      <c r="R66" s="16">
        <f t="shared" si="53"/>
        <v>0.77205479452054793</v>
      </c>
      <c r="S66" s="23">
        <f t="shared" si="48"/>
        <v>0.53072619065287407</v>
      </c>
      <c r="T66" s="16">
        <f t="shared" si="53"/>
        <v>8.8669950738916259E-2</v>
      </c>
      <c r="U66" s="23">
        <f t="shared" si="49"/>
        <v>3.9029935581659729E-2</v>
      </c>
      <c r="V66" s="16">
        <f t="shared" si="53"/>
        <v>0.70005473453749312</v>
      </c>
      <c r="W66" s="23">
        <f t="shared" si="50"/>
        <v>0.11085074195706368</v>
      </c>
      <c r="X66" s="16">
        <f>(X29+X30)/X6</f>
        <v>0.69415619879847079</v>
      </c>
      <c r="Y66" s="23">
        <f t="shared" si="51"/>
        <v>1.6998245349012864</v>
      </c>
    </row>
    <row r="67" spans="1:25" x14ac:dyDescent="0.2">
      <c r="A67" s="19" t="s">
        <v>69</v>
      </c>
      <c r="B67" s="22">
        <f>B29/B14</f>
        <v>0.10418065011026945</v>
      </c>
      <c r="C67" s="22">
        <f t="shared" ref="C67:X67" si="54">C29/C14</f>
        <v>2.9707368537953246E-2</v>
      </c>
      <c r="D67" s="22">
        <f t="shared" si="54"/>
        <v>-0.38279989812377962</v>
      </c>
      <c r="E67" s="22">
        <f t="shared" si="54"/>
        <v>-4.3481210147876814E-2</v>
      </c>
      <c r="F67" s="22">
        <f t="shared" si="54"/>
        <v>1.8462674626130839E-3</v>
      </c>
      <c r="G67" s="23">
        <f t="shared" si="3"/>
        <v>-0.98227821135058269</v>
      </c>
      <c r="H67" s="22">
        <f t="shared" si="54"/>
        <v>7.1863190930634729E-2</v>
      </c>
      <c r="I67" s="23">
        <f t="shared" si="43"/>
        <v>1.419035898074394</v>
      </c>
      <c r="J67" s="22">
        <f t="shared" si="54"/>
        <v>6.6267183644695096E-2</v>
      </c>
      <c r="K67" s="23">
        <f t="shared" si="44"/>
        <v>-1.1731118110780359</v>
      </c>
      <c r="L67" s="22">
        <f t="shared" si="54"/>
        <v>1.3596633214632567E-2</v>
      </c>
      <c r="M67" s="23">
        <f t="shared" si="45"/>
        <v>-1.3127013523402704</v>
      </c>
      <c r="N67" s="22">
        <f t="shared" si="54"/>
        <v>5.4997937577340852E-2</v>
      </c>
      <c r="O67" s="23">
        <f t="shared" si="46"/>
        <v>28.788716256473716</v>
      </c>
      <c r="P67" s="22">
        <f t="shared" si="54"/>
        <v>3.1014598160943426E-2</v>
      </c>
      <c r="Q67" s="23">
        <f t="shared" si="47"/>
        <v>-0.56842163896006259</v>
      </c>
      <c r="R67" s="22">
        <f t="shared" si="54"/>
        <v>6.9847470238095233E-2</v>
      </c>
      <c r="S67" s="23">
        <f t="shared" si="48"/>
        <v>5.4028048220618019E-2</v>
      </c>
      <c r="T67" s="22">
        <f t="shared" si="54"/>
        <v>1.2605459057071961E-2</v>
      </c>
      <c r="U67" s="23">
        <f t="shared" si="49"/>
        <v>-7.2898499350112195E-2</v>
      </c>
      <c r="V67" s="22">
        <f t="shared" si="54"/>
        <v>5.7885335148009524E-2</v>
      </c>
      <c r="W67" s="23">
        <f t="shared" si="50"/>
        <v>5.2500106328683127E-2</v>
      </c>
      <c r="X67" s="22">
        <f t="shared" si="54"/>
        <v>6.8209947283978917E-2</v>
      </c>
      <c r="Y67" s="23">
        <f t="shared" si="51"/>
        <v>1.1992852182065497</v>
      </c>
    </row>
    <row r="68" spans="1:25" x14ac:dyDescent="0.2">
      <c r="A68" s="19" t="s">
        <v>68</v>
      </c>
      <c r="B68" s="21">
        <f t="shared" ref="B68:V68" si="55">B39/B53</f>
        <v>0.7982297324481995</v>
      </c>
      <c r="C68" s="21">
        <f t="shared" si="55"/>
        <v>0.93800919008823613</v>
      </c>
      <c r="D68" s="21">
        <f t="shared" si="55"/>
        <v>1.336804994016237</v>
      </c>
      <c r="E68" s="21">
        <f t="shared" si="55"/>
        <v>1.3238320564818988</v>
      </c>
      <c r="F68" s="21">
        <f t="shared" si="55"/>
        <v>1.3137195811044979</v>
      </c>
      <c r="G68" s="23">
        <f t="shared" si="3"/>
        <v>0.64579134013872475</v>
      </c>
      <c r="H68" s="21">
        <f t="shared" si="55"/>
        <v>1.2340289768035433</v>
      </c>
      <c r="I68" s="23">
        <f t="shared" si="43"/>
        <v>0.31558303462619736</v>
      </c>
      <c r="J68" s="21">
        <f t="shared" si="55"/>
        <v>1.2390471674023273</v>
      </c>
      <c r="K68" s="23">
        <f t="shared" si="44"/>
        <v>-7.3127963354034459E-2</v>
      </c>
      <c r="L68" s="21">
        <f t="shared" si="55"/>
        <v>1.0830195964861473</v>
      </c>
      <c r="M68" s="23">
        <f t="shared" si="45"/>
        <v>-0.18190559657220706</v>
      </c>
      <c r="N68" s="21">
        <f t="shared" si="55"/>
        <v>1.095748576755335</v>
      </c>
      <c r="O68" s="23">
        <f t="shared" si="46"/>
        <v>-0.16591897348892812</v>
      </c>
      <c r="P68" s="21">
        <f t="shared" si="55"/>
        <v>1.061687105165366</v>
      </c>
      <c r="Q68" s="23">
        <f t="shared" si="47"/>
        <v>-0.13965788071248347</v>
      </c>
      <c r="R68" s="21">
        <f t="shared" si="55"/>
        <v>1.0233845752996353</v>
      </c>
      <c r="S68" s="23">
        <f t="shared" si="48"/>
        <v>-0.17405519158308591</v>
      </c>
      <c r="T68" s="21">
        <f t="shared" si="55"/>
        <v>1.000859904378633</v>
      </c>
      <c r="U68" s="23">
        <f t="shared" si="49"/>
        <v>-7.5861685581757765E-2</v>
      </c>
      <c r="V68" s="21">
        <f t="shared" si="55"/>
        <v>0.99416328038418911</v>
      </c>
      <c r="W68" s="23">
        <f t="shared" si="50"/>
        <v>-9.270858162732383E-2</v>
      </c>
      <c r="X68" s="21">
        <f>X39/X53</f>
        <v>1.0073781009409752</v>
      </c>
      <c r="Y68" s="23">
        <f t="shared" si="51"/>
        <v>-5.1153493303407627E-2</v>
      </c>
    </row>
    <row r="69" spans="1:25" x14ac:dyDescent="0.2">
      <c r="A69" s="19" t="s">
        <v>70</v>
      </c>
      <c r="B69" s="21">
        <f t="shared" ref="B69:V69" si="56">-B17/B12</f>
        <v>0.62943291839557403</v>
      </c>
      <c r="C69" s="21">
        <f t="shared" si="56"/>
        <v>0.65932978854952395</v>
      </c>
      <c r="D69" s="21">
        <f t="shared" si="56"/>
        <v>0.64165554072096131</v>
      </c>
      <c r="E69" s="21">
        <f t="shared" si="56"/>
        <v>0.73695667948624921</v>
      </c>
      <c r="F69" s="21">
        <f t="shared" si="56"/>
        <v>0.72207652477977269</v>
      </c>
      <c r="G69" s="23">
        <f t="shared" si="3"/>
        <v>0.14718582977888642</v>
      </c>
      <c r="H69" s="21">
        <f t="shared" si="56"/>
        <v>0.6150667952072717</v>
      </c>
      <c r="I69" s="23">
        <f t="shared" si="43"/>
        <v>-6.7133313420629032E-2</v>
      </c>
      <c r="J69" s="21">
        <f t="shared" si="56"/>
        <v>0.65774783445620788</v>
      </c>
      <c r="K69" s="23">
        <f t="shared" si="44"/>
        <v>2.5079334181647268E-2</v>
      </c>
      <c r="L69" s="21">
        <f t="shared" si="56"/>
        <v>0.66754020250148893</v>
      </c>
      <c r="M69" s="23">
        <f t="shared" si="45"/>
        <v>-9.4193429433534995E-2</v>
      </c>
      <c r="N69" s="21">
        <f t="shared" si="56"/>
        <v>0.67347252072459318</v>
      </c>
      <c r="O69" s="23">
        <f t="shared" si="46"/>
        <v>-6.7311430834845823E-2</v>
      </c>
      <c r="P69" s="21">
        <f t="shared" si="56"/>
        <v>0.65826167789914014</v>
      </c>
      <c r="Q69" s="23">
        <f t="shared" si="47"/>
        <v>7.022795414815422E-2</v>
      </c>
      <c r="R69" s="21">
        <f t="shared" si="56"/>
        <v>0.63737731874004422</v>
      </c>
      <c r="S69" s="23">
        <f t="shared" si="48"/>
        <v>-3.0970099252405684E-2</v>
      </c>
      <c r="T69" s="21">
        <f t="shared" si="56"/>
        <v>0.67094801223241585</v>
      </c>
      <c r="U69" s="23">
        <f t="shared" si="49"/>
        <v>5.105025462371778E-3</v>
      </c>
      <c r="V69" s="21">
        <f t="shared" si="56"/>
        <v>0.70395770824403481</v>
      </c>
      <c r="W69" s="23">
        <f t="shared" si="50"/>
        <v>4.5265673923328642E-2</v>
      </c>
      <c r="X69" s="21">
        <f>-X17/X12</f>
        <v>0.67190850607576835</v>
      </c>
      <c r="Y69" s="23">
        <f t="shared" si="51"/>
        <v>2.0731615761352584E-2</v>
      </c>
    </row>
    <row r="70" spans="1:25" x14ac:dyDescent="0.2">
      <c r="A70" s="19" t="s">
        <v>71</v>
      </c>
      <c r="B70" s="21">
        <f t="shared" ref="B70:V70" si="57">-B18/B13</f>
        <v>0.58893280632411071</v>
      </c>
      <c r="C70" s="21">
        <f t="shared" si="57"/>
        <v>0.68337874659400544</v>
      </c>
      <c r="D70" s="21">
        <f t="shared" si="57"/>
        <v>1.2628676470588236</v>
      </c>
      <c r="E70" s="21">
        <f t="shared" si="57"/>
        <v>0.93028095733610827</v>
      </c>
      <c r="F70" s="21">
        <f t="shared" si="57"/>
        <v>0.7525399129172714</v>
      </c>
      <c r="G70" s="23">
        <f t="shared" ref="G70" si="58">(F70-B70)/B70</f>
        <v>0.27780267092664196</v>
      </c>
      <c r="H70" s="21">
        <f t="shared" si="57"/>
        <v>0.77910174152153988</v>
      </c>
      <c r="I70" s="23">
        <f t="shared" si="43"/>
        <v>0.14007312256142401</v>
      </c>
      <c r="J70" s="21">
        <f t="shared" si="57"/>
        <v>0.68336812804453728</v>
      </c>
      <c r="K70" s="23">
        <f t="shared" si="44"/>
        <v>-0.45887589278569396</v>
      </c>
      <c r="L70" s="21">
        <f t="shared" si="57"/>
        <v>0.64965596330275233</v>
      </c>
      <c r="M70" s="23">
        <f t="shared" si="45"/>
        <v>-0.30165617367567676</v>
      </c>
      <c r="N70" s="21">
        <f t="shared" si="57"/>
        <v>0.61747913921826969</v>
      </c>
      <c r="O70" s="23">
        <f t="shared" si="46"/>
        <v>-0.17947323641005242</v>
      </c>
      <c r="P70" s="21">
        <f t="shared" si="57"/>
        <v>0.6205203730976927</v>
      </c>
      <c r="Q70" s="23">
        <f t="shared" si="47"/>
        <v>-0.20354385052990268</v>
      </c>
      <c r="R70" s="21">
        <f t="shared" si="57"/>
        <v>0.62555066079295152</v>
      </c>
      <c r="S70" s="23">
        <f t="shared" si="48"/>
        <v>-8.460661959320645E-2</v>
      </c>
      <c r="T70" s="21">
        <f t="shared" si="57"/>
        <v>0.68868360277136254</v>
      </c>
      <c r="U70" s="23">
        <f t="shared" si="49"/>
        <v>6.0074318828999294E-2</v>
      </c>
      <c r="V70" s="21">
        <f t="shared" si="57"/>
        <v>0.63817097415506963</v>
      </c>
      <c r="W70" s="23">
        <f t="shared" si="50"/>
        <v>3.3510176494376563E-2</v>
      </c>
      <c r="X70" s="21">
        <f>-X18/X13</f>
        <v>0.65320771646478237</v>
      </c>
      <c r="Y70" s="23">
        <f t="shared" si="51"/>
        <v>5.2677308891425363E-2</v>
      </c>
    </row>
    <row r="71" spans="1:25" x14ac:dyDescent="0.2">
      <c r="A71" s="19"/>
      <c r="L71" s="21"/>
      <c r="N71" s="21"/>
      <c r="P71" s="21"/>
      <c r="R71" s="21"/>
      <c r="T71" s="21"/>
      <c r="V71" s="21"/>
      <c r="X71" s="2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Props1.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2.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2AF3359-AA7B-4C3F-BB32-4122371AAA35}">
  <ds:schemaRefs>
    <ds:schemaRef ds:uri="http://purl.org/dc/dcmitype/"/>
    <ds:schemaRef ds:uri="http://purl.org/dc/elements/1.1/"/>
    <ds:schemaRef ds:uri="http://schemas.microsoft.com/office/2006/documentManagement/types"/>
    <ds:schemaRef ds:uri="36567613-e428-4167-ab55-a4f66cede826"/>
    <ds:schemaRef ds:uri="http://schemas.microsoft.com/office/2006/metadata/properties"/>
    <ds:schemaRef ds:uri="http://www.w3.org/XML/1998/namespace"/>
    <ds:schemaRef ds:uri="http://schemas.openxmlformats.org/package/2006/metadata/core-properties"/>
    <ds:schemaRef ds:uri="http://schemas.microsoft.com/office/infopath/2007/PartnerControl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cp:lastModifiedBy>
  <dcterms:created xsi:type="dcterms:W3CDTF">2023-02-21T16:55:27Z</dcterms:created>
  <dcterms:modified xsi:type="dcterms:W3CDTF">2023-06-14T01:06:52Z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