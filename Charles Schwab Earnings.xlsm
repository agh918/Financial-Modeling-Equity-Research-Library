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291" documentId="8_{883E14C4-5550-4DB8-9F43-79AC07376C2C}" xr6:coauthVersionLast="47" xr6:coauthVersionMax="47" xr10:uidLastSave="{914FC202-8B5D-4C4C-87D8-B986E95FA569}"/>
  <bookViews>
    <workbookView xWindow="-110" yWindow="-110" windowWidth="18290" windowHeight="11020"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60" i="1" l="1"/>
  <c r="W58" i="1"/>
  <c r="W57" i="1"/>
  <c r="W56" i="1"/>
  <c r="W55" i="1"/>
  <c r="W54" i="1"/>
  <c r="W53" i="1"/>
  <c r="W52" i="1"/>
  <c r="W51" i="1"/>
  <c r="W48" i="1"/>
  <c r="W47" i="1"/>
  <c r="W46" i="1"/>
  <c r="W45" i="1"/>
  <c r="W44" i="1"/>
  <c r="W43" i="1"/>
  <c r="W42" i="1"/>
  <c r="W41" i="1"/>
  <c r="W40" i="1"/>
  <c r="W39" i="1"/>
  <c r="W38" i="1"/>
  <c r="W37" i="1"/>
  <c r="W36" i="1"/>
  <c r="W33" i="1"/>
  <c r="W32" i="1"/>
  <c r="W31" i="1"/>
  <c r="W29" i="1"/>
  <c r="W28" i="1"/>
  <c r="W27" i="1"/>
  <c r="W26" i="1"/>
  <c r="W25" i="1"/>
  <c r="W24" i="1"/>
  <c r="W23" i="1"/>
  <c r="W22" i="1"/>
  <c r="W21" i="1"/>
  <c r="W20" i="1"/>
  <c r="W17" i="1"/>
  <c r="W16" i="1"/>
  <c r="W15" i="1"/>
  <c r="W14" i="1"/>
  <c r="W13" i="1"/>
  <c r="W12" i="1"/>
  <c r="W9" i="1"/>
  <c r="W8" i="1"/>
  <c r="W7" i="1"/>
  <c r="W6" i="1"/>
  <c r="W5" i="1"/>
  <c r="Y6" i="1"/>
  <c r="Y7" i="1"/>
  <c r="Y12" i="1"/>
  <c r="Y13" i="1"/>
  <c r="Y14" i="1"/>
  <c r="Y15" i="1"/>
  <c r="Y16" i="1"/>
  <c r="Y17" i="1"/>
  <c r="Y20" i="1"/>
  <c r="Y21" i="1"/>
  <c r="Y22" i="1"/>
  <c r="Y23" i="1"/>
  <c r="Y24" i="1"/>
  <c r="Y25" i="1"/>
  <c r="Y26" i="1"/>
  <c r="Y27" i="1"/>
  <c r="Y28" i="1"/>
  <c r="Y32" i="1"/>
  <c r="Y36" i="1"/>
  <c r="Y37" i="1"/>
  <c r="Y38" i="1"/>
  <c r="Y39" i="1"/>
  <c r="Y40" i="1"/>
  <c r="Y41" i="1"/>
  <c r="Y42" i="1"/>
  <c r="Y43" i="1"/>
  <c r="Y44" i="1"/>
  <c r="Y45" i="1"/>
  <c r="Y46" i="1"/>
  <c r="Y47" i="1"/>
  <c r="Y51" i="1"/>
  <c r="Y52" i="1"/>
  <c r="Y53" i="1"/>
  <c r="Y54" i="1"/>
  <c r="Y55" i="1"/>
  <c r="Y56" i="1"/>
  <c r="Y57" i="1"/>
  <c r="Y5" i="1"/>
  <c r="AB7" i="1"/>
  <c r="AB8" i="1"/>
  <c r="AB9" i="1"/>
  <c r="AB17" i="1"/>
  <c r="AB31" i="1" s="1"/>
  <c r="AB33" i="1" s="1"/>
  <c r="AB29" i="1"/>
  <c r="AB48" i="1"/>
  <c r="AB58" i="1"/>
  <c r="AC58" i="1"/>
  <c r="AC48" i="1"/>
  <c r="AC29" i="1"/>
  <c r="AC17" i="1"/>
  <c r="AC31" i="1" s="1"/>
  <c r="AC33" i="1" s="1"/>
  <c r="AC7" i="1"/>
  <c r="Z7" i="1"/>
  <c r="X7" i="1"/>
  <c r="V7" i="1"/>
  <c r="U7" i="1"/>
  <c r="T7" i="1"/>
  <c r="S7" i="1"/>
  <c r="R7" i="1"/>
  <c r="Q7" i="1"/>
  <c r="P7" i="1"/>
  <c r="O7" i="1"/>
  <c r="N7" i="1"/>
  <c r="M7" i="1"/>
  <c r="L7" i="1"/>
  <c r="K7" i="1"/>
  <c r="J7" i="1"/>
  <c r="I7" i="1"/>
  <c r="H7" i="1"/>
  <c r="G7" i="1"/>
  <c r="F7" i="1"/>
  <c r="E7" i="1"/>
  <c r="D7" i="1"/>
  <c r="C7" i="1"/>
  <c r="B7" i="1"/>
  <c r="K9" i="1"/>
  <c r="AC9" i="1"/>
  <c r="Z9" i="1"/>
  <c r="X9" i="1"/>
  <c r="Y9" i="1" s="1"/>
  <c r="V9" i="1"/>
  <c r="U9" i="1"/>
  <c r="T9" i="1"/>
  <c r="S9" i="1"/>
  <c r="R9" i="1"/>
  <c r="Q9" i="1"/>
  <c r="P9" i="1"/>
  <c r="O9" i="1"/>
  <c r="N9" i="1"/>
  <c r="M9" i="1"/>
  <c r="L9" i="1"/>
  <c r="J9" i="1"/>
  <c r="I9" i="1"/>
  <c r="H9" i="1"/>
  <c r="G9" i="1"/>
  <c r="F9" i="1"/>
  <c r="E9" i="1"/>
  <c r="D9" i="1"/>
  <c r="C9" i="1"/>
  <c r="AC8" i="1"/>
  <c r="Z8" i="1"/>
  <c r="X8" i="1"/>
  <c r="Y8" i="1" s="1"/>
  <c r="V8" i="1"/>
  <c r="U8" i="1"/>
  <c r="T8" i="1"/>
  <c r="S8" i="1"/>
  <c r="R8" i="1"/>
  <c r="Q8" i="1"/>
  <c r="P8" i="1"/>
  <c r="O8" i="1"/>
  <c r="N8" i="1"/>
  <c r="M8" i="1"/>
  <c r="L8" i="1"/>
  <c r="K8" i="1"/>
  <c r="J8" i="1"/>
  <c r="I8" i="1"/>
  <c r="H8" i="1"/>
  <c r="G8" i="1"/>
  <c r="F8" i="1"/>
  <c r="E8" i="1"/>
  <c r="D8" i="1"/>
  <c r="C8" i="1"/>
  <c r="B9" i="1"/>
  <c r="B8" i="1"/>
  <c r="Z58" i="1"/>
  <c r="X58" i="1"/>
  <c r="Y58" i="1" s="1"/>
  <c r="Z48" i="1"/>
  <c r="X48" i="1"/>
  <c r="Y48" i="1" s="1"/>
  <c r="Z29" i="1"/>
  <c r="X29" i="1"/>
  <c r="Y29" i="1" s="1"/>
  <c r="Z17" i="1"/>
  <c r="X17" i="1"/>
  <c r="X31" i="1" s="1"/>
  <c r="X33" i="1" s="1"/>
  <c r="V60" i="1"/>
  <c r="V58" i="1"/>
  <c r="V48" i="1"/>
  <c r="V29" i="1"/>
  <c r="V17" i="1"/>
  <c r="A4" i="1" a="1"/>
  <c r="A4" i="1" s="1"/>
  <c r="U58" i="1"/>
  <c r="U48" i="1"/>
  <c r="U32" i="1"/>
  <c r="U28" i="1"/>
  <c r="U27" i="1"/>
  <c r="U26" i="1"/>
  <c r="U25" i="1"/>
  <c r="U24" i="1"/>
  <c r="U23" i="1"/>
  <c r="U22" i="1"/>
  <c r="U21" i="1"/>
  <c r="U20" i="1"/>
  <c r="U16" i="1"/>
  <c r="U15" i="1"/>
  <c r="U14" i="1"/>
  <c r="U13" i="1"/>
  <c r="U12" i="1"/>
  <c r="T58" i="1"/>
  <c r="T48" i="1"/>
  <c r="T29" i="1"/>
  <c r="T17" i="1"/>
  <c r="S58" i="1"/>
  <c r="S48" i="1"/>
  <c r="S29" i="1"/>
  <c r="S17" i="1"/>
  <c r="R58" i="1"/>
  <c r="R48" i="1"/>
  <c r="R29" i="1"/>
  <c r="R17" i="1"/>
  <c r="Q58" i="1"/>
  <c r="Q48" i="1"/>
  <c r="Q32" i="1"/>
  <c r="Q28" i="1"/>
  <c r="Q27" i="1"/>
  <c r="Q26" i="1"/>
  <c r="Q25" i="1"/>
  <c r="Q24" i="1"/>
  <c r="Q23" i="1"/>
  <c r="Q22" i="1"/>
  <c r="Q21" i="1"/>
  <c r="Q20" i="1"/>
  <c r="Q16" i="1"/>
  <c r="Q15" i="1"/>
  <c r="Q14" i="1"/>
  <c r="Q13" i="1"/>
  <c r="Q12" i="1"/>
  <c r="P58" i="1"/>
  <c r="P48" i="1"/>
  <c r="P29" i="1"/>
  <c r="P17" i="1"/>
  <c r="O58" i="1"/>
  <c r="O48" i="1"/>
  <c r="O29" i="1"/>
  <c r="O17" i="1"/>
  <c r="N58" i="1"/>
  <c r="N48" i="1"/>
  <c r="N29" i="1"/>
  <c r="N17" i="1"/>
  <c r="M58" i="1"/>
  <c r="M48" i="1"/>
  <c r="M32" i="1"/>
  <c r="M28" i="1"/>
  <c r="M27" i="1"/>
  <c r="M26" i="1"/>
  <c r="M25" i="1"/>
  <c r="M24" i="1"/>
  <c r="M23" i="1"/>
  <c r="M22" i="1"/>
  <c r="M21" i="1"/>
  <c r="M20" i="1"/>
  <c r="M16" i="1"/>
  <c r="M14" i="1"/>
  <c r="M13" i="1"/>
  <c r="M12" i="1"/>
  <c r="L58" i="1"/>
  <c r="L48" i="1"/>
  <c r="L29" i="1"/>
  <c r="L17" i="1"/>
  <c r="K58" i="1"/>
  <c r="K48" i="1"/>
  <c r="K29" i="1"/>
  <c r="K17" i="1"/>
  <c r="J58" i="1"/>
  <c r="J48" i="1"/>
  <c r="J29" i="1"/>
  <c r="J17" i="1"/>
  <c r="I58" i="1"/>
  <c r="I48" i="1"/>
  <c r="I32" i="1"/>
  <c r="I28" i="1"/>
  <c r="I27" i="1"/>
  <c r="I25" i="1"/>
  <c r="I24" i="1"/>
  <c r="I23" i="1"/>
  <c r="I22" i="1"/>
  <c r="I21" i="1"/>
  <c r="I20" i="1"/>
  <c r="I16" i="1"/>
  <c r="I14" i="1"/>
  <c r="I13" i="1"/>
  <c r="I12" i="1"/>
  <c r="H58" i="1"/>
  <c r="H48" i="1"/>
  <c r="H29" i="1"/>
  <c r="H17" i="1"/>
  <c r="G58" i="1"/>
  <c r="G48" i="1"/>
  <c r="G29" i="1"/>
  <c r="G17" i="1"/>
  <c r="F58" i="1"/>
  <c r="F48" i="1"/>
  <c r="F29" i="1"/>
  <c r="F17" i="1"/>
  <c r="E58" i="1"/>
  <c r="E48" i="1"/>
  <c r="E32" i="1"/>
  <c r="E23" i="1"/>
  <c r="E22" i="1"/>
  <c r="E21" i="1"/>
  <c r="E20" i="1"/>
  <c r="E28" i="1"/>
  <c r="E27" i="1"/>
  <c r="E25" i="1"/>
  <c r="E24" i="1"/>
  <c r="E16" i="1"/>
  <c r="E14" i="1"/>
  <c r="E13" i="1"/>
  <c r="E12" i="1"/>
  <c r="D58" i="1"/>
  <c r="D48" i="1"/>
  <c r="D29" i="1"/>
  <c r="D17" i="1"/>
  <c r="C58" i="1"/>
  <c r="C48" i="1"/>
  <c r="C29" i="1"/>
  <c r="C17" i="1"/>
  <c r="B58" i="1"/>
  <c r="B48" i="1"/>
  <c r="B29" i="1"/>
  <c r="B17" i="1"/>
  <c r="Y33" i="1" l="1"/>
  <c r="Z60" i="1"/>
  <c r="AB60" i="1"/>
  <c r="X60" i="1"/>
  <c r="Y60" i="1" s="1"/>
  <c r="AC60" i="1"/>
  <c r="V31" i="1"/>
  <c r="Z31" i="1"/>
  <c r="Z33" i="1" s="1"/>
  <c r="H60" i="1"/>
  <c r="Q60" i="1"/>
  <c r="S60" i="1"/>
  <c r="T60" i="1"/>
  <c r="R60" i="1"/>
  <c r="G31" i="1"/>
  <c r="G33" i="1" s="1"/>
  <c r="R31" i="1"/>
  <c r="R33" i="1" s="1"/>
  <c r="S31" i="1"/>
  <c r="S33" i="1" s="1"/>
  <c r="T31" i="1"/>
  <c r="T33" i="1" s="1"/>
  <c r="U60" i="1"/>
  <c r="O31" i="1"/>
  <c r="O33" i="1" s="1"/>
  <c r="P31" i="1"/>
  <c r="P33" i="1" s="1"/>
  <c r="I60" i="1"/>
  <c r="K60" i="1"/>
  <c r="L60" i="1"/>
  <c r="N60" i="1"/>
  <c r="O60" i="1"/>
  <c r="P60" i="1"/>
  <c r="M60" i="1"/>
  <c r="B60" i="1"/>
  <c r="N31" i="1"/>
  <c r="N33" i="1" s="1"/>
  <c r="C60" i="1"/>
  <c r="E17" i="1"/>
  <c r="J60" i="1"/>
  <c r="F60" i="1"/>
  <c r="L31" i="1"/>
  <c r="L33" i="1" s="1"/>
  <c r="G60" i="1"/>
  <c r="U29" i="1"/>
  <c r="U17" i="1"/>
  <c r="Q29" i="1"/>
  <c r="Q17" i="1"/>
  <c r="M29" i="1"/>
  <c r="C31" i="1"/>
  <c r="C33" i="1" s="1"/>
  <c r="H31" i="1"/>
  <c r="H33" i="1" s="1"/>
  <c r="E60" i="1"/>
  <c r="D60" i="1"/>
  <c r="M17" i="1"/>
  <c r="K31" i="1"/>
  <c r="K33" i="1" s="1"/>
  <c r="J31" i="1"/>
  <c r="J33" i="1" s="1"/>
  <c r="F31" i="1"/>
  <c r="F33" i="1" s="1"/>
  <c r="D31" i="1"/>
  <c r="D33" i="1" s="1"/>
  <c r="B31" i="1"/>
  <c r="B33" i="1" s="1"/>
  <c r="I29" i="1"/>
  <c r="I17" i="1"/>
  <c r="E29" i="1"/>
  <c r="V33" i="1" l="1"/>
  <c r="Y31" i="1"/>
  <c r="E31" i="1"/>
  <c r="E33" i="1" s="1"/>
  <c r="U31" i="1"/>
  <c r="U33" i="1" s="1"/>
  <c r="Q31" i="1"/>
  <c r="Q33" i="1" s="1"/>
  <c r="M31" i="1"/>
  <c r="M33" i="1" s="1"/>
  <c r="I31" i="1"/>
  <c r="I33"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<sst xmlns="http://schemas.openxmlformats.org/spreadsheetml/2006/main" count="83" uniqueCount="77">
  <si>
    <t>Quarter &amp; Year</t>
  </si>
  <si>
    <t>Reported Date</t>
  </si>
  <si>
    <t>Q118</t>
  </si>
  <si>
    <t>Q218</t>
  </si>
  <si>
    <t>Q318</t>
  </si>
  <si>
    <t>Q418</t>
  </si>
  <si>
    <t>Q119</t>
  </si>
  <si>
    <t>Q219</t>
  </si>
  <si>
    <t>Q319</t>
  </si>
  <si>
    <t>Q419</t>
  </si>
  <si>
    <t>Q120</t>
  </si>
  <si>
    <t>Q220</t>
  </si>
  <si>
    <t>Q320</t>
  </si>
  <si>
    <t>Q420</t>
  </si>
  <si>
    <t>Q121</t>
  </si>
  <si>
    <t>Q221</t>
  </si>
  <si>
    <t>Q321</t>
  </si>
  <si>
    <t>Q421</t>
  </si>
  <si>
    <t>Q122</t>
  </si>
  <si>
    <t>Q222</t>
  </si>
  <si>
    <t>Q322</t>
  </si>
  <si>
    <t>Q422</t>
  </si>
  <si>
    <t>Q123</t>
  </si>
  <si>
    <t>Q223</t>
  </si>
  <si>
    <t>Net revenues</t>
  </si>
  <si>
    <t>Net interest revenue</t>
  </si>
  <si>
    <t>Asset management &amp; administration fees</t>
  </si>
  <si>
    <t>Trading revenue</t>
  </si>
  <si>
    <t>Other</t>
  </si>
  <si>
    <t>Total net revenues</t>
  </si>
  <si>
    <t>Expenses (incl. interest)</t>
  </si>
  <si>
    <t>Compensation &amp; benefits</t>
  </si>
  <si>
    <t>Professional services</t>
  </si>
  <si>
    <t>Occupancy &amp; equipment</t>
  </si>
  <si>
    <t>Advertising &amp; market development</t>
  </si>
  <si>
    <t>Communications</t>
  </si>
  <si>
    <t>Depreciation &amp; amortization</t>
  </si>
  <si>
    <t>Regulatory fees &amp; assessments</t>
  </si>
  <si>
    <t>Total expenses</t>
  </si>
  <si>
    <t>Income tax</t>
  </si>
  <si>
    <t>Net income</t>
  </si>
  <si>
    <t>Income before income taxes</t>
  </si>
  <si>
    <t>Assets</t>
  </si>
  <si>
    <t>Cash &amp; cash equivalents</t>
  </si>
  <si>
    <t>Cash &amp; investments segregated</t>
  </si>
  <si>
    <t>Receivables from brokerage clients</t>
  </si>
  <si>
    <t>Other securities owned</t>
  </si>
  <si>
    <t>Available for sale securities</t>
  </si>
  <si>
    <t>Held to maturity securities</t>
  </si>
  <si>
    <t>Bank loans</t>
  </si>
  <si>
    <t>Equipment, office facilities &amp; property</t>
  </si>
  <si>
    <t>Goodwill</t>
  </si>
  <si>
    <t>Intangible assets</t>
  </si>
  <si>
    <t>Receivables from brokers, dealers &amp; etc.</t>
  </si>
  <si>
    <t>Liabilities</t>
  </si>
  <si>
    <t>Bank deposits</t>
  </si>
  <si>
    <t>Payables to brokers, dealers &amp; etc.</t>
  </si>
  <si>
    <t>Payables to brokerage clients</t>
  </si>
  <si>
    <t>Accrued expenses &amp; other</t>
  </si>
  <si>
    <t>Short-term borrowings</t>
  </si>
  <si>
    <t>Long-term borrowings</t>
  </si>
  <si>
    <t>Total liabilities</t>
  </si>
  <si>
    <t>Total assets</t>
  </si>
  <si>
    <t>Amortization of intangible assets</t>
  </si>
  <si>
    <t>Bank deposit account fees</t>
  </si>
  <si>
    <t>Equity</t>
  </si>
  <si>
    <t>Price</t>
  </si>
  <si>
    <t>Shares outstanding</t>
  </si>
  <si>
    <t>Market cap</t>
  </si>
  <si>
    <t>Cash</t>
  </si>
  <si>
    <t>Debt</t>
  </si>
  <si>
    <t>Q323</t>
  </si>
  <si>
    <t>Q423</t>
  </si>
  <si>
    <t>Q124</t>
  </si>
  <si>
    <t>Federal Home Loan Bank borrowings</t>
  </si>
  <si>
    <t>% Change</t>
  </si>
  <si>
    <t>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</si>
</sst>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 #,##0_);_(* \(#,##0\);_(* &quot;-&quot;??_);_(@_)"/>
    <numFmt numFmtId="165" formatCode="_([$$-409]* #,##0.00_);_([$$-409]* \(#,##0.00\);_([$$-409]* &quot;-&quot;??_);_(@_)"/>
  </numFmts>
  <fonts count="7" x14ac:knownFonts="1">
    <font>
      <sz val="11"/>
      <color theme="1"/>
      <name val="Calibri"/>
      <family val="2"/>
      <scheme val="minor"/>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cellStyleXfs>
  <cellXfs count="26">
    <xf numFmtId="0" fontId="0" fillId="0" borderId="0" xfId="0"/>
    <xf numFmtId="14" fontId="2" fillId="2" borderId="0" xfId="0" applyNumberFormat="1" applyFont="1" applyFill="1" applyAlignment="1">
      <alignment horizontal="center" vertical="center"/>
    </xf>
    <xf numFmtId="0" fontId="3" fillId="0" borderId="0" xfId="0" applyFont="1"/>
    <xf numFmtId="0" fontId="2" fillId="2" borderId="0" xfId="0" applyFont="1" applyFill="1" applyAlignment="1">
      <alignment horizontal="center" vertical="center"/>
    </xf>
    <xf numFmtId="0" fontId="2" fillId="2" borderId="0" xfId="0" applyFont="1" applyFill="1" applyAlignment="1">
      <alignment vertical="center"/>
    </xf>
    <xf numFmtId="164" fontId="3" fillId="0" borderId="0" xfId="1" applyNumberFormat="1" applyFont="1"/>
    <xf numFmtId="0" fontId="5" fillId="0" borderId="0" xfId="0" applyFont="1" applyAlignment="1">
      <alignment horizontal="left"/>
    </xf>
    <xf numFmtId="0" fontId="1" fillId="0" borderId="0" xfId="0" applyFont="1"/>
    <xf numFmtId="0" fontId="5" fillId="0" borderId="0" xfId="0" applyFont="1"/>
    <xf numFmtId="164" fontId="5" fillId="0" borderId="0" xfId="1" applyNumberFormat="1" applyFont="1"/>
    <xf numFmtId="0" fontId="1" fillId="0" borderId="0" xfId="0" applyFont="1" applyAlignment="1">
      <alignment horizontal="left" indent="1"/>
    </xf>
    <xf numFmtId="0" fontId="5" fillId="0" borderId="0" xfId="0" applyFont="1" applyAlignment="1">
      <alignment horizontal="left" indent="1"/>
    </xf>
    <xf numFmtId="0" fontId="5" fillId="0" borderId="0" xfId="0" applyFont="1" applyAlignment="1">
      <alignment horizontal="left" indent="2"/>
    </xf>
    <xf numFmtId="164" fontId="1" fillId="0" borderId="0" xfId="1" applyNumberFormat="1" applyFont="1"/>
    <xf numFmtId="0" fontId="1" fillId="0" borderId="0" xfId="0" applyFont="1" applyAlignment="1">
      <alignment vertical="center"/>
    </xf>
    <xf numFmtId="0" fontId="1" fillId="0" borderId="0" xfId="0" applyFont="1" applyAlignment="1">
      <alignment horizontal="center" vertical="center"/>
    </xf>
    <xf numFmtId="165" fontId="1" fillId="0" borderId="0" xfId="0" applyNumberFormat="1" applyFont="1" applyAlignment="1">
      <alignment vertical="center"/>
    </xf>
    <xf numFmtId="0" fontId="2" fillId="2" borderId="0" xfId="0" applyFont="1" applyFill="1" applyAlignment="1">
      <alignment horizontal="center"/>
    </xf>
    <xf numFmtId="164" fontId="1" fillId="0" borderId="0" xfId="0" applyNumberFormat="1" applyFont="1" applyAlignment="1">
      <alignment horizontal="center" vertical="center"/>
    </xf>
    <xf numFmtId="44" fontId="1" fillId="0" borderId="0" xfId="2" applyFont="1" applyAlignment="1">
      <alignment horizontal="center" vertical="center"/>
    </xf>
    <xf numFmtId="44" fontId="1" fillId="0" borderId="0" xfId="2" applyFont="1" applyAlignment="1">
      <alignment vertical="center"/>
    </xf>
    <xf numFmtId="44" fontId="1" fillId="0" borderId="0" xfId="2" applyFont="1"/>
    <xf numFmtId="164" fontId="1" fillId="0" borderId="0" xfId="1" applyNumberFormat="1" applyFont="1" applyAlignment="1">
      <alignment horizontal="center" vertical="center"/>
    </xf>
    <xf numFmtId="164" fontId="1" fillId="0" borderId="0" xfId="1" applyNumberFormat="1" applyFont="1" applyAlignment="1">
      <alignment vertical="center"/>
    </xf>
    <xf numFmtId="9" fontId="1" fillId="0" borderId="0" xfId="3" applyFont="1" applyAlignment="1">
      <alignment vertical="center"/>
    </xf>
    <xf numFmtId="9" fontId="6" fillId="0" borderId="0" xfId="3" applyFont="1" applyAlignment="1">
      <alignment horizontal="center" vertical="center"/>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https://www.bing.com/financeapi/forcetrigger?t=a22n4c&amp;q=XNYS%3aSCHW&amp;form=skydnc</v>
    <v>Learn more on Bing</v>
  </rv>
  <rv s="1">
    <v>en-US</v>
    <v>a22n4c</v>
    <v>268435456</v>
    <v>1</v>
    <v>Powered by Refinitiv</v>
    <v>0</v>
    <v>THE CHARLES SCHWAB CORPORATION (XNYS:SCHW)</v>
    <v>2</v>
    <v>3</v>
    <v>Finance</v>
    <v>4</v>
    <v>86.63</v>
    <v>45</v>
    <v>0.93500000000000005</v>
    <v>2.1150000000000002</v>
    <v>4.1203999999999998E-2</v>
    <v>USD</v>
    <v>The Charles Schwab Corporation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investment advisory, and banking and trust services to individual investors, and retirement plan services. The Advisor Services segment provides custodial, trading, banking and trust, and support services, as well as retirement business services to independent registered investment advisors (RIAs), independent retirement advisors and recordkeepers. The Company’s product offerings include brokerage, mutual funds, exchange-traded funds (ETFs), advice solutions, banking and trust. The Company is also engaged in connecting the multifamily wealth community.</v>
    <v>36600</v>
    <v>New York Stock Exchange</v>
    <v>XNYS</v>
    <v>XNYS</v>
    <v>3000 Schwab Way, WESTLAKE, TX, 76262 US</v>
    <v>54.599299999999999</v>
    <v>Investment Banking &amp; Investment Services</v>
    <v>Stock</v>
    <v>45215.795409224222</v>
    <v>0</v>
    <v>50.33</v>
    <v>97329384285</v>
    <v>THE CHARLES SCHWAB CORPORATION</v>
    <v>THE CHARLES SCHWAB CORPORATION</v>
    <v>50.84</v>
    <v>14.965</v>
    <v>51.33</v>
    <v>53.445</v>
    <v>1821113000</v>
    <v>SCHW</v>
    <v>THE CHARLES SCHWAB CORPORATION (XNYS:SCHW)</v>
    <v>15756769</v>
    <v>9691076</v>
    <v>1986</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L101"/>
  <sheetViews>
    <sheetView tabSelected="1" topLeftCell="A47" zoomScale="125" zoomScaleNormal="125" workbookViewId="0">
      <pane xSplit="1" topLeftCell="Q1" activePane="topRight" state="frozen"/>
      <selection pane="topRight" activeCell="W63" sqref="W63"/>
    </sheetView>
  </sheetViews>
  <sheetFormatPr defaultColWidth="12.6328125" defaultRowHeight="12.5" x14ac:dyDescent="0.25"/>
  <cols>
    <col min="1" max="1" width="37.54296875" style="2" customWidth="1"/>
    <col min="2" max="22" width="12.7265625" style="5" customWidth="1"/>
    <col min="23" max="23" width="10.6328125" style="5" customWidth="1"/>
    <col min="24" max="24" width="12.7265625" style="5" customWidth="1"/>
    <col min="25" max="25" width="10.6328125" style="5" customWidth="1"/>
    <col min="26" max="26" width="12.6328125" style="5"/>
    <col min="27" max="27" width="10.6328125" style="5" customWidth="1"/>
    <col min="28" max="16384" width="12.6328125" style="5"/>
  </cols>
  <sheetData>
    <row r="1" spans="1:38" s="17" customFormat="1" ht="15" customHeight="1" x14ac:dyDescent="0.3">
      <c r="A1" s="4" t="s">
        <v>1</v>
      </c>
      <c r="B1" s="1">
        <v>43190</v>
      </c>
      <c r="C1" s="1">
        <v>43281</v>
      </c>
      <c r="D1" s="1">
        <v>43373</v>
      </c>
      <c r="E1" s="1">
        <v>43465</v>
      </c>
      <c r="F1" s="1">
        <v>43555</v>
      </c>
      <c r="G1" s="1">
        <v>43646</v>
      </c>
      <c r="H1" s="1">
        <v>43738</v>
      </c>
      <c r="I1" s="1">
        <v>43830</v>
      </c>
      <c r="J1" s="1">
        <v>43921</v>
      </c>
      <c r="K1" s="1">
        <v>44012</v>
      </c>
      <c r="L1" s="1">
        <v>44104</v>
      </c>
      <c r="M1" s="1">
        <v>44196</v>
      </c>
      <c r="N1" s="1">
        <v>44286</v>
      </c>
      <c r="O1" s="1">
        <v>44377</v>
      </c>
      <c r="P1" s="1">
        <v>44469</v>
      </c>
      <c r="Q1" s="1">
        <v>44561</v>
      </c>
      <c r="R1" s="1">
        <v>44651</v>
      </c>
      <c r="S1" s="1">
        <v>44742</v>
      </c>
      <c r="T1" s="1">
        <v>44834</v>
      </c>
      <c r="U1" s="1">
        <v>44926</v>
      </c>
      <c r="V1" s="1">
        <v>45016</v>
      </c>
      <c r="W1" s="1" t="s">
        <v>75</v>
      </c>
      <c r="X1" s="1">
        <v>45107</v>
      </c>
      <c r="Y1" s="1" t="s">
        <v>75</v>
      </c>
      <c r="Z1" s="1">
        <v>45199</v>
      </c>
      <c r="AA1" s="1" t="s">
        <v>75</v>
      </c>
      <c r="AB1" s="1">
        <v>45291</v>
      </c>
      <c r="AC1" s="1">
        <v>45382</v>
      </c>
      <c r="AD1" s="3"/>
      <c r="AE1" s="3"/>
      <c r="AF1" s="3"/>
      <c r="AG1" s="3"/>
      <c r="AH1" s="3"/>
      <c r="AI1" s="3"/>
      <c r="AJ1" s="3"/>
      <c r="AK1" s="3"/>
      <c r="AL1" s="3"/>
    </row>
    <row r="2" spans="1:38" s="17" customFormat="1" ht="15" customHeight="1" x14ac:dyDescent="0.3">
      <c r="A2" s="4" t="s">
        <v>0</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76</v>
      </c>
      <c r="X2" s="3" t="s">
        <v>23</v>
      </c>
      <c r="Y2" s="3" t="s">
        <v>76</v>
      </c>
      <c r="Z2" s="3" t="s">
        <v>71</v>
      </c>
      <c r="AA2" s="3" t="s">
        <v>76</v>
      </c>
      <c r="AB2" s="3" t="s">
        <v>72</v>
      </c>
      <c r="AC2" s="3" t="s">
        <v>73</v>
      </c>
      <c r="AD2" s="3"/>
      <c r="AE2" s="3"/>
      <c r="AF2" s="3"/>
      <c r="AG2" s="3"/>
      <c r="AH2" s="3"/>
      <c r="AI2" s="3"/>
      <c r="AJ2" s="3"/>
      <c r="AK2" s="3"/>
      <c r="AL2" s="3"/>
    </row>
    <row r="3" spans="1:38" s="7" customFormat="1" ht="13" customHeight="1" x14ac:dyDescent="0.25">
      <c r="A3" s="14" t="e" vm="1">
        <v>#VALUE!</v>
      </c>
      <c r="B3" s="15"/>
      <c r="C3" s="15"/>
      <c r="D3" s="15"/>
      <c r="E3" s="15"/>
      <c r="F3" s="15"/>
      <c r="G3" s="15"/>
      <c r="H3" s="15"/>
      <c r="I3" s="15"/>
      <c r="J3" s="15"/>
      <c r="K3" s="15"/>
      <c r="L3" s="15"/>
      <c r="M3" s="15"/>
      <c r="N3" s="15"/>
      <c r="O3" s="15"/>
      <c r="P3" s="15"/>
      <c r="Q3" s="15"/>
      <c r="R3" s="15"/>
      <c r="S3" s="15"/>
      <c r="T3" s="15"/>
      <c r="U3" s="15"/>
      <c r="V3" s="15"/>
      <c r="W3" s="15"/>
      <c r="X3" s="15"/>
      <c r="Y3" s="15"/>
      <c r="Z3" s="14"/>
      <c r="AA3" s="14"/>
      <c r="AB3" s="14"/>
      <c r="AC3" s="14"/>
      <c r="AD3" s="14"/>
      <c r="AE3" s="14"/>
      <c r="AF3" s="14"/>
      <c r="AG3" s="14"/>
      <c r="AH3" s="14"/>
      <c r="AI3" s="14"/>
      <c r="AJ3" s="14"/>
      <c r="AK3" s="14"/>
      <c r="AL3" s="14"/>
    </row>
    <row r="4" spans="1:38" s="7" customFormat="1" ht="13" customHeight="1" x14ac:dyDescent="0.25">
      <c r="A4" s="16" cm="1">
        <f t="array" ref="A4">_FV(A3,"Price")</f>
        <v>53.445</v>
      </c>
      <c r="B4" s="15"/>
      <c r="C4" s="15"/>
      <c r="D4" s="15"/>
      <c r="E4" s="15"/>
      <c r="F4" s="15"/>
      <c r="G4" s="15"/>
      <c r="H4" s="15"/>
      <c r="I4" s="15"/>
      <c r="J4" s="15"/>
      <c r="K4" s="15"/>
      <c r="L4" s="15"/>
      <c r="M4" s="15"/>
      <c r="N4" s="15"/>
      <c r="O4" s="15"/>
      <c r="P4" s="15"/>
      <c r="Q4" s="15"/>
      <c r="R4" s="15"/>
      <c r="S4" s="15"/>
      <c r="T4" s="15"/>
      <c r="U4" s="15"/>
      <c r="V4" s="15"/>
      <c r="W4" s="15"/>
      <c r="X4" s="15"/>
      <c r="Y4" s="15"/>
      <c r="Z4" s="14"/>
      <c r="AA4" s="14"/>
      <c r="AB4" s="14"/>
      <c r="AC4" s="14"/>
      <c r="AD4" s="14"/>
      <c r="AE4" s="14"/>
      <c r="AF4" s="14"/>
      <c r="AG4" s="14"/>
      <c r="AH4" s="14"/>
      <c r="AI4" s="14"/>
      <c r="AJ4" s="14"/>
      <c r="AK4" s="14"/>
      <c r="AL4" s="14"/>
    </row>
    <row r="5" spans="1:38" s="21" customFormat="1" ht="13" customHeight="1" x14ac:dyDescent="0.25">
      <c r="A5" s="14" t="s">
        <v>66</v>
      </c>
      <c r="B5" s="19">
        <v>52.22</v>
      </c>
      <c r="C5" s="19">
        <v>51.1</v>
      </c>
      <c r="D5" s="19">
        <v>49.15</v>
      </c>
      <c r="E5" s="19">
        <v>41.53</v>
      </c>
      <c r="F5" s="19">
        <v>42.76</v>
      </c>
      <c r="G5" s="19">
        <v>40.19</v>
      </c>
      <c r="H5" s="19">
        <v>41.83</v>
      </c>
      <c r="I5" s="19">
        <v>47.56</v>
      </c>
      <c r="J5" s="19">
        <v>33.619999999999997</v>
      </c>
      <c r="K5" s="19">
        <v>33.74</v>
      </c>
      <c r="L5" s="19">
        <v>36.229999999999997</v>
      </c>
      <c r="M5" s="19">
        <v>53.04</v>
      </c>
      <c r="N5" s="19">
        <v>65.180000000000007</v>
      </c>
      <c r="O5" s="19">
        <v>72.81</v>
      </c>
      <c r="P5" s="19">
        <v>72.84</v>
      </c>
      <c r="Q5" s="19">
        <v>84.1</v>
      </c>
      <c r="R5" s="19">
        <v>84.31</v>
      </c>
      <c r="S5" s="19">
        <v>63.18</v>
      </c>
      <c r="T5" s="19">
        <v>71.87</v>
      </c>
      <c r="U5" s="19">
        <v>83.26</v>
      </c>
      <c r="V5" s="19">
        <v>52.38</v>
      </c>
      <c r="W5" s="25">
        <f>(V5-R5)/R5</f>
        <v>-0.37872138536353933</v>
      </c>
      <c r="X5" s="19">
        <v>56.68</v>
      </c>
      <c r="Y5" s="25">
        <f>(X5-S5)/S5</f>
        <v>-0.102880658436214</v>
      </c>
      <c r="Z5" s="20">
        <v>54.9</v>
      </c>
      <c r="AA5" s="24"/>
      <c r="AB5" s="20"/>
      <c r="AC5" s="20"/>
      <c r="AD5" s="20"/>
      <c r="AE5" s="20"/>
      <c r="AF5" s="20"/>
      <c r="AG5" s="20"/>
      <c r="AH5" s="20"/>
      <c r="AI5" s="20"/>
      <c r="AJ5" s="20"/>
      <c r="AK5" s="20"/>
      <c r="AL5" s="20"/>
    </row>
    <row r="6" spans="1:38" s="13" customFormat="1" ht="13" customHeight="1" x14ac:dyDescent="0.25">
      <c r="A6" s="14" t="s">
        <v>67</v>
      </c>
      <c r="B6" s="22">
        <v>1362</v>
      </c>
      <c r="C6" s="22">
        <v>1364</v>
      </c>
      <c r="D6" s="22">
        <v>1364</v>
      </c>
      <c r="E6" s="22">
        <v>1361</v>
      </c>
      <c r="F6" s="22">
        <v>1344</v>
      </c>
      <c r="G6" s="22">
        <v>1337</v>
      </c>
      <c r="H6" s="22">
        <v>1308</v>
      </c>
      <c r="I6" s="22">
        <v>1320</v>
      </c>
      <c r="J6" s="22">
        <v>1294</v>
      </c>
      <c r="K6" s="22">
        <v>1294</v>
      </c>
      <c r="L6" s="22">
        <v>1294</v>
      </c>
      <c r="M6" s="22">
        <v>1435</v>
      </c>
      <c r="N6" s="22">
        <v>1892</v>
      </c>
      <c r="O6" s="22">
        <v>1896</v>
      </c>
      <c r="P6" s="22">
        <v>1898</v>
      </c>
      <c r="Q6" s="22">
        <v>1897</v>
      </c>
      <c r="R6" s="22">
        <v>1905</v>
      </c>
      <c r="S6" s="22">
        <v>1904</v>
      </c>
      <c r="T6" s="22">
        <v>1895</v>
      </c>
      <c r="U6" s="22">
        <v>1894</v>
      </c>
      <c r="V6" s="22">
        <v>1842</v>
      </c>
      <c r="W6" s="25">
        <f t="shared" ref="W6:W60" si="0">(V6-R6)/R6</f>
        <v>-3.3070866141732283E-2</v>
      </c>
      <c r="X6" s="22">
        <v>1825</v>
      </c>
      <c r="Y6" s="25">
        <f>(X6-S6)/S6</f>
        <v>-4.149159663865546E-2</v>
      </c>
      <c r="Z6" s="23"/>
      <c r="AA6" s="23"/>
      <c r="AB6" s="23"/>
      <c r="AC6" s="23"/>
      <c r="AD6" s="23"/>
      <c r="AE6" s="23"/>
      <c r="AF6" s="23"/>
      <c r="AG6" s="23"/>
      <c r="AH6" s="23"/>
      <c r="AI6" s="23"/>
      <c r="AJ6" s="23"/>
      <c r="AK6" s="23"/>
      <c r="AL6" s="23"/>
    </row>
    <row r="7" spans="1:38" s="13" customFormat="1" ht="13" customHeight="1" x14ac:dyDescent="0.25">
      <c r="A7" s="14" t="s">
        <v>68</v>
      </c>
      <c r="B7" s="22">
        <f>B6*B5</f>
        <v>71123.64</v>
      </c>
      <c r="C7" s="22">
        <f t="shared" ref="C7:AC7" si="1">C6*C5</f>
        <v>69700.400000000009</v>
      </c>
      <c r="D7" s="22">
        <f t="shared" si="1"/>
        <v>67040.599999999991</v>
      </c>
      <c r="E7" s="22">
        <f t="shared" si="1"/>
        <v>56522.33</v>
      </c>
      <c r="F7" s="22">
        <f t="shared" si="1"/>
        <v>57469.439999999995</v>
      </c>
      <c r="G7" s="22">
        <f t="shared" si="1"/>
        <v>53734.03</v>
      </c>
      <c r="H7" s="22">
        <f t="shared" si="1"/>
        <v>54713.64</v>
      </c>
      <c r="I7" s="22">
        <f t="shared" si="1"/>
        <v>62779.200000000004</v>
      </c>
      <c r="J7" s="22">
        <f t="shared" si="1"/>
        <v>43504.28</v>
      </c>
      <c r="K7" s="22">
        <f t="shared" si="1"/>
        <v>43659.560000000005</v>
      </c>
      <c r="L7" s="22">
        <f t="shared" si="1"/>
        <v>46881.619999999995</v>
      </c>
      <c r="M7" s="22">
        <f t="shared" si="1"/>
        <v>76112.399999999994</v>
      </c>
      <c r="N7" s="22">
        <f t="shared" si="1"/>
        <v>123320.56000000001</v>
      </c>
      <c r="O7" s="22">
        <f t="shared" si="1"/>
        <v>138047.76</v>
      </c>
      <c r="P7" s="22">
        <f t="shared" si="1"/>
        <v>138250.32</v>
      </c>
      <c r="Q7" s="22">
        <f t="shared" si="1"/>
        <v>159537.69999999998</v>
      </c>
      <c r="R7" s="22">
        <f t="shared" si="1"/>
        <v>160610.55000000002</v>
      </c>
      <c r="S7" s="22">
        <f t="shared" si="1"/>
        <v>120294.72</v>
      </c>
      <c r="T7" s="22">
        <f t="shared" si="1"/>
        <v>136193.65</v>
      </c>
      <c r="U7" s="22">
        <f t="shared" si="1"/>
        <v>157694.44</v>
      </c>
      <c r="V7" s="22">
        <f t="shared" si="1"/>
        <v>96483.96</v>
      </c>
      <c r="W7" s="25">
        <f t="shared" si="0"/>
        <v>-0.39926760726490262</v>
      </c>
      <c r="X7" s="22">
        <f t="shared" si="1"/>
        <v>103441</v>
      </c>
      <c r="Y7" s="25">
        <f>(X7-S7)/S7</f>
        <v>-0.14010357229311479</v>
      </c>
      <c r="Z7" s="22">
        <f t="shared" si="1"/>
        <v>0</v>
      </c>
      <c r="AA7" s="22"/>
      <c r="AB7" s="22">
        <f t="shared" si="1"/>
        <v>0</v>
      </c>
      <c r="AC7" s="22">
        <f t="shared" si="1"/>
        <v>0</v>
      </c>
      <c r="AD7" s="23"/>
      <c r="AE7" s="23"/>
      <c r="AF7" s="23"/>
      <c r="AG7" s="23"/>
      <c r="AH7" s="23"/>
      <c r="AI7" s="23"/>
      <c r="AJ7" s="23"/>
      <c r="AK7" s="23"/>
      <c r="AL7" s="23"/>
    </row>
    <row r="8" spans="1:38" s="7" customFormat="1" ht="13" customHeight="1" x14ac:dyDescent="0.25">
      <c r="A8" s="14" t="s">
        <v>69</v>
      </c>
      <c r="B8" s="18">
        <f>B36+B37</f>
        <v>26968</v>
      </c>
      <c r="C8" s="18">
        <f t="shared" ref="C8:AC8" si="2">C36+C37</f>
        <v>24262</v>
      </c>
      <c r="D8" s="18">
        <f t="shared" si="2"/>
        <v>30317</v>
      </c>
      <c r="E8" s="18">
        <f t="shared" si="2"/>
        <v>41501</v>
      </c>
      <c r="F8" s="18">
        <f t="shared" si="2"/>
        <v>46482</v>
      </c>
      <c r="G8" s="18">
        <f t="shared" si="2"/>
        <v>38345</v>
      </c>
      <c r="H8" s="18">
        <f t="shared" si="2"/>
        <v>36416</v>
      </c>
      <c r="I8" s="18">
        <f t="shared" si="2"/>
        <v>49828</v>
      </c>
      <c r="J8" s="18">
        <f t="shared" si="2"/>
        <v>102767</v>
      </c>
      <c r="K8" s="18">
        <f t="shared" si="2"/>
        <v>66762</v>
      </c>
      <c r="L8" s="18">
        <f t="shared" si="2"/>
        <v>57044</v>
      </c>
      <c r="M8" s="18">
        <f t="shared" si="2"/>
        <v>90747</v>
      </c>
      <c r="N8" s="18">
        <f t="shared" si="2"/>
        <v>88605</v>
      </c>
      <c r="O8" s="18">
        <f t="shared" si="2"/>
        <v>70256</v>
      </c>
      <c r="P8" s="18">
        <f t="shared" si="2"/>
        <v>76623</v>
      </c>
      <c r="Q8" s="18">
        <f t="shared" si="2"/>
        <v>116924</v>
      </c>
      <c r="R8" s="18">
        <f t="shared" si="2"/>
        <v>145571</v>
      </c>
      <c r="S8" s="18">
        <f t="shared" si="2"/>
        <v>118016</v>
      </c>
      <c r="T8" s="18">
        <f t="shared" si="2"/>
        <v>90604</v>
      </c>
      <c r="U8" s="18">
        <f t="shared" si="2"/>
        <v>83178</v>
      </c>
      <c r="V8" s="18">
        <f t="shared" si="2"/>
        <v>80199</v>
      </c>
      <c r="W8" s="25">
        <f t="shared" si="0"/>
        <v>-0.44907296096063087</v>
      </c>
      <c r="X8" s="18">
        <f t="shared" si="2"/>
        <v>72734</v>
      </c>
      <c r="Y8" s="25">
        <f>(X8-S8)/S8</f>
        <v>-0.38369373644251625</v>
      </c>
      <c r="Z8" s="18">
        <f t="shared" si="2"/>
        <v>56378</v>
      </c>
      <c r="AA8" s="18"/>
      <c r="AB8" s="18">
        <f t="shared" si="2"/>
        <v>0</v>
      </c>
      <c r="AC8" s="18">
        <f t="shared" si="2"/>
        <v>0</v>
      </c>
      <c r="AD8" s="14"/>
      <c r="AE8" s="14"/>
      <c r="AF8" s="14"/>
      <c r="AG8" s="14"/>
      <c r="AH8" s="14"/>
      <c r="AI8" s="14"/>
      <c r="AJ8" s="14"/>
      <c r="AK8" s="14"/>
      <c r="AL8" s="14"/>
    </row>
    <row r="9" spans="1:38" s="7" customFormat="1" ht="13" customHeight="1" x14ac:dyDescent="0.25">
      <c r="A9" s="14" t="s">
        <v>70</v>
      </c>
      <c r="B9" s="18">
        <f>B55+B56+B57</f>
        <v>4128</v>
      </c>
      <c r="C9" s="18">
        <f t="shared" ref="C9:AC9" si="3">C55+C56+C57</f>
        <v>5789</v>
      </c>
      <c r="D9" s="18">
        <f t="shared" si="3"/>
        <v>5790</v>
      </c>
      <c r="E9" s="18">
        <f t="shared" si="3"/>
        <v>6878</v>
      </c>
      <c r="F9" s="18">
        <f t="shared" si="3"/>
        <v>6829</v>
      </c>
      <c r="G9" s="18">
        <f t="shared" si="3"/>
        <v>7424</v>
      </c>
      <c r="H9" s="18">
        <f t="shared" si="3"/>
        <v>7427</v>
      </c>
      <c r="I9" s="18">
        <f t="shared" si="3"/>
        <v>7430</v>
      </c>
      <c r="J9" s="18">
        <f t="shared" si="3"/>
        <v>8522</v>
      </c>
      <c r="K9" s="18">
        <f>K55+K56+K57</f>
        <v>8526</v>
      </c>
      <c r="L9" s="18">
        <f t="shared" si="3"/>
        <v>7836</v>
      </c>
      <c r="M9" s="18">
        <f t="shared" si="3"/>
        <v>13632</v>
      </c>
      <c r="N9" s="18">
        <f t="shared" si="3"/>
        <v>20198</v>
      </c>
      <c r="O9" s="18">
        <f t="shared" si="3"/>
        <v>22208</v>
      </c>
      <c r="P9" s="18">
        <f t="shared" si="3"/>
        <v>22530</v>
      </c>
      <c r="Q9" s="18">
        <f t="shared" si="3"/>
        <v>23769</v>
      </c>
      <c r="R9" s="18">
        <f t="shared" si="3"/>
        <v>26107</v>
      </c>
      <c r="S9" s="18">
        <f t="shared" si="3"/>
        <v>22462</v>
      </c>
      <c r="T9" s="18">
        <f t="shared" si="3"/>
        <v>21344</v>
      </c>
      <c r="U9" s="18">
        <f t="shared" si="3"/>
        <v>37878</v>
      </c>
      <c r="V9" s="18">
        <f t="shared" si="3"/>
        <v>72687</v>
      </c>
      <c r="W9" s="25">
        <f t="shared" si="0"/>
        <v>1.7841958095529935</v>
      </c>
      <c r="X9" s="18">
        <f t="shared" si="3"/>
        <v>71313</v>
      </c>
      <c r="Y9" s="25">
        <f>(X9-S9)/S9</f>
        <v>2.1748285994123409</v>
      </c>
      <c r="Z9" s="18">
        <f t="shared" si="3"/>
        <v>0</v>
      </c>
      <c r="AA9" s="18"/>
      <c r="AB9" s="18">
        <f t="shared" si="3"/>
        <v>0</v>
      </c>
      <c r="AC9" s="18">
        <f t="shared" si="3"/>
        <v>0</v>
      </c>
      <c r="AD9" s="14"/>
      <c r="AE9" s="14"/>
      <c r="AF9" s="14"/>
      <c r="AG9" s="14"/>
      <c r="AH9" s="14"/>
      <c r="AI9" s="14"/>
      <c r="AJ9" s="14"/>
      <c r="AK9" s="14"/>
      <c r="AL9" s="14"/>
    </row>
    <row r="10" spans="1:38" s="7" customFormat="1" ht="13" customHeight="1" x14ac:dyDescent="0.25">
      <c r="A10" s="14"/>
      <c r="B10" s="15"/>
      <c r="C10" s="15"/>
      <c r="D10" s="15"/>
      <c r="E10" s="15"/>
      <c r="F10" s="15"/>
      <c r="G10" s="15"/>
      <c r="H10" s="15"/>
      <c r="I10" s="15"/>
      <c r="J10" s="15"/>
      <c r="K10" s="15"/>
      <c r="L10" s="15"/>
      <c r="M10" s="15"/>
      <c r="N10" s="15"/>
      <c r="O10" s="15"/>
      <c r="P10" s="15"/>
      <c r="Q10" s="15"/>
      <c r="R10" s="15"/>
      <c r="S10" s="15"/>
      <c r="T10" s="15"/>
      <c r="U10" s="15"/>
      <c r="V10" s="15"/>
      <c r="W10" s="25"/>
      <c r="X10" s="15"/>
      <c r="Y10" s="25"/>
      <c r="Z10" s="14"/>
      <c r="AA10" s="14"/>
      <c r="AB10" s="14"/>
      <c r="AC10" s="14"/>
      <c r="AD10" s="14"/>
      <c r="AE10" s="14"/>
      <c r="AF10" s="14"/>
      <c r="AG10" s="14"/>
      <c r="AH10" s="14"/>
      <c r="AI10" s="14"/>
      <c r="AJ10" s="14"/>
      <c r="AK10" s="14"/>
      <c r="AL10" s="14"/>
    </row>
    <row r="11" spans="1:38" ht="13" x14ac:dyDescent="0.3">
      <c r="A11" s="6" t="s">
        <v>24</v>
      </c>
      <c r="W11" s="25"/>
      <c r="Y11" s="25"/>
    </row>
    <row r="12" spans="1:38" x14ac:dyDescent="0.25">
      <c r="A12" s="10" t="s">
        <v>25</v>
      </c>
      <c r="B12" s="5">
        <v>1263</v>
      </c>
      <c r="C12" s="5">
        <v>1407</v>
      </c>
      <c r="D12" s="5">
        <v>1527</v>
      </c>
      <c r="E12" s="5">
        <f>5823-SUM(B12:D12)</f>
        <v>1626</v>
      </c>
      <c r="F12" s="5">
        <v>1681</v>
      </c>
      <c r="G12" s="5">
        <v>1609</v>
      </c>
      <c r="H12" s="5">
        <v>1631</v>
      </c>
      <c r="I12" s="5">
        <f>6516-SUM(F12:H12)</f>
        <v>1595</v>
      </c>
      <c r="J12" s="5">
        <v>1572</v>
      </c>
      <c r="K12" s="5">
        <v>1389</v>
      </c>
      <c r="L12" s="5">
        <v>1343</v>
      </c>
      <c r="M12" s="5">
        <f>6113-SUM(J12:L12)</f>
        <v>1809</v>
      </c>
      <c r="N12" s="5">
        <v>1911</v>
      </c>
      <c r="O12" s="5">
        <v>1947</v>
      </c>
      <c r="P12" s="5">
        <v>2030</v>
      </c>
      <c r="Q12" s="5">
        <f>8030-SUM(N12:P12)</f>
        <v>2142</v>
      </c>
      <c r="R12" s="5">
        <v>2183</v>
      </c>
      <c r="S12" s="5">
        <v>2544</v>
      </c>
      <c r="T12" s="5">
        <v>2926</v>
      </c>
      <c r="U12" s="5">
        <f>10682-SUM(R12:T12)</f>
        <v>3029</v>
      </c>
      <c r="V12" s="5">
        <v>2770</v>
      </c>
      <c r="W12" s="25">
        <f t="shared" si="0"/>
        <v>0.26889601465872653</v>
      </c>
      <c r="X12" s="5">
        <v>2290</v>
      </c>
      <c r="Y12" s="25">
        <f>(X12-S12)/S12</f>
        <v>-9.984276729559749E-2</v>
      </c>
      <c r="Z12" s="5">
        <v>2237</v>
      </c>
    </row>
    <row r="13" spans="1:38" x14ac:dyDescent="0.25">
      <c r="A13" s="10" t="s">
        <v>26</v>
      </c>
      <c r="B13" s="5">
        <v>851</v>
      </c>
      <c r="C13" s="5">
        <v>814</v>
      </c>
      <c r="D13" s="5">
        <v>809</v>
      </c>
      <c r="E13" s="5">
        <f>3229-SUM(B13:D13)</f>
        <v>755</v>
      </c>
      <c r="F13" s="5">
        <v>755</v>
      </c>
      <c r="G13" s="5">
        <v>786</v>
      </c>
      <c r="H13" s="5">
        <v>825</v>
      </c>
      <c r="I13" s="5">
        <f>3211-SUM(F13:H13)</f>
        <v>845</v>
      </c>
      <c r="J13" s="5">
        <v>827</v>
      </c>
      <c r="K13" s="5">
        <v>801</v>
      </c>
      <c r="L13" s="5">
        <v>860</v>
      </c>
      <c r="M13" s="5">
        <f>3475-SUM(J13:L13)</f>
        <v>987</v>
      </c>
      <c r="N13" s="5">
        <v>1016</v>
      </c>
      <c r="O13" s="5">
        <v>1047</v>
      </c>
      <c r="P13" s="5">
        <v>1101</v>
      </c>
      <c r="Q13" s="5">
        <f>4274-SUM(N13:P13)</f>
        <v>1110</v>
      </c>
      <c r="R13" s="5">
        <v>1068</v>
      </c>
      <c r="S13" s="5">
        <v>1052</v>
      </c>
      <c r="T13" s="5">
        <v>1047</v>
      </c>
      <c r="U13" s="5">
        <f>4216-SUM(R13:T13)</f>
        <v>1049</v>
      </c>
      <c r="V13" s="5">
        <v>1118</v>
      </c>
      <c r="W13" s="25">
        <f t="shared" si="0"/>
        <v>4.6816479400749067E-2</v>
      </c>
      <c r="X13" s="5">
        <v>1173</v>
      </c>
      <c r="Y13" s="25">
        <f>(X13-S13)/S13</f>
        <v>0.1150190114068441</v>
      </c>
      <c r="Z13" s="5">
        <v>1224</v>
      </c>
    </row>
    <row r="14" spans="1:38" x14ac:dyDescent="0.25">
      <c r="A14" s="10" t="s">
        <v>27</v>
      </c>
      <c r="B14" s="5">
        <v>201</v>
      </c>
      <c r="C14" s="5">
        <v>180</v>
      </c>
      <c r="D14" s="5">
        <v>176</v>
      </c>
      <c r="E14" s="5">
        <f>763-SUM(B14:D14)</f>
        <v>206</v>
      </c>
      <c r="F14" s="5">
        <v>185</v>
      </c>
      <c r="G14" s="5">
        <v>174</v>
      </c>
      <c r="H14" s="5">
        <v>172</v>
      </c>
      <c r="I14" s="5">
        <f>617-SUM(F14:H14)</f>
        <v>86</v>
      </c>
      <c r="J14" s="5">
        <v>188</v>
      </c>
      <c r="K14" s="5">
        <v>193</v>
      </c>
      <c r="L14" s="5">
        <v>181</v>
      </c>
      <c r="M14" s="5">
        <f>1416-SUM(J14:L14)</f>
        <v>854</v>
      </c>
      <c r="N14" s="5">
        <v>1216</v>
      </c>
      <c r="O14" s="5">
        <v>955</v>
      </c>
      <c r="P14" s="5">
        <v>964</v>
      </c>
      <c r="Q14" s="5">
        <f>4152-SUM(N14:P14)</f>
        <v>1017</v>
      </c>
      <c r="R14" s="5">
        <v>963</v>
      </c>
      <c r="S14" s="5">
        <v>885</v>
      </c>
      <c r="T14" s="5">
        <v>930</v>
      </c>
      <c r="U14" s="5">
        <f>3673-SUM(R14:T14)</f>
        <v>895</v>
      </c>
      <c r="V14" s="5">
        <v>892</v>
      </c>
      <c r="W14" s="25">
        <f t="shared" si="0"/>
        <v>-7.3727933541017657E-2</v>
      </c>
      <c r="X14" s="5">
        <v>803</v>
      </c>
      <c r="Y14" s="25">
        <f>(X14-S14)/S14</f>
        <v>-9.2655367231638419E-2</v>
      </c>
      <c r="Z14" s="5">
        <v>768</v>
      </c>
    </row>
    <row r="15" spans="1:38" x14ac:dyDescent="0.25">
      <c r="A15" s="10" t="s">
        <v>64</v>
      </c>
      <c r="B15" s="5">
        <v>0</v>
      </c>
      <c r="C15" s="5">
        <v>0</v>
      </c>
      <c r="D15" s="5">
        <v>0</v>
      </c>
      <c r="E15" s="5">
        <v>0</v>
      </c>
      <c r="F15" s="5">
        <v>0</v>
      </c>
      <c r="G15" s="5">
        <v>0</v>
      </c>
      <c r="H15" s="5">
        <v>0</v>
      </c>
      <c r="I15" s="5">
        <v>0</v>
      </c>
      <c r="J15" s="5">
        <v>0</v>
      </c>
      <c r="K15" s="5">
        <v>0</v>
      </c>
      <c r="L15" s="5">
        <v>0</v>
      </c>
      <c r="M15" s="5">
        <v>355</v>
      </c>
      <c r="N15" s="5">
        <v>351</v>
      </c>
      <c r="O15" s="5">
        <v>337</v>
      </c>
      <c r="P15" s="5">
        <v>323</v>
      </c>
      <c r="Q15" s="5">
        <f>1315-SUM(N15:P15)</f>
        <v>304</v>
      </c>
      <c r="R15" s="5">
        <v>294</v>
      </c>
      <c r="S15" s="5">
        <v>352</v>
      </c>
      <c r="T15" s="5">
        <v>413</v>
      </c>
      <c r="U15" s="5">
        <f>1409-SUM(R15:T15)</f>
        <v>350</v>
      </c>
      <c r="V15" s="5">
        <v>151</v>
      </c>
      <c r="W15" s="25">
        <f t="shared" si="0"/>
        <v>-0.48639455782312924</v>
      </c>
      <c r="X15" s="5">
        <v>175</v>
      </c>
      <c r="Y15" s="25">
        <f>(X15-S15)/S15</f>
        <v>-0.50284090909090906</v>
      </c>
      <c r="Z15" s="5">
        <v>205</v>
      </c>
    </row>
    <row r="16" spans="1:38" x14ac:dyDescent="0.25">
      <c r="A16" s="10" t="s">
        <v>28</v>
      </c>
      <c r="B16" s="5">
        <v>83</v>
      </c>
      <c r="C16" s="5">
        <v>85</v>
      </c>
      <c r="D16" s="5">
        <v>67</v>
      </c>
      <c r="E16" s="5">
        <f>317-SUM(B16:D16)</f>
        <v>82</v>
      </c>
      <c r="F16" s="5">
        <v>102</v>
      </c>
      <c r="G16" s="5">
        <v>112</v>
      </c>
      <c r="H16" s="5">
        <v>83</v>
      </c>
      <c r="I16" s="5">
        <f>377-SUM(F16:H16)</f>
        <v>80</v>
      </c>
      <c r="J16" s="5">
        <v>30</v>
      </c>
      <c r="K16" s="5">
        <v>67</v>
      </c>
      <c r="L16" s="5">
        <v>64</v>
      </c>
      <c r="M16" s="5">
        <f>332-SUM(J16:L16)</f>
        <v>171</v>
      </c>
      <c r="N16" s="5">
        <v>221</v>
      </c>
      <c r="O16" s="5">
        <v>241</v>
      </c>
      <c r="P16" s="5">
        <v>152</v>
      </c>
      <c r="Q16" s="5">
        <f>749-SUM(N16:P16)</f>
        <v>135</v>
      </c>
      <c r="R16" s="5">
        <v>164</v>
      </c>
      <c r="S16" s="5">
        <v>260</v>
      </c>
      <c r="T16" s="5">
        <v>184</v>
      </c>
      <c r="U16" s="5">
        <f>782-SUM(R16:T16)</f>
        <v>174</v>
      </c>
      <c r="V16" s="5">
        <v>185</v>
      </c>
      <c r="W16" s="25">
        <f t="shared" si="0"/>
        <v>0.12804878048780488</v>
      </c>
      <c r="X16" s="5">
        <v>215</v>
      </c>
      <c r="Y16" s="25">
        <f>(X16-S16)/S16</f>
        <v>-0.17307692307692307</v>
      </c>
      <c r="Z16" s="5">
        <v>172</v>
      </c>
    </row>
    <row r="17" spans="1:29" s="9" customFormat="1" ht="13" x14ac:dyDescent="0.3">
      <c r="A17" s="12" t="s">
        <v>29</v>
      </c>
      <c r="B17" s="9">
        <f t="shared" ref="B17:AC17" si="4">SUM(B12:B16)</f>
        <v>2398</v>
      </c>
      <c r="C17" s="9">
        <f t="shared" si="4"/>
        <v>2486</v>
      </c>
      <c r="D17" s="9">
        <f t="shared" si="4"/>
        <v>2579</v>
      </c>
      <c r="E17" s="9">
        <f t="shared" si="4"/>
        <v>2669</v>
      </c>
      <c r="F17" s="9">
        <f t="shared" si="4"/>
        <v>2723</v>
      </c>
      <c r="G17" s="9">
        <f t="shared" si="4"/>
        <v>2681</v>
      </c>
      <c r="H17" s="9">
        <f t="shared" si="4"/>
        <v>2711</v>
      </c>
      <c r="I17" s="9">
        <f t="shared" si="4"/>
        <v>2606</v>
      </c>
      <c r="J17" s="9">
        <f t="shared" si="4"/>
        <v>2617</v>
      </c>
      <c r="K17" s="9">
        <f t="shared" si="4"/>
        <v>2450</v>
      </c>
      <c r="L17" s="9">
        <f t="shared" si="4"/>
        <v>2448</v>
      </c>
      <c r="M17" s="9">
        <f t="shared" si="4"/>
        <v>4176</v>
      </c>
      <c r="N17" s="9">
        <f t="shared" si="4"/>
        <v>4715</v>
      </c>
      <c r="O17" s="9">
        <f t="shared" si="4"/>
        <v>4527</v>
      </c>
      <c r="P17" s="9">
        <f t="shared" si="4"/>
        <v>4570</v>
      </c>
      <c r="Q17" s="9">
        <f t="shared" si="4"/>
        <v>4708</v>
      </c>
      <c r="R17" s="9">
        <f t="shared" si="4"/>
        <v>4672</v>
      </c>
      <c r="S17" s="9">
        <f t="shared" si="4"/>
        <v>5093</v>
      </c>
      <c r="T17" s="9">
        <f t="shared" si="4"/>
        <v>5500</v>
      </c>
      <c r="U17" s="9">
        <f t="shared" si="4"/>
        <v>5497</v>
      </c>
      <c r="V17" s="9">
        <f t="shared" si="4"/>
        <v>5116</v>
      </c>
      <c r="W17" s="25">
        <f t="shared" si="0"/>
        <v>9.5034246575342471E-2</v>
      </c>
      <c r="X17" s="9">
        <f t="shared" si="4"/>
        <v>4656</v>
      </c>
      <c r="Y17" s="25">
        <f>(X17-S17)/S17</f>
        <v>-8.5804044767327711E-2</v>
      </c>
      <c r="Z17" s="9">
        <f t="shared" si="4"/>
        <v>4606</v>
      </c>
      <c r="AB17" s="9">
        <f t="shared" si="4"/>
        <v>0</v>
      </c>
      <c r="AC17" s="9">
        <f t="shared" si="4"/>
        <v>0</v>
      </c>
    </row>
    <row r="18" spans="1:29" x14ac:dyDescent="0.25">
      <c r="W18" s="25"/>
      <c r="Y18" s="25"/>
    </row>
    <row r="19" spans="1:29" ht="13" x14ac:dyDescent="0.3">
      <c r="A19" s="8" t="s">
        <v>30</v>
      </c>
      <c r="W19" s="25"/>
      <c r="Y19" s="25"/>
    </row>
    <row r="20" spans="1:29" x14ac:dyDescent="0.25">
      <c r="A20" s="10" t="s">
        <v>31</v>
      </c>
      <c r="B20" s="5">
        <v>770</v>
      </c>
      <c r="C20" s="5">
        <v>745</v>
      </c>
      <c r="D20" s="5">
        <v>737</v>
      </c>
      <c r="E20" s="5">
        <f>3057-SUM(B20:D20)</f>
        <v>805</v>
      </c>
      <c r="F20" s="5">
        <v>850</v>
      </c>
      <c r="G20" s="5">
        <v>807</v>
      </c>
      <c r="H20" s="5">
        <v>857</v>
      </c>
      <c r="I20" s="5">
        <f>3320-SUM(F20:H20)</f>
        <v>806</v>
      </c>
      <c r="J20" s="5">
        <v>897</v>
      </c>
      <c r="K20" s="5">
        <v>819</v>
      </c>
      <c r="L20" s="5">
        <v>840</v>
      </c>
      <c r="M20" s="5">
        <f>3954-SUM(J20:L20)</f>
        <v>1398</v>
      </c>
      <c r="N20" s="5">
        <v>1430</v>
      </c>
      <c r="O20" s="5">
        <v>1318</v>
      </c>
      <c r="P20" s="5">
        <v>1303</v>
      </c>
      <c r="Q20" s="5">
        <f>5450-SUM(N20:P20)</f>
        <v>1399</v>
      </c>
      <c r="R20" s="5">
        <v>1546</v>
      </c>
      <c r="S20" s="5">
        <v>1426</v>
      </c>
      <c r="T20" s="5">
        <v>1476</v>
      </c>
      <c r="U20" s="5">
        <f>5936-SUM(R20:T20)</f>
        <v>1488</v>
      </c>
      <c r="V20" s="5">
        <v>1638</v>
      </c>
      <c r="W20" s="25">
        <f t="shared" si="0"/>
        <v>5.9508408796895215E-2</v>
      </c>
      <c r="X20" s="5">
        <v>1498</v>
      </c>
      <c r="Y20" s="25">
        <f>(X20-S20)/S20</f>
        <v>5.0490883590462832E-2</v>
      </c>
      <c r="Z20" s="5">
        <v>1770</v>
      </c>
    </row>
    <row r="21" spans="1:29" x14ac:dyDescent="0.25">
      <c r="A21" s="10" t="s">
        <v>32</v>
      </c>
      <c r="B21" s="5">
        <v>156</v>
      </c>
      <c r="C21" s="5">
        <v>156</v>
      </c>
      <c r="D21" s="5">
        <v>164</v>
      </c>
      <c r="E21" s="5">
        <f>654-SUM(B21:D21)</f>
        <v>178</v>
      </c>
      <c r="F21" s="5">
        <v>170</v>
      </c>
      <c r="G21" s="5">
        <v>178</v>
      </c>
      <c r="H21" s="5">
        <v>168</v>
      </c>
      <c r="I21" s="5">
        <f>702-SUM(F21:H21)</f>
        <v>186</v>
      </c>
      <c r="J21" s="5">
        <v>182</v>
      </c>
      <c r="K21" s="5">
        <v>198</v>
      </c>
      <c r="L21" s="5">
        <v>194</v>
      </c>
      <c r="M21" s="5">
        <f>843-SUM(J21:L21)</f>
        <v>269</v>
      </c>
      <c r="N21" s="5">
        <v>226</v>
      </c>
      <c r="O21" s="5">
        <v>247</v>
      </c>
      <c r="P21" s="5">
        <v>250</v>
      </c>
      <c r="Q21" s="5">
        <f>994-SUM(N21:P21)</f>
        <v>271</v>
      </c>
      <c r="R21" s="5">
        <v>244</v>
      </c>
      <c r="S21" s="5">
        <v>258</v>
      </c>
      <c r="T21" s="5">
        <v>264</v>
      </c>
      <c r="U21" s="5">
        <f>1032-SUM(R21:T21)</f>
        <v>266</v>
      </c>
      <c r="V21" s="5">
        <v>258</v>
      </c>
      <c r="W21" s="25">
        <f t="shared" si="0"/>
        <v>5.737704918032787E-2</v>
      </c>
      <c r="X21" s="5">
        <v>272</v>
      </c>
      <c r="Y21" s="25">
        <f>(X21-S21)/S21</f>
        <v>5.4263565891472867E-2</v>
      </c>
      <c r="Z21" s="5">
        <v>275</v>
      </c>
    </row>
    <row r="22" spans="1:29" x14ac:dyDescent="0.25">
      <c r="A22" s="10" t="s">
        <v>33</v>
      </c>
      <c r="B22" s="5">
        <v>122</v>
      </c>
      <c r="C22" s="5">
        <v>122</v>
      </c>
      <c r="D22" s="5">
        <v>124</v>
      </c>
      <c r="E22" s="5">
        <f>496-SUM(B22:D22)</f>
        <v>128</v>
      </c>
      <c r="F22" s="5">
        <v>131</v>
      </c>
      <c r="G22" s="5">
        <v>133</v>
      </c>
      <c r="H22" s="5">
        <v>144</v>
      </c>
      <c r="I22" s="5">
        <f>559-SUM(F22:H22)</f>
        <v>151</v>
      </c>
      <c r="J22" s="5">
        <v>142</v>
      </c>
      <c r="K22" s="5">
        <v>152</v>
      </c>
      <c r="L22" s="5">
        <v>155</v>
      </c>
      <c r="M22" s="5">
        <f>703-SUM(J22:L22)</f>
        <v>254</v>
      </c>
      <c r="N22" s="5">
        <v>237</v>
      </c>
      <c r="O22" s="5">
        <v>239</v>
      </c>
      <c r="P22" s="5">
        <v>246</v>
      </c>
      <c r="Q22" s="5">
        <f>976-SUM(N22:P22)</f>
        <v>254</v>
      </c>
      <c r="R22" s="5">
        <v>269</v>
      </c>
      <c r="S22" s="5">
        <v>294</v>
      </c>
      <c r="T22" s="5">
        <v>292</v>
      </c>
      <c r="U22" s="5">
        <f>1175-SUM(R22:T22)</f>
        <v>320</v>
      </c>
      <c r="V22" s="5">
        <v>299</v>
      </c>
      <c r="W22" s="25">
        <f t="shared" si="0"/>
        <v>0.11152416356877323</v>
      </c>
      <c r="X22" s="5">
        <v>319</v>
      </c>
      <c r="Y22" s="25">
        <f>(X22-S22)/S22</f>
        <v>8.5034013605442174E-2</v>
      </c>
      <c r="Z22" s="5">
        <v>305</v>
      </c>
    </row>
    <row r="23" spans="1:29" x14ac:dyDescent="0.25">
      <c r="A23" s="10" t="s">
        <v>34</v>
      </c>
      <c r="B23" s="5">
        <v>73</v>
      </c>
      <c r="C23" s="5">
        <v>77</v>
      </c>
      <c r="D23" s="5">
        <v>70</v>
      </c>
      <c r="E23" s="5">
        <f>313-SUM(B23:D23)</f>
        <v>93</v>
      </c>
      <c r="F23" s="5">
        <v>69</v>
      </c>
      <c r="G23" s="5">
        <v>77</v>
      </c>
      <c r="H23" s="5">
        <v>71</v>
      </c>
      <c r="I23" s="5">
        <f>307-SUM(F23:H23)</f>
        <v>90</v>
      </c>
      <c r="J23" s="5">
        <v>67</v>
      </c>
      <c r="K23" s="5">
        <v>70</v>
      </c>
      <c r="L23" s="5">
        <v>66</v>
      </c>
      <c r="M23" s="5">
        <f>326-SUM(J23:L23)</f>
        <v>123</v>
      </c>
      <c r="N23" s="5">
        <v>116</v>
      </c>
      <c r="O23" s="5">
        <v>128</v>
      </c>
      <c r="P23" s="5">
        <v>119</v>
      </c>
      <c r="Q23" s="5">
        <f>485-SUM(N23:P23)</f>
        <v>122</v>
      </c>
      <c r="R23" s="5">
        <v>102</v>
      </c>
      <c r="S23" s="5">
        <v>105</v>
      </c>
      <c r="T23" s="5">
        <v>89</v>
      </c>
      <c r="U23" s="5">
        <f>419-SUM(R23:T23)</f>
        <v>123</v>
      </c>
      <c r="V23" s="5">
        <v>88</v>
      </c>
      <c r="W23" s="25">
        <f t="shared" si="0"/>
        <v>-0.13725490196078433</v>
      </c>
      <c r="X23" s="5">
        <v>103</v>
      </c>
      <c r="Y23" s="25">
        <f>(X23-S23)/S23</f>
        <v>-1.9047619047619049E-2</v>
      </c>
      <c r="Z23" s="5">
        <v>102</v>
      </c>
    </row>
    <row r="24" spans="1:29" x14ac:dyDescent="0.25">
      <c r="A24" s="10" t="s">
        <v>35</v>
      </c>
      <c r="B24" s="5">
        <v>62</v>
      </c>
      <c r="C24" s="5">
        <v>58</v>
      </c>
      <c r="D24" s="5">
        <v>59</v>
      </c>
      <c r="E24" s="5">
        <f>317-SUM(B24:D24)</f>
        <v>138</v>
      </c>
      <c r="F24" s="5">
        <v>62</v>
      </c>
      <c r="G24" s="5">
        <v>62</v>
      </c>
      <c r="H24" s="5">
        <v>63</v>
      </c>
      <c r="I24" s="5">
        <f>253-SUM(F24:H24)</f>
        <v>66</v>
      </c>
      <c r="J24" s="5">
        <v>75</v>
      </c>
      <c r="K24" s="5">
        <v>78</v>
      </c>
      <c r="L24" s="5">
        <v>73</v>
      </c>
      <c r="M24" s="5">
        <f>353-SUM(J24:L24)</f>
        <v>127</v>
      </c>
      <c r="N24" s="5">
        <v>147</v>
      </c>
      <c r="O24" s="5">
        <v>166</v>
      </c>
      <c r="P24" s="5">
        <v>144</v>
      </c>
      <c r="Q24" s="5">
        <f>587-SUM(N24:P24)</f>
        <v>130</v>
      </c>
      <c r="R24" s="5">
        <v>144</v>
      </c>
      <c r="S24" s="5">
        <v>169</v>
      </c>
      <c r="T24" s="5">
        <v>131</v>
      </c>
      <c r="U24" s="5">
        <f>588-SUM(R24:T24)</f>
        <v>144</v>
      </c>
      <c r="V24" s="5">
        <v>146</v>
      </c>
      <c r="W24" s="25">
        <f t="shared" si="0"/>
        <v>1.3888888888888888E-2</v>
      </c>
      <c r="X24" s="5">
        <v>188</v>
      </c>
      <c r="Y24" s="25">
        <f>(X24-S24)/S24</f>
        <v>0.11242603550295859</v>
      </c>
      <c r="Z24" s="5">
        <v>151</v>
      </c>
    </row>
    <row r="25" spans="1:29" x14ac:dyDescent="0.25">
      <c r="A25" s="10" t="s">
        <v>36</v>
      </c>
      <c r="B25" s="5">
        <v>73</v>
      </c>
      <c r="C25" s="5">
        <v>75</v>
      </c>
      <c r="D25" s="5">
        <v>78</v>
      </c>
      <c r="E25" s="5">
        <f>317-SUM(B25:D25)</f>
        <v>91</v>
      </c>
      <c r="F25" s="5">
        <v>83</v>
      </c>
      <c r="G25" s="5">
        <v>84</v>
      </c>
      <c r="H25" s="5">
        <v>88</v>
      </c>
      <c r="I25" s="5">
        <f>349-SUM(F25:H25)</f>
        <v>94</v>
      </c>
      <c r="J25" s="5">
        <v>96</v>
      </c>
      <c r="K25" s="5">
        <v>109</v>
      </c>
      <c r="L25" s="5">
        <v>97</v>
      </c>
      <c r="M25" s="5">
        <f>414-SUM(J25:L25)</f>
        <v>112</v>
      </c>
      <c r="N25" s="5">
        <v>129</v>
      </c>
      <c r="O25" s="5">
        <v>135</v>
      </c>
      <c r="P25" s="5">
        <v>140</v>
      </c>
      <c r="Q25" s="5">
        <f>549-SUM(N25:P25)</f>
        <v>145</v>
      </c>
      <c r="R25" s="5">
        <v>150</v>
      </c>
      <c r="S25" s="5">
        <v>159</v>
      </c>
      <c r="T25" s="5">
        <v>167</v>
      </c>
      <c r="U25" s="5">
        <f>652-SUM(R25:T25)</f>
        <v>176</v>
      </c>
      <c r="V25" s="5">
        <v>177</v>
      </c>
      <c r="W25" s="25">
        <f t="shared" si="0"/>
        <v>0.18</v>
      </c>
      <c r="X25" s="5">
        <v>191</v>
      </c>
      <c r="Y25" s="25">
        <f>(X25-S25)/S25</f>
        <v>0.20125786163522014</v>
      </c>
      <c r="Z25" s="5">
        <v>198</v>
      </c>
    </row>
    <row r="26" spans="1:29" x14ac:dyDescent="0.25">
      <c r="A26" s="10" t="s">
        <v>63</v>
      </c>
      <c r="B26" s="5">
        <v>0</v>
      </c>
      <c r="C26" s="5">
        <v>0</v>
      </c>
      <c r="D26" s="5">
        <v>0</v>
      </c>
      <c r="E26" s="5">
        <v>0</v>
      </c>
      <c r="F26" s="5">
        <v>0</v>
      </c>
      <c r="G26" s="5">
        <v>0</v>
      </c>
      <c r="H26" s="5">
        <v>0</v>
      </c>
      <c r="I26" s="5">
        <v>0</v>
      </c>
      <c r="J26" s="5">
        <v>0</v>
      </c>
      <c r="K26" s="5">
        <v>0</v>
      </c>
      <c r="L26" s="5">
        <v>25</v>
      </c>
      <c r="M26" s="5">
        <f>190-SUM(J26:L26)</f>
        <v>165</v>
      </c>
      <c r="N26" s="5">
        <v>154</v>
      </c>
      <c r="O26" s="5">
        <v>154</v>
      </c>
      <c r="P26" s="5">
        <v>153</v>
      </c>
      <c r="Q26" s="5">
        <f>615-SUM(N26:P26)</f>
        <v>154</v>
      </c>
      <c r="R26" s="5">
        <v>154</v>
      </c>
      <c r="S26" s="5">
        <v>154</v>
      </c>
      <c r="T26" s="5">
        <v>152</v>
      </c>
      <c r="U26" s="5">
        <f>596-SUM(R26:T26)</f>
        <v>136</v>
      </c>
      <c r="V26" s="5">
        <v>135</v>
      </c>
      <c r="W26" s="25">
        <f t="shared" si="0"/>
        <v>-0.12337662337662338</v>
      </c>
      <c r="X26" s="5">
        <v>134</v>
      </c>
      <c r="Y26" s="25">
        <f>(X26-S26)/S26</f>
        <v>-0.12987012987012986</v>
      </c>
      <c r="Z26" s="5">
        <v>135</v>
      </c>
    </row>
    <row r="27" spans="1:29" x14ac:dyDescent="0.25">
      <c r="A27" s="10" t="s">
        <v>37</v>
      </c>
      <c r="B27" s="5">
        <v>51</v>
      </c>
      <c r="C27" s="5">
        <v>50</v>
      </c>
      <c r="D27" s="5">
        <v>57</v>
      </c>
      <c r="E27" s="5">
        <f>317-SUM(B27:D27)</f>
        <v>159</v>
      </c>
      <c r="F27" s="5">
        <v>32</v>
      </c>
      <c r="G27" s="5">
        <v>30</v>
      </c>
      <c r="H27" s="5">
        <v>30</v>
      </c>
      <c r="I27" s="5">
        <f>122-SUM(F27:H27)</f>
        <v>30</v>
      </c>
      <c r="J27" s="5">
        <v>34</v>
      </c>
      <c r="K27" s="5">
        <v>36</v>
      </c>
      <c r="L27" s="5">
        <v>36</v>
      </c>
      <c r="M27" s="5">
        <f>163-SUM(J27:L27)</f>
        <v>57</v>
      </c>
      <c r="N27" s="5">
        <v>78</v>
      </c>
      <c r="O27" s="5">
        <v>66</v>
      </c>
      <c r="P27" s="5">
        <v>64</v>
      </c>
      <c r="Q27" s="5">
        <f>275-SUM(N27:P27)</f>
        <v>67</v>
      </c>
      <c r="R27" s="5">
        <v>68</v>
      </c>
      <c r="S27" s="5">
        <v>67</v>
      </c>
      <c r="T27" s="5">
        <v>65</v>
      </c>
      <c r="U27" s="5">
        <f>262-SUM(R27:T27)</f>
        <v>62</v>
      </c>
      <c r="V27" s="5">
        <v>83</v>
      </c>
      <c r="W27" s="25">
        <f t="shared" si="0"/>
        <v>0.22058823529411764</v>
      </c>
      <c r="X27" s="5">
        <v>80</v>
      </c>
      <c r="Y27" s="25">
        <f>(X27-S27)/S27</f>
        <v>0.19402985074626866</v>
      </c>
      <c r="Z27" s="5">
        <v>114</v>
      </c>
    </row>
    <row r="28" spans="1:29" x14ac:dyDescent="0.25">
      <c r="A28" s="10" t="s">
        <v>28</v>
      </c>
      <c r="B28" s="5">
        <v>89</v>
      </c>
      <c r="C28" s="5">
        <v>72</v>
      </c>
      <c r="D28" s="5">
        <v>71</v>
      </c>
      <c r="E28" s="5">
        <f>317-SUM(B28:D28)</f>
        <v>85</v>
      </c>
      <c r="F28" s="5">
        <v>62</v>
      </c>
      <c r="G28" s="5">
        <v>74</v>
      </c>
      <c r="H28" s="5">
        <v>54</v>
      </c>
      <c r="I28" s="5">
        <f>261-SUM(F28:H28)</f>
        <v>71</v>
      </c>
      <c r="J28" s="5">
        <v>77</v>
      </c>
      <c r="K28" s="5">
        <v>100</v>
      </c>
      <c r="L28" s="5">
        <v>73</v>
      </c>
      <c r="M28" s="5">
        <f>445-SUM(J28:L28)</f>
        <v>195</v>
      </c>
      <c r="N28" s="5">
        <v>238</v>
      </c>
      <c r="O28" s="5">
        <v>355</v>
      </c>
      <c r="P28" s="5">
        <v>140</v>
      </c>
      <c r="Q28" s="5">
        <f>876-SUM(N28:P28)</f>
        <v>143</v>
      </c>
      <c r="R28" s="5">
        <v>156</v>
      </c>
      <c r="S28" s="5">
        <v>187</v>
      </c>
      <c r="T28" s="5">
        <v>187</v>
      </c>
      <c r="U28" s="5">
        <f>714-SUM(R28:T28)</f>
        <v>184</v>
      </c>
      <c r="V28" s="5">
        <v>182</v>
      </c>
      <c r="W28" s="25">
        <f t="shared" si="0"/>
        <v>0.16666666666666666</v>
      </c>
      <c r="X28" s="5">
        <v>180</v>
      </c>
      <c r="Y28" s="25">
        <f>(X28-S28)/S28</f>
        <v>-3.7433155080213901E-2</v>
      </c>
      <c r="Z28" s="5">
        <v>173</v>
      </c>
    </row>
    <row r="29" spans="1:29" s="9" customFormat="1" ht="13" x14ac:dyDescent="0.3">
      <c r="A29" s="12" t="s">
        <v>38</v>
      </c>
      <c r="B29" s="9">
        <f t="shared" ref="B29:AC29" si="5">SUM(B20:B28)</f>
        <v>1396</v>
      </c>
      <c r="C29" s="9">
        <f t="shared" si="5"/>
        <v>1355</v>
      </c>
      <c r="D29" s="9">
        <f t="shared" si="5"/>
        <v>1360</v>
      </c>
      <c r="E29" s="9">
        <f t="shared" si="5"/>
        <v>1677</v>
      </c>
      <c r="F29" s="9">
        <f t="shared" si="5"/>
        <v>1459</v>
      </c>
      <c r="G29" s="9">
        <f t="shared" si="5"/>
        <v>1445</v>
      </c>
      <c r="H29" s="9">
        <f t="shared" si="5"/>
        <v>1475</v>
      </c>
      <c r="I29" s="9">
        <f t="shared" si="5"/>
        <v>1494</v>
      </c>
      <c r="J29" s="9">
        <f t="shared" si="5"/>
        <v>1570</v>
      </c>
      <c r="K29" s="9">
        <f t="shared" si="5"/>
        <v>1562</v>
      </c>
      <c r="L29" s="9">
        <f t="shared" si="5"/>
        <v>1559</v>
      </c>
      <c r="M29" s="9">
        <f t="shared" si="5"/>
        <v>2700</v>
      </c>
      <c r="N29" s="9">
        <f t="shared" si="5"/>
        <v>2755</v>
      </c>
      <c r="O29" s="9">
        <f t="shared" si="5"/>
        <v>2808</v>
      </c>
      <c r="P29" s="9">
        <f t="shared" si="5"/>
        <v>2559</v>
      </c>
      <c r="Q29" s="9">
        <f t="shared" si="5"/>
        <v>2685</v>
      </c>
      <c r="R29" s="9">
        <f t="shared" si="5"/>
        <v>2833</v>
      </c>
      <c r="S29" s="9">
        <f t="shared" si="5"/>
        <v>2819</v>
      </c>
      <c r="T29" s="9">
        <f t="shared" si="5"/>
        <v>2823</v>
      </c>
      <c r="U29" s="9">
        <f t="shared" si="5"/>
        <v>2899</v>
      </c>
      <c r="V29" s="9">
        <f t="shared" si="5"/>
        <v>3006</v>
      </c>
      <c r="W29" s="25">
        <f t="shared" si="0"/>
        <v>6.1066007765619483E-2</v>
      </c>
      <c r="X29" s="9">
        <f t="shared" si="5"/>
        <v>2965</v>
      </c>
      <c r="Y29" s="25">
        <f>(X29-S29)/S29</f>
        <v>5.1791415395530331E-2</v>
      </c>
      <c r="Z29" s="9">
        <f t="shared" si="5"/>
        <v>3223</v>
      </c>
      <c r="AB29" s="9">
        <f t="shared" si="5"/>
        <v>0</v>
      </c>
      <c r="AC29" s="9">
        <f t="shared" si="5"/>
        <v>0</v>
      </c>
    </row>
    <row r="30" spans="1:29" ht="13" x14ac:dyDescent="0.3">
      <c r="C30" s="9"/>
      <c r="W30" s="25"/>
      <c r="Y30" s="25"/>
    </row>
    <row r="31" spans="1:29" x14ac:dyDescent="0.25">
      <c r="A31" s="7" t="s">
        <v>41</v>
      </c>
      <c r="B31" s="5">
        <f t="shared" ref="B31:AC31" si="6">B17-B29</f>
        <v>1002</v>
      </c>
      <c r="C31" s="5">
        <f t="shared" si="6"/>
        <v>1131</v>
      </c>
      <c r="D31" s="5">
        <f t="shared" si="6"/>
        <v>1219</v>
      </c>
      <c r="E31" s="5">
        <f t="shared" si="6"/>
        <v>992</v>
      </c>
      <c r="F31" s="5">
        <f t="shared" si="6"/>
        <v>1264</v>
      </c>
      <c r="G31" s="5">
        <f t="shared" si="6"/>
        <v>1236</v>
      </c>
      <c r="H31" s="5">
        <f t="shared" si="6"/>
        <v>1236</v>
      </c>
      <c r="I31" s="5">
        <f t="shared" si="6"/>
        <v>1112</v>
      </c>
      <c r="J31" s="5">
        <f t="shared" si="6"/>
        <v>1047</v>
      </c>
      <c r="K31" s="5">
        <f t="shared" si="6"/>
        <v>888</v>
      </c>
      <c r="L31" s="5">
        <f t="shared" si="6"/>
        <v>889</v>
      </c>
      <c r="M31" s="5">
        <f t="shared" si="6"/>
        <v>1476</v>
      </c>
      <c r="N31" s="5">
        <f t="shared" si="6"/>
        <v>1960</v>
      </c>
      <c r="O31" s="5">
        <f t="shared" si="6"/>
        <v>1719</v>
      </c>
      <c r="P31" s="5">
        <f t="shared" si="6"/>
        <v>2011</v>
      </c>
      <c r="Q31" s="5">
        <f t="shared" si="6"/>
        <v>2023</v>
      </c>
      <c r="R31" s="5">
        <f t="shared" si="6"/>
        <v>1839</v>
      </c>
      <c r="S31" s="5">
        <f t="shared" si="6"/>
        <v>2274</v>
      </c>
      <c r="T31" s="5">
        <f t="shared" si="6"/>
        <v>2677</v>
      </c>
      <c r="U31" s="5">
        <f t="shared" si="6"/>
        <v>2598</v>
      </c>
      <c r="V31" s="5">
        <f t="shared" si="6"/>
        <v>2110</v>
      </c>
      <c r="W31" s="25">
        <f t="shared" si="0"/>
        <v>0.1473626971179989</v>
      </c>
      <c r="X31" s="5">
        <f t="shared" si="6"/>
        <v>1691</v>
      </c>
      <c r="Y31" s="25">
        <f>(X31-S31)/S31</f>
        <v>-0.2563764291996482</v>
      </c>
      <c r="Z31" s="5">
        <f t="shared" si="6"/>
        <v>1383</v>
      </c>
      <c r="AB31" s="5">
        <f t="shared" si="6"/>
        <v>0</v>
      </c>
      <c r="AC31" s="5">
        <f t="shared" si="6"/>
        <v>0</v>
      </c>
    </row>
    <row r="32" spans="1:29" x14ac:dyDescent="0.25">
      <c r="A32" s="7" t="s">
        <v>39</v>
      </c>
      <c r="B32" s="5">
        <v>219</v>
      </c>
      <c r="C32" s="5">
        <v>265</v>
      </c>
      <c r="D32" s="5">
        <v>296</v>
      </c>
      <c r="E32" s="5">
        <f>1055-SUM(B32:D32)</f>
        <v>275</v>
      </c>
      <c r="F32" s="5">
        <v>300</v>
      </c>
      <c r="G32" s="5">
        <v>299</v>
      </c>
      <c r="H32" s="5">
        <v>285</v>
      </c>
      <c r="I32" s="5">
        <f>1144-SUM(F32:H32)</f>
        <v>260</v>
      </c>
      <c r="J32" s="5">
        <v>252</v>
      </c>
      <c r="K32" s="5">
        <v>217</v>
      </c>
      <c r="L32" s="5">
        <v>191</v>
      </c>
      <c r="M32" s="5">
        <f>1001-SUM(J32:L32)</f>
        <v>341</v>
      </c>
      <c r="N32" s="5">
        <v>476</v>
      </c>
      <c r="O32" s="5">
        <v>454</v>
      </c>
      <c r="P32" s="5">
        <v>485</v>
      </c>
      <c r="Q32" s="5">
        <f>1858-SUM(N32:P32)</f>
        <v>443</v>
      </c>
      <c r="R32" s="5">
        <v>437</v>
      </c>
      <c r="S32" s="13">
        <v>481</v>
      </c>
      <c r="T32" s="5">
        <v>657</v>
      </c>
      <c r="U32" s="5">
        <f>2205-SUM(R32:T32)</f>
        <v>630</v>
      </c>
      <c r="V32" s="5">
        <v>507</v>
      </c>
      <c r="W32" s="25">
        <f t="shared" si="0"/>
        <v>0.16018306636155608</v>
      </c>
      <c r="X32" s="5">
        <v>397</v>
      </c>
      <c r="Y32" s="25">
        <f>(X32-S32)/S32</f>
        <v>-0.17463617463617465</v>
      </c>
      <c r="Z32" s="5">
        <v>258</v>
      </c>
    </row>
    <row r="33" spans="1:29" s="9" customFormat="1" ht="13" x14ac:dyDescent="0.3">
      <c r="A33" s="11" t="s">
        <v>40</v>
      </c>
      <c r="B33" s="9">
        <f t="shared" ref="B33:AC33" si="7">B31-B32</f>
        <v>783</v>
      </c>
      <c r="C33" s="9">
        <f t="shared" si="7"/>
        <v>866</v>
      </c>
      <c r="D33" s="9">
        <f t="shared" si="7"/>
        <v>923</v>
      </c>
      <c r="E33" s="9">
        <f t="shared" si="7"/>
        <v>717</v>
      </c>
      <c r="F33" s="9">
        <f t="shared" si="7"/>
        <v>964</v>
      </c>
      <c r="G33" s="9">
        <f t="shared" si="7"/>
        <v>937</v>
      </c>
      <c r="H33" s="9">
        <f t="shared" si="7"/>
        <v>951</v>
      </c>
      <c r="I33" s="9">
        <f t="shared" si="7"/>
        <v>852</v>
      </c>
      <c r="J33" s="9">
        <f t="shared" si="7"/>
        <v>795</v>
      </c>
      <c r="K33" s="9">
        <f t="shared" si="7"/>
        <v>671</v>
      </c>
      <c r="L33" s="9">
        <f t="shared" si="7"/>
        <v>698</v>
      </c>
      <c r="M33" s="9">
        <f t="shared" si="7"/>
        <v>1135</v>
      </c>
      <c r="N33" s="9">
        <f t="shared" si="7"/>
        <v>1484</v>
      </c>
      <c r="O33" s="9">
        <f t="shared" si="7"/>
        <v>1265</v>
      </c>
      <c r="P33" s="9">
        <f t="shared" si="7"/>
        <v>1526</v>
      </c>
      <c r="Q33" s="9">
        <f t="shared" si="7"/>
        <v>1580</v>
      </c>
      <c r="R33" s="9">
        <f t="shared" si="7"/>
        <v>1402</v>
      </c>
      <c r="S33" s="9">
        <f t="shared" si="7"/>
        <v>1793</v>
      </c>
      <c r="T33" s="9">
        <f t="shared" si="7"/>
        <v>2020</v>
      </c>
      <c r="U33" s="9">
        <f t="shared" si="7"/>
        <v>1968</v>
      </c>
      <c r="V33" s="9">
        <f t="shared" si="7"/>
        <v>1603</v>
      </c>
      <c r="W33" s="25">
        <f t="shared" si="0"/>
        <v>0.14336661911554921</v>
      </c>
      <c r="X33" s="9">
        <f t="shared" si="7"/>
        <v>1294</v>
      </c>
      <c r="Y33" s="25">
        <f>(X33-S33)/S33</f>
        <v>-0.27830451756832125</v>
      </c>
      <c r="Z33" s="9">
        <f t="shared" si="7"/>
        <v>1125</v>
      </c>
      <c r="AB33" s="9">
        <f t="shared" si="7"/>
        <v>0</v>
      </c>
      <c r="AC33" s="9">
        <f t="shared" si="7"/>
        <v>0</v>
      </c>
    </row>
    <row r="34" spans="1:29" x14ac:dyDescent="0.25">
      <c r="W34" s="25"/>
      <c r="Y34" s="25"/>
    </row>
    <row r="35" spans="1:29" ht="13" x14ac:dyDescent="0.3">
      <c r="A35" s="8" t="s">
        <v>42</v>
      </c>
      <c r="W35" s="25"/>
      <c r="Y35" s="25"/>
    </row>
    <row r="36" spans="1:29" x14ac:dyDescent="0.25">
      <c r="A36" s="10" t="s">
        <v>43</v>
      </c>
      <c r="B36" s="5">
        <v>14145</v>
      </c>
      <c r="C36" s="5">
        <v>13250</v>
      </c>
      <c r="D36" s="5">
        <v>21830</v>
      </c>
      <c r="E36" s="5">
        <v>27938</v>
      </c>
      <c r="F36" s="5">
        <v>32558</v>
      </c>
      <c r="G36" s="5">
        <v>24199</v>
      </c>
      <c r="H36" s="5">
        <v>20252</v>
      </c>
      <c r="I36" s="5">
        <v>29345</v>
      </c>
      <c r="J36" s="5">
        <v>68458</v>
      </c>
      <c r="K36" s="5">
        <v>33574</v>
      </c>
      <c r="L36" s="5">
        <v>27465</v>
      </c>
      <c r="M36" s="5">
        <v>40348</v>
      </c>
      <c r="N36" s="5">
        <v>48182</v>
      </c>
      <c r="O36" s="5">
        <v>30337</v>
      </c>
      <c r="P36" s="5">
        <v>34323</v>
      </c>
      <c r="Q36" s="5">
        <v>62975</v>
      </c>
      <c r="R36" s="5">
        <v>91126</v>
      </c>
      <c r="S36" s="5">
        <v>64550</v>
      </c>
      <c r="T36" s="5">
        <v>46486</v>
      </c>
      <c r="U36" s="5">
        <v>40195</v>
      </c>
      <c r="V36" s="5">
        <v>49162</v>
      </c>
      <c r="W36" s="25">
        <f t="shared" si="0"/>
        <v>-0.46050523451045805</v>
      </c>
      <c r="X36" s="5">
        <v>47651</v>
      </c>
      <c r="Y36" s="25">
        <f>(X36-S36)/S36</f>
        <v>-0.26179705654531371</v>
      </c>
      <c r="Z36" s="5">
        <v>34391</v>
      </c>
    </row>
    <row r="37" spans="1:29" x14ac:dyDescent="0.25">
      <c r="A37" s="10" t="s">
        <v>44</v>
      </c>
      <c r="B37" s="5">
        <v>12823</v>
      </c>
      <c r="C37" s="5">
        <v>11012</v>
      </c>
      <c r="D37" s="5">
        <v>8487</v>
      </c>
      <c r="E37" s="5">
        <v>13563</v>
      </c>
      <c r="F37" s="5">
        <v>13924</v>
      </c>
      <c r="G37" s="5">
        <v>14146</v>
      </c>
      <c r="H37" s="5">
        <v>16164</v>
      </c>
      <c r="I37" s="5">
        <v>20483</v>
      </c>
      <c r="J37" s="5">
        <v>34309</v>
      </c>
      <c r="K37" s="5">
        <v>33188</v>
      </c>
      <c r="L37" s="5">
        <v>29579</v>
      </c>
      <c r="M37" s="5">
        <v>50399</v>
      </c>
      <c r="N37" s="5">
        <v>40423</v>
      </c>
      <c r="O37" s="5">
        <v>39919</v>
      </c>
      <c r="P37" s="5">
        <v>42300</v>
      </c>
      <c r="Q37" s="5">
        <v>53949</v>
      </c>
      <c r="R37" s="5">
        <v>54445</v>
      </c>
      <c r="S37" s="5">
        <v>53466</v>
      </c>
      <c r="T37" s="5">
        <v>44118</v>
      </c>
      <c r="U37" s="5">
        <v>42983</v>
      </c>
      <c r="V37" s="5">
        <v>31037</v>
      </c>
      <c r="W37" s="25">
        <f t="shared" si="0"/>
        <v>-0.42993847001561208</v>
      </c>
      <c r="X37" s="5">
        <v>25083</v>
      </c>
      <c r="Y37" s="25">
        <f>(X37-S37)/S37</f>
        <v>-0.53086073392436317</v>
      </c>
      <c r="Z37" s="5">
        <v>21987</v>
      </c>
    </row>
    <row r="38" spans="1:29" hidden="1" x14ac:dyDescent="0.25">
      <c r="A38" s="10" t="s">
        <v>53</v>
      </c>
      <c r="B38" s="5">
        <v>894</v>
      </c>
      <c r="C38" s="5">
        <v>1025</v>
      </c>
      <c r="D38" s="5">
        <v>798</v>
      </c>
      <c r="E38" s="5">
        <v>553</v>
      </c>
      <c r="F38" s="5">
        <v>616</v>
      </c>
      <c r="G38" s="5">
        <v>463</v>
      </c>
      <c r="H38" s="5">
        <v>1317</v>
      </c>
      <c r="I38" s="5">
        <v>0</v>
      </c>
      <c r="J38" s="5">
        <v>0</v>
      </c>
      <c r="K38" s="5">
        <v>0</v>
      </c>
      <c r="L38" s="13">
        <v>0</v>
      </c>
      <c r="M38" s="5">
        <v>0</v>
      </c>
      <c r="N38" s="5">
        <v>0</v>
      </c>
      <c r="O38" s="5">
        <v>0</v>
      </c>
      <c r="P38" s="5">
        <v>0</v>
      </c>
      <c r="Q38" s="5">
        <v>0</v>
      </c>
      <c r="R38" s="5">
        <v>0</v>
      </c>
      <c r="S38" s="5">
        <v>0</v>
      </c>
      <c r="T38" s="5">
        <v>0</v>
      </c>
      <c r="U38" s="5">
        <v>0</v>
      </c>
      <c r="V38" s="5">
        <v>0</v>
      </c>
      <c r="W38" s="25" t="e">
        <f t="shared" si="0"/>
        <v>#DIV/0!</v>
      </c>
      <c r="Y38" s="25" t="e">
        <f>(X38-S38)/S38</f>
        <v>#DIV/0!</v>
      </c>
    </row>
    <row r="39" spans="1:29" x14ac:dyDescent="0.25">
      <c r="A39" s="10" t="s">
        <v>45</v>
      </c>
      <c r="B39" s="5">
        <v>21153</v>
      </c>
      <c r="C39" s="5">
        <v>22351</v>
      </c>
      <c r="D39" s="5">
        <v>22411</v>
      </c>
      <c r="E39" s="5">
        <v>21651</v>
      </c>
      <c r="F39" s="5">
        <v>20529</v>
      </c>
      <c r="G39" s="5">
        <v>21428</v>
      </c>
      <c r="H39" s="5">
        <v>21069</v>
      </c>
      <c r="I39" s="5">
        <v>21767</v>
      </c>
      <c r="J39" s="5">
        <v>19001</v>
      </c>
      <c r="K39" s="5">
        <v>21421</v>
      </c>
      <c r="L39" s="5">
        <v>25441</v>
      </c>
      <c r="M39" s="5">
        <v>64440</v>
      </c>
      <c r="N39" s="5">
        <v>74711</v>
      </c>
      <c r="O39" s="5">
        <v>82245</v>
      </c>
      <c r="P39" s="5">
        <v>86553</v>
      </c>
      <c r="Q39" s="5">
        <v>90565</v>
      </c>
      <c r="R39" s="5">
        <v>84070</v>
      </c>
      <c r="S39" s="5">
        <v>76130</v>
      </c>
      <c r="T39" s="5">
        <v>73859</v>
      </c>
      <c r="U39" s="5">
        <v>66591</v>
      </c>
      <c r="V39" s="5">
        <v>63187</v>
      </c>
      <c r="W39" s="25">
        <f t="shared" si="0"/>
        <v>-0.24840014273819436</v>
      </c>
      <c r="X39" s="5">
        <v>65162</v>
      </c>
      <c r="Y39" s="25">
        <f>(X39-S39)/S39</f>
        <v>-0.14406935505057139</v>
      </c>
      <c r="Z39" s="5">
        <v>63760</v>
      </c>
    </row>
    <row r="40" spans="1:29" hidden="1" x14ac:dyDescent="0.25">
      <c r="A40" s="10" t="s">
        <v>46</v>
      </c>
      <c r="B40" s="5">
        <v>500</v>
      </c>
      <c r="C40" s="5">
        <v>525</v>
      </c>
      <c r="D40" s="5">
        <v>500</v>
      </c>
      <c r="E40" s="5">
        <v>539</v>
      </c>
      <c r="F40" s="5">
        <v>521</v>
      </c>
      <c r="G40" s="5">
        <v>538</v>
      </c>
      <c r="H40" s="5">
        <v>497</v>
      </c>
      <c r="I40" s="5">
        <v>0</v>
      </c>
      <c r="J40" s="5">
        <v>0</v>
      </c>
      <c r="K40" s="5">
        <v>0</v>
      </c>
      <c r="L40" s="5">
        <v>0</v>
      </c>
      <c r="M40" s="5">
        <v>0</v>
      </c>
      <c r="N40" s="5">
        <v>0</v>
      </c>
      <c r="O40" s="5">
        <v>0</v>
      </c>
      <c r="P40" s="5">
        <v>0</v>
      </c>
      <c r="Q40" s="5">
        <v>0</v>
      </c>
      <c r="R40" s="5">
        <v>0</v>
      </c>
      <c r="S40" s="5">
        <v>0</v>
      </c>
      <c r="T40" s="5">
        <v>0</v>
      </c>
      <c r="U40" s="5">
        <v>0</v>
      </c>
      <c r="W40" s="25" t="e">
        <f t="shared" si="0"/>
        <v>#DIV/0!</v>
      </c>
      <c r="Y40" s="25" t="e">
        <f>(X40-S40)/S40</f>
        <v>#DIV/0!</v>
      </c>
    </row>
    <row r="41" spans="1:29" x14ac:dyDescent="0.25">
      <c r="A41" s="10" t="s">
        <v>47</v>
      </c>
      <c r="B41" s="5">
        <v>51827</v>
      </c>
      <c r="C41" s="5">
        <v>55522</v>
      </c>
      <c r="D41" s="5">
        <v>57558</v>
      </c>
      <c r="E41" s="5">
        <v>66578</v>
      </c>
      <c r="F41" s="5">
        <v>60005</v>
      </c>
      <c r="G41" s="5">
        <v>54648</v>
      </c>
      <c r="H41" s="5">
        <v>56483</v>
      </c>
      <c r="I41" s="5">
        <v>61422</v>
      </c>
      <c r="J41" s="5">
        <v>221232</v>
      </c>
      <c r="K41" s="5">
        <v>281216</v>
      </c>
      <c r="L41" s="5">
        <v>303758</v>
      </c>
      <c r="M41" s="5">
        <v>337400</v>
      </c>
      <c r="N41" s="5">
        <v>342006</v>
      </c>
      <c r="O41" s="5">
        <v>359622</v>
      </c>
      <c r="P41" s="5">
        <v>376968</v>
      </c>
      <c r="Q41" s="5">
        <v>390054</v>
      </c>
      <c r="R41" s="5">
        <v>272049</v>
      </c>
      <c r="S41" s="5">
        <v>265277</v>
      </c>
      <c r="T41" s="5">
        <v>236517</v>
      </c>
      <c r="U41" s="5">
        <v>147871</v>
      </c>
      <c r="V41" s="5">
        <v>141334</v>
      </c>
      <c r="W41" s="25">
        <f t="shared" si="0"/>
        <v>-0.48048329528871636</v>
      </c>
      <c r="X41" s="5">
        <v>125769</v>
      </c>
      <c r="Y41" s="25">
        <f>(X41-S41)/S41</f>
        <v>-0.52589557330639292</v>
      </c>
      <c r="Z41" s="5">
        <v>129545</v>
      </c>
    </row>
    <row r="42" spans="1:29" x14ac:dyDescent="0.25">
      <c r="A42" s="10" t="s">
        <v>48</v>
      </c>
      <c r="B42" s="5">
        <v>125683</v>
      </c>
      <c r="C42" s="5">
        <v>136792</v>
      </c>
      <c r="D42" s="5">
        <v>138952</v>
      </c>
      <c r="E42" s="5">
        <v>144009</v>
      </c>
      <c r="F42" s="5">
        <v>132420</v>
      </c>
      <c r="G42" s="5">
        <v>138326</v>
      </c>
      <c r="H42" s="5">
        <v>140194</v>
      </c>
      <c r="I42" s="5">
        <v>134706</v>
      </c>
      <c r="J42" s="5">
        <v>0</v>
      </c>
      <c r="K42" s="5">
        <v>0</v>
      </c>
      <c r="L42" s="5">
        <v>0</v>
      </c>
      <c r="M42" s="5">
        <v>0</v>
      </c>
      <c r="N42" s="5">
        <v>0</v>
      </c>
      <c r="O42" s="13">
        <v>0</v>
      </c>
      <c r="P42" s="5">
        <v>0</v>
      </c>
      <c r="Q42" s="5">
        <v>0</v>
      </c>
      <c r="R42" s="5">
        <v>105286</v>
      </c>
      <c r="S42" s="5">
        <v>100117</v>
      </c>
      <c r="T42" s="5">
        <v>96323</v>
      </c>
      <c r="U42" s="5">
        <v>173074</v>
      </c>
      <c r="V42" s="5">
        <v>169911</v>
      </c>
      <c r="W42" s="25">
        <f t="shared" si="0"/>
        <v>0.61380430446593093</v>
      </c>
      <c r="X42" s="5">
        <v>166328</v>
      </c>
      <c r="Y42" s="25">
        <f>(X42-S42)/S42</f>
        <v>0.66133623660317431</v>
      </c>
      <c r="Z42" s="5">
        <v>163904</v>
      </c>
    </row>
    <row r="43" spans="1:29" x14ac:dyDescent="0.25">
      <c r="A43" s="10" t="s">
        <v>49</v>
      </c>
      <c r="B43" s="5">
        <v>16389</v>
      </c>
      <c r="C43" s="5">
        <v>16569</v>
      </c>
      <c r="D43" s="5">
        <v>16564</v>
      </c>
      <c r="E43" s="5">
        <v>16609</v>
      </c>
      <c r="F43" s="5">
        <v>16510</v>
      </c>
      <c r="G43" s="5">
        <v>16639</v>
      </c>
      <c r="H43" s="5">
        <v>16895</v>
      </c>
      <c r="I43" s="5">
        <v>18212</v>
      </c>
      <c r="J43" s="5">
        <v>19521</v>
      </c>
      <c r="K43" s="5">
        <v>20871</v>
      </c>
      <c r="L43" s="5">
        <v>22286</v>
      </c>
      <c r="M43" s="5">
        <v>23813</v>
      </c>
      <c r="N43" s="5">
        <v>25421</v>
      </c>
      <c r="O43" s="5">
        <v>28895</v>
      </c>
      <c r="P43" s="5">
        <v>31570</v>
      </c>
      <c r="Q43" s="5">
        <v>34636</v>
      </c>
      <c r="R43" s="5">
        <v>37207</v>
      </c>
      <c r="S43" s="5">
        <v>39564</v>
      </c>
      <c r="T43" s="5">
        <v>40379</v>
      </c>
      <c r="U43" s="5">
        <v>40505</v>
      </c>
      <c r="V43" s="5">
        <v>39964</v>
      </c>
      <c r="W43" s="25">
        <f t="shared" si="0"/>
        <v>7.4098959873142148E-2</v>
      </c>
      <c r="X43" s="5">
        <v>40061</v>
      </c>
      <c r="Y43" s="25">
        <f>(X43-S43)/S43</f>
        <v>1.2561924982307147E-2</v>
      </c>
      <c r="Z43" s="5">
        <v>40177</v>
      </c>
    </row>
    <row r="44" spans="1:29" x14ac:dyDescent="0.25">
      <c r="A44" s="10" t="s">
        <v>50</v>
      </c>
      <c r="B44" s="5">
        <v>1540</v>
      </c>
      <c r="C44" s="5">
        <v>1599</v>
      </c>
      <c r="D44" s="5">
        <v>1683</v>
      </c>
      <c r="E44" s="5">
        <v>1769</v>
      </c>
      <c r="F44" s="5">
        <v>1813</v>
      </c>
      <c r="G44" s="5">
        <v>1909</v>
      </c>
      <c r="H44" s="5">
        <v>2017</v>
      </c>
      <c r="I44" s="5">
        <v>2128</v>
      </c>
      <c r="J44" s="5">
        <v>2291</v>
      </c>
      <c r="K44" s="5">
        <v>2314</v>
      </c>
      <c r="L44" s="5">
        <v>2346</v>
      </c>
      <c r="M44" s="5">
        <v>2883</v>
      </c>
      <c r="N44" s="5">
        <v>3054</v>
      </c>
      <c r="O44" s="5">
        <v>3136</v>
      </c>
      <c r="P44" s="5">
        <v>3164</v>
      </c>
      <c r="Q44" s="5">
        <v>3442</v>
      </c>
      <c r="R44" s="5">
        <v>3499</v>
      </c>
      <c r="S44" s="5">
        <v>3670</v>
      </c>
      <c r="T44" s="5">
        <v>3687</v>
      </c>
      <c r="U44" s="5">
        <v>3714</v>
      </c>
      <c r="V44" s="5">
        <v>3716</v>
      </c>
      <c r="W44" s="25">
        <f t="shared" si="0"/>
        <v>6.201771934838525E-2</v>
      </c>
      <c r="X44" s="5">
        <v>3686</v>
      </c>
      <c r="Y44" s="25">
        <f>(X44-S44)/S44</f>
        <v>4.359673024523161E-3</v>
      </c>
    </row>
    <row r="45" spans="1:29" x14ac:dyDescent="0.25">
      <c r="A45" s="10" t="s">
        <v>51</v>
      </c>
      <c r="B45" s="5">
        <v>1227</v>
      </c>
      <c r="C45" s="5">
        <v>1227</v>
      </c>
      <c r="D45" s="5">
        <v>1227</v>
      </c>
      <c r="E45" s="5">
        <v>1227</v>
      </c>
      <c r="F45" s="5">
        <v>1227</v>
      </c>
      <c r="G45" s="5">
        <v>1227</v>
      </c>
      <c r="H45" s="5">
        <v>1227</v>
      </c>
      <c r="I45" s="5">
        <v>1227</v>
      </c>
      <c r="J45" s="5">
        <v>1227</v>
      </c>
      <c r="K45" s="5">
        <v>1733</v>
      </c>
      <c r="L45" s="5">
        <v>1737</v>
      </c>
      <c r="M45" s="5">
        <v>11952</v>
      </c>
      <c r="N45" s="5">
        <v>11952</v>
      </c>
      <c r="O45" s="5">
        <v>11952</v>
      </c>
      <c r="P45" s="5">
        <v>11952</v>
      </c>
      <c r="Q45" s="5">
        <v>11952</v>
      </c>
      <c r="R45" s="5">
        <v>11952</v>
      </c>
      <c r="S45" s="5">
        <v>11951</v>
      </c>
      <c r="T45" s="5">
        <v>11951</v>
      </c>
      <c r="U45" s="5">
        <v>11951</v>
      </c>
      <c r="V45" s="5">
        <v>11951</v>
      </c>
      <c r="W45" s="25">
        <f t="shared" si="0"/>
        <v>-8.366800535475234E-5</v>
      </c>
      <c r="X45" s="5">
        <v>11951</v>
      </c>
      <c r="Y45" s="25">
        <f>(X45-S45)/S45</f>
        <v>0</v>
      </c>
    </row>
    <row r="46" spans="1:29" x14ac:dyDescent="0.25">
      <c r="A46" s="10" t="s">
        <v>52</v>
      </c>
      <c r="B46" s="5">
        <v>101</v>
      </c>
      <c r="C46" s="5">
        <v>93</v>
      </c>
      <c r="D46" s="5">
        <v>0</v>
      </c>
      <c r="E46" s="5">
        <v>0</v>
      </c>
      <c r="F46" s="5">
        <v>0</v>
      </c>
      <c r="G46" s="5">
        <v>0</v>
      </c>
      <c r="H46" s="5">
        <v>0</v>
      </c>
      <c r="I46" s="5">
        <v>0</v>
      </c>
      <c r="J46" s="5">
        <v>0</v>
      </c>
      <c r="K46" s="5">
        <v>1278</v>
      </c>
      <c r="L46" s="5">
        <v>1258</v>
      </c>
      <c r="M46" s="5">
        <v>9991</v>
      </c>
      <c r="N46" s="5">
        <v>9838</v>
      </c>
      <c r="O46" s="5">
        <v>9686</v>
      </c>
      <c r="P46" s="5">
        <v>9532</v>
      </c>
      <c r="Q46" s="5">
        <v>9379</v>
      </c>
      <c r="R46" s="5">
        <v>9227</v>
      </c>
      <c r="S46" s="5">
        <v>9075</v>
      </c>
      <c r="T46" s="5">
        <v>8923</v>
      </c>
      <c r="U46" s="5">
        <v>8789</v>
      </c>
      <c r="V46" s="5">
        <v>8659</v>
      </c>
      <c r="W46" s="25">
        <f t="shared" si="0"/>
        <v>-6.1558469708464292E-2</v>
      </c>
      <c r="X46" s="5">
        <v>8524</v>
      </c>
      <c r="Y46" s="25">
        <f>(X46-S46)/S46</f>
        <v>-6.0716253443526172E-2</v>
      </c>
    </row>
    <row r="47" spans="1:29" x14ac:dyDescent="0.25">
      <c r="A47" s="10" t="s">
        <v>28</v>
      </c>
      <c r="B47" s="5">
        <v>2038</v>
      </c>
      <c r="C47" s="5">
        <v>1917</v>
      </c>
      <c r="D47" s="5">
        <v>2092</v>
      </c>
      <c r="E47" s="5">
        <v>2046</v>
      </c>
      <c r="F47" s="5">
        <v>2692</v>
      </c>
      <c r="G47" s="5">
        <v>2798</v>
      </c>
      <c r="H47" s="5">
        <v>2872</v>
      </c>
      <c r="I47" s="5">
        <v>4715</v>
      </c>
      <c r="J47" s="5">
        <v>4740</v>
      </c>
      <c r="K47" s="5">
        <v>4889</v>
      </c>
      <c r="L47" s="5">
        <v>5485</v>
      </c>
      <c r="M47" s="5">
        <v>7783</v>
      </c>
      <c r="N47" s="5">
        <v>7870</v>
      </c>
      <c r="O47" s="5">
        <v>8740</v>
      </c>
      <c r="P47" s="5">
        <v>11186</v>
      </c>
      <c r="Q47" s="5">
        <v>10318</v>
      </c>
      <c r="R47" s="5">
        <v>12089</v>
      </c>
      <c r="S47" s="5">
        <v>13757</v>
      </c>
      <c r="T47" s="5">
        <v>15320</v>
      </c>
      <c r="U47" s="5">
        <v>16099</v>
      </c>
      <c r="V47" s="5">
        <v>16631</v>
      </c>
      <c r="W47" s="25">
        <f t="shared" si="0"/>
        <v>0.37571345851600629</v>
      </c>
      <c r="X47" s="5">
        <v>17290</v>
      </c>
      <c r="Y47" s="25">
        <f>(X47-S47)/S47</f>
        <v>0.25681471250999494</v>
      </c>
    </row>
    <row r="48" spans="1:29" s="9" customFormat="1" ht="13" x14ac:dyDescent="0.3">
      <c r="A48" s="12" t="s">
        <v>62</v>
      </c>
      <c r="B48" s="9">
        <f t="shared" ref="B48:AC48" si="8">SUM(B36:B47)</f>
        <v>248320</v>
      </c>
      <c r="C48" s="9">
        <f t="shared" si="8"/>
        <v>261882</v>
      </c>
      <c r="D48" s="9">
        <f t="shared" si="8"/>
        <v>272102</v>
      </c>
      <c r="E48" s="9">
        <f t="shared" si="8"/>
        <v>296482</v>
      </c>
      <c r="F48" s="9">
        <f t="shared" si="8"/>
        <v>282815</v>
      </c>
      <c r="G48" s="9">
        <f t="shared" si="8"/>
        <v>276321</v>
      </c>
      <c r="H48" s="9">
        <f t="shared" si="8"/>
        <v>278987</v>
      </c>
      <c r="I48" s="9">
        <f t="shared" si="8"/>
        <v>294005</v>
      </c>
      <c r="J48" s="9">
        <f t="shared" si="8"/>
        <v>370779</v>
      </c>
      <c r="K48" s="9">
        <f t="shared" si="8"/>
        <v>400484</v>
      </c>
      <c r="L48" s="9">
        <f t="shared" si="8"/>
        <v>419355</v>
      </c>
      <c r="M48" s="9">
        <f t="shared" si="8"/>
        <v>549009</v>
      </c>
      <c r="N48" s="9">
        <f t="shared" si="8"/>
        <v>563457</v>
      </c>
      <c r="O48" s="9">
        <f t="shared" si="8"/>
        <v>574532</v>
      </c>
      <c r="P48" s="9">
        <f t="shared" si="8"/>
        <v>607548</v>
      </c>
      <c r="Q48" s="9">
        <f t="shared" si="8"/>
        <v>667270</v>
      </c>
      <c r="R48" s="9">
        <f t="shared" si="8"/>
        <v>680950</v>
      </c>
      <c r="S48" s="9">
        <f t="shared" si="8"/>
        <v>637557</v>
      </c>
      <c r="T48" s="9">
        <f t="shared" si="8"/>
        <v>577563</v>
      </c>
      <c r="U48" s="9">
        <f t="shared" si="8"/>
        <v>551772</v>
      </c>
      <c r="V48" s="9">
        <f t="shared" si="8"/>
        <v>535552</v>
      </c>
      <c r="W48" s="25">
        <f t="shared" si="0"/>
        <v>-0.2135222850429547</v>
      </c>
      <c r="X48" s="9">
        <f t="shared" si="8"/>
        <v>511505</v>
      </c>
      <c r="Y48" s="25">
        <f>(X48-S48)/S48</f>
        <v>-0.19771094976606013</v>
      </c>
      <c r="Z48" s="9">
        <f t="shared" si="8"/>
        <v>453764</v>
      </c>
      <c r="AB48" s="9">
        <f t="shared" si="8"/>
        <v>0</v>
      </c>
      <c r="AC48" s="9">
        <f t="shared" si="8"/>
        <v>0</v>
      </c>
    </row>
    <row r="49" spans="1:29" x14ac:dyDescent="0.25">
      <c r="A49" s="7"/>
      <c r="W49" s="25"/>
      <c r="Y49" s="25"/>
    </row>
    <row r="50" spans="1:29" ht="13" x14ac:dyDescent="0.3">
      <c r="A50" s="8" t="s">
        <v>54</v>
      </c>
      <c r="W50" s="25"/>
      <c r="Y50" s="25"/>
    </row>
    <row r="51" spans="1:29" x14ac:dyDescent="0.25">
      <c r="A51" s="10" t="s">
        <v>55</v>
      </c>
      <c r="B51" s="5">
        <v>190184</v>
      </c>
      <c r="C51" s="5">
        <v>199922</v>
      </c>
      <c r="D51" s="5">
        <v>213408</v>
      </c>
      <c r="E51" s="5">
        <v>231423</v>
      </c>
      <c r="F51" s="5">
        <v>219454</v>
      </c>
      <c r="G51" s="5">
        <v>208375</v>
      </c>
      <c r="H51" s="5">
        <v>209327</v>
      </c>
      <c r="I51" s="5">
        <v>220094</v>
      </c>
      <c r="J51" s="5">
        <v>277477</v>
      </c>
      <c r="K51" s="5">
        <v>301566</v>
      </c>
      <c r="L51" s="5">
        <v>320717</v>
      </c>
      <c r="M51" s="5">
        <v>358022</v>
      </c>
      <c r="N51" s="5">
        <v>369898</v>
      </c>
      <c r="O51" s="5">
        <v>368638</v>
      </c>
      <c r="P51" s="5">
        <v>395275</v>
      </c>
      <c r="Q51" s="5">
        <v>443778</v>
      </c>
      <c r="R51" s="5">
        <v>465827</v>
      </c>
      <c r="S51" s="5">
        <v>442003</v>
      </c>
      <c r="T51" s="5">
        <v>395715</v>
      </c>
      <c r="U51" s="5">
        <v>366724</v>
      </c>
      <c r="V51" s="5">
        <v>325745</v>
      </c>
      <c r="W51" s="25">
        <f t="shared" si="0"/>
        <v>-0.3007167897094844</v>
      </c>
      <c r="X51" s="5">
        <v>304414</v>
      </c>
      <c r="Y51" s="25">
        <f>(X51-S51)/S51</f>
        <v>-0.31128521752114807</v>
      </c>
    </row>
    <row r="52" spans="1:29" hidden="1" x14ac:dyDescent="0.25">
      <c r="A52" s="10" t="s">
        <v>56</v>
      </c>
      <c r="B52" s="5">
        <v>1122</v>
      </c>
      <c r="C52" s="5">
        <v>3319</v>
      </c>
      <c r="D52" s="5">
        <v>1522</v>
      </c>
      <c r="E52" s="5">
        <v>1831</v>
      </c>
      <c r="F52" s="5">
        <v>1602</v>
      </c>
      <c r="G52" s="5">
        <v>4622</v>
      </c>
      <c r="H52" s="5">
        <v>1736</v>
      </c>
      <c r="I52" s="5">
        <v>0</v>
      </c>
      <c r="J52" s="5">
        <v>0</v>
      </c>
      <c r="K52" s="5">
        <v>0</v>
      </c>
      <c r="L52" s="5">
        <v>0</v>
      </c>
      <c r="M52" s="5">
        <v>0</v>
      </c>
      <c r="N52" s="5">
        <v>0</v>
      </c>
      <c r="O52" s="5">
        <v>0</v>
      </c>
      <c r="P52" s="5">
        <v>0</v>
      </c>
      <c r="Q52" s="5">
        <v>0</v>
      </c>
      <c r="R52" s="5">
        <v>0</v>
      </c>
      <c r="S52" s="5">
        <v>0</v>
      </c>
      <c r="T52" s="5">
        <v>0</v>
      </c>
      <c r="U52" s="5">
        <v>0</v>
      </c>
      <c r="W52" s="25" t="e">
        <f t="shared" si="0"/>
        <v>#DIV/0!</v>
      </c>
      <c r="Y52" s="25" t="e">
        <f>(X52-S52)/S52</f>
        <v>#DIV/0!</v>
      </c>
    </row>
    <row r="53" spans="1:29" x14ac:dyDescent="0.25">
      <c r="A53" s="10" t="s">
        <v>57</v>
      </c>
      <c r="B53" s="5">
        <v>31088</v>
      </c>
      <c r="C53" s="5">
        <v>30347</v>
      </c>
      <c r="D53" s="5">
        <v>27851</v>
      </c>
      <c r="E53" s="5">
        <v>32726</v>
      </c>
      <c r="F53" s="5">
        <v>29701</v>
      </c>
      <c r="G53" s="5">
        <v>31013</v>
      </c>
      <c r="H53" s="5">
        <v>35622</v>
      </c>
      <c r="I53" s="5">
        <v>39220</v>
      </c>
      <c r="J53" s="5">
        <v>49251</v>
      </c>
      <c r="K53" s="5">
        <v>50135</v>
      </c>
      <c r="L53" s="5">
        <v>52006</v>
      </c>
      <c r="M53" s="5">
        <v>104201</v>
      </c>
      <c r="N53" s="5">
        <v>101339</v>
      </c>
      <c r="O53" s="5">
        <v>105012</v>
      </c>
      <c r="P53" s="5">
        <v>113052</v>
      </c>
      <c r="Q53" s="5">
        <v>125671</v>
      </c>
      <c r="R53" s="5">
        <v>125307</v>
      </c>
      <c r="S53" s="5">
        <v>114880</v>
      </c>
      <c r="T53" s="5">
        <v>110012</v>
      </c>
      <c r="U53" s="5">
        <v>97438</v>
      </c>
      <c r="V53" s="5">
        <v>87553</v>
      </c>
      <c r="W53" s="25">
        <f t="shared" si="0"/>
        <v>-0.30129202678222289</v>
      </c>
      <c r="X53" s="5">
        <v>84795</v>
      </c>
      <c r="Y53" s="25">
        <f>(X53-S53)/S53</f>
        <v>-0.26188196378830081</v>
      </c>
    </row>
    <row r="54" spans="1:29" x14ac:dyDescent="0.25">
      <c r="A54" s="10" t="s">
        <v>58</v>
      </c>
      <c r="B54" s="5">
        <v>2468</v>
      </c>
      <c r="C54" s="5">
        <v>2408</v>
      </c>
      <c r="D54" s="5">
        <v>2697</v>
      </c>
      <c r="E54" s="5">
        <v>2954</v>
      </c>
      <c r="F54" s="5">
        <v>3604</v>
      </c>
      <c r="G54" s="5">
        <v>3567</v>
      </c>
      <c r="H54" s="5">
        <v>3521</v>
      </c>
      <c r="I54" s="5">
        <v>5516</v>
      </c>
      <c r="J54" s="5">
        <v>9259</v>
      </c>
      <c r="K54" s="5">
        <v>9442</v>
      </c>
      <c r="L54" s="5">
        <v>7465</v>
      </c>
      <c r="M54" s="5">
        <v>17094</v>
      </c>
      <c r="N54" s="5">
        <v>16428</v>
      </c>
      <c r="O54" s="5">
        <v>21224</v>
      </c>
      <c r="P54" s="5">
        <v>19249</v>
      </c>
      <c r="Q54" s="5">
        <v>17791</v>
      </c>
      <c r="R54" s="5">
        <v>15611</v>
      </c>
      <c r="S54" s="5">
        <v>13699</v>
      </c>
      <c r="T54" s="5">
        <v>13451</v>
      </c>
      <c r="U54" s="5">
        <v>13124</v>
      </c>
      <c r="V54" s="5">
        <v>13220</v>
      </c>
      <c r="W54" s="25">
        <f t="shared" si="0"/>
        <v>-0.15316123246428801</v>
      </c>
      <c r="X54" s="5">
        <v>13836</v>
      </c>
      <c r="Y54" s="25">
        <f>(X54-S54)/S54</f>
        <v>1.0000729980290533E-2</v>
      </c>
    </row>
    <row r="55" spans="1:29" x14ac:dyDescent="0.25">
      <c r="A55" s="10" t="s">
        <v>59</v>
      </c>
      <c r="B55" s="5">
        <v>0</v>
      </c>
      <c r="C55" s="5">
        <v>0</v>
      </c>
      <c r="D55" s="5">
        <v>0</v>
      </c>
      <c r="E55" s="5">
        <v>0</v>
      </c>
      <c r="F55" s="5">
        <v>0</v>
      </c>
      <c r="G55" s="5">
        <v>0</v>
      </c>
      <c r="H55" s="5">
        <v>0</v>
      </c>
      <c r="I55" s="5">
        <v>0</v>
      </c>
      <c r="J55" s="13">
        <v>0</v>
      </c>
      <c r="K55" s="13">
        <v>0</v>
      </c>
      <c r="L55" s="5">
        <v>0</v>
      </c>
      <c r="M55" s="5">
        <v>0</v>
      </c>
      <c r="N55" s="5">
        <v>2500</v>
      </c>
      <c r="O55" s="5">
        <v>3500</v>
      </c>
      <c r="P55" s="5">
        <v>3000</v>
      </c>
      <c r="Q55" s="5">
        <v>4855</v>
      </c>
      <c r="R55" s="5">
        <v>4234</v>
      </c>
      <c r="S55" s="5">
        <v>1350</v>
      </c>
      <c r="T55" s="5">
        <v>500</v>
      </c>
      <c r="U55" s="5">
        <v>17050</v>
      </c>
      <c r="V55" s="5">
        <v>7071</v>
      </c>
      <c r="W55" s="25">
        <f t="shared" si="0"/>
        <v>0.67005196032120928</v>
      </c>
      <c r="X55" s="5">
        <v>7831</v>
      </c>
      <c r="Y55" s="25">
        <f>(X55-S55)/S55</f>
        <v>4.800740740740741</v>
      </c>
    </row>
    <row r="56" spans="1:29" x14ac:dyDescent="0.25">
      <c r="A56" s="10" t="s">
        <v>74</v>
      </c>
      <c r="J56" s="13"/>
      <c r="K56" s="13">
        <v>0</v>
      </c>
      <c r="V56" s="5">
        <v>45600</v>
      </c>
      <c r="W56" s="25" t="e">
        <f t="shared" si="0"/>
        <v>#DIV/0!</v>
      </c>
      <c r="X56" s="5">
        <v>41000</v>
      </c>
      <c r="Y56" s="25" t="e">
        <f>(X56-S56)/S56</f>
        <v>#DIV/0!</v>
      </c>
    </row>
    <row r="57" spans="1:29" x14ac:dyDescent="0.25">
      <c r="A57" s="10" t="s">
        <v>60</v>
      </c>
      <c r="B57" s="5">
        <v>4128</v>
      </c>
      <c r="C57" s="5">
        <v>5789</v>
      </c>
      <c r="D57" s="5">
        <v>5790</v>
      </c>
      <c r="E57" s="5">
        <v>6878</v>
      </c>
      <c r="F57" s="5">
        <v>6829</v>
      </c>
      <c r="G57" s="5">
        <v>7424</v>
      </c>
      <c r="H57" s="5">
        <v>7427</v>
      </c>
      <c r="I57" s="5">
        <v>7430</v>
      </c>
      <c r="J57" s="5">
        <v>8522</v>
      </c>
      <c r="K57" s="5">
        <v>8526</v>
      </c>
      <c r="L57" s="5">
        <v>7836</v>
      </c>
      <c r="M57" s="5">
        <v>13632</v>
      </c>
      <c r="N57" s="5">
        <v>17698</v>
      </c>
      <c r="O57" s="5">
        <v>18708</v>
      </c>
      <c r="P57" s="5">
        <v>19530</v>
      </c>
      <c r="Q57" s="5">
        <v>18914</v>
      </c>
      <c r="R57" s="5">
        <v>21873</v>
      </c>
      <c r="S57" s="5">
        <v>21112</v>
      </c>
      <c r="T57" s="5">
        <v>20844</v>
      </c>
      <c r="U57" s="13">
        <v>20828</v>
      </c>
      <c r="V57" s="5">
        <v>20016</v>
      </c>
      <c r="W57" s="25">
        <f t="shared" si="0"/>
        <v>-8.4899190783157316E-2</v>
      </c>
      <c r="X57" s="5">
        <v>22482</v>
      </c>
      <c r="Y57" s="25">
        <f>(X57-S57)/S57</f>
        <v>6.489200454717696E-2</v>
      </c>
    </row>
    <row r="58" spans="1:29" s="9" customFormat="1" ht="13" x14ac:dyDescent="0.3">
      <c r="A58" s="12" t="s">
        <v>61</v>
      </c>
      <c r="B58" s="9">
        <f t="shared" ref="B58:AC58" si="9">SUM(B51:B57)</f>
        <v>228990</v>
      </c>
      <c r="C58" s="9">
        <f t="shared" si="9"/>
        <v>241785</v>
      </c>
      <c r="D58" s="9">
        <f t="shared" si="9"/>
        <v>251268</v>
      </c>
      <c r="E58" s="9">
        <f t="shared" si="9"/>
        <v>275812</v>
      </c>
      <c r="F58" s="9">
        <f t="shared" si="9"/>
        <v>261190</v>
      </c>
      <c r="G58" s="9">
        <f t="shared" si="9"/>
        <v>255001</v>
      </c>
      <c r="H58" s="9">
        <f t="shared" si="9"/>
        <v>257633</v>
      </c>
      <c r="I58" s="9">
        <f t="shared" si="9"/>
        <v>272260</v>
      </c>
      <c r="J58" s="9">
        <f t="shared" si="9"/>
        <v>344509</v>
      </c>
      <c r="K58" s="9">
        <f t="shared" si="9"/>
        <v>369669</v>
      </c>
      <c r="L58" s="9">
        <f t="shared" si="9"/>
        <v>388024</v>
      </c>
      <c r="M58" s="9">
        <f t="shared" si="9"/>
        <v>492949</v>
      </c>
      <c r="N58" s="9">
        <f t="shared" si="9"/>
        <v>507863</v>
      </c>
      <c r="O58" s="9">
        <f t="shared" si="9"/>
        <v>517082</v>
      </c>
      <c r="P58" s="9">
        <f t="shared" si="9"/>
        <v>550106</v>
      </c>
      <c r="Q58" s="9">
        <f t="shared" si="9"/>
        <v>611009</v>
      </c>
      <c r="R58" s="9">
        <f t="shared" si="9"/>
        <v>632852</v>
      </c>
      <c r="S58" s="9">
        <f t="shared" si="9"/>
        <v>593044</v>
      </c>
      <c r="T58" s="9">
        <f t="shared" si="9"/>
        <v>540522</v>
      </c>
      <c r="U58" s="9">
        <f t="shared" si="9"/>
        <v>515164</v>
      </c>
      <c r="V58" s="9">
        <f t="shared" si="9"/>
        <v>499205</v>
      </c>
      <c r="W58" s="25">
        <f t="shared" si="0"/>
        <v>-0.21118207732613628</v>
      </c>
      <c r="X58" s="9">
        <f t="shared" si="9"/>
        <v>474358</v>
      </c>
      <c r="Y58" s="25">
        <f>(X58-S58)/S58</f>
        <v>-0.20013017583855497</v>
      </c>
      <c r="Z58" s="9">
        <f t="shared" si="9"/>
        <v>0</v>
      </c>
      <c r="AB58" s="9">
        <f t="shared" si="9"/>
        <v>0</v>
      </c>
      <c r="AC58" s="9">
        <f t="shared" si="9"/>
        <v>0</v>
      </c>
    </row>
    <row r="59" spans="1:29" x14ac:dyDescent="0.25">
      <c r="W59" s="25"/>
      <c r="Y59" s="25"/>
    </row>
    <row r="60" spans="1:29" s="9" customFormat="1" ht="13" x14ac:dyDescent="0.3">
      <c r="A60" s="8" t="s">
        <v>65</v>
      </c>
      <c r="B60" s="9">
        <f t="shared" ref="B60:AC60" si="10">B48-B58</f>
        <v>19330</v>
      </c>
      <c r="C60" s="9">
        <f t="shared" si="10"/>
        <v>20097</v>
      </c>
      <c r="D60" s="9">
        <f t="shared" si="10"/>
        <v>20834</v>
      </c>
      <c r="E60" s="9">
        <f t="shared" si="10"/>
        <v>20670</v>
      </c>
      <c r="F60" s="9">
        <f t="shared" si="10"/>
        <v>21625</v>
      </c>
      <c r="G60" s="9">
        <f t="shared" si="10"/>
        <v>21320</v>
      </c>
      <c r="H60" s="9">
        <f t="shared" si="10"/>
        <v>21354</v>
      </c>
      <c r="I60" s="9">
        <f t="shared" si="10"/>
        <v>21745</v>
      </c>
      <c r="J60" s="9">
        <f t="shared" si="10"/>
        <v>26270</v>
      </c>
      <c r="K60" s="9">
        <f t="shared" si="10"/>
        <v>30815</v>
      </c>
      <c r="L60" s="9">
        <f t="shared" si="10"/>
        <v>31331</v>
      </c>
      <c r="M60" s="9">
        <f t="shared" si="10"/>
        <v>56060</v>
      </c>
      <c r="N60" s="9">
        <f t="shared" si="10"/>
        <v>55594</v>
      </c>
      <c r="O60" s="9">
        <f t="shared" si="10"/>
        <v>57450</v>
      </c>
      <c r="P60" s="9">
        <f t="shared" si="10"/>
        <v>57442</v>
      </c>
      <c r="Q60" s="9">
        <f t="shared" si="10"/>
        <v>56261</v>
      </c>
      <c r="R60" s="9">
        <f t="shared" si="10"/>
        <v>48098</v>
      </c>
      <c r="S60" s="9">
        <f t="shared" si="10"/>
        <v>44513</v>
      </c>
      <c r="T60" s="9">
        <f t="shared" si="10"/>
        <v>37041</v>
      </c>
      <c r="U60" s="9">
        <f t="shared" si="10"/>
        <v>36608</v>
      </c>
      <c r="V60" s="9">
        <f t="shared" si="10"/>
        <v>36347</v>
      </c>
      <c r="W60" s="25">
        <f t="shared" si="0"/>
        <v>-0.24431369287704272</v>
      </c>
      <c r="X60" s="9">
        <f t="shared" si="10"/>
        <v>37147</v>
      </c>
      <c r="Y60" s="25">
        <f>(X60-S60)/S60</f>
        <v>-0.16547974748949745</v>
      </c>
      <c r="Z60" s="9">
        <f t="shared" si="10"/>
        <v>453764</v>
      </c>
      <c r="AB60" s="9">
        <f t="shared" si="10"/>
        <v>0</v>
      </c>
      <c r="AC60" s="9">
        <f t="shared" si="10"/>
        <v>0</v>
      </c>
    </row>
    <row r="101" spans="6:6" x14ac:dyDescent="0.25">
      <c r="F101" s="13"/>
    </row>
  </sheetData>
  <pageMargins left="0.7" right="0.7" top="0.75" bottom="0.75" header="0.3" footer="0.3"/>
  <pageSetup orientation="portrait" r:id="rId1"/>
  <ignoredErrors>
    <ignoredError sqref="M26 Q15" formulaRange="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3" ma:contentTypeDescription="Create a new document." ma:contentTypeScope="" ma:versionID="7c958296e71377cd1f84353a875d72a5">
  <xsd:schema xmlns:xsd="http://www.w3.org/2001/XMLSchema" xmlns:xs="http://www.w3.org/2001/XMLSchema" xmlns:p="http://schemas.microsoft.com/office/2006/metadata/properties" xmlns:ns3="36567613-e428-4167-ab55-a4f66cede826" targetNamespace="http://schemas.microsoft.com/office/2006/metadata/properties" ma:root="true" ma:fieldsID="bbb9d457094159866f35fe50818106a9"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Props1.xml><?xml version="1.0" encoding="utf-8"?>
<ds:datastoreItem xmlns:ds="http://schemas.openxmlformats.org/officeDocument/2006/customXml" ds:itemID="{1C974B17-DE1B-4009-8DB7-E95764209D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9B4B395-A628-4AF2-9AB1-05807B2F72E8}">
  <ds:schemaRefs>
    <ds:schemaRef ds:uri="http://schemas.microsoft.com/sharepoint/v3/contenttype/forms"/>
  </ds:schemaRefs>
</ds:datastoreItem>
</file>

<file path=customXml/itemProps3.xml><?xml version="1.0" encoding="utf-8"?>
<ds:datastoreItem xmlns:ds="http://schemas.openxmlformats.org/officeDocument/2006/customXml" ds:itemID="{82AF3359-AA7B-4C3F-BB32-4122371AAA35}">
  <ds:schemaRefs>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36567613-e428-4167-ab55-a4f66cede826"/>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Gonzalez Herrera, Abraham</cp:lastModifiedBy>
  <dcterms:created xsi:type="dcterms:W3CDTF">2023-02-21T16:55:27Z</dcterms:created>
  <dcterms:modified xsi:type="dcterms:W3CDTF">2023-10-16T19:07:59Z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