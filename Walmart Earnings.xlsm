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jeccd-my.sharepoint.com/personal/abgo6476_stu_evc_edu/Documents/Earnings Models/"/>
    </mc:Choice>
  </mc:AlternateContent>
  <xr:revisionPtr revIDLastSave="1204" documentId="8_{062DC603-3F8A-402D-8556-662A7B8CE77E}" xr6:coauthVersionLast="47" xr6:coauthVersionMax="47" xr10:uidLastSave="{21265A63-3813-4A74-B047-F55A1481BCAA}"/>
  <bookViews>
    <workbookView xWindow="-120" yWindow="-120" windowWidth="28110" windowHeight="16440" xr2:uid="{CD218907-FF69-440B-8102-4E26B44E461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1" i="1" l="1"/>
  <c r="W72" i="1"/>
  <c r="X72" i="1"/>
  <c r="Y72" i="1"/>
  <c r="Z72" i="1"/>
  <c r="AA72" i="1"/>
  <c r="AB72" i="1"/>
  <c r="AC72" i="1"/>
  <c r="AD72" i="1"/>
  <c r="X71" i="1"/>
  <c r="Y71" i="1"/>
  <c r="Z71" i="1"/>
  <c r="AA71" i="1"/>
  <c r="AB71" i="1"/>
  <c r="AC71" i="1"/>
  <c r="AD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2" i="1"/>
  <c r="V71" i="1"/>
  <c r="W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X70" i="1"/>
  <c r="Y70" i="1"/>
  <c r="Z70" i="1"/>
  <c r="AA70" i="1"/>
  <c r="AB70" i="1"/>
  <c r="AC70" i="1"/>
  <c r="AD70" i="1"/>
  <c r="B70" i="1"/>
  <c r="W69" i="1" l="1"/>
  <c r="W13" i="1"/>
  <c r="W14" i="1"/>
  <c r="W17" i="1"/>
  <c r="W18" i="1"/>
  <c r="W19" i="1"/>
  <c r="W21" i="1"/>
  <c r="W22" i="1"/>
  <c r="W23" i="1"/>
  <c r="W24" i="1"/>
  <c r="W25" i="1"/>
  <c r="W26" i="1"/>
  <c r="W27" i="1"/>
  <c r="W28" i="1"/>
  <c r="W32" i="1"/>
  <c r="W33" i="1"/>
  <c r="W34" i="1"/>
  <c r="W35" i="1"/>
  <c r="W36" i="1"/>
  <c r="W37" i="1"/>
  <c r="W38" i="1"/>
  <c r="W39" i="1"/>
  <c r="W40" i="1"/>
  <c r="W41" i="1"/>
  <c r="W42" i="1"/>
  <c r="W43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4" i="1"/>
  <c r="W65" i="1"/>
  <c r="W66" i="1"/>
  <c r="W67" i="1"/>
  <c r="W68" i="1"/>
  <c r="W5" i="1"/>
  <c r="W6" i="1"/>
  <c r="W7" i="1"/>
  <c r="W8" i="1"/>
  <c r="W9" i="1"/>
  <c r="W12" i="1"/>
  <c r="D69" i="1"/>
  <c r="E69" i="1"/>
  <c r="I69" i="1"/>
  <c r="K69" i="1"/>
  <c r="N69" i="1"/>
  <c r="O69" i="1"/>
  <c r="T69" i="1"/>
  <c r="U69" i="1"/>
  <c r="Z69" i="1"/>
  <c r="AB69" i="1"/>
  <c r="B69" i="1"/>
  <c r="C68" i="1"/>
  <c r="D68" i="1"/>
  <c r="F68" i="1"/>
  <c r="G68" i="1"/>
  <c r="H68" i="1"/>
  <c r="I68" i="1"/>
  <c r="J68" i="1"/>
  <c r="K68" i="1"/>
  <c r="L68" i="1"/>
  <c r="M68" i="1"/>
  <c r="N68" i="1"/>
  <c r="O68" i="1"/>
  <c r="P68" i="1"/>
  <c r="R68" i="1"/>
  <c r="S68" i="1"/>
  <c r="T68" i="1"/>
  <c r="V68" i="1"/>
  <c r="X68" i="1"/>
  <c r="Y68" i="1"/>
  <c r="Z68" i="1"/>
  <c r="AA68" i="1"/>
  <c r="AB68" i="1"/>
  <c r="AC68" i="1"/>
  <c r="AD68" i="1"/>
  <c r="B68" i="1"/>
  <c r="V9" i="1"/>
  <c r="X9" i="1"/>
  <c r="Y9" i="1"/>
  <c r="Z9" i="1"/>
  <c r="AA9" i="1"/>
  <c r="AB9" i="1"/>
  <c r="AC9" i="1"/>
  <c r="AD9" i="1"/>
  <c r="U9" i="1"/>
  <c r="U28" i="1"/>
  <c r="U26" i="1"/>
  <c r="U24" i="1"/>
  <c r="U22" i="1"/>
  <c r="U18" i="1"/>
  <c r="U17" i="1"/>
  <c r="U19" i="1" s="1"/>
  <c r="U13" i="1"/>
  <c r="U12" i="1"/>
  <c r="U1" i="1"/>
  <c r="Q28" i="1"/>
  <c r="Q26" i="1"/>
  <c r="Q24" i="1"/>
  <c r="Q23" i="1"/>
  <c r="Q22" i="1"/>
  <c r="Q18" i="1"/>
  <c r="Q17" i="1"/>
  <c r="Q19" i="1" s="1"/>
  <c r="Q13" i="1"/>
  <c r="Q12" i="1"/>
  <c r="Q14" i="1" s="1"/>
  <c r="M28" i="1"/>
  <c r="M26" i="1"/>
  <c r="M24" i="1"/>
  <c r="M22" i="1"/>
  <c r="M18" i="1"/>
  <c r="M17" i="1"/>
  <c r="M13" i="1"/>
  <c r="M12" i="1"/>
  <c r="I28" i="1"/>
  <c r="I26" i="1"/>
  <c r="I24" i="1"/>
  <c r="I22" i="1"/>
  <c r="I18" i="1"/>
  <c r="I17" i="1"/>
  <c r="I13" i="1"/>
  <c r="I12" i="1"/>
  <c r="I14" i="1" s="1"/>
  <c r="E28" i="1"/>
  <c r="E26" i="1"/>
  <c r="E24" i="1"/>
  <c r="E22" i="1"/>
  <c r="E18" i="1"/>
  <c r="E17" i="1"/>
  <c r="E68" i="1" s="1"/>
  <c r="E13" i="1"/>
  <c r="E12" i="1"/>
  <c r="C56" i="1"/>
  <c r="C62" i="1" s="1"/>
  <c r="D56" i="1"/>
  <c r="D62" i="1" s="1"/>
  <c r="E56" i="1"/>
  <c r="E62" i="1" s="1"/>
  <c r="F56" i="1"/>
  <c r="F62" i="1" s="1"/>
  <c r="G56" i="1"/>
  <c r="G62" i="1" s="1"/>
  <c r="H56" i="1"/>
  <c r="H62" i="1" s="1"/>
  <c r="I56" i="1"/>
  <c r="I62" i="1" s="1"/>
  <c r="J56" i="1"/>
  <c r="J62" i="1" s="1"/>
  <c r="K56" i="1"/>
  <c r="K62" i="1" s="1"/>
  <c r="L56" i="1"/>
  <c r="L62" i="1" s="1"/>
  <c r="M56" i="1"/>
  <c r="M62" i="1" s="1"/>
  <c r="N56" i="1"/>
  <c r="N62" i="1" s="1"/>
  <c r="O56" i="1"/>
  <c r="O62" i="1" s="1"/>
  <c r="P56" i="1"/>
  <c r="P62" i="1" s="1"/>
  <c r="Q56" i="1"/>
  <c r="Q62" i="1" s="1"/>
  <c r="R56" i="1"/>
  <c r="R62" i="1" s="1"/>
  <c r="S56" i="1"/>
  <c r="S62" i="1" s="1"/>
  <c r="T56" i="1"/>
  <c r="T62" i="1" s="1"/>
  <c r="U56" i="1"/>
  <c r="U62" i="1" s="1"/>
  <c r="V56" i="1"/>
  <c r="V62" i="1" s="1"/>
  <c r="X56" i="1"/>
  <c r="X62" i="1" s="1"/>
  <c r="Y56" i="1"/>
  <c r="Y62" i="1" s="1"/>
  <c r="Z56" i="1"/>
  <c r="Z62" i="1" s="1"/>
  <c r="AA56" i="1"/>
  <c r="AA62" i="1" s="1"/>
  <c r="AB56" i="1"/>
  <c r="AB62" i="1" s="1"/>
  <c r="AC56" i="1"/>
  <c r="AC62" i="1" s="1"/>
  <c r="AD56" i="1"/>
  <c r="AD62" i="1" s="1"/>
  <c r="C36" i="1"/>
  <c r="C43" i="1" s="1"/>
  <c r="D36" i="1"/>
  <c r="D43" i="1" s="1"/>
  <c r="E36" i="1"/>
  <c r="E43" i="1" s="1"/>
  <c r="F36" i="1"/>
  <c r="F43" i="1" s="1"/>
  <c r="G36" i="1"/>
  <c r="G43" i="1" s="1"/>
  <c r="H36" i="1"/>
  <c r="H43" i="1" s="1"/>
  <c r="I36" i="1"/>
  <c r="I43" i="1" s="1"/>
  <c r="J36" i="1"/>
  <c r="J43" i="1" s="1"/>
  <c r="K36" i="1"/>
  <c r="K43" i="1" s="1"/>
  <c r="L36" i="1"/>
  <c r="L43" i="1" s="1"/>
  <c r="M36" i="1"/>
  <c r="M43" i="1" s="1"/>
  <c r="N36" i="1"/>
  <c r="N43" i="1" s="1"/>
  <c r="O36" i="1"/>
  <c r="O43" i="1" s="1"/>
  <c r="P36" i="1"/>
  <c r="P43" i="1" s="1"/>
  <c r="Q36" i="1"/>
  <c r="Q43" i="1" s="1"/>
  <c r="R36" i="1"/>
  <c r="R43" i="1" s="1"/>
  <c r="S36" i="1"/>
  <c r="S43" i="1" s="1"/>
  <c r="T36" i="1"/>
  <c r="T43" i="1" s="1"/>
  <c r="U36" i="1"/>
  <c r="U43" i="1" s="1"/>
  <c r="V36" i="1"/>
  <c r="V43" i="1" s="1"/>
  <c r="X36" i="1"/>
  <c r="X43" i="1" s="1"/>
  <c r="Y36" i="1"/>
  <c r="Y43" i="1" s="1"/>
  <c r="Z36" i="1"/>
  <c r="Z43" i="1" s="1"/>
  <c r="AA36" i="1"/>
  <c r="AA43" i="1" s="1"/>
  <c r="AB36" i="1"/>
  <c r="AB43" i="1" s="1"/>
  <c r="AC36" i="1"/>
  <c r="AC43" i="1" s="1"/>
  <c r="AD36" i="1"/>
  <c r="AD43" i="1" s="1"/>
  <c r="AD19" i="1"/>
  <c r="AC19" i="1"/>
  <c r="AB19" i="1"/>
  <c r="AA19" i="1"/>
  <c r="Z19" i="1"/>
  <c r="Y19" i="1"/>
  <c r="X19" i="1"/>
  <c r="V19" i="1"/>
  <c r="T19" i="1"/>
  <c r="S19" i="1"/>
  <c r="R19" i="1"/>
  <c r="P19" i="1"/>
  <c r="O19" i="1"/>
  <c r="N19" i="1"/>
  <c r="M19" i="1"/>
  <c r="L19" i="1"/>
  <c r="K19" i="1"/>
  <c r="J19" i="1"/>
  <c r="H19" i="1"/>
  <c r="G19" i="1"/>
  <c r="F19" i="1"/>
  <c r="D19" i="1"/>
  <c r="C19" i="1"/>
  <c r="AD14" i="1"/>
  <c r="AC14" i="1"/>
  <c r="AB14" i="1"/>
  <c r="AA14" i="1"/>
  <c r="Z14" i="1"/>
  <c r="Y14" i="1"/>
  <c r="X14" i="1"/>
  <c r="V14" i="1"/>
  <c r="U14" i="1"/>
  <c r="T14" i="1"/>
  <c r="S14" i="1"/>
  <c r="R14" i="1"/>
  <c r="P14" i="1"/>
  <c r="O14" i="1"/>
  <c r="N14" i="1"/>
  <c r="L14" i="1"/>
  <c r="K14" i="1"/>
  <c r="J14" i="1"/>
  <c r="H14" i="1"/>
  <c r="G14" i="1"/>
  <c r="F14" i="1"/>
  <c r="D14" i="1"/>
  <c r="C14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AD8" i="1"/>
  <c r="AC8" i="1"/>
  <c r="AB8" i="1"/>
  <c r="AA8" i="1"/>
  <c r="Z8" i="1"/>
  <c r="Y8" i="1"/>
  <c r="X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AD7" i="1"/>
  <c r="AC7" i="1"/>
  <c r="AB7" i="1"/>
  <c r="AA7" i="1"/>
  <c r="Z7" i="1"/>
  <c r="Y7" i="1"/>
  <c r="X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9" i="1"/>
  <c r="B8" i="1"/>
  <c r="B56" i="1"/>
  <c r="B62" i="1" s="1"/>
  <c r="B36" i="1"/>
  <c r="B43" i="1" s="1"/>
  <c r="B7" i="1"/>
  <c r="B19" i="1"/>
  <c r="B14" i="1"/>
  <c r="A4" i="1" a="1"/>
  <c r="A4" i="1" s="1"/>
  <c r="X1" i="1"/>
  <c r="Y1" i="1" s="1"/>
  <c r="Z1" i="1" s="1"/>
  <c r="T1" i="1"/>
  <c r="S1" i="1" s="1"/>
  <c r="R1" i="1" s="1"/>
  <c r="Q1" i="1" s="1"/>
  <c r="P1" i="1" s="1"/>
  <c r="O1" i="1" s="1"/>
  <c r="N1" i="1" s="1"/>
  <c r="M1" i="1" s="1"/>
  <c r="U68" i="1" l="1"/>
  <c r="Q69" i="1"/>
  <c r="R69" i="1"/>
  <c r="I19" i="1"/>
  <c r="I21" i="1" s="1"/>
  <c r="I25" i="1" s="1"/>
  <c r="I27" i="1" s="1"/>
  <c r="P69" i="1"/>
  <c r="Q68" i="1"/>
  <c r="AD69" i="1"/>
  <c r="M69" i="1"/>
  <c r="AC69" i="1"/>
  <c r="L69" i="1"/>
  <c r="E14" i="1"/>
  <c r="AA69" i="1"/>
  <c r="J69" i="1"/>
  <c r="Y69" i="1"/>
  <c r="X69" i="1"/>
  <c r="G69" i="1"/>
  <c r="H69" i="1"/>
  <c r="V69" i="1"/>
  <c r="F69" i="1"/>
  <c r="S69" i="1"/>
  <c r="C69" i="1"/>
  <c r="O64" i="1"/>
  <c r="N64" i="1"/>
  <c r="AB64" i="1"/>
  <c r="M14" i="1"/>
  <c r="M21" i="1" s="1"/>
  <c r="M25" i="1" s="1"/>
  <c r="M27" i="1" s="1"/>
  <c r="E19" i="1"/>
  <c r="J64" i="1"/>
  <c r="I64" i="1"/>
  <c r="N21" i="1"/>
  <c r="N25" i="1" s="1"/>
  <c r="N27" i="1" s="1"/>
  <c r="AA64" i="1"/>
  <c r="O21" i="1"/>
  <c r="O25" i="1" s="1"/>
  <c r="O27" i="1" s="1"/>
  <c r="Z64" i="1"/>
  <c r="AD21" i="1"/>
  <c r="AD25" i="1" s="1"/>
  <c r="AD27" i="1" s="1"/>
  <c r="B64" i="1"/>
  <c r="H64" i="1"/>
  <c r="X64" i="1"/>
  <c r="G64" i="1"/>
  <c r="R21" i="1"/>
  <c r="R25" i="1" s="1"/>
  <c r="R27" i="1" s="1"/>
  <c r="S21" i="1"/>
  <c r="S25" i="1" s="1"/>
  <c r="S27" i="1" s="1"/>
  <c r="Y64" i="1"/>
  <c r="Q21" i="1"/>
  <c r="Q25" i="1" s="1"/>
  <c r="Q27" i="1" s="1"/>
  <c r="T21" i="1"/>
  <c r="T25" i="1" s="1"/>
  <c r="T27" i="1" s="1"/>
  <c r="P21" i="1"/>
  <c r="AC64" i="1"/>
  <c r="S64" i="1"/>
  <c r="R64" i="1"/>
  <c r="Q64" i="1"/>
  <c r="P64" i="1"/>
  <c r="J65" i="1"/>
  <c r="Z21" i="1"/>
  <c r="Z25" i="1" s="1"/>
  <c r="Z27" i="1" s="1"/>
  <c r="K65" i="1"/>
  <c r="AB65" i="1"/>
  <c r="J21" i="1"/>
  <c r="J25" i="1" s="1"/>
  <c r="J27" i="1" s="1"/>
  <c r="AA21" i="1"/>
  <c r="AA25" i="1" s="1"/>
  <c r="AA27" i="1" s="1"/>
  <c r="AD64" i="1"/>
  <c r="M64" i="1"/>
  <c r="L65" i="1"/>
  <c r="AC65" i="1"/>
  <c r="K21" i="1"/>
  <c r="K25" i="1" s="1"/>
  <c r="K27" i="1" s="1"/>
  <c r="AB21" i="1"/>
  <c r="AB25" i="1" s="1"/>
  <c r="AB27" i="1" s="1"/>
  <c r="L64" i="1"/>
  <c r="L21" i="1"/>
  <c r="L25" i="1" s="1"/>
  <c r="L27" i="1" s="1"/>
  <c r="AC21" i="1"/>
  <c r="AC25" i="1" s="1"/>
  <c r="AC27" i="1" s="1"/>
  <c r="K64" i="1"/>
  <c r="N65" i="1"/>
  <c r="O65" i="1"/>
  <c r="B65" i="1"/>
  <c r="S65" i="1"/>
  <c r="T65" i="1"/>
  <c r="C21" i="1"/>
  <c r="C25" i="1" s="1"/>
  <c r="C27" i="1" s="1"/>
  <c r="U65" i="1"/>
  <c r="V64" i="1"/>
  <c r="F64" i="1"/>
  <c r="R65" i="1"/>
  <c r="V65" i="1"/>
  <c r="P65" i="1"/>
  <c r="E21" i="1"/>
  <c r="E25" i="1" s="1"/>
  <c r="E27" i="1" s="1"/>
  <c r="U21" i="1"/>
  <c r="U25" i="1" s="1"/>
  <c r="U27" i="1" s="1"/>
  <c r="U64" i="1"/>
  <c r="G65" i="1"/>
  <c r="X65" i="1"/>
  <c r="Q65" i="1"/>
  <c r="F21" i="1"/>
  <c r="F25" i="1" s="1"/>
  <c r="F27" i="1" s="1"/>
  <c r="V21" i="1"/>
  <c r="V25" i="1" s="1"/>
  <c r="V27" i="1" s="1"/>
  <c r="T64" i="1"/>
  <c r="Y65" i="1"/>
  <c r="M65" i="1"/>
  <c r="AD65" i="1"/>
  <c r="G21" i="1"/>
  <c r="G25" i="1" s="1"/>
  <c r="G27" i="1" s="1"/>
  <c r="X21" i="1"/>
  <c r="X25" i="1" s="1"/>
  <c r="X27" i="1" s="1"/>
  <c r="H65" i="1"/>
  <c r="I65" i="1"/>
  <c r="Z65" i="1"/>
  <c r="H21" i="1"/>
  <c r="H25" i="1" s="1"/>
  <c r="H27" i="1" s="1"/>
  <c r="Y21" i="1"/>
  <c r="Y25" i="1" s="1"/>
  <c r="Y27" i="1" s="1"/>
  <c r="AA65" i="1"/>
  <c r="B21" i="1"/>
  <c r="B25" i="1" s="1"/>
  <c r="B27" i="1" s="1"/>
  <c r="C65" i="1"/>
  <c r="F65" i="1"/>
  <c r="E64" i="1"/>
  <c r="E65" i="1"/>
  <c r="D64" i="1"/>
  <c r="D65" i="1"/>
  <c r="D21" i="1"/>
  <c r="D25" i="1" s="1"/>
  <c r="D27" i="1" s="1"/>
  <c r="C64" i="1"/>
  <c r="M66" i="1" l="1"/>
  <c r="M67" i="1"/>
  <c r="I66" i="1"/>
  <c r="I67" i="1"/>
  <c r="H66" i="1"/>
  <c r="H67" i="1"/>
  <c r="E66" i="1"/>
  <c r="E67" i="1"/>
  <c r="Q66" i="1"/>
  <c r="Q67" i="1"/>
  <c r="U66" i="1"/>
  <c r="U67" i="1"/>
  <c r="X66" i="1"/>
  <c r="X67" i="1"/>
  <c r="AB66" i="1"/>
  <c r="AB67" i="1"/>
  <c r="S66" i="1"/>
  <c r="S67" i="1"/>
  <c r="L66" i="1"/>
  <c r="L67" i="1"/>
  <c r="T66" i="1"/>
  <c r="T67" i="1"/>
  <c r="C66" i="1"/>
  <c r="C67" i="1"/>
  <c r="J66" i="1"/>
  <c r="J67" i="1"/>
  <c r="R66" i="1"/>
  <c r="R67" i="1"/>
  <c r="K66" i="1"/>
  <c r="K67" i="1"/>
  <c r="P25" i="1"/>
  <c r="P27" i="1" s="1"/>
  <c r="AA66" i="1"/>
  <c r="AA67" i="1"/>
  <c r="V66" i="1"/>
  <c r="V67" i="1"/>
  <c r="N66" i="1"/>
  <c r="N67" i="1"/>
  <c r="G66" i="1"/>
  <c r="G67" i="1"/>
  <c r="Z66" i="1"/>
  <c r="Z67" i="1"/>
  <c r="B66" i="1"/>
  <c r="B67" i="1"/>
  <c r="O66" i="1"/>
  <c r="O67" i="1"/>
  <c r="D66" i="1"/>
  <c r="D67" i="1"/>
  <c r="F66" i="1"/>
  <c r="F67" i="1"/>
  <c r="Y66" i="1"/>
  <c r="Y67" i="1"/>
  <c r="AC66" i="1"/>
  <c r="AC67" i="1"/>
  <c r="AD66" i="1"/>
  <c r="AD67" i="1"/>
  <c r="P66" i="1" l="1"/>
  <c r="P6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tc={6BEAB1AC-0DAA-42FE-BD5B-5C699D8F5443}</author>
  </authors>
  <commentList>
    <comment ref="A28" authorId="0" shapeId="0" xr:uid="{6BEAB1AC-0DAA-42FE-BD5B-5C699D8F5443}">
      <text>
        <t>[Threaded comment]
Your version of Excel allows you to read this threaded comment; however, any edits to it will get removed if the file is opened in a newer version of Excel. Learn more: https://go.microsoft.com/fwlink/?linkid=870924
Comment:
    Negative = positive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<sst xmlns="http://schemas.openxmlformats.org/spreadsheetml/2006/main" count="96" uniqueCount="94">
  <si>
    <t>Quarter &amp; Year</t>
  </si>
  <si>
    <t>Reported Date</t>
  </si>
  <si>
    <t>Q118</t>
  </si>
  <si>
    <t>Q218</t>
  </si>
  <si>
    <t>Q318</t>
  </si>
  <si>
    <t>Q418</t>
  </si>
  <si>
    <t>Q119</t>
  </si>
  <si>
    <t>Q219</t>
  </si>
  <si>
    <t>Q319</t>
  </si>
  <si>
    <t>Q419</t>
  </si>
  <si>
    <t>Q120</t>
  </si>
  <si>
    <t>Q220</t>
  </si>
  <si>
    <t>Q320</t>
  </si>
  <si>
    <t>Q420</t>
  </si>
  <si>
    <t>Q121</t>
  </si>
  <si>
    <t>Q221</t>
  </si>
  <si>
    <t>Q321</t>
  </si>
  <si>
    <t>Q421</t>
  </si>
  <si>
    <t>Q122</t>
  </si>
  <si>
    <t>Q222</t>
  </si>
  <si>
    <t>Q322</t>
  </si>
  <si>
    <t>Q422</t>
  </si>
  <si>
    <t>Q123</t>
  </si>
  <si>
    <t>Q223</t>
  </si>
  <si>
    <t>Q323</t>
  </si>
  <si>
    <t>Q423</t>
  </si>
  <si>
    <t>Q124</t>
  </si>
  <si>
    <t>Q224</t>
  </si>
  <si>
    <t>Q324</t>
  </si>
  <si>
    <t>Q424</t>
  </si>
  <si>
    <t>Revenues</t>
  </si>
  <si>
    <t>Net sales</t>
  </si>
  <si>
    <t>Membership &amp; other</t>
  </si>
  <si>
    <t>Total revenues</t>
  </si>
  <si>
    <t>Cost &amp; expenses</t>
  </si>
  <si>
    <t>Cost of sales</t>
  </si>
  <si>
    <t>Operating, selling, general &amp; administrative</t>
  </si>
  <si>
    <t>Total costs &amp; expenses</t>
  </si>
  <si>
    <t>Income from operations</t>
  </si>
  <si>
    <t>Interest income (loss)</t>
  </si>
  <si>
    <t>Income before income taxes</t>
  </si>
  <si>
    <t>Income taxes</t>
  </si>
  <si>
    <t>Net income</t>
  </si>
  <si>
    <t>Price</t>
  </si>
  <si>
    <t>Shares outstanding</t>
  </si>
  <si>
    <t>Market cap</t>
  </si>
  <si>
    <t>Cash</t>
  </si>
  <si>
    <t>Debt</t>
  </si>
  <si>
    <t>Assets</t>
  </si>
  <si>
    <t>Current assets</t>
  </si>
  <si>
    <t>Receivables, net</t>
  </si>
  <si>
    <t>Inventories</t>
  </si>
  <si>
    <t>Prepaid expenses &amp; other</t>
  </si>
  <si>
    <t>Total current assets</t>
  </si>
  <si>
    <t>Property &amp; equipment, net</t>
  </si>
  <si>
    <t>Property under capital lease &amp; financing obligations</t>
  </si>
  <si>
    <t>Goodwill</t>
  </si>
  <si>
    <t>Other</t>
  </si>
  <si>
    <t>Total assets</t>
  </si>
  <si>
    <t>Liabilities</t>
  </si>
  <si>
    <t>Current liabilities</t>
  </si>
  <si>
    <t>Short-term borrowings</t>
  </si>
  <si>
    <t>Accounts payable</t>
  </si>
  <si>
    <t>Dividends payable</t>
  </si>
  <si>
    <t>Accrued liabilities</t>
  </si>
  <si>
    <t>Accrued income taxes</t>
  </si>
  <si>
    <t>Capital lease &amp; financing obligations due within 1-yr</t>
  </si>
  <si>
    <t>Long-term debt due within 1-yr</t>
  </si>
  <si>
    <t>Total current liabilities</t>
  </si>
  <si>
    <t>Long-term debt</t>
  </si>
  <si>
    <t>Long-term capital lease &amp; financing obligations</t>
  </si>
  <si>
    <t>Deferred income taxes &amp; other</t>
  </si>
  <si>
    <t>Total liabilities</t>
  </si>
  <si>
    <t>Equity</t>
  </si>
  <si>
    <t>Enterprise value</t>
  </si>
  <si>
    <t>EPS</t>
  </si>
  <si>
    <t>Non controlling interest</t>
  </si>
  <si>
    <t>Other gains (losses)</t>
  </si>
  <si>
    <t>Operating lease right-of-use assets, net</t>
  </si>
  <si>
    <t>Finance lease right-of-use assets, net</t>
  </si>
  <si>
    <t>Operating lease obligations due with 1-yr</t>
  </si>
  <si>
    <t>Finance lease obligations due within 1-yr</t>
  </si>
  <si>
    <t>Long-term operating lease obligations</t>
  </si>
  <si>
    <t>Long-term finance lease obligations</t>
  </si>
  <si>
    <t>Loss on extinguishment of debt</t>
  </si>
  <si>
    <t>Net profit margin</t>
  </si>
  <si>
    <t>Cost of sale to sales</t>
  </si>
  <si>
    <t>% Change</t>
  </si>
  <si>
    <t>Y/Y</t>
  </si>
  <si>
    <t>Quick ratio</t>
  </si>
  <si>
    <t>Current ratio</t>
  </si>
  <si>
    <t>Inventory turnover ratio</t>
  </si>
  <si>
    <t>Total inventory turnovers in 90-days</t>
  </si>
  <si>
    <t>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</si>
</sst>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[$$-409]* #,##0.00_);_([$$-409]* \(#,##0.00\);_([$$-409]* &quot;-&quot;??_);_(@_)"/>
    <numFmt numFmtId="166" formatCode="0.0%"/>
    <numFmt numFmtId="167" formatCode="_(* #,##0.000_);_(* \(#,##0.000\);_(* &quot;-&quot;??_);_(@_)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4" fontId="3" fillId="2" borderId="0" xfId="0" applyNumberFormat="1" applyFont="1" applyFill="1" applyAlignment="1">
      <alignment horizontal="center" vertical="center"/>
    </xf>
    <xf numFmtId="0" fontId="4" fillId="0" borderId="0" xfId="0" applyFont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164" fontId="4" fillId="0" borderId="0" xfId="1" applyNumberFormat="1" applyFont="1"/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" fillId="0" borderId="0" xfId="0" applyFont="1"/>
    <xf numFmtId="164" fontId="6" fillId="0" borderId="0" xfId="1" applyNumberFormat="1" applyFont="1"/>
    <xf numFmtId="0" fontId="6" fillId="0" borderId="0" xfId="0" applyFont="1" applyAlignment="1">
      <alignment horizontal="left" indent="1"/>
    </xf>
    <xf numFmtId="0" fontId="2" fillId="0" borderId="0" xfId="0" applyFont="1" applyAlignment="1">
      <alignment horizontal="left" indent="1"/>
    </xf>
    <xf numFmtId="0" fontId="6" fillId="0" borderId="0" xfId="0" applyFont="1" applyAlignment="1">
      <alignment horizontal="left" indent="2"/>
    </xf>
    <xf numFmtId="0" fontId="6" fillId="0" borderId="0" xfId="0" applyFont="1"/>
    <xf numFmtId="165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indent="2"/>
    </xf>
    <xf numFmtId="0" fontId="6" fillId="0" borderId="0" xfId="0" applyFont="1" applyAlignment="1">
      <alignment horizontal="left" indent="3"/>
    </xf>
    <xf numFmtId="44" fontId="4" fillId="0" borderId="0" xfId="2" applyFont="1"/>
    <xf numFmtId="164" fontId="2" fillId="0" borderId="0" xfId="1" applyNumberFormat="1" applyFont="1"/>
    <xf numFmtId="43" fontId="4" fillId="0" borderId="0" xfId="1" applyFont="1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indent="2"/>
    </xf>
    <xf numFmtId="164" fontId="1" fillId="0" borderId="0" xfId="1" applyNumberFormat="1" applyFont="1"/>
    <xf numFmtId="166" fontId="4" fillId="0" borderId="0" xfId="3" applyNumberFormat="1" applyFont="1"/>
    <xf numFmtId="167" fontId="4" fillId="0" borderId="0" xfId="1" applyNumberFormat="1" applyFont="1"/>
    <xf numFmtId="166" fontId="7" fillId="0" borderId="0" xfId="3" applyNumberFormat="1" applyFont="1" applyAlignment="1">
      <alignment horizontal="center"/>
    </xf>
    <xf numFmtId="167" fontId="1" fillId="0" borderId="0" xfId="1" applyNumberFormat="1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ichStyles" Target="richData/richStyles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theme" Target="theme/theme1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RichValueTypes" Target="richData/rdRichValueTypes.xml"/><Relationship Id="rId5" Type="http://schemas.openxmlformats.org/officeDocument/2006/relationships/sheetMetadata" Target="metadata.xml"/><Relationship Id="rId15" Type="http://schemas.openxmlformats.org/officeDocument/2006/relationships/customXml" Target="../customXml/item2.xml"/><Relationship Id="rId10" Type="http://schemas.microsoft.com/office/2017/06/relationships/rdSupportingPropertyBag" Target="richData/rdsupportingpropertybag.xml"/><Relationship Id="rId4" Type="http://schemas.openxmlformats.org/officeDocument/2006/relationships/sharedStrings" Target="sharedStrings.xml"/><Relationship Id="rId9" Type="http://schemas.microsoft.com/office/2017/06/relationships/rdSupportingPropertyBagStructure" Target="richData/rdsupportingpropertybagstructure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braham" id="{26947CD8-4312-4D4F-BD5F-307CCF2189C3}" userId="Abraham" providerId="Non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https://www.bing.com/financeapi/forcetrigger?t=a25ya2&amp;q=XNYS%3aWMT&amp;form=skydnc</v>
    <v>Learn more on Bing</v>
  </rv>
  <rv s="1">
    <v>en-US</v>
    <v>a25ya2</v>
    <v>268435456</v>
    <v>1</v>
    <v>Powered by Refinitiv</v>
    <v>0</v>
    <v>WALMART INC. (XNYS:WMT)</v>
    <v>2</v>
    <v>3</v>
    <v>Finance</v>
    <v>4</v>
    <v>154.63999999999999</v>
    <v>117.9029</v>
    <v>0.49969999999999998</v>
    <v>0.92</v>
    <v>-1.9599999999999999E-4</v>
    <v>6.0460000000000002E-3</v>
    <v>-0.03</v>
    <v>USD</v>
    <v>Walmart Inc. is a technology-powered omni-channel retailer. The Company provides the opportunity to shop in both retail stores and through e-commerce and to access its other service offerings. It offers an assortment of merchandise and services at everyday low prices (EDLP). It operates through three segments: Walmart U.S., Walmart International and Sam's Club. The Walmart U.S. segment is a mass merchandiser of consumer products, operating under the Walmart and Walmart Neighborhood Market brands, as well as walmart.com and other e-commerce brands. Walmart International segment includes various formats divided into two categories: retail and wholesale. These categories consist of many formats, including supercenters, supermarkets, hypermarkets, warehouse clubs (including Sam's Clubs) and cash &amp; carry, as well as e-commerce through walmart.com.mx, walmart.ca, flipkart.com, walmart.cn and other sites. Sam's Club segment is a membership-only warehouse club that also operates samsclub.com.</v>
    <v>2100000</v>
    <v>New York Stock Exchange</v>
    <v>XNYS</v>
    <v>XNYS</v>
    <v>702 SW 8th St, BENTONVILLE, AR, 72716-6209 US</v>
    <v>153.72</v>
    <v>Food &amp; Drug Retailing</v>
    <v>Stock</v>
    <v>45086.999101296096</v>
    <v>0</v>
    <v>151.6</v>
    <v>412246100000</v>
    <v>WALMART INC.</v>
    <v>WALMART INC.</v>
    <v>152.16</v>
    <v>36.673499999999997</v>
    <v>152.16999999999999</v>
    <v>153.09</v>
    <v>153.06</v>
    <v>2692835000</v>
    <v>WMT</v>
    <v>WALMART INC. (XNYS:WMT)</v>
    <v>5201867</v>
    <v>6480403</v>
    <v>1969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Price (Extended hours)"/>
    <k n="Shares outstanding"/>
    <k n="Ticker symbol" t="s"/>
    <k n="UniqueName" t="s"/>
    <k n="Volume"/>
    <k n="Volume average"/>
    <k n="Year incorporated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5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Official name</v>
      <v t="s">Last trade time</v>
      <v t="s">Ticker symbol</v>
      <v t="s">Exchange abbreviation</v>
      <v t="s">Change</v>
      <v t="s">Change (Extended hours)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  <v>1</v>
    </spb>
    <spb s="3">
      <v>1</v>
      <v>2</v>
      <v>2</v>
      <v>1</v>
      <v>3</v>
      <v>1</v>
      <v>1</v>
      <v>1</v>
      <v>4</v>
      <v>4</v>
      <v>5</v>
      <v>6</v>
      <v>1</v>
      <v>1</v>
      <v>1</v>
      <v>4</v>
      <v>7</v>
      <v>8</v>
      <v>9</v>
      <v>4</v>
      <v>1</v>
      <v>1</v>
      <v>5</v>
    </spb>
    <spb s="4">
      <v>at close</v>
      <v>from previous close</v>
      <v>from previous close</v>
      <v>Source: Nasdaq</v>
      <v>GMT</v>
      <v>Delayed 15 minutes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  <k n="Price (Extended hours)" t="i"/>
    <k n="Change (Extended hours)" t="i"/>
    <k n="Change % (Extended hours)" t="i"/>
  </s>
  <s>
    <k n="Price" t="s"/>
    <k n="Change" t="s"/>
    <k n="Change (%)" t="s"/>
    <k n="ExchangeID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2" formatCode="0.00"/>
    </x:dxf>
    <x:dxf>
      <x:numFmt numFmtId="0" formatCode="General"/>
    </x:dxf>
    <x:dxf>
      <x:numFmt numFmtId="27" formatCode="m/d/yyyy\ h:mm"/>
    </x:dxf>
    <x:dxf>
      <x:numFmt numFmtId="14" formatCode="0.00%"/>
    </x:dxf>
    <x:dxf>
      <x:numFmt numFmtId="3" formatCode="#,##0"/>
    </x:dxf>
    <x:dxf>
      <x:numFmt numFmtId="4" formatCode="#,##0.00"/>
    </x:dxf>
    <x:dxf>
      <x:numFmt numFmtId="1" formatCode="0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 dxfid="5">
      <rpv i="0">#,##0.00</rpv>
    </rSty>
    <rSty>
      <rpv i="1">1</rpv>
    </rSty>
    <rSty dxfid="4">
      <rpv i="0">#,##0</rpv>
    </rSty>
    <rSty dxfid="3"/>
    <rSty dxfid="1">
      <rpv i="0">_([$$-en-US]* #,##0_);_([$$-en-US]* (#,##0);_([$$-en-US]* "-"_);_(@_)</rpv>
    </rSty>
    <rSty dxfid="2"/>
    <rSty dxfid="6">
      <rpv i="0">0</rpv>
    </rSty>
    <rSty dxfid="0">
      <rpv i="0">0.00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8" dT="2023-06-05T06:39:00.20" personId="{26947CD8-4312-4D4F-BD5F-307CCF2189C3}" id="{6BEAB1AC-0DAA-42FE-BD5B-5C699D8F5443}">
    <text>Negative = positive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667A-8B3A-43F8-9127-2CCF9535A020}">
  <dimension ref="A1:DA72"/>
  <sheetViews>
    <sheetView tabSelected="1" zoomScale="125" zoomScaleNormal="125" workbookViewId="0">
      <pane xSplit="1" topLeftCell="P1" activePane="topRight" state="frozen"/>
      <selection pane="topRight" activeCell="W1" sqref="W1:W1048576"/>
    </sheetView>
  </sheetViews>
  <sheetFormatPr defaultColWidth="8.85546875" defaultRowHeight="12.75" x14ac:dyDescent="0.2"/>
  <cols>
    <col min="1" max="1" width="46.85546875" style="2" customWidth="1"/>
    <col min="2" max="22" width="12.7109375" style="5" customWidth="1"/>
    <col min="23" max="23" width="10.7109375" style="5" customWidth="1"/>
    <col min="24" max="105" width="12.7109375" style="5" customWidth="1"/>
    <col min="106" max="16384" width="8.85546875" style="5"/>
  </cols>
  <sheetData>
    <row r="1" spans="1:105" s="2" customFormat="1" ht="15" customHeight="1" x14ac:dyDescent="0.2">
      <c r="A1" s="4" t="s">
        <v>1</v>
      </c>
      <c r="B1" s="1">
        <v>43220</v>
      </c>
      <c r="C1" s="1">
        <v>43312</v>
      </c>
      <c r="D1" s="1">
        <v>43404</v>
      </c>
      <c r="E1" s="1">
        <v>43496</v>
      </c>
      <c r="F1" s="1">
        <v>43585</v>
      </c>
      <c r="G1" s="1">
        <v>43677</v>
      </c>
      <c r="H1" s="1">
        <v>43769</v>
      </c>
      <c r="I1" s="1">
        <v>43861</v>
      </c>
      <c r="J1" s="1">
        <v>43951</v>
      </c>
      <c r="K1" s="1">
        <v>44043</v>
      </c>
      <c r="L1" s="1">
        <v>44135</v>
      </c>
      <c r="M1" s="1">
        <f>N1-89</f>
        <v>44227</v>
      </c>
      <c r="N1" s="1">
        <f>O1-92</f>
        <v>44316</v>
      </c>
      <c r="O1" s="1">
        <f>P1-92</f>
        <v>44408</v>
      </c>
      <c r="P1" s="1">
        <f>Q1-92</f>
        <v>44500</v>
      </c>
      <c r="Q1" s="1">
        <f>R1-89</f>
        <v>44592</v>
      </c>
      <c r="R1" s="1">
        <f>S1-92</f>
        <v>44681</v>
      </c>
      <c r="S1" s="1">
        <f>T1-92</f>
        <v>44773</v>
      </c>
      <c r="T1" s="1">
        <f>U1-91</f>
        <v>44865</v>
      </c>
      <c r="U1" s="1">
        <f>V1-90</f>
        <v>44956</v>
      </c>
      <c r="V1" s="1">
        <v>45046</v>
      </c>
      <c r="W1" s="1" t="s">
        <v>87</v>
      </c>
      <c r="X1" s="1">
        <f>V1+92</f>
        <v>45138</v>
      </c>
      <c r="Y1" s="1">
        <f>X1+92</f>
        <v>45230</v>
      </c>
      <c r="Z1" s="1">
        <f>Y1+92</f>
        <v>45322</v>
      </c>
      <c r="AA1" s="1"/>
      <c r="AB1" s="3"/>
      <c r="AC1" s="3"/>
      <c r="AD1" s="3"/>
      <c r="AE1" s="3"/>
      <c r="AF1" s="3"/>
      <c r="AG1" s="3"/>
      <c r="AH1" s="3"/>
      <c r="AI1" s="3"/>
      <c r="AJ1" s="3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</row>
    <row r="2" spans="1:105" s="2" customFormat="1" ht="15" customHeight="1" x14ac:dyDescent="0.2">
      <c r="A2" s="4" t="s">
        <v>0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88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/>
      <c r="AF2" s="3"/>
      <c r="AG2" s="3"/>
      <c r="AH2" s="3"/>
      <c r="AI2" s="3"/>
      <c r="AJ2" s="3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</row>
    <row r="3" spans="1:105" x14ac:dyDescent="0.2">
      <c r="A3" s="7" t="e" vm="1">
        <v>#VALUE!</v>
      </c>
    </row>
    <row r="4" spans="1:105" x14ac:dyDescent="0.2">
      <c r="A4" s="15" cm="1">
        <f t="array" ref="A4">_FV(A3,"Price")</f>
        <v>153.09</v>
      </c>
    </row>
    <row r="5" spans="1:105" s="18" customFormat="1" x14ac:dyDescent="0.2">
      <c r="A5" s="7" t="s">
        <v>43</v>
      </c>
      <c r="B5" s="18">
        <v>64.180000000000007</v>
      </c>
      <c r="C5" s="18">
        <v>81.81</v>
      </c>
      <c r="D5" s="18">
        <v>92.46</v>
      </c>
      <c r="E5" s="18">
        <v>88.85</v>
      </c>
      <c r="F5" s="18">
        <v>95.86</v>
      </c>
      <c r="G5" s="18">
        <v>103.43</v>
      </c>
      <c r="H5" s="18">
        <v>110.4</v>
      </c>
      <c r="I5" s="18">
        <v>108.29</v>
      </c>
      <c r="J5" s="18">
        <v>115.48</v>
      </c>
      <c r="K5" s="18">
        <v>123.47</v>
      </c>
      <c r="L5" s="18">
        <v>132.91999999999999</v>
      </c>
      <c r="M5" s="18">
        <v>135.1</v>
      </c>
      <c r="N5" s="18">
        <v>135.12</v>
      </c>
      <c r="O5" s="18">
        <v>138.21</v>
      </c>
      <c r="P5" s="18">
        <v>145.5</v>
      </c>
      <c r="Q5" s="18">
        <v>136.59</v>
      </c>
      <c r="R5" s="18">
        <v>150.03</v>
      </c>
      <c r="S5" s="18">
        <v>129.97999999999999</v>
      </c>
      <c r="T5" s="18">
        <v>140.69</v>
      </c>
      <c r="U5" s="18">
        <v>142.76</v>
      </c>
      <c r="V5" s="18">
        <v>150.4</v>
      </c>
      <c r="W5" s="27">
        <f t="shared" ref="W5:W9" si="0">(V5-R5)/R5</f>
        <v>2.4661734319803008E-3</v>
      </c>
    </row>
    <row r="6" spans="1:105" s="19" customFormat="1" x14ac:dyDescent="0.2">
      <c r="A6" s="7" t="s">
        <v>44</v>
      </c>
      <c r="B6" s="19">
        <v>2967</v>
      </c>
      <c r="C6" s="19">
        <v>2946</v>
      </c>
      <c r="D6" s="19">
        <v>2941</v>
      </c>
      <c r="E6" s="19">
        <v>2945</v>
      </c>
      <c r="F6" s="19">
        <v>2886</v>
      </c>
      <c r="G6" s="19">
        <v>2869</v>
      </c>
      <c r="H6" s="19">
        <v>2861</v>
      </c>
      <c r="I6" s="19">
        <v>2868</v>
      </c>
      <c r="J6" s="19">
        <v>2849</v>
      </c>
      <c r="K6" s="19">
        <v>2848</v>
      </c>
      <c r="L6" s="19">
        <v>2849</v>
      </c>
      <c r="M6" s="19">
        <v>2847</v>
      </c>
      <c r="N6" s="19">
        <v>2829</v>
      </c>
      <c r="O6" s="19">
        <v>2812</v>
      </c>
      <c r="P6" s="19">
        <v>2797</v>
      </c>
      <c r="Q6" s="19">
        <v>2805</v>
      </c>
      <c r="R6" s="19">
        <v>2765</v>
      </c>
      <c r="S6" s="19">
        <v>2745</v>
      </c>
      <c r="T6" s="19">
        <v>2711</v>
      </c>
      <c r="U6" s="19">
        <v>2734</v>
      </c>
      <c r="V6" s="19">
        <v>2704</v>
      </c>
      <c r="W6" s="27">
        <f t="shared" si="0"/>
        <v>-2.2061482820976492E-2</v>
      </c>
    </row>
    <row r="7" spans="1:105" x14ac:dyDescent="0.2">
      <c r="A7" s="9" t="s">
        <v>45</v>
      </c>
      <c r="B7" s="5">
        <f>B5*B6</f>
        <v>190422.06000000003</v>
      </c>
      <c r="C7" s="5">
        <f t="shared" ref="C7:AD7" si="1">C5*C6</f>
        <v>241012.26</v>
      </c>
      <c r="D7" s="5">
        <f t="shared" si="1"/>
        <v>271924.86</v>
      </c>
      <c r="E7" s="5">
        <f t="shared" si="1"/>
        <v>261663.24999999997</v>
      </c>
      <c r="F7" s="5">
        <f t="shared" si="1"/>
        <v>276651.96000000002</v>
      </c>
      <c r="G7" s="5">
        <f t="shared" si="1"/>
        <v>296740.67000000004</v>
      </c>
      <c r="H7" s="5">
        <f t="shared" si="1"/>
        <v>315854.40000000002</v>
      </c>
      <c r="I7" s="5">
        <f t="shared" si="1"/>
        <v>310575.72000000003</v>
      </c>
      <c r="J7" s="5">
        <f t="shared" si="1"/>
        <v>329002.52</v>
      </c>
      <c r="K7" s="5">
        <f t="shared" si="1"/>
        <v>351642.56</v>
      </c>
      <c r="L7" s="5">
        <f t="shared" si="1"/>
        <v>378689.07999999996</v>
      </c>
      <c r="M7" s="5">
        <f t="shared" si="1"/>
        <v>384629.7</v>
      </c>
      <c r="N7" s="5">
        <f t="shared" si="1"/>
        <v>382254.48000000004</v>
      </c>
      <c r="O7" s="5">
        <f t="shared" si="1"/>
        <v>388646.52</v>
      </c>
      <c r="P7" s="5">
        <f t="shared" si="1"/>
        <v>406963.5</v>
      </c>
      <c r="Q7" s="5">
        <f t="shared" si="1"/>
        <v>383134.95</v>
      </c>
      <c r="R7" s="5">
        <f t="shared" si="1"/>
        <v>414832.95</v>
      </c>
      <c r="S7" s="5">
        <f t="shared" si="1"/>
        <v>356795.1</v>
      </c>
      <c r="T7" s="5">
        <f t="shared" si="1"/>
        <v>381410.58999999997</v>
      </c>
      <c r="U7" s="5">
        <f t="shared" si="1"/>
        <v>390305.83999999997</v>
      </c>
      <c r="V7" s="5">
        <f t="shared" si="1"/>
        <v>406681.60000000003</v>
      </c>
      <c r="W7" s="27">
        <f t="shared" si="0"/>
        <v>-1.9649716831799346E-2</v>
      </c>
      <c r="X7" s="5">
        <f t="shared" si="1"/>
        <v>0</v>
      </c>
      <c r="Y7" s="5">
        <f t="shared" si="1"/>
        <v>0</v>
      </c>
      <c r="Z7" s="5">
        <f t="shared" si="1"/>
        <v>0</v>
      </c>
      <c r="AA7" s="5">
        <f t="shared" si="1"/>
        <v>0</v>
      </c>
      <c r="AB7" s="5">
        <f t="shared" si="1"/>
        <v>0</v>
      </c>
      <c r="AC7" s="5">
        <f t="shared" si="1"/>
        <v>0</v>
      </c>
      <c r="AD7" s="5">
        <f t="shared" si="1"/>
        <v>0</v>
      </c>
    </row>
    <row r="8" spans="1:105" x14ac:dyDescent="0.2">
      <c r="A8" s="9" t="s">
        <v>46</v>
      </c>
      <c r="B8" s="5">
        <f>B32</f>
        <v>7885</v>
      </c>
      <c r="C8" s="5">
        <f t="shared" ref="C8:AD8" si="2">C32</f>
        <v>15840</v>
      </c>
      <c r="D8" s="5">
        <f t="shared" si="2"/>
        <v>9174</v>
      </c>
      <c r="E8" s="5">
        <f t="shared" si="2"/>
        <v>7722</v>
      </c>
      <c r="F8" s="5">
        <f t="shared" si="2"/>
        <v>9255</v>
      </c>
      <c r="G8" s="5">
        <f t="shared" si="2"/>
        <v>9283</v>
      </c>
      <c r="H8" s="5">
        <f t="shared" si="2"/>
        <v>8606</v>
      </c>
      <c r="I8" s="5">
        <f t="shared" si="2"/>
        <v>9465</v>
      </c>
      <c r="J8" s="5">
        <f t="shared" si="2"/>
        <v>14930</v>
      </c>
      <c r="K8" s="5">
        <f t="shared" si="2"/>
        <v>16906</v>
      </c>
      <c r="L8" s="5">
        <f t="shared" si="2"/>
        <v>14325</v>
      </c>
      <c r="M8" s="5">
        <f t="shared" si="2"/>
        <v>17741</v>
      </c>
      <c r="N8" s="5">
        <f t="shared" si="2"/>
        <v>22846</v>
      </c>
      <c r="O8" s="5">
        <f t="shared" si="2"/>
        <v>22831</v>
      </c>
      <c r="P8" s="5">
        <f t="shared" si="2"/>
        <v>16111</v>
      </c>
      <c r="Q8" s="5">
        <f t="shared" si="2"/>
        <v>14760</v>
      </c>
      <c r="R8" s="5">
        <f t="shared" si="2"/>
        <v>11817</v>
      </c>
      <c r="S8" s="5">
        <f t="shared" si="2"/>
        <v>13923</v>
      </c>
      <c r="T8" s="5">
        <f t="shared" si="2"/>
        <v>11587</v>
      </c>
      <c r="U8" s="5">
        <f t="shared" si="2"/>
        <v>8625</v>
      </c>
      <c r="V8" s="5">
        <f t="shared" si="2"/>
        <v>10575</v>
      </c>
      <c r="W8" s="27">
        <f t="shared" si="0"/>
        <v>-0.1051028179741051</v>
      </c>
      <c r="X8" s="5">
        <f t="shared" si="2"/>
        <v>0</v>
      </c>
      <c r="Y8" s="5">
        <f t="shared" si="2"/>
        <v>0</v>
      </c>
      <c r="Z8" s="5">
        <f t="shared" si="2"/>
        <v>0</v>
      </c>
      <c r="AA8" s="5">
        <f t="shared" si="2"/>
        <v>0</v>
      </c>
      <c r="AB8" s="5">
        <f t="shared" si="2"/>
        <v>0</v>
      </c>
      <c r="AC8" s="5">
        <f t="shared" si="2"/>
        <v>0</v>
      </c>
      <c r="AD8" s="5">
        <f t="shared" si="2"/>
        <v>0</v>
      </c>
    </row>
    <row r="9" spans="1:105" x14ac:dyDescent="0.2">
      <c r="A9" s="7" t="s">
        <v>47</v>
      </c>
      <c r="B9" s="5">
        <f t="shared" ref="B9:U9" si="3">B47+B52+B57</f>
        <v>38815</v>
      </c>
      <c r="C9" s="5">
        <f t="shared" si="3"/>
        <v>46492</v>
      </c>
      <c r="D9" s="5">
        <f t="shared" si="3"/>
        <v>53661</v>
      </c>
      <c r="E9" s="5">
        <f t="shared" si="3"/>
        <v>50621</v>
      </c>
      <c r="F9" s="5">
        <f t="shared" si="3"/>
        <v>53717</v>
      </c>
      <c r="G9" s="5">
        <f t="shared" si="3"/>
        <v>52481</v>
      </c>
      <c r="H9" s="5">
        <f t="shared" si="3"/>
        <v>53931</v>
      </c>
      <c r="I9" s="5">
        <f t="shared" si="3"/>
        <v>49651</v>
      </c>
      <c r="J9" s="5">
        <f t="shared" si="3"/>
        <v>53037</v>
      </c>
      <c r="K9" s="5">
        <f t="shared" si="3"/>
        <v>46869</v>
      </c>
      <c r="L9" s="5">
        <f t="shared" si="3"/>
        <v>45447</v>
      </c>
      <c r="M9" s="5">
        <f t="shared" si="3"/>
        <v>44533</v>
      </c>
      <c r="N9" s="5">
        <f t="shared" si="3"/>
        <v>44135</v>
      </c>
      <c r="O9" s="5">
        <f t="shared" si="3"/>
        <v>41869</v>
      </c>
      <c r="P9" s="5">
        <f t="shared" si="3"/>
        <v>38447</v>
      </c>
      <c r="Q9" s="5">
        <f t="shared" si="3"/>
        <v>38077</v>
      </c>
      <c r="R9" s="5">
        <f t="shared" si="3"/>
        <v>47186</v>
      </c>
      <c r="S9" s="5">
        <f t="shared" si="3"/>
        <v>45751</v>
      </c>
      <c r="T9" s="5">
        <f t="shared" si="3"/>
        <v>46204</v>
      </c>
      <c r="U9" s="5">
        <f t="shared" si="3"/>
        <v>39212</v>
      </c>
      <c r="V9" s="5">
        <f t="shared" ref="V9:AD9" si="4">V47+V52+V57</f>
        <v>43806</v>
      </c>
      <c r="W9" s="27">
        <f t="shared" si="0"/>
        <v>-7.1631416097995171E-2</v>
      </c>
      <c r="X9" s="5">
        <f t="shared" si="4"/>
        <v>0</v>
      </c>
      <c r="Y9" s="5">
        <f t="shared" si="4"/>
        <v>0</v>
      </c>
      <c r="Z9" s="5">
        <f t="shared" si="4"/>
        <v>0</v>
      </c>
      <c r="AA9" s="5">
        <f t="shared" si="4"/>
        <v>0</v>
      </c>
      <c r="AB9" s="5">
        <f t="shared" si="4"/>
        <v>0</v>
      </c>
      <c r="AC9" s="5">
        <f t="shared" si="4"/>
        <v>0</v>
      </c>
      <c r="AD9" s="5">
        <f t="shared" si="4"/>
        <v>0</v>
      </c>
    </row>
    <row r="10" spans="1:105" s="10" customFormat="1" x14ac:dyDescent="0.2">
      <c r="A10" s="16"/>
      <c r="W10" s="27"/>
    </row>
    <row r="11" spans="1:105" x14ac:dyDescent="0.2">
      <c r="A11" s="8" t="s">
        <v>30</v>
      </c>
      <c r="W11" s="27"/>
    </row>
    <row r="12" spans="1:105" x14ac:dyDescent="0.2">
      <c r="A12" s="12" t="s">
        <v>31</v>
      </c>
      <c r="B12" s="5">
        <v>121630</v>
      </c>
      <c r="C12" s="5">
        <v>127059</v>
      </c>
      <c r="D12" s="5">
        <v>123897</v>
      </c>
      <c r="E12" s="5">
        <f>510329-D12-C12-B12</f>
        <v>137743</v>
      </c>
      <c r="F12" s="5">
        <v>122949</v>
      </c>
      <c r="G12" s="5">
        <v>129388</v>
      </c>
      <c r="H12" s="5">
        <v>126981</v>
      </c>
      <c r="I12" s="5">
        <f>519926-H12-G12-F12</f>
        <v>140608</v>
      </c>
      <c r="J12" s="5">
        <v>133672</v>
      </c>
      <c r="K12" s="5">
        <v>136824</v>
      </c>
      <c r="L12" s="5">
        <v>133752</v>
      </c>
      <c r="M12" s="5">
        <f>555233-L12-K12-J12</f>
        <v>150985</v>
      </c>
      <c r="N12" s="5">
        <v>137159</v>
      </c>
      <c r="O12" s="5">
        <v>139871</v>
      </c>
      <c r="P12" s="5">
        <v>139207</v>
      </c>
      <c r="Q12" s="5">
        <f>567762-P12-O12-N12</f>
        <v>151525</v>
      </c>
      <c r="R12" s="5">
        <v>140288</v>
      </c>
      <c r="S12" s="5">
        <v>151381</v>
      </c>
      <c r="T12" s="5">
        <v>151469</v>
      </c>
      <c r="U12" s="5">
        <f>605881-T12-S12-R12</f>
        <v>162743</v>
      </c>
      <c r="V12" s="5">
        <v>151004</v>
      </c>
      <c r="W12" s="27">
        <f>(V12-R12)/R12</f>
        <v>7.6385720802919707E-2</v>
      </c>
    </row>
    <row r="13" spans="1:105" x14ac:dyDescent="0.2">
      <c r="A13" s="12" t="s">
        <v>32</v>
      </c>
      <c r="B13" s="5">
        <v>1060</v>
      </c>
      <c r="C13" s="5">
        <v>969</v>
      </c>
      <c r="D13" s="5">
        <v>997</v>
      </c>
      <c r="E13" s="5">
        <f>4076-D13-C13-B13</f>
        <v>1050</v>
      </c>
      <c r="F13" s="5">
        <v>976</v>
      </c>
      <c r="G13" s="5">
        <v>989</v>
      </c>
      <c r="H13" s="5">
        <v>1010</v>
      </c>
      <c r="I13" s="5">
        <f>4038-H13-G13-F13</f>
        <v>1063</v>
      </c>
      <c r="J13" s="5">
        <v>950</v>
      </c>
      <c r="K13" s="5">
        <v>918</v>
      </c>
      <c r="L13" s="5">
        <v>956</v>
      </c>
      <c r="M13" s="5">
        <f>3918-L13-K13-J13</f>
        <v>1094</v>
      </c>
      <c r="N13" s="5">
        <v>1151</v>
      </c>
      <c r="O13" s="5">
        <v>1177</v>
      </c>
      <c r="P13" s="5">
        <v>1318</v>
      </c>
      <c r="Q13" s="5">
        <f>4992-P13-O13-N13</f>
        <v>1346</v>
      </c>
      <c r="R13" s="5">
        <v>1281</v>
      </c>
      <c r="S13" s="5">
        <v>1478</v>
      </c>
      <c r="T13" s="5">
        <v>1344</v>
      </c>
      <c r="U13" s="5">
        <f>5408-T13-S13-R13</f>
        <v>1305</v>
      </c>
      <c r="V13" s="5">
        <v>1297</v>
      </c>
      <c r="W13" s="27">
        <f t="shared" ref="W13:W72" si="5">(V13-R13)/R13</f>
        <v>1.249024199843872E-2</v>
      </c>
    </row>
    <row r="14" spans="1:105" x14ac:dyDescent="0.2">
      <c r="A14" s="13" t="s">
        <v>33</v>
      </c>
      <c r="B14" s="5">
        <f>SUM(B12:B13)</f>
        <v>122690</v>
      </c>
      <c r="C14" s="5">
        <f t="shared" ref="C14:AD14" si="6">SUM(C12:C13)</f>
        <v>128028</v>
      </c>
      <c r="D14" s="5">
        <f t="shared" si="6"/>
        <v>124894</v>
      </c>
      <c r="E14" s="5">
        <f t="shared" si="6"/>
        <v>138793</v>
      </c>
      <c r="F14" s="5">
        <f t="shared" si="6"/>
        <v>123925</v>
      </c>
      <c r="G14" s="5">
        <f t="shared" si="6"/>
        <v>130377</v>
      </c>
      <c r="H14" s="5">
        <f t="shared" si="6"/>
        <v>127991</v>
      </c>
      <c r="I14" s="5">
        <f t="shared" si="6"/>
        <v>141671</v>
      </c>
      <c r="J14" s="5">
        <f t="shared" si="6"/>
        <v>134622</v>
      </c>
      <c r="K14" s="5">
        <f t="shared" si="6"/>
        <v>137742</v>
      </c>
      <c r="L14" s="5">
        <f t="shared" si="6"/>
        <v>134708</v>
      </c>
      <c r="M14" s="5">
        <f t="shared" si="6"/>
        <v>152079</v>
      </c>
      <c r="N14" s="5">
        <f t="shared" si="6"/>
        <v>138310</v>
      </c>
      <c r="O14" s="5">
        <f t="shared" si="6"/>
        <v>141048</v>
      </c>
      <c r="P14" s="5">
        <f t="shared" si="6"/>
        <v>140525</v>
      </c>
      <c r="Q14" s="5">
        <f t="shared" si="6"/>
        <v>152871</v>
      </c>
      <c r="R14" s="5">
        <f t="shared" si="6"/>
        <v>141569</v>
      </c>
      <c r="S14" s="5">
        <f t="shared" si="6"/>
        <v>152859</v>
      </c>
      <c r="T14" s="5">
        <f t="shared" si="6"/>
        <v>152813</v>
      </c>
      <c r="U14" s="5">
        <f t="shared" si="6"/>
        <v>164048</v>
      </c>
      <c r="V14" s="5">
        <f t="shared" si="6"/>
        <v>152301</v>
      </c>
      <c r="W14" s="27">
        <f t="shared" si="5"/>
        <v>7.5807556739116613E-2</v>
      </c>
      <c r="X14" s="5">
        <f t="shared" si="6"/>
        <v>0</v>
      </c>
      <c r="Y14" s="5">
        <f t="shared" si="6"/>
        <v>0</v>
      </c>
      <c r="Z14" s="5">
        <f t="shared" si="6"/>
        <v>0</v>
      </c>
      <c r="AA14" s="5">
        <f t="shared" si="6"/>
        <v>0</v>
      </c>
      <c r="AB14" s="5">
        <f t="shared" si="6"/>
        <v>0</v>
      </c>
      <c r="AC14" s="5">
        <f t="shared" si="6"/>
        <v>0</v>
      </c>
      <c r="AD14" s="5">
        <f t="shared" si="6"/>
        <v>0</v>
      </c>
    </row>
    <row r="15" spans="1:105" x14ac:dyDescent="0.2">
      <c r="W15" s="27"/>
    </row>
    <row r="16" spans="1:105" x14ac:dyDescent="0.2">
      <c r="A16" s="14" t="s">
        <v>34</v>
      </c>
      <c r="W16" s="27"/>
    </row>
    <row r="17" spans="1:30" s="19" customFormat="1" x14ac:dyDescent="0.2">
      <c r="A17" s="12" t="s">
        <v>35</v>
      </c>
      <c r="B17" s="19">
        <v>91707</v>
      </c>
      <c r="C17" s="19">
        <v>95571</v>
      </c>
      <c r="D17" s="19">
        <v>93116</v>
      </c>
      <c r="E17" s="5">
        <f>385301-D17-C17-B17</f>
        <v>104907</v>
      </c>
      <c r="F17" s="19">
        <v>93034</v>
      </c>
      <c r="G17" s="19">
        <v>97923</v>
      </c>
      <c r="H17" s="19">
        <v>95900</v>
      </c>
      <c r="I17" s="5">
        <f>394605-H17-G17-F17</f>
        <v>107748</v>
      </c>
      <c r="J17" s="19">
        <v>102026</v>
      </c>
      <c r="K17" s="19">
        <v>102689</v>
      </c>
      <c r="L17" s="19">
        <v>100339</v>
      </c>
      <c r="M17" s="5">
        <f>420315-L17-K17-J17</f>
        <v>115261</v>
      </c>
      <c r="N17" s="19">
        <v>103272</v>
      </c>
      <c r="O17" s="19">
        <v>105183</v>
      </c>
      <c r="P17" s="19">
        <v>105023</v>
      </c>
      <c r="Q17" s="5">
        <f>429000-P17-O17-N17</f>
        <v>115522</v>
      </c>
      <c r="R17" s="19">
        <v>106847</v>
      </c>
      <c r="S17" s="19">
        <v>115838</v>
      </c>
      <c r="T17" s="19">
        <v>115613</v>
      </c>
      <c r="U17" s="5">
        <f>463721-T17-S17-R17</f>
        <v>125423</v>
      </c>
      <c r="V17" s="19">
        <v>115284</v>
      </c>
      <c r="W17" s="27">
        <f t="shared" si="5"/>
        <v>7.8963377539846696E-2</v>
      </c>
    </row>
    <row r="18" spans="1:30" x14ac:dyDescent="0.2">
      <c r="A18" s="12" t="s">
        <v>36</v>
      </c>
      <c r="B18" s="5">
        <v>25829</v>
      </c>
      <c r="C18" s="5">
        <v>26707</v>
      </c>
      <c r="D18" s="5">
        <v>26792</v>
      </c>
      <c r="E18" s="5">
        <f>107147-D18-C18-B18</f>
        <v>27819</v>
      </c>
      <c r="F18" s="5">
        <v>25946</v>
      </c>
      <c r="G18" s="5">
        <v>26871</v>
      </c>
      <c r="H18" s="5">
        <v>27373</v>
      </c>
      <c r="I18" s="5">
        <f>108791-H18-G18-F18</f>
        <v>28601</v>
      </c>
      <c r="J18" s="5">
        <v>27372</v>
      </c>
      <c r="K18" s="5">
        <v>28994</v>
      </c>
      <c r="L18" s="5">
        <v>28591</v>
      </c>
      <c r="M18" s="5">
        <f>116288-L18-K18-J18</f>
        <v>31331</v>
      </c>
      <c r="N18" s="5">
        <v>28129</v>
      </c>
      <c r="O18" s="5">
        <v>28511</v>
      </c>
      <c r="P18" s="5">
        <v>29710</v>
      </c>
      <c r="Q18" s="5">
        <f>117812-P18-O18-N18</f>
        <v>31462</v>
      </c>
      <c r="R18" s="5">
        <v>29404</v>
      </c>
      <c r="S18" s="5">
        <v>30167</v>
      </c>
      <c r="T18" s="5">
        <v>34505</v>
      </c>
      <c r="U18" s="5">
        <f>127140-T18-S18-R18</f>
        <v>33064</v>
      </c>
      <c r="V18" s="5">
        <v>30777</v>
      </c>
      <c r="W18" s="27">
        <f t="shared" si="5"/>
        <v>4.6694327302407836E-2</v>
      </c>
    </row>
    <row r="19" spans="1:30" x14ac:dyDescent="0.2">
      <c r="A19" s="13" t="s">
        <v>37</v>
      </c>
      <c r="B19" s="5">
        <f>SUM(B17:B18)</f>
        <v>117536</v>
      </c>
      <c r="C19" s="5">
        <f t="shared" ref="C19:AD19" si="7">SUM(C17:C18)</f>
        <v>122278</v>
      </c>
      <c r="D19" s="5">
        <f t="shared" si="7"/>
        <v>119908</v>
      </c>
      <c r="E19" s="5">
        <f t="shared" si="7"/>
        <v>132726</v>
      </c>
      <c r="F19" s="5">
        <f t="shared" si="7"/>
        <v>118980</v>
      </c>
      <c r="G19" s="5">
        <f t="shared" si="7"/>
        <v>124794</v>
      </c>
      <c r="H19" s="5">
        <f t="shared" si="7"/>
        <v>123273</v>
      </c>
      <c r="I19" s="5">
        <f t="shared" si="7"/>
        <v>136349</v>
      </c>
      <c r="J19" s="5">
        <f t="shared" si="7"/>
        <v>129398</v>
      </c>
      <c r="K19" s="5">
        <f t="shared" si="7"/>
        <v>131683</v>
      </c>
      <c r="L19" s="5">
        <f t="shared" si="7"/>
        <v>128930</v>
      </c>
      <c r="M19" s="5">
        <f t="shared" si="7"/>
        <v>146592</v>
      </c>
      <c r="N19" s="5">
        <f t="shared" si="7"/>
        <v>131401</v>
      </c>
      <c r="O19" s="5">
        <f t="shared" si="7"/>
        <v>133694</v>
      </c>
      <c r="P19" s="5">
        <f t="shared" si="7"/>
        <v>134733</v>
      </c>
      <c r="Q19" s="5">
        <f t="shared" si="7"/>
        <v>146984</v>
      </c>
      <c r="R19" s="5">
        <f t="shared" si="7"/>
        <v>136251</v>
      </c>
      <c r="S19" s="5">
        <f t="shared" si="7"/>
        <v>146005</v>
      </c>
      <c r="T19" s="5">
        <f t="shared" si="7"/>
        <v>150118</v>
      </c>
      <c r="U19" s="5">
        <f t="shared" si="7"/>
        <v>158487</v>
      </c>
      <c r="V19" s="5">
        <f t="shared" si="7"/>
        <v>146061</v>
      </c>
      <c r="W19" s="27">
        <f t="shared" si="5"/>
        <v>7.1999471563511455E-2</v>
      </c>
      <c r="X19" s="5">
        <f t="shared" si="7"/>
        <v>0</v>
      </c>
      <c r="Y19" s="5">
        <f t="shared" si="7"/>
        <v>0</v>
      </c>
      <c r="Z19" s="5">
        <f t="shared" si="7"/>
        <v>0</v>
      </c>
      <c r="AA19" s="5">
        <f t="shared" si="7"/>
        <v>0</v>
      </c>
      <c r="AB19" s="5">
        <f t="shared" si="7"/>
        <v>0</v>
      </c>
      <c r="AC19" s="5">
        <f t="shared" si="7"/>
        <v>0</v>
      </c>
      <c r="AD19" s="5">
        <f t="shared" si="7"/>
        <v>0</v>
      </c>
    </row>
    <row r="20" spans="1:30" x14ac:dyDescent="0.2">
      <c r="W20" s="27"/>
    </row>
    <row r="21" spans="1:30" x14ac:dyDescent="0.2">
      <c r="A21" s="9" t="s">
        <v>38</v>
      </c>
      <c r="B21" s="5">
        <f>B14-B19</f>
        <v>5154</v>
      </c>
      <c r="C21" s="5">
        <f t="shared" ref="C21:AD21" si="8">C14-C19</f>
        <v>5750</v>
      </c>
      <c r="D21" s="5">
        <f t="shared" si="8"/>
        <v>4986</v>
      </c>
      <c r="E21" s="5">
        <f t="shared" si="8"/>
        <v>6067</v>
      </c>
      <c r="F21" s="5">
        <f t="shared" si="8"/>
        <v>4945</v>
      </c>
      <c r="G21" s="5">
        <f t="shared" si="8"/>
        <v>5583</v>
      </c>
      <c r="H21" s="5">
        <f t="shared" si="8"/>
        <v>4718</v>
      </c>
      <c r="I21" s="5">
        <f t="shared" si="8"/>
        <v>5322</v>
      </c>
      <c r="J21" s="5">
        <f t="shared" si="8"/>
        <v>5224</v>
      </c>
      <c r="K21" s="5">
        <f t="shared" si="8"/>
        <v>6059</v>
      </c>
      <c r="L21" s="5">
        <f t="shared" si="8"/>
        <v>5778</v>
      </c>
      <c r="M21" s="5">
        <f t="shared" si="8"/>
        <v>5487</v>
      </c>
      <c r="N21" s="5">
        <f t="shared" si="8"/>
        <v>6909</v>
      </c>
      <c r="O21" s="5">
        <f t="shared" si="8"/>
        <v>7354</v>
      </c>
      <c r="P21" s="5">
        <f t="shared" si="8"/>
        <v>5792</v>
      </c>
      <c r="Q21" s="5">
        <f t="shared" si="8"/>
        <v>5887</v>
      </c>
      <c r="R21" s="5">
        <f t="shared" si="8"/>
        <v>5318</v>
      </c>
      <c r="S21" s="5">
        <f t="shared" si="8"/>
        <v>6854</v>
      </c>
      <c r="T21" s="5">
        <f t="shared" si="8"/>
        <v>2695</v>
      </c>
      <c r="U21" s="5">
        <f t="shared" si="8"/>
        <v>5561</v>
      </c>
      <c r="V21" s="5">
        <f t="shared" si="8"/>
        <v>6240</v>
      </c>
      <c r="W21" s="27">
        <f t="shared" si="5"/>
        <v>0.17337344866491161</v>
      </c>
      <c r="X21" s="5">
        <f t="shared" si="8"/>
        <v>0</v>
      </c>
      <c r="Y21" s="5">
        <f t="shared" si="8"/>
        <v>0</v>
      </c>
      <c r="Z21" s="5">
        <f t="shared" si="8"/>
        <v>0</v>
      </c>
      <c r="AA21" s="5">
        <f t="shared" si="8"/>
        <v>0</v>
      </c>
      <c r="AB21" s="5">
        <f t="shared" si="8"/>
        <v>0</v>
      </c>
      <c r="AC21" s="5">
        <f t="shared" si="8"/>
        <v>0</v>
      </c>
      <c r="AD21" s="5">
        <f t="shared" si="8"/>
        <v>0</v>
      </c>
    </row>
    <row r="22" spans="1:30" x14ac:dyDescent="0.2">
      <c r="A22" s="9" t="s">
        <v>39</v>
      </c>
      <c r="B22" s="5">
        <v>487</v>
      </c>
      <c r="C22" s="5">
        <v>503</v>
      </c>
      <c r="D22" s="5">
        <v>534</v>
      </c>
      <c r="E22" s="5">
        <f>2129-D22-C22-B22</f>
        <v>605</v>
      </c>
      <c r="F22" s="5">
        <v>625</v>
      </c>
      <c r="G22" s="5">
        <v>585</v>
      </c>
      <c r="H22" s="5">
        <v>589</v>
      </c>
      <c r="I22" s="5">
        <f>2410-H22-G22-F22</f>
        <v>611</v>
      </c>
      <c r="J22" s="5">
        <v>549</v>
      </c>
      <c r="K22" s="5">
        <v>635</v>
      </c>
      <c r="L22" s="5">
        <v>516</v>
      </c>
      <c r="M22" s="5">
        <f>2194-L22-K22-J22</f>
        <v>494</v>
      </c>
      <c r="N22" s="5">
        <v>536</v>
      </c>
      <c r="O22" s="5">
        <v>478</v>
      </c>
      <c r="P22" s="5">
        <v>442</v>
      </c>
      <c r="Q22" s="5">
        <f>1836-P22-O22-N22</f>
        <v>380</v>
      </c>
      <c r="R22" s="5">
        <v>419</v>
      </c>
      <c r="S22" s="5">
        <v>448</v>
      </c>
      <c r="T22" s="5">
        <v>500</v>
      </c>
      <c r="U22" s="5">
        <f>1874-T22-S22-R22</f>
        <v>507</v>
      </c>
      <c r="V22" s="5">
        <v>557</v>
      </c>
      <c r="W22" s="27">
        <f t="shared" si="5"/>
        <v>0.32935560859188545</v>
      </c>
    </row>
    <row r="23" spans="1:30" x14ac:dyDescent="0.2">
      <c r="A23" s="21" t="s">
        <v>84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2410</v>
      </c>
      <c r="Q23" s="5">
        <f>2410-P23-O23-N23</f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27" t="e">
        <f t="shared" si="5"/>
        <v>#DIV/0!</v>
      </c>
    </row>
    <row r="24" spans="1:30" x14ac:dyDescent="0.2">
      <c r="A24" s="21" t="s">
        <v>77</v>
      </c>
      <c r="B24" s="5">
        <v>1845</v>
      </c>
      <c r="C24" s="5">
        <v>4849</v>
      </c>
      <c r="D24" s="5">
        <v>1876</v>
      </c>
      <c r="E24" s="5">
        <f>8368-D24-C24-B24</f>
        <v>-202</v>
      </c>
      <c r="F24" s="5">
        <v>-837</v>
      </c>
      <c r="G24" s="5">
        <v>85</v>
      </c>
      <c r="H24" s="5">
        <v>-244</v>
      </c>
      <c r="I24" s="5">
        <f>-1958-H24-G24-F24</f>
        <v>-962</v>
      </c>
      <c r="J24" s="5">
        <v>-721</v>
      </c>
      <c r="K24" s="5">
        <v>-3222</v>
      </c>
      <c r="L24" s="5">
        <v>-1853</v>
      </c>
      <c r="M24" s="5">
        <f>-210-L24-K24-J24</f>
        <v>5586</v>
      </c>
      <c r="N24" s="5">
        <v>2529</v>
      </c>
      <c r="O24" s="5">
        <v>953</v>
      </c>
      <c r="P24" s="5">
        <v>-1207</v>
      </c>
      <c r="Q24" s="5">
        <f>3000-P24-O24-N24</f>
        <v>725</v>
      </c>
      <c r="R24" s="5">
        <v>1998</v>
      </c>
      <c r="S24" s="5">
        <v>-238</v>
      </c>
      <c r="T24" s="5">
        <v>3626</v>
      </c>
      <c r="U24" s="5">
        <f>1538-T24-S24-R24</f>
        <v>-3848</v>
      </c>
      <c r="V24" s="5">
        <v>2995</v>
      </c>
      <c r="W24" s="27">
        <f t="shared" si="5"/>
        <v>0.49899899899899902</v>
      </c>
    </row>
    <row r="25" spans="1:30" x14ac:dyDescent="0.2">
      <c r="A25" s="12" t="s">
        <v>40</v>
      </c>
      <c r="B25" s="5">
        <f>B21-B22-B24</f>
        <v>2822</v>
      </c>
      <c r="C25" s="5">
        <f t="shared" ref="C25:AD25" si="9">C21-C22-C24</f>
        <v>398</v>
      </c>
      <c r="D25" s="5">
        <f t="shared" si="9"/>
        <v>2576</v>
      </c>
      <c r="E25" s="5">
        <f t="shared" si="9"/>
        <v>5664</v>
      </c>
      <c r="F25" s="5">
        <f t="shared" si="9"/>
        <v>5157</v>
      </c>
      <c r="G25" s="5">
        <f t="shared" si="9"/>
        <v>4913</v>
      </c>
      <c r="H25" s="5">
        <f t="shared" si="9"/>
        <v>4373</v>
      </c>
      <c r="I25" s="5">
        <f t="shared" si="9"/>
        <v>5673</v>
      </c>
      <c r="J25" s="5">
        <f t="shared" si="9"/>
        <v>5396</v>
      </c>
      <c r="K25" s="5">
        <f t="shared" si="9"/>
        <v>8646</v>
      </c>
      <c r="L25" s="5">
        <f t="shared" si="9"/>
        <v>7115</v>
      </c>
      <c r="M25" s="5">
        <f t="shared" si="9"/>
        <v>-593</v>
      </c>
      <c r="N25" s="5">
        <f t="shared" si="9"/>
        <v>3844</v>
      </c>
      <c r="O25" s="5">
        <f t="shared" si="9"/>
        <v>5923</v>
      </c>
      <c r="P25" s="5">
        <f>P21-P22-P24-P23</f>
        <v>4147</v>
      </c>
      <c r="Q25" s="5">
        <f t="shared" si="9"/>
        <v>4782</v>
      </c>
      <c r="R25" s="5">
        <f t="shared" si="9"/>
        <v>2901</v>
      </c>
      <c r="S25" s="5">
        <f t="shared" si="9"/>
        <v>6644</v>
      </c>
      <c r="T25" s="5">
        <f t="shared" si="9"/>
        <v>-1431</v>
      </c>
      <c r="U25" s="5">
        <f t="shared" si="9"/>
        <v>8902</v>
      </c>
      <c r="V25" s="5">
        <f t="shared" si="9"/>
        <v>2688</v>
      </c>
      <c r="W25" s="27">
        <f t="shared" si="5"/>
        <v>-7.3422957600827302E-2</v>
      </c>
      <c r="X25" s="5">
        <f t="shared" si="9"/>
        <v>0</v>
      </c>
      <c r="Y25" s="5">
        <f t="shared" si="9"/>
        <v>0</v>
      </c>
      <c r="Z25" s="5">
        <f t="shared" si="9"/>
        <v>0</v>
      </c>
      <c r="AA25" s="5">
        <f t="shared" si="9"/>
        <v>0</v>
      </c>
      <c r="AB25" s="5">
        <f t="shared" si="9"/>
        <v>0</v>
      </c>
      <c r="AC25" s="5">
        <f t="shared" si="9"/>
        <v>0</v>
      </c>
      <c r="AD25" s="5">
        <f t="shared" si="9"/>
        <v>0</v>
      </c>
    </row>
    <row r="26" spans="1:30" x14ac:dyDescent="0.2">
      <c r="A26" s="12" t="s">
        <v>41</v>
      </c>
      <c r="B26" s="5">
        <v>546</v>
      </c>
      <c r="C26" s="5">
        <v>1125</v>
      </c>
      <c r="D26" s="5">
        <v>759</v>
      </c>
      <c r="E26" s="5">
        <f>4281-D26-C26-B26</f>
        <v>1851</v>
      </c>
      <c r="F26" s="5">
        <v>1251</v>
      </c>
      <c r="G26" s="5">
        <v>1233</v>
      </c>
      <c r="H26" s="5">
        <v>1052</v>
      </c>
      <c r="I26" s="5">
        <f>4915-H26-G26-F26</f>
        <v>1379</v>
      </c>
      <c r="J26" s="5">
        <v>1322</v>
      </c>
      <c r="K26" s="5">
        <v>2207</v>
      </c>
      <c r="L26" s="5">
        <v>1914</v>
      </c>
      <c r="M26" s="5">
        <f>6858-L26-K26-J26</f>
        <v>1415</v>
      </c>
      <c r="N26" s="5">
        <v>1033</v>
      </c>
      <c r="O26" s="5">
        <v>1559</v>
      </c>
      <c r="P26" s="5">
        <v>1015</v>
      </c>
      <c r="Q26" s="5">
        <f>4756-P26-O26-N26</f>
        <v>1149</v>
      </c>
      <c r="R26" s="5">
        <v>798</v>
      </c>
      <c r="S26" s="5">
        <v>1497</v>
      </c>
      <c r="T26" s="5">
        <v>336</v>
      </c>
      <c r="U26" s="5">
        <f>5724-T26-S26-R26</f>
        <v>3093</v>
      </c>
      <c r="V26" s="5">
        <v>792</v>
      </c>
      <c r="W26" s="27">
        <f t="shared" si="5"/>
        <v>-7.5187969924812026E-3</v>
      </c>
    </row>
    <row r="27" spans="1:30" x14ac:dyDescent="0.2">
      <c r="A27" s="13" t="s">
        <v>42</v>
      </c>
      <c r="B27" s="5">
        <f>B25-B26</f>
        <v>2276</v>
      </c>
      <c r="C27" s="5">
        <f t="shared" ref="C27:AD27" si="10">C25-C26</f>
        <v>-727</v>
      </c>
      <c r="D27" s="5">
        <f t="shared" si="10"/>
        <v>1817</v>
      </c>
      <c r="E27" s="5">
        <f t="shared" si="10"/>
        <v>3813</v>
      </c>
      <c r="F27" s="5">
        <f t="shared" si="10"/>
        <v>3906</v>
      </c>
      <c r="G27" s="5">
        <f t="shared" si="10"/>
        <v>3680</v>
      </c>
      <c r="H27" s="5">
        <f t="shared" si="10"/>
        <v>3321</v>
      </c>
      <c r="I27" s="5">
        <f t="shared" si="10"/>
        <v>4294</v>
      </c>
      <c r="J27" s="5">
        <f t="shared" si="10"/>
        <v>4074</v>
      </c>
      <c r="K27" s="5">
        <f t="shared" si="10"/>
        <v>6439</v>
      </c>
      <c r="L27" s="5">
        <f t="shared" si="10"/>
        <v>5201</v>
      </c>
      <c r="M27" s="5">
        <f t="shared" si="10"/>
        <v>-2008</v>
      </c>
      <c r="N27" s="5">
        <f t="shared" si="10"/>
        <v>2811</v>
      </c>
      <c r="O27" s="5">
        <f t="shared" si="10"/>
        <v>4364</v>
      </c>
      <c r="P27" s="5">
        <f t="shared" si="10"/>
        <v>3132</v>
      </c>
      <c r="Q27" s="5">
        <f t="shared" si="10"/>
        <v>3633</v>
      </c>
      <c r="R27" s="5">
        <f t="shared" si="10"/>
        <v>2103</v>
      </c>
      <c r="S27" s="5">
        <f t="shared" si="10"/>
        <v>5147</v>
      </c>
      <c r="T27" s="5">
        <f t="shared" si="10"/>
        <v>-1767</v>
      </c>
      <c r="U27" s="5">
        <f t="shared" si="10"/>
        <v>5809</v>
      </c>
      <c r="V27" s="5">
        <f t="shared" si="10"/>
        <v>1896</v>
      </c>
      <c r="W27" s="27">
        <f t="shared" si="5"/>
        <v>-9.843081312410841E-2</v>
      </c>
      <c r="X27" s="5">
        <f t="shared" si="10"/>
        <v>0</v>
      </c>
      <c r="Y27" s="5">
        <f t="shared" si="10"/>
        <v>0</v>
      </c>
      <c r="Z27" s="5">
        <f t="shared" si="10"/>
        <v>0</v>
      </c>
      <c r="AA27" s="5">
        <f t="shared" si="10"/>
        <v>0</v>
      </c>
      <c r="AB27" s="5">
        <f t="shared" si="10"/>
        <v>0</v>
      </c>
      <c r="AC27" s="5">
        <f t="shared" si="10"/>
        <v>0</v>
      </c>
      <c r="AD27" s="5">
        <f t="shared" si="10"/>
        <v>0</v>
      </c>
    </row>
    <row r="28" spans="1:30" x14ac:dyDescent="0.2">
      <c r="A28" s="7" t="s">
        <v>76</v>
      </c>
      <c r="B28" s="5">
        <v>142</v>
      </c>
      <c r="C28" s="5">
        <v>134</v>
      </c>
      <c r="D28" s="5">
        <v>107</v>
      </c>
      <c r="E28" s="5">
        <f>509-D28-C28-B28</f>
        <v>126</v>
      </c>
      <c r="F28" s="5">
        <v>64</v>
      </c>
      <c r="G28" s="5">
        <v>70</v>
      </c>
      <c r="H28" s="5">
        <v>33</v>
      </c>
      <c r="I28" s="5">
        <f>320-H28-G28-F28</f>
        <v>153</v>
      </c>
      <c r="J28" s="5">
        <v>84</v>
      </c>
      <c r="K28" s="5">
        <v>-37</v>
      </c>
      <c r="L28" s="5">
        <v>66</v>
      </c>
      <c r="M28" s="5">
        <f>-196-L28-K28-J28</f>
        <v>-309</v>
      </c>
      <c r="N28" s="5">
        <v>81</v>
      </c>
      <c r="O28" s="5">
        <v>88</v>
      </c>
      <c r="P28" s="5">
        <v>27</v>
      </c>
      <c r="Q28" s="5">
        <f>267-P28-O28-N28</f>
        <v>71</v>
      </c>
      <c r="R28" s="5">
        <v>49</v>
      </c>
      <c r="S28" s="5">
        <v>-2</v>
      </c>
      <c r="T28" s="5">
        <v>31</v>
      </c>
      <c r="U28" s="5">
        <f>-388-T28-S28-R28</f>
        <v>-466</v>
      </c>
      <c r="V28" s="5">
        <v>233</v>
      </c>
      <c r="W28" s="27">
        <f t="shared" si="5"/>
        <v>3.7551020408163267</v>
      </c>
    </row>
    <row r="29" spans="1:30" x14ac:dyDescent="0.2">
      <c r="W29" s="27"/>
    </row>
    <row r="30" spans="1:30" x14ac:dyDescent="0.2">
      <c r="A30" s="14" t="s">
        <v>48</v>
      </c>
      <c r="W30" s="27"/>
    </row>
    <row r="31" spans="1:30" x14ac:dyDescent="0.2">
      <c r="A31" s="11" t="s">
        <v>49</v>
      </c>
      <c r="W31" s="27"/>
    </row>
    <row r="32" spans="1:30" x14ac:dyDescent="0.2">
      <c r="A32" s="16" t="s">
        <v>46</v>
      </c>
      <c r="B32" s="5">
        <v>7885</v>
      </c>
      <c r="C32" s="5">
        <v>15840</v>
      </c>
      <c r="D32" s="5">
        <v>9174</v>
      </c>
      <c r="E32" s="5">
        <v>7722</v>
      </c>
      <c r="F32" s="5">
        <v>9255</v>
      </c>
      <c r="G32" s="5">
        <v>9283</v>
      </c>
      <c r="H32" s="5">
        <v>8606</v>
      </c>
      <c r="I32" s="5">
        <v>9465</v>
      </c>
      <c r="J32" s="5">
        <v>14930</v>
      </c>
      <c r="K32" s="5">
        <v>16906</v>
      </c>
      <c r="L32" s="5">
        <v>14325</v>
      </c>
      <c r="M32" s="5">
        <v>17741</v>
      </c>
      <c r="N32" s="5">
        <v>22846</v>
      </c>
      <c r="O32" s="5">
        <v>22831</v>
      </c>
      <c r="P32" s="5">
        <v>16111</v>
      </c>
      <c r="Q32" s="5">
        <v>14760</v>
      </c>
      <c r="R32" s="5">
        <v>11817</v>
      </c>
      <c r="S32" s="5">
        <v>13923</v>
      </c>
      <c r="T32" s="5">
        <v>11587</v>
      </c>
      <c r="U32" s="5">
        <v>8625</v>
      </c>
      <c r="V32" s="5">
        <v>10575</v>
      </c>
      <c r="W32" s="27">
        <f t="shared" si="5"/>
        <v>-0.1051028179741051</v>
      </c>
    </row>
    <row r="33" spans="1:30" x14ac:dyDescent="0.2">
      <c r="A33" s="16" t="s">
        <v>50</v>
      </c>
      <c r="B33" s="5">
        <v>4568</v>
      </c>
      <c r="C33" s="5">
        <v>5002</v>
      </c>
      <c r="D33" s="5">
        <v>5785</v>
      </c>
      <c r="E33" s="5">
        <v>6283</v>
      </c>
      <c r="F33" s="5">
        <v>5342</v>
      </c>
      <c r="G33" s="5">
        <v>5382</v>
      </c>
      <c r="H33" s="5">
        <v>5612</v>
      </c>
      <c r="I33" s="5">
        <v>6284</v>
      </c>
      <c r="J33" s="5">
        <v>5029</v>
      </c>
      <c r="K33" s="5">
        <v>5111</v>
      </c>
      <c r="L33" s="5">
        <v>5770</v>
      </c>
      <c r="M33" s="5">
        <v>6516</v>
      </c>
      <c r="N33" s="5">
        <v>5797</v>
      </c>
      <c r="O33" s="5">
        <v>6103</v>
      </c>
      <c r="P33" s="5">
        <v>7349</v>
      </c>
      <c r="Q33" s="5">
        <v>8280</v>
      </c>
      <c r="R33" s="5">
        <v>7674</v>
      </c>
      <c r="S33" s="5">
        <v>7522</v>
      </c>
      <c r="T33" s="5">
        <v>8218</v>
      </c>
      <c r="U33" s="5">
        <v>7933</v>
      </c>
      <c r="V33" s="5">
        <v>7647</v>
      </c>
      <c r="W33" s="27">
        <f t="shared" si="5"/>
        <v>-3.5183737294761531E-3</v>
      </c>
    </row>
    <row r="34" spans="1:30" x14ac:dyDescent="0.2">
      <c r="A34" s="16" t="s">
        <v>51</v>
      </c>
      <c r="B34" s="5">
        <v>43303</v>
      </c>
      <c r="C34" s="5">
        <v>41985</v>
      </c>
      <c r="D34" s="5">
        <v>50380</v>
      </c>
      <c r="E34" s="5">
        <v>44269</v>
      </c>
      <c r="F34" s="5">
        <v>44751</v>
      </c>
      <c r="G34" s="5">
        <v>44134</v>
      </c>
      <c r="H34" s="5">
        <v>51546</v>
      </c>
      <c r="I34" s="5">
        <v>44435</v>
      </c>
      <c r="J34" s="5">
        <v>41217</v>
      </c>
      <c r="K34" s="5">
        <v>41084</v>
      </c>
      <c r="L34" s="5">
        <v>51842</v>
      </c>
      <c r="M34" s="5">
        <v>44949</v>
      </c>
      <c r="N34" s="5">
        <v>46383</v>
      </c>
      <c r="O34" s="5">
        <v>47754</v>
      </c>
      <c r="P34" s="5">
        <v>57484</v>
      </c>
      <c r="Q34" s="5">
        <v>56511</v>
      </c>
      <c r="R34" s="5">
        <v>61229</v>
      </c>
      <c r="S34" s="5">
        <v>59921</v>
      </c>
      <c r="T34" s="5">
        <v>64706</v>
      </c>
      <c r="U34" s="5">
        <v>56576</v>
      </c>
      <c r="V34" s="5">
        <v>56932</v>
      </c>
      <c r="W34" s="27">
        <f t="shared" si="5"/>
        <v>-7.0179163468291172E-2</v>
      </c>
    </row>
    <row r="35" spans="1:30" x14ac:dyDescent="0.2">
      <c r="A35" s="16" t="s">
        <v>52</v>
      </c>
      <c r="B35" s="5">
        <v>3486</v>
      </c>
      <c r="C35" s="5">
        <v>3543</v>
      </c>
      <c r="D35" s="5">
        <v>4107</v>
      </c>
      <c r="E35" s="5">
        <v>3623</v>
      </c>
      <c r="F35" s="5">
        <v>2391</v>
      </c>
      <c r="G35" s="5">
        <v>2572</v>
      </c>
      <c r="H35" s="5">
        <v>2148</v>
      </c>
      <c r="I35" s="5">
        <v>1622</v>
      </c>
      <c r="J35" s="5">
        <v>2152</v>
      </c>
      <c r="K35" s="5">
        <v>1895</v>
      </c>
      <c r="L35" s="5">
        <v>1665</v>
      </c>
      <c r="M35" s="5">
        <v>20861</v>
      </c>
      <c r="N35" s="5">
        <v>1565</v>
      </c>
      <c r="O35" s="5">
        <v>1555</v>
      </c>
      <c r="P35" s="5">
        <v>2020</v>
      </c>
      <c r="Q35" s="5">
        <v>1519</v>
      </c>
      <c r="R35" s="5">
        <v>2500</v>
      </c>
      <c r="S35" s="5">
        <v>2798</v>
      </c>
      <c r="T35" s="5">
        <v>3169</v>
      </c>
      <c r="U35" s="5">
        <v>2521</v>
      </c>
      <c r="V35" s="5">
        <v>3357</v>
      </c>
      <c r="W35" s="27">
        <f t="shared" si="5"/>
        <v>0.34279999999999999</v>
      </c>
    </row>
    <row r="36" spans="1:30" s="10" customFormat="1" x14ac:dyDescent="0.2">
      <c r="A36" s="17" t="s">
        <v>53</v>
      </c>
      <c r="B36" s="10">
        <f>SUM(B32:B35)</f>
        <v>59242</v>
      </c>
      <c r="C36" s="10">
        <f t="shared" ref="C36:AD36" si="11">SUM(C32:C35)</f>
        <v>66370</v>
      </c>
      <c r="D36" s="10">
        <f t="shared" si="11"/>
        <v>69446</v>
      </c>
      <c r="E36" s="10">
        <f t="shared" si="11"/>
        <v>61897</v>
      </c>
      <c r="F36" s="10">
        <f t="shared" si="11"/>
        <v>61739</v>
      </c>
      <c r="G36" s="10">
        <f t="shared" si="11"/>
        <v>61371</v>
      </c>
      <c r="H36" s="10">
        <f t="shared" si="11"/>
        <v>67912</v>
      </c>
      <c r="I36" s="10">
        <f t="shared" si="11"/>
        <v>61806</v>
      </c>
      <c r="J36" s="10">
        <f t="shared" si="11"/>
        <v>63328</v>
      </c>
      <c r="K36" s="10">
        <f t="shared" si="11"/>
        <v>64996</v>
      </c>
      <c r="L36" s="10">
        <f t="shared" si="11"/>
        <v>73602</v>
      </c>
      <c r="M36" s="10">
        <f t="shared" si="11"/>
        <v>90067</v>
      </c>
      <c r="N36" s="10">
        <f t="shared" si="11"/>
        <v>76591</v>
      </c>
      <c r="O36" s="10">
        <f t="shared" si="11"/>
        <v>78243</v>
      </c>
      <c r="P36" s="10">
        <f t="shared" si="11"/>
        <v>82964</v>
      </c>
      <c r="Q36" s="10">
        <f t="shared" si="11"/>
        <v>81070</v>
      </c>
      <c r="R36" s="10">
        <f t="shared" si="11"/>
        <v>83220</v>
      </c>
      <c r="S36" s="10">
        <f t="shared" si="11"/>
        <v>84164</v>
      </c>
      <c r="T36" s="10">
        <f t="shared" si="11"/>
        <v>87680</v>
      </c>
      <c r="U36" s="10">
        <f t="shared" si="11"/>
        <v>75655</v>
      </c>
      <c r="V36" s="10">
        <f t="shared" si="11"/>
        <v>78511</v>
      </c>
      <c r="W36" s="27">
        <f t="shared" si="5"/>
        <v>-5.6584955539533764E-2</v>
      </c>
      <c r="X36" s="10">
        <f t="shared" si="11"/>
        <v>0</v>
      </c>
      <c r="Y36" s="10">
        <f t="shared" si="11"/>
        <v>0</v>
      </c>
      <c r="Z36" s="10">
        <f t="shared" si="11"/>
        <v>0</v>
      </c>
      <c r="AA36" s="10">
        <f t="shared" si="11"/>
        <v>0</v>
      </c>
      <c r="AB36" s="10">
        <f t="shared" si="11"/>
        <v>0</v>
      </c>
      <c r="AC36" s="10">
        <f t="shared" si="11"/>
        <v>0</v>
      </c>
      <c r="AD36" s="10">
        <f t="shared" si="11"/>
        <v>0</v>
      </c>
    </row>
    <row r="37" spans="1:30" x14ac:dyDescent="0.2">
      <c r="A37" s="12" t="s">
        <v>54</v>
      </c>
      <c r="B37" s="5">
        <v>107622</v>
      </c>
      <c r="C37" s="5">
        <v>104019</v>
      </c>
      <c r="D37" s="5">
        <v>104358</v>
      </c>
      <c r="E37" s="5">
        <v>104317</v>
      </c>
      <c r="F37" s="5">
        <v>104604</v>
      </c>
      <c r="G37" s="5">
        <v>104674</v>
      </c>
      <c r="H37" s="5">
        <v>104326</v>
      </c>
      <c r="I37" s="5">
        <v>105208</v>
      </c>
      <c r="J37" s="5">
        <v>101872</v>
      </c>
      <c r="K37" s="5">
        <v>101182</v>
      </c>
      <c r="L37" s="5">
        <v>102232</v>
      </c>
      <c r="M37" s="5">
        <v>92201</v>
      </c>
      <c r="N37" s="5">
        <v>90996</v>
      </c>
      <c r="O37" s="5">
        <v>91621</v>
      </c>
      <c r="P37" s="5">
        <v>92242</v>
      </c>
      <c r="Q37" s="5">
        <v>94515</v>
      </c>
      <c r="R37" s="5">
        <v>94741</v>
      </c>
      <c r="S37" s="5">
        <v>96006</v>
      </c>
      <c r="T37" s="5">
        <v>97553</v>
      </c>
      <c r="U37" s="5">
        <v>100760</v>
      </c>
      <c r="V37" s="5">
        <v>102335</v>
      </c>
      <c r="W37" s="27">
        <f t="shared" si="5"/>
        <v>8.0155370958719038E-2</v>
      </c>
    </row>
    <row r="38" spans="1:30" x14ac:dyDescent="0.2">
      <c r="A38" s="22" t="s">
        <v>78</v>
      </c>
      <c r="B38" s="5">
        <v>0</v>
      </c>
      <c r="C38" s="5">
        <v>0</v>
      </c>
      <c r="D38" s="5">
        <v>0</v>
      </c>
      <c r="E38" s="5">
        <v>0</v>
      </c>
      <c r="F38" s="5">
        <v>16833</v>
      </c>
      <c r="G38" s="5">
        <v>17239</v>
      </c>
      <c r="H38" s="5">
        <v>16944</v>
      </c>
      <c r="I38" s="5">
        <v>17424</v>
      </c>
      <c r="J38" s="5">
        <v>16895</v>
      </c>
      <c r="K38" s="5">
        <v>16869</v>
      </c>
      <c r="L38" s="5">
        <v>17128</v>
      </c>
      <c r="M38" s="5">
        <v>13642</v>
      </c>
      <c r="N38" s="5">
        <v>13650</v>
      </c>
      <c r="O38" s="5">
        <v>13868</v>
      </c>
      <c r="P38" s="5">
        <v>13863</v>
      </c>
      <c r="Q38" s="5">
        <v>13758</v>
      </c>
      <c r="R38" s="5">
        <v>13971</v>
      </c>
      <c r="S38" s="5">
        <v>13872</v>
      </c>
      <c r="T38" s="5">
        <v>13394</v>
      </c>
      <c r="U38" s="5">
        <v>13555</v>
      </c>
      <c r="V38" s="5">
        <v>13679</v>
      </c>
      <c r="W38" s="27">
        <f t="shared" si="5"/>
        <v>-2.0900436618710185E-2</v>
      </c>
    </row>
    <row r="39" spans="1:30" x14ac:dyDescent="0.2">
      <c r="A39" s="22" t="s">
        <v>79</v>
      </c>
      <c r="B39" s="5">
        <v>0</v>
      </c>
      <c r="C39" s="5">
        <v>0</v>
      </c>
      <c r="D39" s="5">
        <v>0</v>
      </c>
      <c r="E39" s="5">
        <v>0</v>
      </c>
      <c r="F39" s="5">
        <v>3804</v>
      </c>
      <c r="G39" s="5">
        <v>3949</v>
      </c>
      <c r="H39" s="5">
        <v>4155</v>
      </c>
      <c r="I39" s="5">
        <v>4417</v>
      </c>
      <c r="J39" s="5">
        <v>4611</v>
      </c>
      <c r="K39" s="5">
        <v>4843</v>
      </c>
      <c r="L39" s="5">
        <v>4929</v>
      </c>
      <c r="M39" s="5">
        <v>4005</v>
      </c>
      <c r="N39" s="5">
        <v>3979</v>
      </c>
      <c r="O39" s="5">
        <v>4109</v>
      </c>
      <c r="P39" s="5">
        <v>4226</v>
      </c>
      <c r="Q39" s="5">
        <v>4351</v>
      </c>
      <c r="R39" s="5">
        <v>4505</v>
      </c>
      <c r="S39" s="5">
        <v>4514</v>
      </c>
      <c r="T39" s="5">
        <v>4597</v>
      </c>
      <c r="U39" s="5">
        <v>4919</v>
      </c>
      <c r="V39" s="5">
        <v>5124</v>
      </c>
      <c r="W39" s="27">
        <f t="shared" si="5"/>
        <v>0.13740288568257492</v>
      </c>
    </row>
    <row r="40" spans="1:30" hidden="1" x14ac:dyDescent="0.2">
      <c r="A40" s="12" t="s">
        <v>55</v>
      </c>
      <c r="B40" s="5">
        <v>7178</v>
      </c>
      <c r="C40" s="5">
        <v>6998</v>
      </c>
      <c r="D40" s="5">
        <v>6991</v>
      </c>
      <c r="E40" s="5">
        <v>7078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W40" s="27" t="e">
        <f t="shared" si="5"/>
        <v>#DIV/0!</v>
      </c>
    </row>
    <row r="41" spans="1:30" x14ac:dyDescent="0.2">
      <c r="A41" s="12" t="s">
        <v>56</v>
      </c>
      <c r="B41" s="5">
        <v>18850</v>
      </c>
      <c r="C41" s="5">
        <v>17840</v>
      </c>
      <c r="D41" s="5">
        <v>31044</v>
      </c>
      <c r="E41" s="5">
        <v>31181</v>
      </c>
      <c r="F41" s="5">
        <v>31416</v>
      </c>
      <c r="G41" s="5">
        <v>31454</v>
      </c>
      <c r="H41" s="5">
        <v>30716</v>
      </c>
      <c r="I41" s="5">
        <v>31073</v>
      </c>
      <c r="J41" s="5">
        <v>29416</v>
      </c>
      <c r="K41" s="5">
        <v>29542</v>
      </c>
      <c r="L41" s="5">
        <v>30236</v>
      </c>
      <c r="M41" s="5">
        <v>28983</v>
      </c>
      <c r="N41" s="5">
        <v>28872</v>
      </c>
      <c r="O41" s="5">
        <v>29159</v>
      </c>
      <c r="P41" s="5">
        <v>28923</v>
      </c>
      <c r="Q41" s="5">
        <v>29014</v>
      </c>
      <c r="R41" s="5">
        <v>29438</v>
      </c>
      <c r="S41" s="5">
        <v>28664</v>
      </c>
      <c r="T41" s="5">
        <v>28137</v>
      </c>
      <c r="U41" s="5">
        <v>28174</v>
      </c>
      <c r="V41" s="5">
        <v>28306</v>
      </c>
      <c r="W41" s="27">
        <f t="shared" si="5"/>
        <v>-3.8453699300224201E-2</v>
      </c>
    </row>
    <row r="42" spans="1:30" x14ac:dyDescent="0.2">
      <c r="A42" s="12" t="s">
        <v>57</v>
      </c>
      <c r="B42" s="5">
        <v>12035</v>
      </c>
      <c r="C42" s="5">
        <v>10835</v>
      </c>
      <c r="D42" s="5">
        <v>14744</v>
      </c>
      <c r="E42" s="5">
        <v>14822</v>
      </c>
      <c r="F42" s="5">
        <v>16148</v>
      </c>
      <c r="G42" s="5">
        <v>16174</v>
      </c>
      <c r="H42" s="5">
        <v>15777</v>
      </c>
      <c r="I42" s="5">
        <v>16567</v>
      </c>
      <c r="J42" s="5">
        <v>16770</v>
      </c>
      <c r="K42" s="5">
        <v>19950</v>
      </c>
      <c r="L42" s="5">
        <v>22736</v>
      </c>
      <c r="M42" s="5">
        <v>23598</v>
      </c>
      <c r="N42" s="5">
        <v>22493</v>
      </c>
      <c r="O42" s="5">
        <v>21552</v>
      </c>
      <c r="P42" s="5">
        <v>22633</v>
      </c>
      <c r="Q42" s="5">
        <v>22152</v>
      </c>
      <c r="R42" s="5">
        <v>20267</v>
      </c>
      <c r="S42" s="5">
        <v>19979</v>
      </c>
      <c r="T42" s="5">
        <v>16295</v>
      </c>
      <c r="U42" s="5">
        <v>20134</v>
      </c>
      <c r="V42" s="5">
        <v>17098</v>
      </c>
      <c r="W42" s="27">
        <f t="shared" si="5"/>
        <v>-0.15636255982631864</v>
      </c>
    </row>
    <row r="43" spans="1:30" s="10" customFormat="1" x14ac:dyDescent="0.2">
      <c r="A43" s="17" t="s">
        <v>58</v>
      </c>
      <c r="B43" s="10">
        <f>SUM(B36:B42)</f>
        <v>204927</v>
      </c>
      <c r="C43" s="10">
        <f t="shared" ref="C43:AD43" si="12">SUM(C36:C42)</f>
        <v>206062</v>
      </c>
      <c r="D43" s="10">
        <f t="shared" si="12"/>
        <v>226583</v>
      </c>
      <c r="E43" s="10">
        <f t="shared" si="12"/>
        <v>219295</v>
      </c>
      <c r="F43" s="10">
        <f t="shared" si="12"/>
        <v>234544</v>
      </c>
      <c r="G43" s="10">
        <f t="shared" si="12"/>
        <v>234861</v>
      </c>
      <c r="H43" s="10">
        <f t="shared" si="12"/>
        <v>239830</v>
      </c>
      <c r="I43" s="10">
        <f t="shared" si="12"/>
        <v>236495</v>
      </c>
      <c r="J43" s="10">
        <f t="shared" si="12"/>
        <v>232892</v>
      </c>
      <c r="K43" s="10">
        <f t="shared" si="12"/>
        <v>237382</v>
      </c>
      <c r="L43" s="10">
        <f t="shared" si="12"/>
        <v>250863</v>
      </c>
      <c r="M43" s="10">
        <f t="shared" si="12"/>
        <v>252496</v>
      </c>
      <c r="N43" s="10">
        <f t="shared" si="12"/>
        <v>236581</v>
      </c>
      <c r="O43" s="10">
        <f t="shared" si="12"/>
        <v>238552</v>
      </c>
      <c r="P43" s="10">
        <f t="shared" si="12"/>
        <v>244851</v>
      </c>
      <c r="Q43" s="10">
        <f t="shared" si="12"/>
        <v>244860</v>
      </c>
      <c r="R43" s="10">
        <f t="shared" si="12"/>
        <v>246142</v>
      </c>
      <c r="S43" s="10">
        <f t="shared" si="12"/>
        <v>247199</v>
      </c>
      <c r="T43" s="10">
        <f t="shared" si="12"/>
        <v>247656</v>
      </c>
      <c r="U43" s="10">
        <f t="shared" si="12"/>
        <v>243197</v>
      </c>
      <c r="V43" s="10">
        <f t="shared" si="12"/>
        <v>245053</v>
      </c>
      <c r="W43" s="27">
        <f t="shared" si="5"/>
        <v>-4.4242754182545032E-3</v>
      </c>
      <c r="X43" s="10">
        <f t="shared" si="12"/>
        <v>0</v>
      </c>
      <c r="Y43" s="10">
        <f t="shared" si="12"/>
        <v>0</v>
      </c>
      <c r="Z43" s="10">
        <f t="shared" si="12"/>
        <v>0</v>
      </c>
      <c r="AA43" s="10">
        <f t="shared" si="12"/>
        <v>0</v>
      </c>
      <c r="AB43" s="10">
        <f t="shared" si="12"/>
        <v>0</v>
      </c>
      <c r="AC43" s="10">
        <f t="shared" si="12"/>
        <v>0</v>
      </c>
      <c r="AD43" s="10">
        <f t="shared" si="12"/>
        <v>0</v>
      </c>
    </row>
    <row r="44" spans="1:30" x14ac:dyDescent="0.2">
      <c r="A44" s="9"/>
      <c r="W44" s="27"/>
    </row>
    <row r="45" spans="1:30" x14ac:dyDescent="0.2">
      <c r="A45" s="14" t="s">
        <v>59</v>
      </c>
      <c r="W45" s="27"/>
    </row>
    <row r="46" spans="1:30" x14ac:dyDescent="0.2">
      <c r="A46" s="11" t="s">
        <v>60</v>
      </c>
      <c r="W46" s="27"/>
    </row>
    <row r="47" spans="1:30" x14ac:dyDescent="0.2">
      <c r="A47" s="16" t="s">
        <v>61</v>
      </c>
      <c r="B47" s="5">
        <v>7762</v>
      </c>
      <c r="C47" s="5">
        <v>444</v>
      </c>
      <c r="D47" s="5">
        <v>7795</v>
      </c>
      <c r="E47" s="5">
        <v>5225</v>
      </c>
      <c r="F47" s="5">
        <v>4828</v>
      </c>
      <c r="G47" s="5">
        <v>3681</v>
      </c>
      <c r="H47" s="5">
        <v>4926</v>
      </c>
      <c r="I47" s="5">
        <v>575</v>
      </c>
      <c r="J47" s="5">
        <v>4048</v>
      </c>
      <c r="K47" s="5">
        <v>357</v>
      </c>
      <c r="L47" s="5">
        <v>240</v>
      </c>
      <c r="M47" s="5">
        <v>224</v>
      </c>
      <c r="N47" s="5">
        <v>362</v>
      </c>
      <c r="O47" s="5">
        <v>671</v>
      </c>
      <c r="P47" s="5">
        <v>447</v>
      </c>
      <c r="Q47" s="5">
        <v>410</v>
      </c>
      <c r="R47" s="5">
        <v>11432</v>
      </c>
      <c r="S47" s="5">
        <v>10634</v>
      </c>
      <c r="T47" s="5">
        <v>6811</v>
      </c>
      <c r="U47" s="5">
        <v>372</v>
      </c>
      <c r="V47" s="5">
        <v>1711</v>
      </c>
      <c r="W47" s="27">
        <f t="shared" si="5"/>
        <v>-0.85033240027991608</v>
      </c>
    </row>
    <row r="48" spans="1:30" x14ac:dyDescent="0.2">
      <c r="A48" s="16" t="s">
        <v>62</v>
      </c>
      <c r="B48" s="5">
        <v>44612</v>
      </c>
      <c r="C48" s="5">
        <v>43128</v>
      </c>
      <c r="D48" s="5">
        <v>49729</v>
      </c>
      <c r="E48" s="5">
        <v>47060</v>
      </c>
      <c r="F48" s="5">
        <v>45110</v>
      </c>
      <c r="G48" s="5">
        <v>45871</v>
      </c>
      <c r="H48" s="5">
        <v>49750</v>
      </c>
      <c r="I48" s="24">
        <v>46973</v>
      </c>
      <c r="J48" s="5">
        <v>44096</v>
      </c>
      <c r="K48" s="5">
        <v>46326</v>
      </c>
      <c r="L48" s="5">
        <v>54152</v>
      </c>
      <c r="M48" s="5">
        <v>49141</v>
      </c>
      <c r="N48" s="5">
        <v>48151</v>
      </c>
      <c r="O48" s="5">
        <v>49601</v>
      </c>
      <c r="P48" s="5">
        <v>57156</v>
      </c>
      <c r="Q48" s="5">
        <v>55261</v>
      </c>
      <c r="R48" s="5">
        <v>52926</v>
      </c>
      <c r="S48" s="5">
        <v>54191</v>
      </c>
      <c r="T48" s="5">
        <v>57263</v>
      </c>
      <c r="U48" s="5">
        <v>53742</v>
      </c>
      <c r="V48" s="5">
        <v>54268</v>
      </c>
      <c r="W48" s="27">
        <f t="shared" si="5"/>
        <v>2.5356157654083059E-2</v>
      </c>
    </row>
    <row r="49" spans="1:30" x14ac:dyDescent="0.2">
      <c r="A49" s="16" t="s">
        <v>63</v>
      </c>
      <c r="B49" s="5">
        <v>4607</v>
      </c>
      <c r="C49" s="5">
        <v>3057</v>
      </c>
      <c r="D49" s="5">
        <v>1516</v>
      </c>
      <c r="E49" s="5">
        <v>0</v>
      </c>
      <c r="F49" s="5">
        <v>4551</v>
      </c>
      <c r="G49" s="5">
        <v>3023</v>
      </c>
      <c r="H49" s="5">
        <v>1507</v>
      </c>
      <c r="I49" s="5">
        <v>0</v>
      </c>
      <c r="J49" s="5">
        <v>4588</v>
      </c>
      <c r="K49" s="5">
        <v>3060</v>
      </c>
      <c r="L49" s="5">
        <v>1529</v>
      </c>
      <c r="M49" s="5">
        <v>0</v>
      </c>
      <c r="N49" s="5">
        <v>4651</v>
      </c>
      <c r="O49" s="5">
        <v>3109</v>
      </c>
      <c r="P49" s="5">
        <v>1528</v>
      </c>
      <c r="Q49" s="5">
        <v>0</v>
      </c>
      <c r="R49" s="5">
        <v>4631</v>
      </c>
      <c r="S49" s="5">
        <v>3049</v>
      </c>
      <c r="T49" s="5">
        <v>1527</v>
      </c>
      <c r="U49" s="5">
        <v>0</v>
      </c>
      <c r="V49" s="5">
        <v>4602</v>
      </c>
      <c r="W49" s="27">
        <f t="shared" si="5"/>
        <v>-6.2621464046642194E-3</v>
      </c>
    </row>
    <row r="50" spans="1:30" x14ac:dyDescent="0.2">
      <c r="A50" s="16" t="s">
        <v>64</v>
      </c>
      <c r="B50" s="5">
        <v>20782</v>
      </c>
      <c r="C50" s="5">
        <v>22846</v>
      </c>
      <c r="D50" s="5">
        <v>22795</v>
      </c>
      <c r="E50" s="5">
        <v>22159</v>
      </c>
      <c r="F50" s="5">
        <v>21023</v>
      </c>
      <c r="G50" s="5">
        <v>20691</v>
      </c>
      <c r="H50" s="5">
        <v>20973</v>
      </c>
      <c r="I50" s="5">
        <v>22296</v>
      </c>
      <c r="J50" s="5">
        <v>20377</v>
      </c>
      <c r="K50" s="5">
        <v>23768</v>
      </c>
      <c r="L50" s="5">
        <v>24995</v>
      </c>
      <c r="M50" s="5">
        <v>37966</v>
      </c>
      <c r="N50" s="5">
        <v>21371</v>
      </c>
      <c r="O50" s="5">
        <v>23915</v>
      </c>
      <c r="P50" s="5">
        <v>24474</v>
      </c>
      <c r="Q50" s="5">
        <v>26060</v>
      </c>
      <c r="R50" s="5">
        <v>21061</v>
      </c>
      <c r="S50" s="5">
        <v>23843</v>
      </c>
      <c r="T50" s="5">
        <v>27443</v>
      </c>
      <c r="U50" s="5">
        <v>31126</v>
      </c>
      <c r="V50" s="5">
        <v>27527</v>
      </c>
      <c r="W50" s="27">
        <f t="shared" si="5"/>
        <v>0.30701296234746689</v>
      </c>
    </row>
    <row r="51" spans="1:30" x14ac:dyDescent="0.2">
      <c r="A51" s="16" t="s">
        <v>65</v>
      </c>
      <c r="B51" s="5">
        <v>718</v>
      </c>
      <c r="C51" s="5">
        <v>424</v>
      </c>
      <c r="D51" s="5">
        <v>616</v>
      </c>
      <c r="E51" s="5">
        <v>428</v>
      </c>
      <c r="F51" s="5">
        <v>729</v>
      </c>
      <c r="G51" s="5">
        <v>387</v>
      </c>
      <c r="H51" s="5">
        <v>327</v>
      </c>
      <c r="I51" s="5">
        <v>280</v>
      </c>
      <c r="J51" s="5">
        <v>1303</v>
      </c>
      <c r="K51" s="5">
        <v>610</v>
      </c>
      <c r="L51" s="5">
        <v>548</v>
      </c>
      <c r="M51" s="5">
        <v>242</v>
      </c>
      <c r="N51" s="5">
        <v>851</v>
      </c>
      <c r="O51" s="5">
        <v>267</v>
      </c>
      <c r="P51" s="5">
        <v>446</v>
      </c>
      <c r="Q51" s="5">
        <v>851</v>
      </c>
      <c r="R51" s="5">
        <v>904</v>
      </c>
      <c r="S51" s="5">
        <v>868</v>
      </c>
      <c r="T51" s="5">
        <v>900</v>
      </c>
      <c r="U51" s="5">
        <v>727</v>
      </c>
      <c r="V51" s="5">
        <v>1325</v>
      </c>
      <c r="W51" s="27">
        <f t="shared" si="5"/>
        <v>0.46570796460176989</v>
      </c>
    </row>
    <row r="52" spans="1:30" x14ac:dyDescent="0.2">
      <c r="A52" s="16" t="s">
        <v>67</v>
      </c>
      <c r="B52" s="5">
        <v>1576</v>
      </c>
      <c r="C52" s="5">
        <v>1090</v>
      </c>
      <c r="D52" s="5">
        <v>2591</v>
      </c>
      <c r="E52" s="5">
        <v>1876</v>
      </c>
      <c r="F52" s="5">
        <v>1464</v>
      </c>
      <c r="G52" s="5">
        <v>4396</v>
      </c>
      <c r="H52" s="5">
        <v>4093</v>
      </c>
      <c r="I52" s="5">
        <v>5362</v>
      </c>
      <c r="J52" s="5">
        <v>5983</v>
      </c>
      <c r="K52" s="5">
        <v>5553</v>
      </c>
      <c r="L52" s="5">
        <v>4358</v>
      </c>
      <c r="M52" s="5">
        <v>3115</v>
      </c>
      <c r="N52" s="5">
        <v>3500</v>
      </c>
      <c r="O52" s="5">
        <v>1617</v>
      </c>
      <c r="P52" s="5">
        <v>1575</v>
      </c>
      <c r="Q52" s="5">
        <v>2803</v>
      </c>
      <c r="R52" s="5">
        <v>3580</v>
      </c>
      <c r="S52" s="5">
        <v>5316</v>
      </c>
      <c r="T52" s="5">
        <v>5458</v>
      </c>
      <c r="U52" s="5">
        <v>4191</v>
      </c>
      <c r="V52" s="5">
        <v>3975</v>
      </c>
      <c r="W52" s="27">
        <f t="shared" si="5"/>
        <v>0.11033519553072625</v>
      </c>
    </row>
    <row r="53" spans="1:30" x14ac:dyDescent="0.2">
      <c r="A53" s="23" t="s">
        <v>80</v>
      </c>
      <c r="B53" s="5">
        <v>0</v>
      </c>
      <c r="C53" s="5">
        <v>0</v>
      </c>
      <c r="D53" s="5">
        <v>0</v>
      </c>
      <c r="E53" s="5">
        <v>0</v>
      </c>
      <c r="F53" s="5">
        <v>1748</v>
      </c>
      <c r="G53" s="5">
        <v>1795</v>
      </c>
      <c r="H53" s="5">
        <v>1740</v>
      </c>
      <c r="I53" s="5">
        <v>1793</v>
      </c>
      <c r="J53" s="5">
        <v>1729</v>
      </c>
      <c r="K53" s="5">
        <v>1734</v>
      </c>
      <c r="L53" s="5">
        <v>1725</v>
      </c>
      <c r="M53" s="5">
        <v>1466</v>
      </c>
      <c r="N53" s="5">
        <v>1448</v>
      </c>
      <c r="O53" s="5">
        <v>1441</v>
      </c>
      <c r="P53" s="5">
        <v>1486</v>
      </c>
      <c r="Q53" s="5">
        <v>1483</v>
      </c>
      <c r="R53" s="5">
        <v>1485</v>
      </c>
      <c r="S53" s="5">
        <v>1464</v>
      </c>
      <c r="T53" s="5">
        <v>1457</v>
      </c>
      <c r="U53" s="5">
        <v>1473</v>
      </c>
      <c r="V53" s="5">
        <v>1490</v>
      </c>
      <c r="W53" s="27">
        <f t="shared" si="5"/>
        <v>3.3670033670033669E-3</v>
      </c>
    </row>
    <row r="54" spans="1:30" x14ac:dyDescent="0.2">
      <c r="A54" s="23" t="s">
        <v>81</v>
      </c>
      <c r="B54" s="5">
        <v>0</v>
      </c>
      <c r="C54" s="5">
        <v>0</v>
      </c>
      <c r="D54" s="5">
        <v>0</v>
      </c>
      <c r="E54" s="5">
        <v>0</v>
      </c>
      <c r="F54" s="5">
        <v>435</v>
      </c>
      <c r="G54" s="5">
        <v>439</v>
      </c>
      <c r="H54" s="5">
        <v>468</v>
      </c>
      <c r="I54" s="5">
        <v>511</v>
      </c>
      <c r="J54" s="5">
        <v>523</v>
      </c>
      <c r="K54" s="5">
        <v>549</v>
      </c>
      <c r="L54" s="5">
        <v>574</v>
      </c>
      <c r="M54" s="5">
        <v>491</v>
      </c>
      <c r="N54" s="5">
        <v>507</v>
      </c>
      <c r="O54" s="24">
        <v>501</v>
      </c>
      <c r="P54" s="5">
        <v>508</v>
      </c>
      <c r="Q54" s="5">
        <v>511</v>
      </c>
      <c r="R54" s="5">
        <v>511</v>
      </c>
      <c r="S54" s="5">
        <v>534</v>
      </c>
      <c r="T54" s="5">
        <v>549</v>
      </c>
      <c r="U54" s="5">
        <v>567</v>
      </c>
      <c r="V54" s="5">
        <v>607</v>
      </c>
      <c r="W54" s="27">
        <f t="shared" si="5"/>
        <v>0.18786692759295498</v>
      </c>
    </row>
    <row r="55" spans="1:30" hidden="1" x14ac:dyDescent="0.2">
      <c r="A55" s="16" t="s">
        <v>66</v>
      </c>
      <c r="B55" s="5">
        <v>700</v>
      </c>
      <c r="C55" s="5">
        <v>694</v>
      </c>
      <c r="D55" s="5">
        <v>709</v>
      </c>
      <c r="E55" s="5">
        <v>729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W55" s="27" t="e">
        <f t="shared" si="5"/>
        <v>#DIV/0!</v>
      </c>
    </row>
    <row r="56" spans="1:30" s="10" customFormat="1" x14ac:dyDescent="0.2">
      <c r="A56" s="17" t="s">
        <v>68</v>
      </c>
      <c r="B56" s="10">
        <f>SUM(B47:B55)</f>
        <v>80757</v>
      </c>
      <c r="C56" s="10">
        <f t="shared" ref="C56:AD56" si="13">SUM(C47:C55)</f>
        <v>71683</v>
      </c>
      <c r="D56" s="10">
        <f t="shared" si="13"/>
        <v>85751</v>
      </c>
      <c r="E56" s="10">
        <f t="shared" si="13"/>
        <v>77477</v>
      </c>
      <c r="F56" s="10">
        <f t="shared" si="13"/>
        <v>79888</v>
      </c>
      <c r="G56" s="10">
        <f t="shared" si="13"/>
        <v>80283</v>
      </c>
      <c r="H56" s="10">
        <f t="shared" si="13"/>
        <v>83784</v>
      </c>
      <c r="I56" s="10">
        <f t="shared" si="13"/>
        <v>77790</v>
      </c>
      <c r="J56" s="10">
        <f t="shared" si="13"/>
        <v>82647</v>
      </c>
      <c r="K56" s="10">
        <f t="shared" si="13"/>
        <v>81957</v>
      </c>
      <c r="L56" s="10">
        <f t="shared" si="13"/>
        <v>88121</v>
      </c>
      <c r="M56" s="10">
        <f t="shared" si="13"/>
        <v>92645</v>
      </c>
      <c r="N56" s="10">
        <f t="shared" si="13"/>
        <v>80841</v>
      </c>
      <c r="O56" s="10">
        <f t="shared" si="13"/>
        <v>81122</v>
      </c>
      <c r="P56" s="10">
        <f t="shared" si="13"/>
        <v>87620</v>
      </c>
      <c r="Q56" s="10">
        <f t="shared" si="13"/>
        <v>87379</v>
      </c>
      <c r="R56" s="10">
        <f t="shared" si="13"/>
        <v>96530</v>
      </c>
      <c r="S56" s="10">
        <f t="shared" si="13"/>
        <v>99899</v>
      </c>
      <c r="T56" s="10">
        <f t="shared" si="13"/>
        <v>101408</v>
      </c>
      <c r="U56" s="10">
        <f>SUM(U47:U55)</f>
        <v>92198</v>
      </c>
      <c r="V56" s="10">
        <f t="shared" si="13"/>
        <v>95505</v>
      </c>
      <c r="W56" s="27">
        <f t="shared" si="5"/>
        <v>-1.0618460582202425E-2</v>
      </c>
      <c r="X56" s="10">
        <f t="shared" si="13"/>
        <v>0</v>
      </c>
      <c r="Y56" s="10">
        <f t="shared" si="13"/>
        <v>0</v>
      </c>
      <c r="Z56" s="10">
        <f t="shared" si="13"/>
        <v>0</v>
      </c>
      <c r="AA56" s="10">
        <f t="shared" si="13"/>
        <v>0</v>
      </c>
      <c r="AB56" s="10">
        <f t="shared" si="13"/>
        <v>0</v>
      </c>
      <c r="AC56" s="10">
        <f t="shared" si="13"/>
        <v>0</v>
      </c>
      <c r="AD56" s="10">
        <f t="shared" si="13"/>
        <v>0</v>
      </c>
    </row>
    <row r="57" spans="1:30" x14ac:dyDescent="0.2">
      <c r="A57" s="12" t="s">
        <v>69</v>
      </c>
      <c r="B57" s="5">
        <v>29477</v>
      </c>
      <c r="C57" s="5">
        <v>44958</v>
      </c>
      <c r="D57" s="5">
        <v>43275</v>
      </c>
      <c r="E57" s="5">
        <v>43520</v>
      </c>
      <c r="F57" s="5">
        <v>47425</v>
      </c>
      <c r="G57" s="5">
        <v>44404</v>
      </c>
      <c r="H57" s="5">
        <v>44912</v>
      </c>
      <c r="I57" s="5">
        <v>43714</v>
      </c>
      <c r="J57" s="5">
        <v>43006</v>
      </c>
      <c r="K57" s="5">
        <v>40959</v>
      </c>
      <c r="L57" s="5">
        <v>40849</v>
      </c>
      <c r="M57" s="5">
        <v>41194</v>
      </c>
      <c r="N57" s="5">
        <v>40273</v>
      </c>
      <c r="O57" s="5">
        <v>39581</v>
      </c>
      <c r="P57" s="5">
        <v>36425</v>
      </c>
      <c r="Q57" s="5">
        <v>34864</v>
      </c>
      <c r="R57" s="5">
        <v>32174</v>
      </c>
      <c r="S57" s="5">
        <v>29801</v>
      </c>
      <c r="T57" s="5">
        <v>33935</v>
      </c>
      <c r="U57" s="5">
        <v>34649</v>
      </c>
      <c r="V57" s="5">
        <v>38120</v>
      </c>
      <c r="W57" s="27">
        <f t="shared" si="5"/>
        <v>0.18480760862808479</v>
      </c>
    </row>
    <row r="58" spans="1:30" x14ac:dyDescent="0.2">
      <c r="A58" s="22" t="s">
        <v>82</v>
      </c>
      <c r="B58" s="5">
        <v>0</v>
      </c>
      <c r="C58" s="5">
        <v>0</v>
      </c>
      <c r="D58" s="5">
        <v>0</v>
      </c>
      <c r="E58" s="5">
        <v>0</v>
      </c>
      <c r="F58" s="5">
        <v>15719</v>
      </c>
      <c r="G58" s="5">
        <v>16079</v>
      </c>
      <c r="H58" s="5">
        <v>15741</v>
      </c>
      <c r="I58" s="5">
        <v>16171</v>
      </c>
      <c r="J58" s="5">
        <v>15669</v>
      </c>
      <c r="K58" s="5">
        <v>15669</v>
      </c>
      <c r="L58" s="5">
        <v>15982</v>
      </c>
      <c r="M58" s="5">
        <v>12909</v>
      </c>
      <c r="N58" s="5">
        <v>12930</v>
      </c>
      <c r="O58" s="5">
        <v>13116</v>
      </c>
      <c r="P58" s="5">
        <v>13095</v>
      </c>
      <c r="Q58" s="5">
        <v>13009</v>
      </c>
      <c r="R58" s="5">
        <v>13226</v>
      </c>
      <c r="S58" s="5">
        <v>13140</v>
      </c>
      <c r="T58" s="5">
        <v>12658</v>
      </c>
      <c r="U58" s="5">
        <v>12828</v>
      </c>
      <c r="V58" s="5">
        <v>12925</v>
      </c>
      <c r="W58" s="27">
        <f t="shared" si="5"/>
        <v>-2.2758203538484803E-2</v>
      </c>
    </row>
    <row r="59" spans="1:30" x14ac:dyDescent="0.2">
      <c r="A59" s="22" t="s">
        <v>83</v>
      </c>
      <c r="B59" s="5">
        <v>0</v>
      </c>
      <c r="C59" s="5">
        <v>0</v>
      </c>
      <c r="D59" s="5">
        <v>0</v>
      </c>
      <c r="E59" s="5">
        <v>0</v>
      </c>
      <c r="F59" s="5">
        <v>3810</v>
      </c>
      <c r="G59" s="5">
        <v>3915</v>
      </c>
      <c r="H59" s="5">
        <v>4068</v>
      </c>
      <c r="I59" s="5">
        <v>4307</v>
      </c>
      <c r="J59" s="5">
        <v>4474</v>
      </c>
      <c r="K59" s="5">
        <v>4673</v>
      </c>
      <c r="L59" s="5">
        <v>4750</v>
      </c>
      <c r="M59" s="5">
        <v>3847</v>
      </c>
      <c r="N59" s="5">
        <v>3802</v>
      </c>
      <c r="O59" s="5">
        <v>3952</v>
      </c>
      <c r="P59" s="5">
        <v>4061</v>
      </c>
      <c r="Q59" s="5">
        <v>4243</v>
      </c>
      <c r="R59" s="5">
        <v>4409</v>
      </c>
      <c r="S59" s="5">
        <v>4420</v>
      </c>
      <c r="T59" s="5">
        <v>4512</v>
      </c>
      <c r="U59" s="5">
        <v>4843</v>
      </c>
      <c r="V59" s="5">
        <v>5039</v>
      </c>
      <c r="W59" s="27">
        <f t="shared" si="5"/>
        <v>0.14288954411431162</v>
      </c>
    </row>
    <row r="60" spans="1:30" hidden="1" x14ac:dyDescent="0.2">
      <c r="A60" s="12" t="s">
        <v>70</v>
      </c>
      <c r="B60" s="5">
        <v>6828</v>
      </c>
      <c r="C60" s="5">
        <v>6610</v>
      </c>
      <c r="D60" s="5">
        <v>6621</v>
      </c>
      <c r="E60" s="5">
        <v>6683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W60" s="27" t="e">
        <f t="shared" si="5"/>
        <v>#DIV/0!</v>
      </c>
    </row>
    <row r="61" spans="1:30" x14ac:dyDescent="0.2">
      <c r="A61" s="12" t="s">
        <v>71</v>
      </c>
      <c r="B61" s="5">
        <v>9541</v>
      </c>
      <c r="C61" s="5">
        <v>8999</v>
      </c>
      <c r="D61" s="5">
        <v>11467</v>
      </c>
      <c r="E61" s="5">
        <v>11981</v>
      </c>
      <c r="F61" s="5">
        <v>12792</v>
      </c>
      <c r="G61" s="5">
        <v>13049</v>
      </c>
      <c r="H61" s="5">
        <v>13018</v>
      </c>
      <c r="I61" s="5">
        <v>12961</v>
      </c>
      <c r="J61" s="5">
        <v>12986</v>
      </c>
      <c r="K61" s="5">
        <v>12927</v>
      </c>
      <c r="L61" s="5">
        <v>13657</v>
      </c>
      <c r="M61" s="5">
        <v>14370</v>
      </c>
      <c r="N61" s="5">
        <v>14143</v>
      </c>
      <c r="O61" s="5">
        <v>13654</v>
      </c>
      <c r="P61" s="5">
        <v>12893</v>
      </c>
      <c r="Q61" s="5">
        <v>13474</v>
      </c>
      <c r="R61" s="5">
        <v>13943</v>
      </c>
      <c r="S61" s="5">
        <v>14092</v>
      </c>
      <c r="T61" s="5">
        <v>14760</v>
      </c>
      <c r="U61" s="5">
        <v>14688</v>
      </c>
      <c r="V61" s="5">
        <v>13999</v>
      </c>
      <c r="W61" s="27">
        <f t="shared" si="5"/>
        <v>4.0163522914724234E-3</v>
      </c>
    </row>
    <row r="62" spans="1:30" s="10" customFormat="1" x14ac:dyDescent="0.2">
      <c r="A62" s="17" t="s">
        <v>72</v>
      </c>
      <c r="B62" s="10">
        <f t="shared" ref="B62:V62" si="14">SUM(B56:B61)</f>
        <v>126603</v>
      </c>
      <c r="C62" s="10">
        <f t="shared" si="14"/>
        <v>132250</v>
      </c>
      <c r="D62" s="10">
        <f t="shared" si="14"/>
        <v>147114</v>
      </c>
      <c r="E62" s="10">
        <f t="shared" si="14"/>
        <v>139661</v>
      </c>
      <c r="F62" s="10">
        <f t="shared" si="14"/>
        <v>159634</v>
      </c>
      <c r="G62" s="10">
        <f t="shared" si="14"/>
        <v>157730</v>
      </c>
      <c r="H62" s="10">
        <f t="shared" si="14"/>
        <v>161523</v>
      </c>
      <c r="I62" s="10">
        <f t="shared" si="14"/>
        <v>154943</v>
      </c>
      <c r="J62" s="10">
        <f t="shared" si="14"/>
        <v>158782</v>
      </c>
      <c r="K62" s="10">
        <f t="shared" si="14"/>
        <v>156185</v>
      </c>
      <c r="L62" s="10">
        <f t="shared" si="14"/>
        <v>163359</v>
      </c>
      <c r="M62" s="10">
        <f t="shared" si="14"/>
        <v>164965</v>
      </c>
      <c r="N62" s="10">
        <f t="shared" si="14"/>
        <v>151989</v>
      </c>
      <c r="O62" s="10">
        <f t="shared" si="14"/>
        <v>151425</v>
      </c>
      <c r="P62" s="10">
        <f t="shared" si="14"/>
        <v>154094</v>
      </c>
      <c r="Q62" s="10">
        <f t="shared" si="14"/>
        <v>152969</v>
      </c>
      <c r="R62" s="10">
        <f t="shared" si="14"/>
        <v>160282</v>
      </c>
      <c r="S62" s="10">
        <f t="shared" si="14"/>
        <v>161352</v>
      </c>
      <c r="T62" s="10">
        <f t="shared" si="14"/>
        <v>167273</v>
      </c>
      <c r="U62" s="10">
        <f t="shared" si="14"/>
        <v>159206</v>
      </c>
      <c r="V62" s="10">
        <f t="shared" si="14"/>
        <v>165588</v>
      </c>
      <c r="W62" s="27">
        <f t="shared" si="5"/>
        <v>3.3104153928700662E-2</v>
      </c>
      <c r="X62" s="10">
        <f t="shared" ref="X62:AD62" si="15">SUM(X56:X61)</f>
        <v>0</v>
      </c>
      <c r="Y62" s="10">
        <f t="shared" si="15"/>
        <v>0</v>
      </c>
      <c r="Z62" s="10">
        <f t="shared" si="15"/>
        <v>0</v>
      </c>
      <c r="AA62" s="10">
        <f t="shared" si="15"/>
        <v>0</v>
      </c>
      <c r="AB62" s="10">
        <f t="shared" si="15"/>
        <v>0</v>
      </c>
      <c r="AC62" s="10">
        <f t="shared" si="15"/>
        <v>0</v>
      </c>
      <c r="AD62" s="10">
        <f t="shared" si="15"/>
        <v>0</v>
      </c>
    </row>
    <row r="63" spans="1:30" x14ac:dyDescent="0.2">
      <c r="W63" s="27"/>
    </row>
    <row r="64" spans="1:30" s="10" customFormat="1" x14ac:dyDescent="0.2">
      <c r="A64" s="14" t="s">
        <v>73</v>
      </c>
      <c r="B64" s="10">
        <f t="shared" ref="B64:V64" si="16">B43-B62</f>
        <v>78324</v>
      </c>
      <c r="C64" s="10">
        <f t="shared" si="16"/>
        <v>73812</v>
      </c>
      <c r="D64" s="10">
        <f t="shared" si="16"/>
        <v>79469</v>
      </c>
      <c r="E64" s="10">
        <f t="shared" si="16"/>
        <v>79634</v>
      </c>
      <c r="F64" s="10">
        <f t="shared" si="16"/>
        <v>74910</v>
      </c>
      <c r="G64" s="10">
        <f t="shared" si="16"/>
        <v>77131</v>
      </c>
      <c r="H64" s="10">
        <f t="shared" si="16"/>
        <v>78307</v>
      </c>
      <c r="I64" s="10">
        <f t="shared" si="16"/>
        <v>81552</v>
      </c>
      <c r="J64" s="10">
        <f t="shared" si="16"/>
        <v>74110</v>
      </c>
      <c r="K64" s="10">
        <f t="shared" si="16"/>
        <v>81197</v>
      </c>
      <c r="L64" s="10">
        <f t="shared" si="16"/>
        <v>87504</v>
      </c>
      <c r="M64" s="10">
        <f t="shared" si="16"/>
        <v>87531</v>
      </c>
      <c r="N64" s="10">
        <f t="shared" si="16"/>
        <v>84592</v>
      </c>
      <c r="O64" s="10">
        <f t="shared" si="16"/>
        <v>87127</v>
      </c>
      <c r="P64" s="10">
        <f t="shared" si="16"/>
        <v>90757</v>
      </c>
      <c r="Q64" s="10">
        <f t="shared" si="16"/>
        <v>91891</v>
      </c>
      <c r="R64" s="10">
        <f t="shared" si="16"/>
        <v>85860</v>
      </c>
      <c r="S64" s="10">
        <f t="shared" si="16"/>
        <v>85847</v>
      </c>
      <c r="T64" s="10">
        <f t="shared" si="16"/>
        <v>80383</v>
      </c>
      <c r="U64" s="10">
        <f t="shared" si="16"/>
        <v>83991</v>
      </c>
      <c r="V64" s="10">
        <f t="shared" si="16"/>
        <v>79465</v>
      </c>
      <c r="W64" s="27">
        <f t="shared" si="5"/>
        <v>-7.4481714418821343E-2</v>
      </c>
      <c r="X64" s="10">
        <f t="shared" ref="X64:AD64" si="17">X43-X62</f>
        <v>0</v>
      </c>
      <c r="Y64" s="10">
        <f t="shared" si="17"/>
        <v>0</v>
      </c>
      <c r="Z64" s="10">
        <f t="shared" si="17"/>
        <v>0</v>
      </c>
      <c r="AA64" s="10">
        <f t="shared" si="17"/>
        <v>0</v>
      </c>
      <c r="AB64" s="10">
        <f t="shared" si="17"/>
        <v>0</v>
      </c>
      <c r="AC64" s="10">
        <f t="shared" si="17"/>
        <v>0</v>
      </c>
      <c r="AD64" s="10">
        <f t="shared" si="17"/>
        <v>0</v>
      </c>
    </row>
    <row r="65" spans="1:30" x14ac:dyDescent="0.2">
      <c r="A65" s="9" t="s">
        <v>74</v>
      </c>
      <c r="B65" s="5">
        <f>B7-B8+B9</f>
        <v>221352.06000000003</v>
      </c>
      <c r="C65" s="5">
        <f t="shared" ref="C65:AD65" si="18">C7-C8+C9</f>
        <v>271664.26</v>
      </c>
      <c r="D65" s="5">
        <f t="shared" si="18"/>
        <v>316411.86</v>
      </c>
      <c r="E65" s="5">
        <f t="shared" si="18"/>
        <v>304562.25</v>
      </c>
      <c r="F65" s="5">
        <f t="shared" si="18"/>
        <v>321113.96000000002</v>
      </c>
      <c r="G65" s="5">
        <f t="shared" si="18"/>
        <v>339938.67000000004</v>
      </c>
      <c r="H65" s="5">
        <f t="shared" si="18"/>
        <v>361179.4</v>
      </c>
      <c r="I65" s="5">
        <f t="shared" si="18"/>
        <v>350761.72000000003</v>
      </c>
      <c r="J65" s="5">
        <f t="shared" si="18"/>
        <v>367109.52</v>
      </c>
      <c r="K65" s="5">
        <f t="shared" si="18"/>
        <v>381605.56</v>
      </c>
      <c r="L65" s="5">
        <f t="shared" si="18"/>
        <v>409811.07999999996</v>
      </c>
      <c r="M65" s="5">
        <f t="shared" si="18"/>
        <v>411421.7</v>
      </c>
      <c r="N65" s="5">
        <f t="shared" si="18"/>
        <v>403543.48000000004</v>
      </c>
      <c r="O65" s="5">
        <f t="shared" si="18"/>
        <v>407684.52</v>
      </c>
      <c r="P65" s="5">
        <f t="shared" si="18"/>
        <v>429299.5</v>
      </c>
      <c r="Q65" s="5">
        <f t="shared" si="18"/>
        <v>406451.95</v>
      </c>
      <c r="R65" s="5">
        <f t="shared" si="18"/>
        <v>450201.95</v>
      </c>
      <c r="S65" s="5">
        <f t="shared" si="18"/>
        <v>388623.1</v>
      </c>
      <c r="T65" s="5">
        <f t="shared" si="18"/>
        <v>416027.58999999997</v>
      </c>
      <c r="U65" s="5">
        <f t="shared" si="18"/>
        <v>420892.83999999997</v>
      </c>
      <c r="V65" s="5">
        <f t="shared" si="18"/>
        <v>439912.60000000003</v>
      </c>
      <c r="W65" s="27">
        <f t="shared" si="5"/>
        <v>-2.2854965421629063E-2</v>
      </c>
      <c r="X65" s="5">
        <f t="shared" si="18"/>
        <v>0</v>
      </c>
      <c r="Y65" s="5">
        <f t="shared" si="18"/>
        <v>0</v>
      </c>
      <c r="Z65" s="5">
        <f t="shared" si="18"/>
        <v>0</v>
      </c>
      <c r="AA65" s="5">
        <f t="shared" si="18"/>
        <v>0</v>
      </c>
      <c r="AB65" s="5">
        <f t="shared" si="18"/>
        <v>0</v>
      </c>
      <c r="AC65" s="5">
        <f t="shared" si="18"/>
        <v>0</v>
      </c>
      <c r="AD65" s="5">
        <f t="shared" si="18"/>
        <v>0</v>
      </c>
    </row>
    <row r="66" spans="1:30" x14ac:dyDescent="0.2">
      <c r="A66" s="9" t="s">
        <v>75</v>
      </c>
      <c r="B66" s="20">
        <f>(B27-B28)/B6</f>
        <v>0.71924502864846651</v>
      </c>
      <c r="C66" s="20">
        <f t="shared" ref="C66:AD66" si="19">(C27-C28)/C6</f>
        <v>-0.29226069246435843</v>
      </c>
      <c r="D66" s="20">
        <f t="shared" si="19"/>
        <v>0.58143488609316563</v>
      </c>
      <c r="E66" s="20">
        <f t="shared" si="19"/>
        <v>1.2519524617996605</v>
      </c>
      <c r="F66" s="20">
        <f t="shared" si="19"/>
        <v>1.3312543312543312</v>
      </c>
      <c r="G66" s="20">
        <f t="shared" si="19"/>
        <v>1.2582781456953642</v>
      </c>
      <c r="H66" s="20">
        <f t="shared" si="19"/>
        <v>1.1492485145054177</v>
      </c>
      <c r="I66" s="20">
        <f t="shared" si="19"/>
        <v>1.4438633193863319</v>
      </c>
      <c r="J66" s="20">
        <f t="shared" si="19"/>
        <v>1.4004914004914004</v>
      </c>
      <c r="K66" s="20">
        <f t="shared" si="19"/>
        <v>2.273876404494382</v>
      </c>
      <c r="L66" s="20">
        <f t="shared" si="19"/>
        <v>1.8023868023868024</v>
      </c>
      <c r="M66" s="20">
        <f t="shared" si="19"/>
        <v>-0.59676852827537763</v>
      </c>
      <c r="N66" s="20">
        <f t="shared" si="19"/>
        <v>0.96500530222693526</v>
      </c>
      <c r="O66" s="20">
        <f t="shared" si="19"/>
        <v>1.5206258890469417</v>
      </c>
      <c r="P66" s="20">
        <f t="shared" si="19"/>
        <v>1.1101179835538078</v>
      </c>
      <c r="Q66" s="20">
        <f t="shared" si="19"/>
        <v>1.2698752228163992</v>
      </c>
      <c r="R66" s="20">
        <f t="shared" si="19"/>
        <v>0.74285714285714288</v>
      </c>
      <c r="S66" s="20">
        <f t="shared" si="19"/>
        <v>1.8757741347905281</v>
      </c>
      <c r="T66" s="20">
        <f t="shared" si="19"/>
        <v>-0.6632239026189598</v>
      </c>
      <c r="U66" s="20">
        <f t="shared" si="19"/>
        <v>2.295171909290417</v>
      </c>
      <c r="V66" s="20">
        <f t="shared" si="19"/>
        <v>0.6150147928994083</v>
      </c>
      <c r="W66" s="27">
        <f t="shared" si="5"/>
        <v>-0.17209547109695039</v>
      </c>
      <c r="X66" s="20" t="e">
        <f t="shared" si="19"/>
        <v>#DIV/0!</v>
      </c>
      <c r="Y66" s="20" t="e">
        <f t="shared" si="19"/>
        <v>#DIV/0!</v>
      </c>
      <c r="Z66" s="20" t="e">
        <f t="shared" si="19"/>
        <v>#DIV/0!</v>
      </c>
      <c r="AA66" s="20" t="e">
        <f t="shared" si="19"/>
        <v>#DIV/0!</v>
      </c>
      <c r="AB66" s="20" t="e">
        <f t="shared" si="19"/>
        <v>#DIV/0!</v>
      </c>
      <c r="AC66" s="20" t="e">
        <f t="shared" si="19"/>
        <v>#DIV/0!</v>
      </c>
      <c r="AD66" s="20" t="e">
        <f t="shared" si="19"/>
        <v>#DIV/0!</v>
      </c>
    </row>
    <row r="67" spans="1:30" x14ac:dyDescent="0.2">
      <c r="A67" s="21" t="s">
        <v>85</v>
      </c>
      <c r="B67" s="25">
        <f>B27/B14</f>
        <v>1.8550819137664033E-2</v>
      </c>
      <c r="C67" s="25">
        <f t="shared" ref="C67:AD67" si="20">C27/C14</f>
        <v>-5.6784453400818575E-3</v>
      </c>
      <c r="D67" s="25">
        <f t="shared" si="20"/>
        <v>1.4548336989767322E-2</v>
      </c>
      <c r="E67" s="25">
        <f t="shared" si="20"/>
        <v>2.7472567060298429E-2</v>
      </c>
      <c r="F67" s="25">
        <f t="shared" si="20"/>
        <v>3.1519063949969742E-2</v>
      </c>
      <c r="G67" s="25">
        <f t="shared" si="20"/>
        <v>2.8225837379292362E-2</v>
      </c>
      <c r="H67" s="25">
        <f t="shared" si="20"/>
        <v>2.5947136908063849E-2</v>
      </c>
      <c r="I67" s="25">
        <f t="shared" si="20"/>
        <v>3.0309661116248211E-2</v>
      </c>
      <c r="J67" s="25">
        <f t="shared" si="20"/>
        <v>3.0262512813656016E-2</v>
      </c>
      <c r="K67" s="25">
        <f t="shared" si="20"/>
        <v>4.6746816512029735E-2</v>
      </c>
      <c r="L67" s="25">
        <f t="shared" si="20"/>
        <v>3.8609436707545207E-2</v>
      </c>
      <c r="M67" s="25">
        <f t="shared" si="20"/>
        <v>-1.3203663885217551E-2</v>
      </c>
      <c r="N67" s="25">
        <f t="shared" si="20"/>
        <v>2.0323910057118068E-2</v>
      </c>
      <c r="O67" s="25">
        <f t="shared" si="20"/>
        <v>3.0939821904599853E-2</v>
      </c>
      <c r="P67" s="25">
        <f t="shared" si="20"/>
        <v>2.2287849137164206E-2</v>
      </c>
      <c r="Q67" s="25">
        <f t="shared" si="20"/>
        <v>2.3765135310163471E-2</v>
      </c>
      <c r="R67" s="25">
        <f t="shared" si="20"/>
        <v>1.4854947057618546E-2</v>
      </c>
      <c r="S67" s="25">
        <f t="shared" si="20"/>
        <v>3.3671553523181491E-2</v>
      </c>
      <c r="T67" s="25">
        <f t="shared" si="20"/>
        <v>-1.1563152349603764E-2</v>
      </c>
      <c r="U67" s="25">
        <f t="shared" si="20"/>
        <v>3.5410367697259339E-2</v>
      </c>
      <c r="V67" s="25">
        <f t="shared" si="20"/>
        <v>1.2449031851399532E-2</v>
      </c>
      <c r="W67" s="27">
        <f t="shared" si="5"/>
        <v>-0.16196053724641921</v>
      </c>
      <c r="X67" s="25" t="e">
        <f t="shared" si="20"/>
        <v>#DIV/0!</v>
      </c>
      <c r="Y67" s="25" t="e">
        <f t="shared" si="20"/>
        <v>#DIV/0!</v>
      </c>
      <c r="Z67" s="25" t="e">
        <f t="shared" si="20"/>
        <v>#DIV/0!</v>
      </c>
      <c r="AA67" s="25" t="e">
        <f t="shared" si="20"/>
        <v>#DIV/0!</v>
      </c>
      <c r="AB67" s="25" t="e">
        <f t="shared" si="20"/>
        <v>#DIV/0!</v>
      </c>
      <c r="AC67" s="25" t="e">
        <f t="shared" si="20"/>
        <v>#DIV/0!</v>
      </c>
      <c r="AD67" s="25" t="e">
        <f t="shared" si="20"/>
        <v>#DIV/0!</v>
      </c>
    </row>
    <row r="68" spans="1:30" x14ac:dyDescent="0.2">
      <c r="A68" s="21" t="s">
        <v>86</v>
      </c>
      <c r="B68" s="26">
        <f>B17/B12</f>
        <v>0.75398339225520017</v>
      </c>
      <c r="C68" s="26">
        <f t="shared" ref="C68:AD68" si="21">C17/C12</f>
        <v>0.75217812197483058</v>
      </c>
      <c r="D68" s="26">
        <f t="shared" si="21"/>
        <v>0.7515597633518164</v>
      </c>
      <c r="E68" s="26">
        <f t="shared" si="21"/>
        <v>0.76161402031319192</v>
      </c>
      <c r="F68" s="26">
        <f t="shared" si="21"/>
        <v>0.75668773231177155</v>
      </c>
      <c r="G68" s="26">
        <f t="shared" si="21"/>
        <v>0.75681670634061893</v>
      </c>
      <c r="H68" s="26">
        <f t="shared" si="21"/>
        <v>0.75523109756577755</v>
      </c>
      <c r="I68" s="26">
        <f t="shared" si="21"/>
        <v>0.7663006372325899</v>
      </c>
      <c r="J68" s="26">
        <f t="shared" si="21"/>
        <v>0.76325632892453166</v>
      </c>
      <c r="K68" s="26">
        <f t="shared" si="21"/>
        <v>0.75051891481026722</v>
      </c>
      <c r="L68" s="26">
        <f t="shared" si="21"/>
        <v>0.75018691309288832</v>
      </c>
      <c r="M68" s="26">
        <f t="shared" si="21"/>
        <v>0.76339371460741134</v>
      </c>
      <c r="N68" s="26">
        <f t="shared" si="21"/>
        <v>0.75293637311441464</v>
      </c>
      <c r="O68" s="26">
        <f t="shared" si="21"/>
        <v>0.75200005719555874</v>
      </c>
      <c r="P68" s="26">
        <f t="shared" si="21"/>
        <v>0.75443763603841762</v>
      </c>
      <c r="Q68" s="26">
        <f t="shared" si="21"/>
        <v>0.76239564428312157</v>
      </c>
      <c r="R68" s="26">
        <f t="shared" si="21"/>
        <v>0.76162608348540151</v>
      </c>
      <c r="S68" s="26">
        <f t="shared" si="21"/>
        <v>0.76520831544249279</v>
      </c>
      <c r="T68" s="26">
        <f t="shared" si="21"/>
        <v>0.76327829456852558</v>
      </c>
      <c r="U68" s="26">
        <f t="shared" si="21"/>
        <v>0.77068138107322592</v>
      </c>
      <c r="V68" s="26">
        <f t="shared" si="21"/>
        <v>0.76344997483510368</v>
      </c>
      <c r="W68" s="27">
        <f t="shared" si="5"/>
        <v>2.3947333071309362E-3</v>
      </c>
      <c r="X68" s="26" t="e">
        <f t="shared" si="21"/>
        <v>#DIV/0!</v>
      </c>
      <c r="Y68" s="26" t="e">
        <f t="shared" si="21"/>
        <v>#DIV/0!</v>
      </c>
      <c r="Z68" s="26" t="e">
        <f t="shared" si="21"/>
        <v>#DIV/0!</v>
      </c>
      <c r="AA68" s="26" t="e">
        <f t="shared" si="21"/>
        <v>#DIV/0!</v>
      </c>
      <c r="AB68" s="26" t="e">
        <f t="shared" si="21"/>
        <v>#DIV/0!</v>
      </c>
      <c r="AC68" s="26" t="e">
        <f t="shared" si="21"/>
        <v>#DIV/0!</v>
      </c>
      <c r="AD68" s="26" t="e">
        <f t="shared" si="21"/>
        <v>#DIV/0!</v>
      </c>
    </row>
    <row r="69" spans="1:30" x14ac:dyDescent="0.2">
      <c r="A69" s="21" t="s">
        <v>90</v>
      </c>
      <c r="B69" s="26">
        <f>B36/B56</f>
        <v>0.73358346644872885</v>
      </c>
      <c r="C69" s="26">
        <f t="shared" ref="C69:AD69" si="22">C36/C56</f>
        <v>0.92588200828648359</v>
      </c>
      <c r="D69" s="26">
        <f t="shared" si="22"/>
        <v>0.80985644482280095</v>
      </c>
      <c r="E69" s="26">
        <f t="shared" si="22"/>
        <v>0.79890806303806294</v>
      </c>
      <c r="F69" s="26">
        <f t="shared" si="22"/>
        <v>0.77281944722611662</v>
      </c>
      <c r="G69" s="26">
        <f t="shared" si="22"/>
        <v>0.76443331714061502</v>
      </c>
      <c r="H69" s="26">
        <f t="shared" si="22"/>
        <v>0.81056048887615773</v>
      </c>
      <c r="I69" s="26">
        <f t="shared" si="22"/>
        <v>0.7945237177015041</v>
      </c>
      <c r="J69" s="26">
        <f t="shared" si="22"/>
        <v>0.76624680871658979</v>
      </c>
      <c r="K69" s="26">
        <f t="shared" si="22"/>
        <v>0.79305001403174835</v>
      </c>
      <c r="L69" s="26">
        <f t="shared" si="22"/>
        <v>0.83523791150804005</v>
      </c>
      <c r="M69" s="26">
        <f t="shared" si="22"/>
        <v>0.97217334988396564</v>
      </c>
      <c r="N69" s="26">
        <f t="shared" si="22"/>
        <v>0.94742766665429667</v>
      </c>
      <c r="O69" s="26">
        <f t="shared" si="22"/>
        <v>0.96451024383028028</v>
      </c>
      <c r="P69" s="26">
        <f t="shared" si="22"/>
        <v>0.9468614471581831</v>
      </c>
      <c r="Q69" s="26">
        <f t="shared" si="22"/>
        <v>0.92779729683333523</v>
      </c>
      <c r="R69" s="26">
        <f t="shared" si="22"/>
        <v>0.8621154045374495</v>
      </c>
      <c r="S69" s="26">
        <f t="shared" si="22"/>
        <v>0.84249091582498326</v>
      </c>
      <c r="T69" s="26">
        <f t="shared" si="22"/>
        <v>0.86462606500473338</v>
      </c>
      <c r="U69" s="26">
        <f t="shared" si="22"/>
        <v>0.82057094513980777</v>
      </c>
      <c r="V69" s="26">
        <f t="shared" si="22"/>
        <v>0.82206167216376103</v>
      </c>
      <c r="W69" s="27">
        <f t="shared" si="5"/>
        <v>-4.6459826796829473E-2</v>
      </c>
      <c r="X69" s="26" t="e">
        <f t="shared" si="22"/>
        <v>#DIV/0!</v>
      </c>
      <c r="Y69" s="26" t="e">
        <f t="shared" si="22"/>
        <v>#DIV/0!</v>
      </c>
      <c r="Z69" s="26" t="e">
        <f t="shared" si="22"/>
        <v>#DIV/0!</v>
      </c>
      <c r="AA69" s="26" t="e">
        <f t="shared" si="22"/>
        <v>#DIV/0!</v>
      </c>
      <c r="AB69" s="26" t="e">
        <f t="shared" si="22"/>
        <v>#DIV/0!</v>
      </c>
      <c r="AC69" s="26" t="e">
        <f t="shared" si="22"/>
        <v>#DIV/0!</v>
      </c>
      <c r="AD69" s="26" t="e">
        <f t="shared" si="22"/>
        <v>#DIV/0!</v>
      </c>
    </row>
    <row r="70" spans="1:30" x14ac:dyDescent="0.2">
      <c r="A70" s="21" t="s">
        <v>89</v>
      </c>
      <c r="B70" s="26">
        <f>(B36-B34)/B56</f>
        <v>0.19736988744009806</v>
      </c>
      <c r="C70" s="26">
        <f t="shared" ref="C70:AD70" si="23">(C36-C34)/C56</f>
        <v>0.34017828494901164</v>
      </c>
      <c r="D70" s="26">
        <f t="shared" si="23"/>
        <v>0.2223414304206365</v>
      </c>
      <c r="E70" s="26">
        <f t="shared" si="23"/>
        <v>0.2275255882390903</v>
      </c>
      <c r="F70" s="26">
        <f t="shared" si="23"/>
        <v>0.21264770678950531</v>
      </c>
      <c r="G70" s="26">
        <f t="shared" si="23"/>
        <v>0.21470298817931566</v>
      </c>
      <c r="H70" s="26">
        <f t="shared" si="23"/>
        <v>0.19533562494032272</v>
      </c>
      <c r="I70" s="26">
        <f t="shared" si="23"/>
        <v>0.22330633757552384</v>
      </c>
      <c r="J70" s="26">
        <f t="shared" si="23"/>
        <v>0.26753542173339623</v>
      </c>
      <c r="K70" s="26">
        <f t="shared" si="23"/>
        <v>0.29176275363910342</v>
      </c>
      <c r="L70" s="26">
        <f t="shared" si="23"/>
        <v>0.24693319413079742</v>
      </c>
      <c r="M70" s="26">
        <f t="shared" si="23"/>
        <v>0.48699875870257436</v>
      </c>
      <c r="N70" s="26">
        <f t="shared" si="23"/>
        <v>0.37367177546047181</v>
      </c>
      <c r="O70" s="26">
        <f t="shared" si="23"/>
        <v>0.37584132541110921</v>
      </c>
      <c r="P70" s="26">
        <f t="shared" si="23"/>
        <v>0.29080118694362017</v>
      </c>
      <c r="Q70" s="26">
        <f t="shared" si="23"/>
        <v>0.28106295563007128</v>
      </c>
      <c r="R70" s="26">
        <f t="shared" si="23"/>
        <v>0.22781518698850098</v>
      </c>
      <c r="S70" s="26">
        <f t="shared" si="23"/>
        <v>0.24267510185287139</v>
      </c>
      <c r="T70" s="26">
        <f t="shared" si="23"/>
        <v>0.22655017355632692</v>
      </c>
      <c r="U70" s="26">
        <f t="shared" si="23"/>
        <v>0.20693507451354692</v>
      </c>
      <c r="V70" s="26">
        <f t="shared" si="23"/>
        <v>0.22594628553478877</v>
      </c>
      <c r="W70" s="27">
        <f t="shared" si="5"/>
        <v>-8.2035858909026375E-3</v>
      </c>
      <c r="X70" s="26" t="e">
        <f t="shared" si="23"/>
        <v>#DIV/0!</v>
      </c>
      <c r="Y70" s="26" t="e">
        <f t="shared" si="23"/>
        <v>#DIV/0!</v>
      </c>
      <c r="Z70" s="26" t="e">
        <f t="shared" si="23"/>
        <v>#DIV/0!</v>
      </c>
      <c r="AA70" s="26" t="e">
        <f t="shared" si="23"/>
        <v>#DIV/0!</v>
      </c>
      <c r="AB70" s="26" t="e">
        <f t="shared" si="23"/>
        <v>#DIV/0!</v>
      </c>
      <c r="AC70" s="26" t="e">
        <f t="shared" si="23"/>
        <v>#DIV/0!</v>
      </c>
      <c r="AD70" s="26" t="e">
        <f t="shared" si="23"/>
        <v>#DIV/0!</v>
      </c>
    </row>
    <row r="71" spans="1:30" x14ac:dyDescent="0.2">
      <c r="A71" s="21" t="s">
        <v>91</v>
      </c>
      <c r="B71" s="28" t="s">
        <v>93</v>
      </c>
      <c r="C71" s="26">
        <f t="shared" ref="C71:U71" si="24">C17/((C34+B34)/2)</f>
        <v>2.2411359159553514</v>
      </c>
      <c r="D71" s="26">
        <f t="shared" si="24"/>
        <v>2.0162615709413738</v>
      </c>
      <c r="E71" s="26">
        <f t="shared" si="24"/>
        <v>2.2167587613181334</v>
      </c>
      <c r="F71" s="26">
        <f t="shared" si="24"/>
        <v>2.0901819815771736</v>
      </c>
      <c r="G71" s="26">
        <f t="shared" si="24"/>
        <v>2.2033638971705014</v>
      </c>
      <c r="H71" s="26">
        <f t="shared" si="24"/>
        <v>2.0045986622073579</v>
      </c>
      <c r="I71" s="26">
        <f t="shared" si="24"/>
        <v>2.2451943613840237</v>
      </c>
      <c r="J71" s="26">
        <f t="shared" si="24"/>
        <v>2.3823378321580346</v>
      </c>
      <c r="K71" s="26">
        <f t="shared" si="24"/>
        <v>2.4954496300166462</v>
      </c>
      <c r="L71" s="26">
        <f t="shared" si="24"/>
        <v>2.1595463056625701</v>
      </c>
      <c r="M71" s="26">
        <f t="shared" si="24"/>
        <v>2.3816470539616286</v>
      </c>
      <c r="N71" s="26">
        <f t="shared" si="24"/>
        <v>2.2614636710024962</v>
      </c>
      <c r="O71" s="26">
        <f t="shared" si="24"/>
        <v>2.2346792440804362</v>
      </c>
      <c r="P71" s="26">
        <f t="shared" si="24"/>
        <v>1.9959140234516048</v>
      </c>
      <c r="Q71" s="26">
        <f t="shared" si="24"/>
        <v>2.0267906487126628</v>
      </c>
      <c r="R71" s="26">
        <f t="shared" si="24"/>
        <v>1.8149651775097673</v>
      </c>
      <c r="S71" s="26">
        <f t="shared" si="24"/>
        <v>1.9123070573669005</v>
      </c>
      <c r="T71" s="26">
        <f t="shared" si="24"/>
        <v>1.8553443475330387</v>
      </c>
      <c r="U71" s="26">
        <f t="shared" si="24"/>
        <v>2.0682871324681322</v>
      </c>
      <c r="V71" s="26">
        <f>V17/((V34+U34)/2)</f>
        <v>2.031292948514642</v>
      </c>
      <c r="W71" s="27">
        <f t="shared" si="5"/>
        <v>0.11919114134282645</v>
      </c>
      <c r="X71" s="26">
        <f t="shared" ref="X71:AD71" si="25">X17/((X34+W34)/2)</f>
        <v>0</v>
      </c>
      <c r="Y71" s="26" t="e">
        <f t="shared" si="25"/>
        <v>#DIV/0!</v>
      </c>
      <c r="Z71" s="26" t="e">
        <f t="shared" si="25"/>
        <v>#DIV/0!</v>
      </c>
      <c r="AA71" s="26" t="e">
        <f t="shared" si="25"/>
        <v>#DIV/0!</v>
      </c>
      <c r="AB71" s="26" t="e">
        <f t="shared" si="25"/>
        <v>#DIV/0!</v>
      </c>
      <c r="AC71" s="26" t="e">
        <f t="shared" si="25"/>
        <v>#DIV/0!</v>
      </c>
      <c r="AD71" s="26" t="e">
        <f t="shared" si="25"/>
        <v>#DIV/0!</v>
      </c>
    </row>
    <row r="72" spans="1:30" x14ac:dyDescent="0.2">
      <c r="A72" s="21" t="s">
        <v>92</v>
      </c>
      <c r="B72" s="28" t="s">
        <v>93</v>
      </c>
      <c r="C72" s="5">
        <f t="shared" ref="C72:U72" si="26">90/C71</f>
        <v>40.158206987475275</v>
      </c>
      <c r="D72" s="5">
        <f t="shared" si="26"/>
        <v>44.637065595601186</v>
      </c>
      <c r="E72" s="5">
        <f t="shared" si="26"/>
        <v>40.599816980754383</v>
      </c>
      <c r="F72" s="5">
        <f t="shared" si="26"/>
        <v>43.058451748823011</v>
      </c>
      <c r="G72" s="5">
        <f t="shared" si="26"/>
        <v>40.846634600655612</v>
      </c>
      <c r="H72" s="5">
        <f t="shared" si="26"/>
        <v>44.896767466110532</v>
      </c>
      <c r="I72" s="5">
        <f t="shared" si="26"/>
        <v>40.085616438356169</v>
      </c>
      <c r="J72" s="5">
        <f t="shared" si="26"/>
        <v>37.778017368121851</v>
      </c>
      <c r="K72" s="5">
        <f t="shared" si="26"/>
        <v>36.065644811031369</v>
      </c>
      <c r="L72" s="5">
        <f t="shared" si="26"/>
        <v>41.675420325097917</v>
      </c>
      <c r="M72" s="5">
        <f t="shared" si="26"/>
        <v>37.788974588108729</v>
      </c>
      <c r="N72" s="5">
        <f t="shared" si="26"/>
        <v>39.797234487566818</v>
      </c>
      <c r="O72" s="5">
        <f t="shared" si="26"/>
        <v>40.274236330966026</v>
      </c>
      <c r="P72" s="5">
        <f t="shared" si="26"/>
        <v>45.092122677889606</v>
      </c>
      <c r="Q72" s="5">
        <f t="shared" si="26"/>
        <v>44.405178234448847</v>
      </c>
      <c r="R72" s="5">
        <f t="shared" si="26"/>
        <v>49.587728246932528</v>
      </c>
      <c r="S72" s="5">
        <f t="shared" si="26"/>
        <v>47.063571539563874</v>
      </c>
      <c r="T72" s="5">
        <f t="shared" si="26"/>
        <v>48.508515478363158</v>
      </c>
      <c r="U72" s="5">
        <f t="shared" si="26"/>
        <v>43.514267718042142</v>
      </c>
      <c r="V72" s="5">
        <f>90/V71</f>
        <v>44.306755490787971</v>
      </c>
      <c r="W72" s="27">
        <f t="shared" si="5"/>
        <v>-0.1064975739531128</v>
      </c>
      <c r="X72" s="5" t="e">
        <f t="shared" ref="X72:AD72" si="27">90/X71</f>
        <v>#DIV/0!</v>
      </c>
      <c r="Y72" s="5" t="e">
        <f t="shared" si="27"/>
        <v>#DIV/0!</v>
      </c>
      <c r="Z72" s="5" t="e">
        <f t="shared" si="27"/>
        <v>#DIV/0!</v>
      </c>
      <c r="AA72" s="5" t="e">
        <f t="shared" si="27"/>
        <v>#DIV/0!</v>
      </c>
      <c r="AB72" s="5" t="e">
        <f t="shared" si="27"/>
        <v>#DIV/0!</v>
      </c>
      <c r="AC72" s="5" t="e">
        <f t="shared" si="27"/>
        <v>#DIV/0!</v>
      </c>
      <c r="AD72" s="5" t="e">
        <f t="shared" si="27"/>
        <v>#DIV/0!</v>
      </c>
    </row>
  </sheetData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3" ma:contentTypeDescription="Create a new document." ma:contentTypeScope="" ma:versionID="7c958296e71377cd1f84353a875d72a5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bbb9d457094159866f35fe50818106a9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Props1.xml><?xml version="1.0" encoding="utf-8"?>
<ds:datastoreItem xmlns:ds="http://schemas.openxmlformats.org/officeDocument/2006/customXml" ds:itemID="{1C974B17-DE1B-4009-8DB7-E95764209D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B4B395-A628-4AF2-9AB1-05807B2F72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AF3359-AA7B-4C3F-BB32-4122371AAA35}">
  <ds:schemaRefs>
    <ds:schemaRef ds:uri="http://www.w3.org/XML/1998/namespace"/>
    <ds:schemaRef ds:uri="http://purl.org/dc/terms/"/>
    <ds:schemaRef ds:uri="36567613-e428-4167-ab55-a4f66cede826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2023-02-21T16:55:27Z</dcterms:created>
  <dcterms:modified xsi:type="dcterms:W3CDTF">2023-06-11T01:54:28Z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</Properties>
</file>