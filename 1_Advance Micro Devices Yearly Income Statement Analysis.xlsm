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BFD695AE-10CF-498C-B30F-840D7C34AB7C}" xr6:coauthVersionLast="47" xr6:coauthVersionMax="47" xr10:uidLastSave="{00000000-0000-0000-0000-000000000000}"/>
  <bookViews>
    <workbookView xWindow="-120" yWindow="-120" windowWidth="29040" windowHeight="15720" xr2:uid="{0B4BD398-B6A1-4805-A796-6575DC601D50}"/>
  </bookViews>
  <sheets>
    <sheet name="Statements" sheetId="1" r:id="rId1"/>
    <sheet name="Industry Study" sheetId="2" r:id="rId2"/>
    <sheet name="Geographic Billing" sheetId="3" r:id="rId3"/>
    <sheet name="Notes"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8" i="1" l="1"/>
  <c r="T48" i="1"/>
  <c r="S48" i="1"/>
  <c r="R48" i="1"/>
  <c r="Q48" i="1"/>
  <c r="P48" i="1"/>
  <c r="O48" i="1"/>
  <c r="D13" i="4"/>
  <c r="D12" i="4"/>
  <c r="D11" i="4"/>
  <c r="D10" i="4"/>
  <c r="D9" i="4"/>
  <c r="D8" i="4"/>
  <c r="D7" i="4" l="1"/>
  <c r="X48" i="1" l="1"/>
  <c r="W48" i="1"/>
  <c r="V48" i="1"/>
  <c r="X47" i="1"/>
  <c r="W47" i="1"/>
  <c r="V47" i="1"/>
  <c r="X46" i="1"/>
  <c r="W46" i="1"/>
  <c r="V46" i="1"/>
  <c r="X45" i="1"/>
  <c r="W45" i="1"/>
  <c r="V45" i="1"/>
  <c r="X44" i="1"/>
  <c r="W44" i="1"/>
  <c r="V44" i="1"/>
  <c r="X43" i="1"/>
  <c r="W43" i="1"/>
  <c r="V43" i="1"/>
  <c r="X42" i="1"/>
  <c r="W42" i="1"/>
  <c r="V42" i="1"/>
  <c r="X41" i="1"/>
  <c r="W41" i="1"/>
  <c r="V41" i="1"/>
  <c r="X39" i="1"/>
  <c r="W39" i="1"/>
  <c r="V39" i="1"/>
  <c r="X38" i="1"/>
  <c r="W38" i="1"/>
  <c r="V38" i="1"/>
  <c r="X37" i="1"/>
  <c r="W37" i="1"/>
  <c r="V37" i="1"/>
  <c r="X36" i="1"/>
  <c r="W36" i="1"/>
  <c r="V36" i="1"/>
  <c r="X35" i="1"/>
  <c r="W35" i="1"/>
  <c r="V35" i="1"/>
  <c r="X34" i="1"/>
  <c r="W34" i="1"/>
  <c r="V34" i="1"/>
  <c r="X33" i="1"/>
  <c r="W33" i="1"/>
  <c r="V33" i="1"/>
  <c r="X32" i="1"/>
  <c r="W32" i="1"/>
  <c r="V32" i="1"/>
  <c r="X31" i="1"/>
  <c r="W31" i="1"/>
  <c r="V31" i="1"/>
  <c r="X30" i="1"/>
  <c r="W30" i="1"/>
  <c r="V30" i="1"/>
  <c r="X29" i="1"/>
  <c r="W29" i="1"/>
  <c r="V29" i="1"/>
  <c r="X25" i="1"/>
  <c r="W25" i="1"/>
  <c r="V25" i="1"/>
  <c r="X24" i="1"/>
  <c r="W24" i="1"/>
  <c r="V24" i="1"/>
  <c r="X23" i="1"/>
  <c r="W23" i="1"/>
  <c r="V23" i="1"/>
  <c r="X22" i="1"/>
  <c r="W22" i="1"/>
  <c r="V22" i="1"/>
  <c r="X21" i="1"/>
  <c r="W21" i="1"/>
  <c r="V21" i="1"/>
  <c r="X20" i="1"/>
  <c r="W20" i="1"/>
  <c r="V20" i="1"/>
  <c r="X19" i="1"/>
  <c r="W19" i="1"/>
  <c r="V19" i="1"/>
  <c r="X18" i="1"/>
  <c r="W18" i="1"/>
  <c r="V18" i="1"/>
  <c r="X17" i="1"/>
  <c r="W17" i="1"/>
  <c r="V17" i="1"/>
  <c r="X16" i="1"/>
  <c r="W16" i="1"/>
  <c r="V16" i="1"/>
  <c r="X15" i="1"/>
  <c r="W15" i="1"/>
  <c r="V15" i="1"/>
  <c r="X14" i="1"/>
  <c r="W14" i="1"/>
  <c r="V14" i="1"/>
  <c r="X13" i="1"/>
  <c r="W13" i="1"/>
  <c r="V13" i="1"/>
  <c r="X12" i="1"/>
  <c r="W12" i="1"/>
  <c r="V12" i="1"/>
  <c r="X11" i="1"/>
  <c r="W11" i="1"/>
  <c r="V11" i="1"/>
  <c r="L43" i="1" l="1"/>
  <c r="K43" i="1"/>
  <c r="J43" i="1"/>
  <c r="L42" i="1"/>
  <c r="K42" i="1"/>
  <c r="J42" i="1"/>
  <c r="L41" i="1"/>
  <c r="K41" i="1"/>
  <c r="J41" i="1"/>
  <c r="L40" i="1"/>
  <c r="K40" i="1"/>
  <c r="J40" i="1"/>
  <c r="L39" i="1"/>
  <c r="K39" i="1"/>
  <c r="J39" i="1"/>
  <c r="L38" i="1"/>
  <c r="K38" i="1"/>
  <c r="J38" i="1"/>
  <c r="L37" i="1"/>
  <c r="K37" i="1"/>
  <c r="J37" i="1"/>
  <c r="L36" i="1"/>
  <c r="K36" i="1"/>
  <c r="J36" i="1"/>
  <c r="L35" i="1"/>
  <c r="K35" i="1"/>
  <c r="J35" i="1"/>
  <c r="L33" i="1"/>
  <c r="K33" i="1"/>
  <c r="J33" i="1"/>
  <c r="L32" i="1"/>
  <c r="K32" i="1"/>
  <c r="J32" i="1"/>
  <c r="L31" i="1"/>
  <c r="K31" i="1"/>
  <c r="J31" i="1"/>
  <c r="L30" i="1"/>
  <c r="K30" i="1"/>
  <c r="J30" i="1"/>
  <c r="L29" i="1"/>
  <c r="K29" i="1"/>
  <c r="J29" i="1"/>
  <c r="L28" i="1"/>
  <c r="K28" i="1"/>
  <c r="J28" i="1"/>
  <c r="L26" i="1"/>
  <c r="K26" i="1"/>
  <c r="J26" i="1"/>
  <c r="L25" i="1"/>
  <c r="K25" i="1"/>
  <c r="J25" i="1"/>
  <c r="L24" i="1"/>
  <c r="K24" i="1"/>
  <c r="J24" i="1"/>
  <c r="L23" i="1"/>
  <c r="K23" i="1"/>
  <c r="J23" i="1"/>
  <c r="L22" i="1"/>
  <c r="K22" i="1"/>
  <c r="J22" i="1"/>
  <c r="L21" i="1"/>
  <c r="K21" i="1"/>
  <c r="J21" i="1"/>
  <c r="L18" i="1"/>
  <c r="K18" i="1"/>
  <c r="J18" i="1"/>
  <c r="L17" i="1"/>
  <c r="K17" i="1"/>
  <c r="J17" i="1"/>
  <c r="L16" i="1"/>
  <c r="K16" i="1"/>
  <c r="J16" i="1"/>
  <c r="L14" i="1"/>
  <c r="K14" i="1"/>
  <c r="J14" i="1"/>
  <c r="K13" i="1"/>
  <c r="J13" i="1"/>
  <c r="K12" i="1"/>
  <c r="J12" i="1"/>
  <c r="K11" i="1"/>
  <c r="J11" i="1"/>
  <c r="K10" i="1"/>
  <c r="J10" i="1"/>
  <c r="T46" i="1"/>
  <c r="S46" i="1"/>
  <c r="R46" i="1"/>
  <c r="Q46" i="1"/>
  <c r="P46" i="1"/>
  <c r="O46" i="1"/>
  <c r="O47" i="1" s="1"/>
  <c r="U46" i="1"/>
  <c r="U47" i="1" s="1"/>
  <c r="T47" i="1"/>
  <c r="S47" i="1"/>
  <c r="R47" i="1"/>
  <c r="Q47" i="1"/>
  <c r="P47" i="1"/>
  <c r="U45" i="1"/>
  <c r="U44" i="1"/>
  <c r="U42" i="1"/>
  <c r="U43" i="1"/>
  <c r="U41" i="1"/>
  <c r="U39" i="1"/>
  <c r="U34" i="1"/>
  <c r="U25" i="1"/>
  <c r="U17" i="1"/>
  <c r="P43" i="1"/>
  <c r="O43" i="1"/>
  <c r="P42" i="1"/>
  <c r="O42" i="1"/>
  <c r="P34" i="1"/>
  <c r="P39" i="1" s="1"/>
  <c r="O34" i="1"/>
  <c r="O39" i="1" s="1"/>
  <c r="O41" i="1" s="1"/>
  <c r="P17" i="1"/>
  <c r="P25" i="1" s="1"/>
  <c r="P41" i="1" s="1"/>
  <c r="O17" i="1"/>
  <c r="O25" i="1" s="1"/>
  <c r="D38" i="1"/>
  <c r="C38" i="1"/>
  <c r="D32" i="1"/>
  <c r="D26" i="1"/>
  <c r="C26" i="1"/>
  <c r="C18" i="1"/>
  <c r="D18" i="1"/>
  <c r="I38" i="1"/>
  <c r="I32" i="1"/>
  <c r="I26" i="1"/>
  <c r="I14" i="1"/>
  <c r="I18" i="1" s="1"/>
  <c r="H38" i="1"/>
  <c r="H32" i="1"/>
  <c r="H26" i="1"/>
  <c r="H14" i="1"/>
  <c r="H18" i="1" s="1"/>
  <c r="G7" i="3"/>
  <c r="F7" i="3"/>
  <c r="F22" i="3"/>
  <c r="F21" i="3"/>
  <c r="F20" i="3"/>
  <c r="D24" i="3"/>
  <c r="D23" i="3"/>
  <c r="E22" i="3"/>
  <c r="D22" i="3"/>
  <c r="E21" i="3"/>
  <c r="D21" i="3"/>
  <c r="E20" i="3"/>
  <c r="D20" i="3"/>
  <c r="E19" i="3"/>
  <c r="G19" i="3" s="1"/>
  <c r="D19" i="3"/>
  <c r="C19" i="3"/>
  <c r="F14" i="3"/>
  <c r="G13" i="3"/>
  <c r="F13" i="3"/>
  <c r="G12" i="3"/>
  <c r="F12" i="3"/>
  <c r="G11" i="3"/>
  <c r="F11" i="3"/>
  <c r="G10" i="3"/>
  <c r="F10" i="3"/>
  <c r="G9" i="3"/>
  <c r="F9" i="3"/>
  <c r="G8" i="3"/>
  <c r="F8" i="3"/>
  <c r="D14" i="3"/>
  <c r="D25" i="3" s="1"/>
  <c r="C14" i="3"/>
  <c r="C25" i="3" s="1"/>
  <c r="E14" i="3"/>
  <c r="G14" i="3" s="1"/>
  <c r="O44" i="1" l="1"/>
  <c r="P44" i="1"/>
  <c r="D28" i="1"/>
  <c r="D40" i="1" s="1"/>
  <c r="C28" i="1"/>
  <c r="C39" i="1" s="1"/>
  <c r="O45" i="1" s="1"/>
  <c r="D31" i="1"/>
  <c r="D33" i="1" s="1"/>
  <c r="D43" i="1" s="1"/>
  <c r="C31" i="1"/>
  <c r="C33" i="1" s="1"/>
  <c r="C43" i="1" s="1"/>
  <c r="C41" i="1"/>
  <c r="D41" i="1"/>
  <c r="I41" i="1"/>
  <c r="I28" i="1"/>
  <c r="H28" i="1"/>
  <c r="H40" i="1" s="1"/>
  <c r="H39" i="1"/>
  <c r="H41" i="1"/>
  <c r="D26" i="3"/>
  <c r="E23" i="3"/>
  <c r="C20" i="3"/>
  <c r="G20" i="3" s="1"/>
  <c r="C21" i="3"/>
  <c r="G21" i="3" s="1"/>
  <c r="E24" i="3"/>
  <c r="C22" i="3"/>
  <c r="G22" i="3" s="1"/>
  <c r="C23" i="3"/>
  <c r="E25" i="3"/>
  <c r="C24" i="3"/>
  <c r="F19" i="3"/>
  <c r="C26" i="3"/>
  <c r="D16" i="2"/>
  <c r="E16" i="2"/>
  <c r="H16" i="2"/>
  <c r="J16" i="2"/>
  <c r="K16" i="2"/>
  <c r="L16" i="2"/>
  <c r="H17" i="2"/>
  <c r="E18" i="2"/>
  <c r="H18" i="2"/>
  <c r="J18" i="2"/>
  <c r="K18" i="2"/>
  <c r="L18" i="2"/>
  <c r="E19" i="2"/>
  <c r="H19" i="2"/>
  <c r="J19" i="2"/>
  <c r="K19" i="2"/>
  <c r="L19" i="2"/>
  <c r="E20" i="2"/>
  <c r="H20" i="2"/>
  <c r="I20" i="2"/>
  <c r="J20" i="2"/>
  <c r="K20" i="2"/>
  <c r="L20" i="2"/>
  <c r="E21" i="2"/>
  <c r="H21" i="2"/>
  <c r="J21" i="2"/>
  <c r="K21" i="2"/>
  <c r="L21" i="2"/>
  <c r="E22" i="2"/>
  <c r="H22" i="2"/>
  <c r="J22" i="2"/>
  <c r="K22" i="2"/>
  <c r="L22" i="2"/>
  <c r="B22" i="2"/>
  <c r="I32" i="2" s="1"/>
  <c r="B21" i="2"/>
  <c r="B20" i="2"/>
  <c r="B19" i="2"/>
  <c r="I29" i="2" s="1"/>
  <c r="B18" i="2"/>
  <c r="B17" i="2"/>
  <c r="B16" i="2"/>
  <c r="I26" i="2" s="1"/>
  <c r="H10" i="2"/>
  <c r="H5" i="2"/>
  <c r="H6" i="2"/>
  <c r="G7" i="2"/>
  <c r="L10" i="2"/>
  <c r="K10" i="2"/>
  <c r="L6" i="2"/>
  <c r="K6" i="2"/>
  <c r="L5" i="2"/>
  <c r="K5" i="2"/>
  <c r="J11" i="2"/>
  <c r="K11" i="2" s="1"/>
  <c r="E11" i="2"/>
  <c r="L11" i="2" s="1"/>
  <c r="H11" i="2"/>
  <c r="J9" i="2"/>
  <c r="K9" i="2" s="1"/>
  <c r="E9" i="2"/>
  <c r="L9" i="2" s="1"/>
  <c r="H9" i="2"/>
  <c r="J8" i="2"/>
  <c r="K8" i="2" s="1"/>
  <c r="E8" i="2"/>
  <c r="L8" i="2" s="1"/>
  <c r="H8" i="2"/>
  <c r="D5" i="2" a="1"/>
  <c r="T43" i="1"/>
  <c r="S43" i="1"/>
  <c r="R43" i="1"/>
  <c r="Q43" i="1"/>
  <c r="T42" i="1"/>
  <c r="S42" i="1"/>
  <c r="R42" i="1"/>
  <c r="Q42" i="1"/>
  <c r="G38" i="1"/>
  <c r="F38" i="1"/>
  <c r="E38" i="1"/>
  <c r="S34" i="1"/>
  <c r="S39" i="1" s="1"/>
  <c r="R34" i="1"/>
  <c r="R39" i="1" s="1"/>
  <c r="Q34" i="1"/>
  <c r="Q39" i="1" s="1"/>
  <c r="T34" i="1"/>
  <c r="S17" i="1"/>
  <c r="S25" i="1" s="1"/>
  <c r="R17" i="1"/>
  <c r="R25" i="1" s="1"/>
  <c r="Q17" i="1"/>
  <c r="Q25" i="1" s="1"/>
  <c r="T17" i="1"/>
  <c r="E4" i="1" a="1"/>
  <c r="E6" i="1" s="1"/>
  <c r="E26" i="1"/>
  <c r="F26" i="1"/>
  <c r="G26" i="1"/>
  <c r="E14" i="1"/>
  <c r="E18" i="1" s="1"/>
  <c r="F14" i="1"/>
  <c r="F18" i="1" s="1"/>
  <c r="F41" i="1" s="1"/>
  <c r="G14" i="1"/>
  <c r="G18" i="1" s="1"/>
  <c r="G41" i="1" s="1"/>
  <c r="C40" i="1" l="1"/>
  <c r="D39" i="1"/>
  <c r="P45" i="1" s="1"/>
  <c r="H31" i="1"/>
  <c r="H33" i="1" s="1"/>
  <c r="H36" i="1" s="1"/>
  <c r="E17" i="2"/>
  <c r="L17" i="2" s="1"/>
  <c r="L24" i="2" s="1"/>
  <c r="C36" i="1"/>
  <c r="C42" i="1"/>
  <c r="E41" i="1"/>
  <c r="E28" i="1"/>
  <c r="D42" i="1"/>
  <c r="D36" i="1"/>
  <c r="I40" i="1"/>
  <c r="I39" i="1"/>
  <c r="I31" i="1"/>
  <c r="I33" i="1" s="1"/>
  <c r="T25" i="1"/>
  <c r="T39" i="1"/>
  <c r="H43" i="1"/>
  <c r="R44" i="1"/>
  <c r="S44" i="1"/>
  <c r="G25" i="3"/>
  <c r="F25" i="3"/>
  <c r="G24" i="3"/>
  <c r="F24" i="3"/>
  <c r="G23" i="3"/>
  <c r="F23" i="3"/>
  <c r="E26" i="3"/>
  <c r="S41" i="1"/>
  <c r="E7" i="2" s="1"/>
  <c r="L7" i="2" s="1"/>
  <c r="Q44" i="1"/>
  <c r="T44" i="1"/>
  <c r="J17" i="2"/>
  <c r="K17" i="2" s="1"/>
  <c r="I27" i="2" s="1"/>
  <c r="F7" i="2"/>
  <c r="H7" i="2" s="1"/>
  <c r="I28" i="2"/>
  <c r="I30" i="2"/>
  <c r="I31" i="2"/>
  <c r="B23" i="2"/>
  <c r="Q41" i="1"/>
  <c r="R41" i="1"/>
  <c r="F28" i="1"/>
  <c r="F39" i="1" s="1"/>
  <c r="G28" i="1"/>
  <c r="G39" i="1" s="1"/>
  <c r="E39" i="1"/>
  <c r="H42" i="1" l="1"/>
  <c r="T41" i="1"/>
  <c r="I43" i="1" s="1"/>
  <c r="I42" i="1"/>
  <c r="I36" i="1"/>
  <c r="G26" i="3"/>
  <c r="F26" i="3"/>
  <c r="K24" i="2"/>
  <c r="J7" i="2"/>
  <c r="K7" i="2" s="1"/>
  <c r="F31" i="1"/>
  <c r="F33" i="1" s="1"/>
  <c r="F40" i="1"/>
  <c r="R45" i="1"/>
  <c r="G31" i="1"/>
  <c r="G33" i="1" s="1"/>
  <c r="G40" i="1"/>
  <c r="S45" i="1"/>
  <c r="E31" i="1"/>
  <c r="E33" i="1" s="1"/>
  <c r="E40" i="1"/>
  <c r="Q45" i="1"/>
  <c r="K25" i="2"/>
  <c r="T45" i="1" l="1"/>
  <c r="G36" i="1"/>
  <c r="G43" i="1"/>
  <c r="G42" i="1"/>
  <c r="E36" i="1"/>
  <c r="E42" i="1"/>
  <c r="E43" i="1"/>
  <c r="F36" i="1"/>
  <c r="F42" i="1"/>
  <c r="F4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7"/>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<sst xmlns="http://schemas.openxmlformats.org/spreadsheetml/2006/main" count="197" uniqueCount="124">
  <si>
    <t>Price</t>
  </si>
  <si>
    <t>Shares outstanding</t>
  </si>
  <si>
    <t>Market cap</t>
  </si>
  <si>
    <t>Revenues</t>
  </si>
  <si>
    <t>Data center</t>
  </si>
  <si>
    <t xml:space="preserve">Client </t>
  </si>
  <si>
    <t>Gaming</t>
  </si>
  <si>
    <t xml:space="preserve">Embedded </t>
  </si>
  <si>
    <t>Total revenue</t>
  </si>
  <si>
    <t>Cost of sales</t>
  </si>
  <si>
    <t>Gross profit</t>
  </si>
  <si>
    <t>Expenses</t>
  </si>
  <si>
    <t>R&amp;D</t>
  </si>
  <si>
    <t>MG&amp;A</t>
  </si>
  <si>
    <t>Amortization of acquried intangibles</t>
  </si>
  <si>
    <t>Amortization of acquired intangibles</t>
  </si>
  <si>
    <t>Licensing gain</t>
  </si>
  <si>
    <t>Total expenses</t>
  </si>
  <si>
    <t>Interest expense</t>
  </si>
  <si>
    <t>Other income</t>
  </si>
  <si>
    <t>Provision for taxes</t>
  </si>
  <si>
    <t>Net income</t>
  </si>
  <si>
    <t>EPS</t>
  </si>
  <si>
    <t>1Y</t>
  </si>
  <si>
    <t>2Y</t>
  </si>
  <si>
    <t>Restructuring charges</t>
  </si>
  <si>
    <t>Assets</t>
  </si>
  <si>
    <t>Current</t>
  </si>
  <si>
    <t>Cash</t>
  </si>
  <si>
    <t>ST investments</t>
  </si>
  <si>
    <t>AR</t>
  </si>
  <si>
    <t>Inventories</t>
  </si>
  <si>
    <t>Receivables</t>
  </si>
  <si>
    <t>Total CA</t>
  </si>
  <si>
    <t>Prepaids</t>
  </si>
  <si>
    <t>PPE, net</t>
  </si>
  <si>
    <t>Leases</t>
  </si>
  <si>
    <t>Goodwill</t>
  </si>
  <si>
    <t>Acquired intangibles</t>
  </si>
  <si>
    <t>Equity investments</t>
  </si>
  <si>
    <t>Defer tax</t>
  </si>
  <si>
    <t>Other</t>
  </si>
  <si>
    <t>Total Assets</t>
  </si>
  <si>
    <t>Liabilities</t>
  </si>
  <si>
    <t>AP</t>
  </si>
  <si>
    <t>Payables to related parties</t>
  </si>
  <si>
    <t>Accr liabilities</t>
  </si>
  <si>
    <t>LT debt, portion</t>
  </si>
  <si>
    <t>Total CL</t>
  </si>
  <si>
    <t>LT debt</t>
  </si>
  <si>
    <t>LT leases</t>
  </si>
  <si>
    <t>Total Liabilities</t>
  </si>
  <si>
    <t>Equity</t>
  </si>
  <si>
    <t>EV</t>
  </si>
  <si>
    <t>Mkt Cap</t>
  </si>
  <si>
    <t>Debt</t>
  </si>
  <si>
    <t>EBITDA</t>
  </si>
  <si>
    <t>EBT</t>
  </si>
  <si>
    <t>EV/EBITDA</t>
  </si>
  <si>
    <t>Operating margin</t>
  </si>
  <si>
    <t>Net margin</t>
  </si>
  <si>
    <t>Gross margin</t>
  </si>
  <si>
    <t xml:space="preserve">Yearly turnover </t>
  </si>
  <si>
    <t>Inventory turnover (COS) *</t>
  </si>
  <si>
    <t>ROE</t>
  </si>
  <si>
    <t>NVDA</t>
  </si>
  <si>
    <t>IBM</t>
  </si>
  <si>
    <t>AMD</t>
  </si>
  <si>
    <t>ADI</t>
  </si>
  <si>
    <t>INTC</t>
  </si>
  <si>
    <t>STM</t>
  </si>
  <si>
    <t>QCOM</t>
  </si>
  <si>
    <t>2024 EV/EBITDA</t>
  </si>
  <si>
    <t>Rev</t>
  </si>
  <si>
    <t>Cos</t>
  </si>
  <si>
    <t>Gp</t>
  </si>
  <si>
    <t>Mkt cap</t>
  </si>
  <si>
    <t>Ticker</t>
  </si>
  <si>
    <t>2023 EV/EBITDA</t>
  </si>
  <si>
    <t>EV Equity</t>
  </si>
  <si>
    <t>EVE/EBITDA</t>
  </si>
  <si>
    <t>Column1</t>
  </si>
  <si>
    <t>Column2</t>
  </si>
  <si>
    <t>Column3</t>
  </si>
  <si>
    <t>Column4</t>
  </si>
  <si>
    <t>Column5</t>
  </si>
  <si>
    <t>Column6</t>
  </si>
  <si>
    <t>Column7</t>
  </si>
  <si>
    <t>Column8</t>
  </si>
  <si>
    <t>Column9</t>
  </si>
  <si>
    <t>Reg avg.</t>
  </si>
  <si>
    <t>W avg.</t>
  </si>
  <si>
    <t>2021</t>
  </si>
  <si>
    <t>2022</t>
  </si>
  <si>
    <t>2023</t>
  </si>
  <si>
    <t>2024</t>
  </si>
  <si>
    <t>External Customers by Geographic Regions (billing location of the customer)</t>
  </si>
  <si>
    <t>U.S.</t>
  </si>
  <si>
    <t>China</t>
  </si>
  <si>
    <t>Singapore</t>
  </si>
  <si>
    <t>Taiwan</t>
  </si>
  <si>
    <t>Japan</t>
  </si>
  <si>
    <t>Europe</t>
  </si>
  <si>
    <t>Total sales to external customers</t>
  </si>
  <si>
    <t>Weight of Region</t>
  </si>
  <si>
    <t>Total</t>
  </si>
  <si>
    <t>EBIT</t>
  </si>
  <si>
    <t>2025</t>
  </si>
  <si>
    <t>2020</t>
  </si>
  <si>
    <t>2019</t>
  </si>
  <si>
    <t>n/a</t>
  </si>
  <si>
    <t>6Y</t>
  </si>
  <si>
    <t>-</t>
  </si>
  <si>
    <t>IC</t>
  </si>
  <si>
    <t>Screening Score</t>
  </si>
  <si>
    <t>EBITDA Margin</t>
  </si>
  <si>
    <t>ROIC</t>
  </si>
  <si>
    <t>Debt-to-EBITDA</t>
  </si>
  <si>
    <t>EPS σ</t>
  </si>
  <si>
    <t>EV-to-EBITDA</t>
  </si>
  <si>
    <t>Industry</t>
  </si>
  <si>
    <t>Revenue (CAGR)</t>
  </si>
  <si>
    <t>AMD Notes:</t>
  </si>
  <si>
    <t>Semiconductors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</si>
</sst>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409]* #,##0.00_);_([$$-409]* \(#,##0.00\);_([$$-409]* &quot;-&quot;??_);_(@_)"/>
    <numFmt numFmtId="165" formatCode="_(* #,##0_);_(* \(#,##0\);_(* &quot;-&quot;??_);_(@_)"/>
    <numFmt numFmtId="166" formatCode="_(* #,##0.0_);_(* \(#,##0.0\);_(* &quot;-&quot;??_);_(@_)"/>
    <numFmt numFmtId="167" formatCode="_(* #,##0.000_);_(* \(#,##0.000\);_(* &quot;-&quot;??_);_(@_)"/>
    <numFmt numFmtId="168" formatCode="0.0%"/>
    <numFmt numFmtId="169" formatCode="0.0"/>
    <numFmt numFmtId="170" formatCode="0.000"/>
  </numFmts>
  <fonts count="16" x14ac:knownFonts="1">
    <font>
      <sz val="10"/>
      <color theme="1"/>
      <name val="Arial"/>
      <family val="2"/>
    </font>
    <font>
      <sz val="10"/>
      <color theme="1"/>
      <name val="Arial"/>
      <family val="2"/>
    </font>
    <font>
      <b/>
      <sz val="10"/>
      <color theme="1"/>
      <name val="Arial"/>
      <family val="2"/>
    </font>
    <font>
      <sz val="10"/>
      <color theme="0"/>
      <name val="Arial"/>
      <family val="2"/>
    </font>
    <font>
      <b/>
      <sz val="10"/>
      <color theme="0"/>
      <name val="Arial"/>
      <family val="2"/>
    </font>
    <font>
      <b/>
      <sz val="10"/>
      <name val="Arial"/>
      <family val="2"/>
    </font>
    <font>
      <sz val="10"/>
      <name val="Arial"/>
      <family val="2"/>
    </font>
    <font>
      <sz val="10"/>
      <color theme="3" tint="0.249977111117893"/>
      <name val="Arial"/>
      <family val="2"/>
    </font>
    <font>
      <b/>
      <sz val="10"/>
      <color theme="3" tint="0.249977111117893"/>
      <name val="Arial"/>
      <family val="2"/>
    </font>
    <font>
      <b/>
      <sz val="10"/>
      <color theme="4"/>
      <name val="Arial"/>
      <family val="2"/>
    </font>
    <font>
      <sz val="8"/>
      <name val="Arial"/>
      <family val="2"/>
    </font>
    <font>
      <b/>
      <sz val="12"/>
      <color theme="1"/>
      <name val="Arial"/>
      <family val="2"/>
    </font>
    <font>
      <sz val="12"/>
      <color theme="4"/>
      <name val="Arial"/>
      <family val="2"/>
    </font>
    <font>
      <sz val="12"/>
      <color theme="0"/>
      <name val="Arial"/>
      <family val="2"/>
    </font>
    <font>
      <sz val="12"/>
      <color theme="1"/>
      <name val="Arial"/>
      <family val="2"/>
    </font>
    <font>
      <b/>
      <sz val="16"/>
      <color theme="1"/>
      <name val="Arial"/>
      <family val="2"/>
    </font>
  </fonts>
  <fills count="7">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
      <patternFill patternType="solid">
        <fgColor rgb="FF94DCF4"/>
        <bgColor indexed="64"/>
      </patternFill>
    </fill>
  </fills>
  <borders count="8">
    <border>
      <left/>
      <right/>
      <top/>
      <bottom/>
      <diagonal/>
    </border>
    <border>
      <left/>
      <right/>
      <top style="thin">
        <color indexed="64"/>
      </top>
      <bottom style="medium">
        <color indexed="64"/>
      </bottom>
      <diagonal/>
    </border>
    <border>
      <left/>
      <right style="thin">
        <color indexed="64"/>
      </right>
      <top/>
      <bottom/>
      <diagonal/>
    </border>
    <border>
      <left/>
      <right style="thin">
        <color indexed="64"/>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09">
    <xf numFmtId="0" fontId="0" fillId="0" borderId="0" xfId="0"/>
    <xf numFmtId="164" fontId="0" fillId="0" borderId="0" xfId="0" applyNumberFormat="1"/>
    <xf numFmtId="165" fontId="0" fillId="0" borderId="0" xfId="1" applyNumberFormat="1" applyFont="1"/>
    <xf numFmtId="165" fontId="2" fillId="0" borderId="1" xfId="1" applyNumberFormat="1" applyFont="1" applyBorder="1"/>
    <xf numFmtId="165" fontId="2" fillId="0" borderId="0" xfId="1" applyNumberFormat="1" applyFont="1"/>
    <xf numFmtId="44" fontId="0" fillId="0" borderId="0" xfId="2" applyFont="1"/>
    <xf numFmtId="0" fontId="0" fillId="0" borderId="2" xfId="0" applyBorder="1"/>
    <xf numFmtId="0" fontId="2" fillId="0" borderId="2" xfId="0" applyFont="1" applyBorder="1"/>
    <xf numFmtId="0" fontId="2" fillId="0" borderId="3" xfId="0" applyFont="1" applyBorder="1"/>
    <xf numFmtId="0" fontId="0" fillId="0" borderId="2" xfId="0" applyBorder="1" applyAlignment="1">
      <alignment horizontal="left" indent="1"/>
    </xf>
    <xf numFmtId="0" fontId="2" fillId="0" borderId="3" xfId="0" applyFont="1" applyBorder="1" applyAlignment="1">
      <alignment horizontal="left" indent="2"/>
    </xf>
    <xf numFmtId="0" fontId="2" fillId="0" borderId="4" xfId="0" applyFont="1" applyBorder="1"/>
    <xf numFmtId="0" fontId="2" fillId="3" borderId="4" xfId="0" applyFont="1" applyFill="1" applyBorder="1" applyAlignment="1">
      <alignment horizontal="center"/>
    </xf>
    <xf numFmtId="0" fontId="2" fillId="4" borderId="4" xfId="0" applyFont="1" applyFill="1" applyBorder="1" applyAlignment="1">
      <alignment horizontal="center"/>
    </xf>
    <xf numFmtId="0" fontId="2" fillId="0" borderId="0" xfId="0" applyFont="1"/>
    <xf numFmtId="0" fontId="2" fillId="0" borderId="0" xfId="0" applyFont="1" applyAlignment="1">
      <alignment horizontal="left" indent="1"/>
    </xf>
    <xf numFmtId="166" fontId="0" fillId="0" borderId="0" xfId="1" applyNumberFormat="1" applyFont="1"/>
    <xf numFmtId="165" fontId="2" fillId="0" borderId="1" xfId="1" applyNumberFormat="1" applyFont="1" applyBorder="1" applyAlignment="1">
      <alignment horizontal="left" indent="1"/>
    </xf>
    <xf numFmtId="9" fontId="0" fillId="0" borderId="0" xfId="3" applyFont="1"/>
    <xf numFmtId="167" fontId="0" fillId="0" borderId="0" xfId="1" applyNumberFormat="1" applyFont="1"/>
    <xf numFmtId="165" fontId="0" fillId="0" borderId="0" xfId="3" applyNumberFormat="1" applyFont="1"/>
    <xf numFmtId="9" fontId="0" fillId="3" borderId="0" xfId="3" applyFont="1" applyFill="1"/>
    <xf numFmtId="9" fontId="0" fillId="4" borderId="0" xfId="3" applyFont="1" applyFill="1"/>
    <xf numFmtId="9" fontId="4" fillId="5" borderId="0" xfId="3" applyFont="1" applyFill="1"/>
    <xf numFmtId="0" fontId="2" fillId="0" borderId="3" xfId="0" applyFont="1" applyBorder="1" applyAlignment="1">
      <alignment horizontal="left" indent="1"/>
    </xf>
    <xf numFmtId="49" fontId="0" fillId="0" borderId="0" xfId="0" applyNumberFormat="1" applyAlignment="1">
      <alignment horizontal="center"/>
    </xf>
    <xf numFmtId="0" fontId="3" fillId="0" borderId="0" xfId="0" applyFont="1"/>
    <xf numFmtId="169" fontId="0" fillId="0" borderId="0" xfId="0" applyNumberFormat="1"/>
    <xf numFmtId="169" fontId="0" fillId="0" borderId="0" xfId="1" applyNumberFormat="1" applyFont="1"/>
    <xf numFmtId="0" fontId="4" fillId="0" borderId="0" xfId="0" applyFont="1"/>
    <xf numFmtId="0" fontId="5" fillId="0" borderId="0" xfId="0" applyFont="1"/>
    <xf numFmtId="0" fontId="6" fillId="0" borderId="0" xfId="0" applyFont="1"/>
    <xf numFmtId="168" fontId="6" fillId="0" borderId="0" xfId="3" applyNumberFormat="1" applyFont="1"/>
    <xf numFmtId="168" fontId="3" fillId="0" borderId="0" xfId="0" applyNumberFormat="1" applyFont="1"/>
    <xf numFmtId="43" fontId="0" fillId="0" borderId="0" xfId="1" applyFont="1"/>
    <xf numFmtId="43" fontId="0" fillId="0" borderId="0" xfId="0" applyNumberFormat="1"/>
    <xf numFmtId="165" fontId="3" fillId="0" borderId="0" xfId="1" applyNumberFormat="1" applyFont="1"/>
    <xf numFmtId="43" fontId="3" fillId="0" borderId="0" xfId="1" applyFont="1"/>
    <xf numFmtId="0" fontId="2" fillId="2" borderId="4" xfId="0" applyFont="1" applyFill="1" applyBorder="1" applyAlignment="1">
      <alignment horizontal="center"/>
    </xf>
    <xf numFmtId="9" fontId="0" fillId="2" borderId="0" xfId="3" applyFont="1" applyFill="1" applyBorder="1"/>
    <xf numFmtId="9" fontId="2" fillId="2" borderId="1" xfId="3" applyFont="1" applyFill="1" applyBorder="1"/>
    <xf numFmtId="0" fontId="7" fillId="0" borderId="2" xfId="0" applyFont="1" applyBorder="1"/>
    <xf numFmtId="0" fontId="7" fillId="0" borderId="5" xfId="0" applyFont="1" applyBorder="1"/>
    <xf numFmtId="0" fontId="2" fillId="0" borderId="6" xfId="0" applyFont="1" applyBorder="1" applyAlignment="1">
      <alignment wrapText="1"/>
    </xf>
    <xf numFmtId="165" fontId="2" fillId="0" borderId="7" xfId="1" applyNumberFormat="1" applyFont="1" applyBorder="1"/>
    <xf numFmtId="0" fontId="9" fillId="0" borderId="5" xfId="0" applyFont="1" applyBorder="1"/>
    <xf numFmtId="9" fontId="0" fillId="2" borderId="0" xfId="3" applyFont="1" applyFill="1"/>
    <xf numFmtId="9" fontId="0" fillId="6" borderId="0" xfId="3" applyFont="1" applyFill="1"/>
    <xf numFmtId="9" fontId="2" fillId="6" borderId="1" xfId="3" applyFont="1" applyFill="1" applyBorder="1"/>
    <xf numFmtId="0" fontId="2" fillId="6" borderId="4" xfId="0" applyFont="1" applyFill="1" applyBorder="1" applyAlignment="1">
      <alignment horizontal="center"/>
    </xf>
    <xf numFmtId="165" fontId="1" fillId="0" borderId="0" xfId="1" applyNumberFormat="1" applyFont="1" applyFill="1"/>
    <xf numFmtId="167" fontId="1" fillId="0" borderId="0" xfId="1" applyNumberFormat="1" applyFont="1" applyFill="1"/>
    <xf numFmtId="168" fontId="1" fillId="0" borderId="0" xfId="3" applyNumberFormat="1" applyFont="1" applyFill="1"/>
    <xf numFmtId="165" fontId="1" fillId="0" borderId="0" xfId="1" applyNumberFormat="1" applyFont="1" applyFill="1" applyBorder="1"/>
    <xf numFmtId="0" fontId="0" fillId="0" borderId="0" xfId="0" applyAlignment="1">
      <alignment horizontal="center"/>
    </xf>
    <xf numFmtId="167" fontId="1" fillId="0" borderId="0" xfId="1" applyNumberFormat="1" applyFont="1" applyFill="1" applyBorder="1"/>
    <xf numFmtId="9" fontId="1" fillId="0" borderId="0" xfId="3" applyFont="1" applyFill="1" applyBorder="1"/>
    <xf numFmtId="0" fontId="0" fillId="2" borderId="0" xfId="0" applyFill="1"/>
    <xf numFmtId="0" fontId="0" fillId="3" borderId="0" xfId="0" applyFill="1"/>
    <xf numFmtId="0" fontId="0" fillId="4" borderId="0" xfId="0" applyFill="1"/>
    <xf numFmtId="9" fontId="2" fillId="2" borderId="0" xfId="3" applyFont="1" applyFill="1" applyBorder="1"/>
    <xf numFmtId="9" fontId="0" fillId="3" borderId="0" xfId="3" applyFont="1" applyFill="1" applyBorder="1"/>
    <xf numFmtId="9" fontId="0" fillId="4" borderId="0" xfId="3" applyFont="1" applyFill="1" applyBorder="1"/>
    <xf numFmtId="9" fontId="2" fillId="3" borderId="0" xfId="3" applyFont="1" applyFill="1" applyBorder="1"/>
    <xf numFmtId="9" fontId="2" fillId="4" borderId="0" xfId="3" applyFont="1" applyFill="1" applyBorder="1"/>
    <xf numFmtId="0" fontId="3" fillId="0" borderId="4" xfId="0" applyFont="1" applyBorder="1"/>
    <xf numFmtId="165" fontId="0" fillId="0" borderId="0" xfId="1" applyNumberFormat="1" applyFont="1" applyBorder="1"/>
    <xf numFmtId="165" fontId="2" fillId="0" borderId="0" xfId="1" applyNumberFormat="1" applyFont="1" applyBorder="1"/>
    <xf numFmtId="165" fontId="0" fillId="0" borderId="0" xfId="1" applyNumberFormat="1" applyFont="1" applyBorder="1" applyAlignment="1">
      <alignment horizontal="left" indent="1"/>
    </xf>
    <xf numFmtId="165" fontId="7" fillId="0" borderId="0" xfId="1" applyNumberFormat="1" applyFont="1" applyBorder="1"/>
    <xf numFmtId="44" fontId="0" fillId="0" borderId="0" xfId="2" applyFont="1" applyBorder="1"/>
    <xf numFmtId="0" fontId="4" fillId="0" borderId="4" xfId="0" applyFont="1" applyBorder="1"/>
    <xf numFmtId="165" fontId="0" fillId="0" borderId="0" xfId="1" applyNumberFormat="1" applyFont="1" applyAlignment="1">
      <alignment horizontal="right" indent="2"/>
    </xf>
    <xf numFmtId="165" fontId="0" fillId="0" borderId="0" xfId="1" applyNumberFormat="1" applyFont="1" applyAlignment="1">
      <alignment horizontal="right" indent="1"/>
    </xf>
    <xf numFmtId="165" fontId="0" fillId="0" borderId="0" xfId="1" applyNumberFormat="1" applyFont="1" applyAlignment="1">
      <alignment horizontal="right"/>
    </xf>
    <xf numFmtId="165" fontId="2" fillId="0" borderId="0" xfId="1" applyNumberFormat="1" applyFont="1" applyAlignment="1">
      <alignment horizontal="right"/>
    </xf>
    <xf numFmtId="165" fontId="2" fillId="0" borderId="0" xfId="1" applyNumberFormat="1" applyFont="1" applyAlignment="1">
      <alignment horizontal="right" indent="1"/>
    </xf>
    <xf numFmtId="0" fontId="8" fillId="0" borderId="5" xfId="0" applyFont="1" applyBorder="1"/>
    <xf numFmtId="0" fontId="2" fillId="0" borderId="2" xfId="0" applyFont="1" applyBorder="1" applyAlignment="1">
      <alignment horizontal="left" indent="1"/>
    </xf>
    <xf numFmtId="0" fontId="0" fillId="0" borderId="2" xfId="0" applyBorder="1" applyAlignment="1">
      <alignment horizontal="left" indent="2"/>
    </xf>
    <xf numFmtId="0" fontId="2" fillId="0" borderId="3" xfId="0" applyFont="1" applyBorder="1" applyAlignment="1">
      <alignment horizontal="left" indent="3"/>
    </xf>
    <xf numFmtId="0" fontId="2" fillId="0" borderId="2" xfId="0" applyFont="1" applyBorder="1" applyAlignment="1">
      <alignment horizontal="left"/>
    </xf>
    <xf numFmtId="0" fontId="2" fillId="0" borderId="3" xfId="0" applyFont="1" applyBorder="1" applyAlignment="1">
      <alignment horizontal="left"/>
    </xf>
    <xf numFmtId="165" fontId="0" fillId="0" borderId="0" xfId="1" applyNumberFormat="1" applyFont="1" applyBorder="1" applyAlignment="1">
      <alignment horizontal="right"/>
    </xf>
    <xf numFmtId="168" fontId="1" fillId="2" borderId="0" xfId="3" applyNumberFormat="1" applyFont="1" applyFill="1" applyBorder="1"/>
    <xf numFmtId="168" fontId="1" fillId="3" borderId="0" xfId="3" applyNumberFormat="1" applyFont="1" applyFill="1"/>
    <xf numFmtId="168" fontId="1" fillId="4" borderId="0" xfId="3" applyNumberFormat="1" applyFont="1" applyFill="1" applyAlignment="1">
      <alignment horizontal="right"/>
    </xf>
    <xf numFmtId="168" fontId="2" fillId="3" borderId="1" xfId="3" applyNumberFormat="1" applyFont="1" applyFill="1" applyBorder="1"/>
    <xf numFmtId="168" fontId="2" fillId="4" borderId="1" xfId="3" applyNumberFormat="1" applyFont="1" applyFill="1" applyBorder="1"/>
    <xf numFmtId="168" fontId="0" fillId="2" borderId="0" xfId="0" applyNumberFormat="1" applyFill="1"/>
    <xf numFmtId="168" fontId="0" fillId="3" borderId="0" xfId="0" applyNumberFormat="1" applyFill="1"/>
    <xf numFmtId="168" fontId="0" fillId="4" borderId="0" xfId="0" applyNumberFormat="1" applyFill="1"/>
    <xf numFmtId="168" fontId="0" fillId="2" borderId="0" xfId="3" applyNumberFormat="1" applyFont="1" applyFill="1" applyBorder="1"/>
    <xf numFmtId="168" fontId="0" fillId="3" borderId="0" xfId="3" applyNumberFormat="1" applyFont="1" applyFill="1"/>
    <xf numFmtId="168" fontId="0" fillId="4" borderId="0" xfId="3" applyNumberFormat="1" applyFont="1" applyFill="1"/>
    <xf numFmtId="168" fontId="1" fillId="4" borderId="0" xfId="3" applyNumberFormat="1" applyFont="1" applyFill="1"/>
    <xf numFmtId="168" fontId="4" fillId="5" borderId="0" xfId="3" applyNumberFormat="1" applyFont="1" applyFill="1" applyBorder="1"/>
    <xf numFmtId="168" fontId="4" fillId="5" borderId="0" xfId="3" applyNumberFormat="1" applyFont="1" applyFill="1"/>
    <xf numFmtId="168" fontId="4" fillId="5" borderId="1" xfId="3" applyNumberFormat="1" applyFont="1" applyFill="1" applyBorder="1"/>
    <xf numFmtId="10" fontId="0" fillId="0" borderId="0" xfId="3" applyNumberFormat="1" applyFont="1"/>
    <xf numFmtId="0" fontId="12" fillId="0" borderId="0" xfId="0" applyFont="1"/>
    <xf numFmtId="0" fontId="13" fillId="0" borderId="0" xfId="0" applyFont="1" applyAlignment="1">
      <alignment horizontal="right"/>
    </xf>
    <xf numFmtId="0" fontId="14" fillId="0" borderId="0" xfId="0" applyFont="1"/>
    <xf numFmtId="10" fontId="14" fillId="0" borderId="0" xfId="3" applyNumberFormat="1" applyFont="1"/>
    <xf numFmtId="170" fontId="14" fillId="0" borderId="0" xfId="0" applyNumberFormat="1" applyFont="1"/>
    <xf numFmtId="2" fontId="14" fillId="0" borderId="0" xfId="0" applyNumberFormat="1" applyFont="1"/>
    <xf numFmtId="0" fontId="14" fillId="0" borderId="0" xfId="0" applyFont="1" applyAlignment="1">
      <alignment horizontal="right"/>
    </xf>
    <xf numFmtId="0" fontId="15" fillId="0" borderId="0" xfId="0" applyFont="1"/>
    <xf numFmtId="0" fontId="11" fillId="0" borderId="0" xfId="0" applyFont="1" applyAlignment="1">
      <alignment horizontal="left"/>
    </xf>
  </cellXfs>
  <cellStyles count="4">
    <cellStyle name="Comma" xfId="1" builtinId="3"/>
    <cellStyle name="Currency" xfId="2" builtinId="4"/>
    <cellStyle name="Normal" xfId="0" builtinId="0"/>
    <cellStyle name="Percent" xfId="3" builtinId="5"/>
  </cellStyles>
  <dxfs count="49">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border outline="0">
        <bottom style="medium">
          <color indexed="64"/>
        </bottom>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border outline="0">
        <bottom style="medium">
          <color indexed="64"/>
        </bottom>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numFmt numFmtId="169" formatCode="0.0"/>
    </dxf>
    <dxf>
      <numFmt numFmtId="169" formatCode="0.0"/>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border diagonalUp="0" diagonalDown="0">
        <left/>
        <right style="thin">
          <color indexed="64"/>
        </right>
        <top/>
        <bottom/>
        <vertical/>
        <horizontal/>
      </border>
    </dxf>
    <dxf>
      <border outline="0">
        <right style="thin">
          <color indexed="64"/>
        </right>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0_);_(* \(#,##0.0\);_(* &quot;-&quot;??_);_(@_)"/>
    </dxf>
    <dxf>
      <font>
        <b val="0"/>
        <i val="0"/>
        <strike val="0"/>
        <condense val="0"/>
        <extend val="0"/>
        <outline val="0"/>
        <shadow val="0"/>
        <u val="none"/>
        <vertAlign val="baseline"/>
        <sz val="10"/>
        <color theme="1"/>
        <name val="Arial"/>
        <family val="2"/>
        <scheme val="none"/>
      </font>
      <numFmt numFmtId="166" formatCode="_(* #,##0.0_);_(* \(#,##0.0\);_(* &quot;-&quot;??_);_(@_)"/>
    </dxf>
    <dxf>
      <font>
        <b val="0"/>
        <i val="0"/>
        <strike val="0"/>
        <condense val="0"/>
        <extend val="0"/>
        <outline val="0"/>
        <shadow val="0"/>
        <u val="none"/>
        <vertAlign val="baseline"/>
        <sz val="10"/>
        <color theme="1"/>
        <name val="Arial"/>
        <family val="2"/>
        <scheme val="none"/>
      </font>
      <numFmt numFmtId="166" formatCode="_(* #,##0.0_);_(* \(#,##0.0\);_(* &quot;-&quot;??_);_(@_)"/>
    </dxf>
    <dxf>
      <font>
        <b val="0"/>
        <i val="0"/>
        <strike val="0"/>
        <condense val="0"/>
        <extend val="0"/>
        <outline val="0"/>
        <shadow val="0"/>
        <u val="none"/>
        <vertAlign val="baseline"/>
        <sz val="10"/>
        <color theme="1"/>
        <name val="Arial"/>
        <family val="2"/>
        <scheme val="none"/>
      </font>
      <numFmt numFmtId="166" formatCode="_(* #,##0.0_);_(* \(#,##0.0\);_(* &quot;-&quot;??_);_(@_)"/>
    </dxf>
    <dxf>
      <font>
        <b val="0"/>
        <i val="0"/>
        <strike val="0"/>
        <condense val="0"/>
        <extend val="0"/>
        <outline val="0"/>
        <shadow val="0"/>
        <u val="none"/>
        <vertAlign val="baseline"/>
        <sz val="10"/>
        <color theme="1"/>
        <name val="Arial"/>
        <family val="2"/>
        <scheme val="none"/>
      </font>
      <numFmt numFmtId="166" formatCode="_(* #,##0.0_);_(* \(#,##0.0\);_(* &quot;-&quot;??_);_(@_)"/>
    </dxf>
    <dxf>
      <border diagonalUp="0" diagonalDown="0">
        <left/>
        <right style="thin">
          <color indexed="64"/>
        </right>
        <vertical/>
      </border>
    </dxf>
    <dxf>
      <border outline="0">
        <bottom style="thin">
          <color indexed="64"/>
        </bottom>
      </border>
    </dxf>
  </dxfs>
  <tableStyles count="0" defaultTableStyle="TableStyleMedium2" defaultPivotStyle="PivotStyleLight16"/>
  <colors>
    <mruColors>
      <color rgb="FFB5E6A2"/>
      <color rgb="FF94DCF8"/>
      <color rgb="FF94DC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133350</xdr:colOff>
      <xdr:row>1</xdr:row>
      <xdr:rowOff>12835</xdr:rowOff>
    </xdr:from>
    <xdr:to>
      <xdr:col>10</xdr:col>
      <xdr:colOff>533400</xdr:colOff>
      <xdr:row>5</xdr:row>
      <xdr:rowOff>142875</xdr:rowOff>
    </xdr:to>
    <xdr:pic>
      <xdr:nvPicPr>
        <xdr:cNvPr id="2" name="Picture 1">
          <a:extLst>
            <a:ext uri="{FF2B5EF4-FFF2-40B4-BE49-F238E27FC236}">
              <a16:creationId xmlns:a16="http://schemas.microsoft.com/office/drawing/2014/main" id="{2CE4D78C-C7B4-3A13-8617-5F33EA72EC9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14825" y="174760"/>
          <a:ext cx="3257550" cy="777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
  <rv s="0">
    <v>https://www.bing.com/financeapi/forcetrigger?t=a1ndww&amp;q=XNAS%3aAMD&amp;form=skydnc</v>
    <v>Learn more on Bing</v>
  </rv>
  <rv s="1">
    <v>en-US</v>
    <v>a1ndww</v>
    <v>268435456</v>
    <v>1</v>
    <v>Powered by Refinitiv</v>
    <v>0</v>
    <v>ADVANCED MICRO DEVICES, INC. (XNAS:AMD)</v>
    <v>2</v>
    <v>3</v>
    <v>Finance</v>
    <v>4</v>
    <v>562.98990000000003</v>
    <v>133.5</v>
    <v>2.4702999999999999</v>
    <v>17.91</v>
    <v>-3.6149999999999997E-3</v>
    <v>3.4338E-2</v>
    <v>-1.95</v>
    <v>USD</v>
    <v>Advanced Micro Devices, Inc. is a global semiconductor company. The Company is focused on high-performance computing and artificial intelligence (AI). Its segments include Data Center, Client and Gaming, and Embedded. Data Center segment includes AI accelerators, microprocessors (CPUs) for servers, graphics processing units (GPUs), accelerated processing units (APUs), data processing units (DPUs), Field Programmable Gate Arrays (FPGAs), and Adaptive system-on-Chip (SoC) products for data centers. Client and Gaming segment includes CPUs, APUs, chipsets for desktops and notebooks, discrete GPUs, and semi-custom SoC products and development services. Embedded segment includes embedded CPUs, APUs, FPGAs, system on modules (SOMs), and Adaptive SoC products. It markets and sells its products under the AMD trademark. Its products include AMD EPYC, AMD Ryzen, AMD Ryzen PRO, Virtex UltraScale+, among others.</v>
    <v>31000</v>
    <v>Nasdaq Stock Market</v>
    <v>XNAS</v>
    <v>XNAS</v>
    <v>2485 Augustine Drive, SANTA CLARA, CA, 95054 US</v>
    <v>542.19000000000005</v>
    <v>Semiconductors &amp; Semiconductor Equipment</v>
    <v>Stock</v>
    <v>46202.903736712498</v>
    <v>0</v>
    <v>495.35</v>
    <v>879692933490</v>
    <v>ADVANCED MICRO DEVICES, INC.</v>
    <v>ADVANCED MICRO DEVICES, INC.</v>
    <v>522.84</v>
    <v>173.86580000000001</v>
    <v>521.58000000000004</v>
    <v>539.49</v>
    <v>537.54</v>
    <v>1630601000</v>
    <v>AMD</v>
    <v>ADVANCED MICRO DEVICES, INC. (XNAS:AMD)</v>
    <v>26602869</v>
    <v>32059644</v>
    <v>1969</v>
  </rv>
  <rv s="2">
    <v>1</v>
  </rv>
  <rv s="0">
    <v>https://www.bing.com/financeapi/forcetrigger?t=a1yv52&amp;q=XNAS%3aNVDA&amp;form=skydnc</v>
    <v>Learn more on Bing</v>
  </rv>
  <rv s="1">
    <v>en-US</v>
    <v>a1yv52</v>
    <v>268435456</v>
    <v>1</v>
    <v>Powered by Refinitiv</v>
    <v>0</v>
    <v>NVIDIA CORPORATION (XNAS:NVDA)</v>
    <v>2</v>
    <v>3</v>
    <v>Finance</v>
    <v>4</v>
    <v>236.54</v>
    <v>151.49</v>
    <v>2.2172999999999998</v>
    <v>2.44</v>
    <v>-2.8209999999999997E-4</v>
    <v>1.2673E-2</v>
    <v>-5.5E-2</v>
    <v>USD</v>
    <v>NVIDIA Corporation is an artificial intelligence (AI) infrastructure company. The Company is engaged in accelerated computing to help solve the challenging computational problems. Its segments include Compute &amp; Networking and Graphics. The Compute &amp; Networking segment includes its Data Center accelerated computing and networking platforms and AI solutions and software, and automotive platforms and autonomous and electric vehicle solutions, including software. The Graphics segment includes GeForce GPUs for gaming and personal computers (PCs), and Quadro/NVIDIA RTX GPUs for enterprise workstation graphics. Its technology stack includes the foundational NVIDIA CUDA development platform that runs on all NVIDIA GPUs, as well as hundreds of domain-specific software libraries, frameworks, algorithms, software development kits (SDKs), and application programming interfaces (APIs). Its platforms address four markets, which include Data Center, Gaming, Professional Visualization, and Automotive.</v>
    <v>42000</v>
    <v>Nasdaq Stock Market</v>
    <v>XNAS</v>
    <v>XNAS</v>
    <v>2788 San Tomas Expressway, SANTA CLARA, CA, 95051 US</v>
    <v>196.18</v>
    <v>Semiconductors &amp; Semiconductor Equipment</v>
    <v>Stock</v>
    <v>46202.903848240625</v>
    <v>3</v>
    <v>189.8</v>
    <v>4718274000000</v>
    <v>NVIDIA CORPORATION</v>
    <v>NVIDIA CORPORATION</v>
    <v>193.85</v>
    <v>29.857600000000001</v>
    <v>192.53</v>
    <v>194.97</v>
    <v>194.91499999999999</v>
    <v>24200000000</v>
    <v>NVDA</v>
    <v>NVIDIA CORPORATION (XNAS:NVDA)</v>
    <v>147624404</v>
    <v>170834438</v>
    <v>1998</v>
  </rv>
  <rv s="2">
    <v>4</v>
  </rv>
  <rv s="0">
    <v>http://en.wikipedia.org/wiki/Public_domain</v>
    <v>Public domain</v>
  </rv>
  <rv s="0">
    <v>http://en.wikipedia.org/wiki/IBM</v>
    <v>Wikipedia</v>
  </rv>
  <rv s="3">
    <v>6</v>
    <v>7</v>
  </rv>
  <rv s="4">
    <v>9</v>
    <v>https://www.bing.com/th?id=AMMS_41da901be1b295dc42c72dadb9c0f67d&amp;qlt=95</v>
    <v>8</v>
    <v>0</v>
    <v>https://www.bing.com/images/search?form=xlimg&amp;q=ibm</v>
    <v>Image of INTERNATIONAL BUSINESS MACHINES CORPORATION</v>
  </rv>
  <rv s="0">
    <v>https://www.bing.com/financeapi/forcetrigger?t=a1v6nm&amp;q=XNYS%3aIBM&amp;form=skydnc</v>
    <v>Learn more on Bing</v>
  </rv>
  <rv s="5">
    <v>en-US</v>
    <v>a1v6nm</v>
    <v>268435456</v>
    <v>1</v>
    <v>Powered by Refinitiv</v>
    <v>5</v>
    <v>INTERNATIONAL BUSINESS MACHINES CORPORATION (XNYS:IBM)</v>
    <v>7</v>
    <v>8</v>
    <v>Finance</v>
    <v>4</v>
    <v>332.46</v>
    <v>212.34</v>
    <v>0.68310000000000004</v>
    <v>6.23</v>
    <v>-3.5970000000000002E-4</v>
    <v>2.2936000000000002E-2</v>
    <v>-0.1</v>
    <v>USD</v>
    <v>International Business Machines Corporation is a provider of global hybrid cloud and artificial intelligence (AI) and consulting expertise. The Company’s segments include Software, Consulting, Infrastructure and Financing. The Software segment includes hybrid cloud and AI platforms, which allow clients to realize their digital and AI transformations across the applications, data, and environments in which they operate. The Consulting segment focuses on integrating skills on strategy, experience, technology and operations by domain and industry. The Infrastructure segment is focused on the hybrid cloud infrastructure market, providing on-premises and cloud-based server and storage solutions. In addition, it offers a portfolio of life-cycle services for hybrid cloud infrastructure deployment. The Financing segment provides client and commercial financing, facilitating its clients’ acquisition of hardware, software and services. It helps clients in more than 175 countries.</v>
    <v>286800</v>
    <v>New York Stock Exchange</v>
    <v>XNYS</v>
    <v>XNYS</v>
    <v>One New Orchard Road, ARMONK, NY, 10504 US</v>
    <v>278.14999999999998</v>
    <v>9</v>
    <v>Software &amp; IT Services</v>
    <v>Stock</v>
    <v>46202.903657187497</v>
    <v>10</v>
    <v>269.06</v>
    <v>261156529458</v>
    <v>INTERNATIONAL BUSINESS MACHINES CORPORATION</v>
    <v>INTERNATIONAL BUSINESS MACHINES CORPORATION</v>
    <v>274.3</v>
    <v>22.235900000000001</v>
    <v>271.63</v>
    <v>277.86</v>
    <v>277.89999999999998</v>
    <v>939885300</v>
    <v>IBM</v>
    <v>INTERNATIONAL BUSINESS MACHINES CORPORATION (XNYS:IBM)</v>
    <v>6435867</v>
    <v>12437136</v>
    <v>1911</v>
  </rv>
  <rv s="2">
    <v>11</v>
  </rv>
  <rv s="0">
    <v>https://www.bing.com/financeapi/forcetrigger?t=a1mvjc&amp;q=XNAS%3aADI&amp;form=skydnc</v>
    <v>Learn more on Bing</v>
  </rv>
  <rv s="1">
    <v>en-US</v>
    <v>a1mvjc</v>
    <v>268435456</v>
    <v>1</v>
    <v>Powered by Refinitiv</v>
    <v>0</v>
    <v>ANALOG DEVICES, INC. (XNAS:ADI)</v>
    <v>2</v>
    <v>3</v>
    <v>Finance</v>
    <v>4</v>
    <v>445.91</v>
    <v>218.37</v>
    <v>1.1936</v>
    <v>4.87</v>
    <v>-1.1999999999999999E-3</v>
    <v>1.2586999999999999E-2</v>
    <v>-0.47</v>
    <v>USD</v>
    <v>Analog Devices, Inc. is a global semiconductor company. It combines analog, digital, artificial intelligence (AI), and software technologies into solutions that combat climate change, reliably connect humans and the world, and help drive advancements in automation and robotics, mobility, healthcare, energy and data centers. It designs, manufactures, tests and markets a portfolio of solutions, including integrated circuits (ICs), software and subsystems that leverage high-performance analog, mixed-signal and digital signal processing technologies. Its product portfolio, domain specialization and advanced manufacturing capabilities extend across high-performance precision and high-speed mixed-signal, power management and processing technologies, including data converters, amplifiers, power management, power management, radio frequency ICs, edge processors and other sensors. Its IC product portfolio includes both general-purpose products used by a range of customers and applications.</v>
    <v>24500</v>
    <v>Nasdaq Stock Market</v>
    <v>XNAS</v>
    <v>XNAS</v>
    <v>One Analog Way, WILMINGTON, MA, 01887 US</v>
    <v>398.06</v>
    <v>Semiconductors &amp; Semiconductor Equipment</v>
    <v>Stock</v>
    <v>46202.900491608591</v>
    <v>13</v>
    <v>385.01</v>
    <v>190830944860</v>
    <v>ANALOG DEVICES, INC.</v>
    <v>ANALOG DEVICES, INC.</v>
    <v>388.16</v>
    <v>55.708300000000001</v>
    <v>386.91</v>
    <v>391.78</v>
    <v>391.31</v>
    <v>487087000</v>
    <v>ADI</v>
    <v>ANALOG DEVICES, INC. (XNAS:ADI)</v>
    <v>5167954</v>
    <v>5614219</v>
    <v>1965</v>
  </rv>
  <rv s="2">
    <v>14</v>
  </rv>
  <rv s="0">
    <v>https://www.bing.com/financeapi/forcetrigger?t=a1vmf2&amp;q=XNAS%3aINTC&amp;form=skydnc</v>
    <v>Learn more on Bing</v>
  </rv>
  <rv s="1">
    <v>en-US</v>
    <v>a1vmf2</v>
    <v>268435456</v>
    <v>1</v>
    <v>Powered by Refinitiv</v>
    <v>0</v>
    <v>INTEL CORPORATION (XNAS:INTC)</v>
    <v>2</v>
    <v>3</v>
    <v>Finance</v>
    <v>4</v>
    <v>141.44999999999999</v>
    <v>18.965</v>
    <v>2.1696</v>
    <v>3.4</v>
    <v>-3.568E-3</v>
    <v>2.6495999999999999E-2</v>
    <v>-0.47</v>
    <v>USD</v>
    <v>Intel Corporation is a global designer and manufacturer of semiconductor products. The Company's segments include Intel Products, Intel Foundry, and All Other. Its Intel Products comprise Client Computing Group (CCG) and Data Center and AI (DCAI). CCG delivers platforms and processors that power PCs and edge devices, enabling enhanced performance, connectivity and user experience for consumer and commercial markets with capabilities that also support retail, industrial robotics and AI ecosystems at the edge. DCAI delivers workload-optimized solutions based upon its x86 architecture for data centers, including CPUs, AI accelerators, NICs, IPUs and custom ASICs, enabling performance and scalability for cloud, enterprise, telecommunication and HPC environments. The Intel Foundry segment comprises technology development, manufacturing and foundry services, developing new semiconductor process technologies and advanced packaging technologies. All Other segments include Mobileye and Other.</v>
    <v>83200</v>
    <v>Nasdaq Stock Market</v>
    <v>XNAS</v>
    <v>XNAS</v>
    <v>2200 Mission College Blvd, Rnb-4-151, SANTA CLARA, CA, 95054 US</v>
    <v>132.05000000000001</v>
    <v>Semiconductors &amp; Semiconductor Equipment</v>
    <v>Stock</v>
    <v>46202.903848830472</v>
    <v>16</v>
    <v>118.5</v>
    <v>662024720000</v>
    <v>INTEL CORPORATION</v>
    <v>INTEL CORPORATION</v>
    <v>127</v>
    <v>0</v>
    <v>128.32</v>
    <v>131.72</v>
    <v>131.25</v>
    <v>5026000000</v>
    <v>INTC</v>
    <v>INTEL CORPORATION (XNAS:INTC)</v>
    <v>106299769</v>
    <v>128462708</v>
    <v>1989</v>
  </rv>
  <rv s="2">
    <v>17</v>
  </rv>
  <rv s="0">
    <v>https://www.bing.com/financeapi/forcetrigger?t=a23pkr&amp;q=XNYS%3aSTM&amp;form=skydnc</v>
    <v>Learn more on Bing</v>
  </rv>
  <rv s="1">
    <v>en-US</v>
    <v>a23pkr</v>
    <v>268435456</v>
    <v>1</v>
    <v>Powered by Refinitiv</v>
    <v>0</v>
    <v>STMicroelectronics NV (XNYS:STM)</v>
    <v>2</v>
    <v>3</v>
    <v>Finance</v>
    <v>4</v>
    <v>81.42</v>
    <v>21.11</v>
    <v>1.9215</v>
    <v>3.29</v>
    <v>-1.2030000000000001E-3</v>
    <v>4.6066000000000003E-2</v>
    <v>-0.09</v>
    <v>USD</v>
    <v>STMicroelectronics N.V. is a Netherlands-based semiconductor company. It designs, develops, manufactures and markets a range of products, including discrete and standard commodity components, and application-specific integrated circuits (ASICs) for analog, digital and mixed-signal applications. The Company's segments include Automotive and Discrete Group (ADG), Analog, MEMS and Sensors Group (AMS), and Microcontrollers and Digital ICs Group (MDG). The ADG segment comprises all dedicated automotive Integrated Circuits (ICs), and discrete and power transistor products. The AMS segment includes low-power analog ICs for all markets, smart power products; Touch Screen Controllers, Low Power Connectivity solutions for Internet of Things (IoT), and power conversion products, among others. The AMS segment comprises general purpose and secure microcontrollers, and Electrically Erasable Programmable Read-Only Memory memories.</v>
    <v>49157</v>
    <v>New York Stock Exchange</v>
    <v>XNYS</v>
    <v>XNYS</v>
    <v>WTC Schiphol Airport, Schiphol Boulevard 265, SCHIPHOL, NOORD-HOLLAND, 1118BH NL</v>
    <v>74.83</v>
    <v>Semiconductors &amp; Semiconductor Equipment</v>
    <v>Stock</v>
    <v>46202.898953853903</v>
    <v>19</v>
    <v>69.86</v>
    <v>68081870748</v>
    <v>STMicroelectronics NV</v>
    <v>STMicroelectronics NV</v>
    <v>72.7</v>
    <v>477.99099999999999</v>
    <v>71.42</v>
    <v>74.709999999999994</v>
    <v>74.7</v>
    <v>911281900</v>
    <v>STM</v>
    <v>STMicroelectronics NV (XNYS:STM)</v>
    <v>9997694</v>
    <v>13268030</v>
    <v>1987</v>
  </rv>
  <rv s="2">
    <v>20</v>
  </rv>
  <rv s="0">
    <v>http://en.wikipedia.org/wiki/Qualcomm</v>
    <v>Wikipedia</v>
  </rv>
  <rv s="3">
    <v>6</v>
    <v>22</v>
  </rv>
  <rv s="4">
    <v>9</v>
    <v>https://www.bing.com/th?id=AMMS_2b1c176dae370ecc0d55a1517537f595&amp;qlt=95</v>
    <v>23</v>
    <v>0</v>
    <v>https://www.bing.com/images/search?form=xlimg&amp;q=qualcomm</v>
    <v>Image of QUALCOMM INCORPORATED</v>
  </rv>
  <rv s="0">
    <v>https://www.bing.com/financeapi/forcetrigger?t=a21k2w&amp;q=XNAS%3aQCOM&amp;form=skydnc</v>
    <v>Learn more on Bing</v>
  </rv>
  <rv s="5">
    <v>en-US</v>
    <v>a21k2w</v>
    <v>268435456</v>
    <v>1</v>
    <v>Powered by Refinitiv</v>
    <v>5</v>
    <v>QUALCOMM INCORPORATED (XNAS:QCOM)</v>
    <v>7</v>
    <v>8</v>
    <v>Finance</v>
    <v>4</v>
    <v>259.92</v>
    <v>121.99</v>
    <v>1.659</v>
    <v>-0.67</v>
    <v>2.0140000000000002E-3</v>
    <v>-3.5379999999999999E-3</v>
    <v>0.38</v>
    <v>USD</v>
    <v>Qualcomm Incorporated is engaged in the development and commercialization of foundational technologies for the wireless industry, including third generation (3G), fourth generation (4G) and fifth generation (5G) wireless connectivity, and high-performance and low-power computing, including on-device artificial intelligence. Its segments include Qualcomm CDMA Technologies (QCT), Qualcomm Technology Licensing (QTL) and Qualcomm Strategic Initiatives. QCT develops and supplies integrated circuits and system software based on 3G/4G/5G and other technologies, including radio frequency front-end, digital cockpit and advanced driver assistance and automated driving, Internet of things including consumer electronic devices, industrial devices and edge networking products. QTL grants licenses or otherwise provides rights to use portions of its intellectual property portfolio that includes certain patent rights essential to and/or useful in the manufacture and sale of certain wireless products.</v>
    <v>52000</v>
    <v>Nasdaq Stock Market</v>
    <v>XNAS</v>
    <v>XNAS</v>
    <v>5775 Morehouse Drive, SAN DIEGO, CA, 92121 US</v>
    <v>194.59</v>
    <v>24</v>
    <v>Semiconductors &amp; Semiconductor Equipment</v>
    <v>Stock</v>
    <v>46202.903593193747</v>
    <v>25</v>
    <v>183.58</v>
    <v>198910880000</v>
    <v>QUALCOMM INCORPORATED</v>
    <v>QUALCOMM INCORPORATED</v>
    <v>193.03</v>
    <v>20.527799999999999</v>
    <v>189.39</v>
    <v>188.72</v>
    <v>189.1</v>
    <v>1054000000</v>
    <v>QCOM</v>
    <v>QUALCOMM INCORPORATED (XNAS:QCOM)</v>
    <v>21490794</v>
    <v>23722852</v>
    <v>1991</v>
  </rv>
  <rv s="2">
    <v>26</v>
  </rv>
</rvData>
</file>

<file path=xl/richData/rdrichvaluestructure.xml><?xml version="1.0" encoding="utf-8"?>
<rvStructures xmlns="http://schemas.microsoft.com/office/spreadsheetml/2017/richdata" count="6">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E2C7440-C267-44A6-8409-B9C493F8ACBD}" name="Table3" displayName="Table3" ref="N8:U49" totalsRowShown="0" headerRowBorderDxfId="48">
  <autoFilter ref="N8:U49" xr:uid="{0E2C7440-C267-44A6-8409-B9C493F8ACBD}"/>
  <tableColumns count="8">
    <tableColumn id="1" xr3:uid="{26457B26-D5F6-401D-9D6E-61A458911607}" name="Column1" dataDxfId="47"/>
    <tableColumn id="7" xr3:uid="{DD4EFFE6-6A24-46D2-BC3E-D57682AB03E1}" name="2019"/>
    <tableColumn id="6" xr3:uid="{A1A7B0E7-CFC6-4EB9-AEB3-DBE913624F29}" name="2020"/>
    <tableColumn id="2" xr3:uid="{AF6147DE-65EB-4F9F-AC9D-D37659330952}" name="2021" dataDxfId="46" dataCellStyle="Comma"/>
    <tableColumn id="3" xr3:uid="{92565F84-FF62-40EB-8F3C-64B7154FB622}" name="2022" dataDxfId="45" dataCellStyle="Comma"/>
    <tableColumn id="4" xr3:uid="{4170AAFD-5763-4466-B9FC-2A13B32D2190}" name="2023" dataDxfId="44" dataCellStyle="Comma"/>
    <tableColumn id="5" xr3:uid="{2B2F2E29-E640-4820-B432-5FF900B7C0CD}" name="2024" dataDxfId="43" dataCellStyle="Comma"/>
    <tableColumn id="14" xr3:uid="{F00333B2-1662-44DA-9E0D-6A36910A24E0}" name="2025" dataDxfId="42"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621EEF-65CC-498F-A532-C4126C411DC2}" name="Table4" displayName="Table4" ref="B8:I43" totalsRowShown="0" headerRowDxfId="41" dataDxfId="39" headerRowBorderDxfId="40" tableBorderDxfId="38" dataCellStyle="Percent">
  <autoFilter ref="B8:I43" xr:uid="{6D621EEF-65CC-498F-A532-C4126C411DC2}"/>
  <tableColumns count="8">
    <tableColumn id="1" xr3:uid="{F200AF19-9524-4DE6-AD5F-A9015D2F274E}" name="Column1" dataDxfId="37"/>
    <tableColumn id="8" xr3:uid="{8A98B52B-925B-4EEF-B58C-64A9B5AD5AE5}" name="2019"/>
    <tableColumn id="7" xr3:uid="{B4DFF27F-E694-4843-9719-371CF3178106}" name="2020"/>
    <tableColumn id="2" xr3:uid="{C783C7F9-5412-40AB-B0A5-504013324C84}" name="2021" dataDxfId="36" dataCellStyle="Percent"/>
    <tableColumn id="3" xr3:uid="{DEBBCBE6-A586-4C26-862D-37AC716E41C7}" name="2022" dataDxfId="35" dataCellStyle="Percent"/>
    <tableColumn id="4" xr3:uid="{A5E34FD0-B8FB-4319-9124-2C7087CEC12E}" name="2023" dataDxfId="34" dataCellStyle="Percent"/>
    <tableColumn id="6" xr3:uid="{0248DB08-9A7C-456B-B22B-7DB96F461CA4}" name="2024" dataDxfId="33" dataCellStyle="Percent"/>
    <tableColumn id="5" xr3:uid="{1DD6CAB1-32E0-40F3-986E-E1CA92F9673B}" name="2025" dataDxfId="32" dataCellStyle="Perce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568FA1-D57E-4697-B480-FF98BFE7AA4E}" name="Table2" displayName="Table2" ref="C14:L22" totalsRowShown="0" dataDxfId="31" dataCellStyle="Comma">
  <autoFilter ref="C14:L22" xr:uid="{19568FA1-D57E-4697-B480-FF98BFE7AA4E}"/>
  <sortState xmlns:xlrd2="http://schemas.microsoft.com/office/spreadsheetml/2017/richdata2" ref="C15:L22">
    <sortCondition descending="1" ref="D14:D22"/>
  </sortState>
  <tableColumns count="10">
    <tableColumn id="1" xr3:uid="{9F247598-2A86-4948-8F55-B7AE44A993B3}" name="2023 EV/EBITDA" dataDxfId="30"/>
    <tableColumn id="2" xr3:uid="{6263880C-7EF7-4242-8323-FDB1EE00279F}" name="Column1" dataDxfId="29" dataCellStyle="Comma"/>
    <tableColumn id="3" xr3:uid="{2F8D1ACC-91B5-4151-97C2-E10DB887BD27}" name="Column2" dataDxfId="28" dataCellStyle="Comma"/>
    <tableColumn id="4" xr3:uid="{9410EACF-3BC1-4DE2-B7E6-B14A3773CF5F}" name="Column3" dataDxfId="27" dataCellStyle="Comma"/>
    <tableColumn id="5" xr3:uid="{DD57833F-56CD-4AC9-8ED9-7D12B94EBC25}" name="Column4" dataDxfId="26" dataCellStyle="Comma"/>
    <tableColumn id="6" xr3:uid="{23A2C963-3C15-42B4-963E-9AAC10F418A4}" name="Column5" dataDxfId="25" dataCellStyle="Comma">
      <calculatedColumnFormula>F15-G15</calculatedColumnFormula>
    </tableColumn>
    <tableColumn id="7" xr3:uid="{08D82951-C098-4D76-B13A-D459315127F4}" name="Column6" dataDxfId="24" dataCellStyle="Comma"/>
    <tableColumn id="8" xr3:uid="{E98FEC4E-4B3F-46FF-9310-7B418E00F4CA}" name="Column7" dataDxfId="23" dataCellStyle="Comma"/>
    <tableColumn id="9" xr3:uid="{FA07CC9E-E005-454D-81F3-E12A1B20E597}" name="Column8" dataDxfId="22">
      <calculatedColumnFormula>J15/I15</calculatedColumnFormula>
    </tableColumn>
    <tableColumn id="10" xr3:uid="{54341138-6CF0-41E6-81CB-F0C2BC8D8E80}" name="Column9" dataDxfId="21">
      <calculatedColumnFormula>E15/I15</calculatedColumnFormula>
    </tableColumn>
  </tableColumns>
  <tableStyleInfo name="TableStyleDark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8012FBB-BB17-40DC-BCD6-3C6F0DF5B94D}" name="Table5" displayName="Table5" ref="B18:E26" totalsRowShown="0" headerRowDxfId="20" dataDxfId="18" headerRowBorderDxfId="19" tableBorderDxfId="17" dataCellStyle="Percent">
  <autoFilter ref="B18:E26" xr:uid="{28012FBB-BB17-40DC-BCD6-3C6F0DF5B94D}"/>
  <tableColumns count="4">
    <tableColumn id="1" xr3:uid="{BA799BC0-000B-4F18-8F21-E57071C444A8}" name="Column1" dataDxfId="16"/>
    <tableColumn id="2" xr3:uid="{12D9F490-8318-4F8F-AA38-85D92EF53F5E}" name="2022" dataDxfId="15" dataCellStyle="Percent"/>
    <tableColumn id="3" xr3:uid="{868ADE97-BB92-4B88-9B66-0EE72C136094}" name="2023" dataDxfId="14" dataCellStyle="Percent"/>
    <tableColumn id="4" xr3:uid="{210FE7A0-A6B6-4470-838E-165376FE5420}" name="2024" dataDxfId="13"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203847-10B9-4215-B923-2398A1D1B036}" name="Table6" displayName="Table6" ref="B6:E14" totalsRowShown="0" headerRowDxfId="12" dataDxfId="10" headerRowBorderDxfId="11" tableBorderDxfId="9" dataCellStyle="Comma">
  <autoFilter ref="B6:E14" xr:uid="{A7203847-10B9-4215-B923-2398A1D1B036}"/>
  <tableColumns count="4">
    <tableColumn id="1" xr3:uid="{CF39ACA4-F7B6-481C-A80A-1F3133035E28}" name="Column1" dataDxfId="8"/>
    <tableColumn id="2" xr3:uid="{8CB36B42-D73A-4F8C-995D-952E4010C32D}" name="2022" dataDxfId="7" dataCellStyle="Comma"/>
    <tableColumn id="3" xr3:uid="{B5A803D8-B712-43BA-B96B-4C7D6B5AEC89}" name="2023" dataDxfId="6" dataCellStyle="Comma"/>
    <tableColumn id="4" xr3:uid="{0AF42D1D-FE8A-455F-B497-781D774F9A54}" name="2024" dataDxfId="5" dataCellStyle="Comma"/>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FA5FE2-BF25-446E-B839-4AA93EB855A3}" name="Table8108" displayName="Table8108" ref="B6:D14" totalsRowShown="0" headerRowDxfId="4" dataDxfId="3">
  <autoFilter ref="B6:D14" xr:uid="{45FA5FE2-BF25-446E-B839-4AA93EB855A3}">
    <filterColumn colId="0" hiddenButton="1"/>
    <filterColumn colId="1" hiddenButton="1"/>
    <filterColumn colId="2" hiddenButton="1"/>
  </autoFilter>
  <tableColumns count="3">
    <tableColumn id="1" xr3:uid="{DCB77B3D-62B6-45BF-A983-3E59A73E285A}" name="Screening Score" dataDxfId="2"/>
    <tableColumn id="2" xr3:uid="{F03CD9DA-8D8B-4777-BE41-FE378374B66E}" name="Column1" dataDxfId="1"/>
    <tableColumn id="3" xr3:uid="{25CA490C-9DB4-4AFF-916A-05E48D5B27DC}"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DB949-6A33-4180-A5FD-1BBD5F09AB3E}">
  <sheetPr>
    <pageSetUpPr fitToPage="1"/>
  </sheetPr>
  <dimension ref="B2:X55"/>
  <sheetViews>
    <sheetView tabSelected="1" topLeftCell="F1" zoomScale="114" zoomScaleNormal="114" workbookViewId="0">
      <selection activeCell="X35" sqref="X35"/>
    </sheetView>
  </sheetViews>
  <sheetFormatPr defaultColWidth="10.7109375" defaultRowHeight="12.75" x14ac:dyDescent="0.2"/>
  <cols>
    <col min="2" max="2" width="30.7109375" customWidth="1"/>
    <col min="3" max="4" width="10.7109375" customWidth="1"/>
    <col min="5" max="5" width="10.7109375" style="2" customWidth="1"/>
    <col min="6" max="9" width="10.7109375" style="2"/>
    <col min="13" max="13" width="5.5703125" customWidth="1"/>
    <col min="14" max="14" width="26.85546875" customWidth="1"/>
    <col min="15" max="16" width="10.7109375" customWidth="1"/>
    <col min="17" max="21" width="10.7109375" style="2"/>
  </cols>
  <sheetData>
    <row r="2" spans="2:24" x14ac:dyDescent="0.2">
      <c r="E2"/>
      <c r="F2"/>
      <c r="G2"/>
      <c r="H2"/>
      <c r="I2"/>
      <c r="Q2"/>
      <c r="R2"/>
      <c r="S2"/>
      <c r="T2"/>
      <c r="U2"/>
    </row>
    <row r="3" spans="2:24" x14ac:dyDescent="0.2">
      <c r="B3" t="e" vm="1">
        <v>#VALUE!</v>
      </c>
      <c r="E3"/>
      <c r="F3"/>
      <c r="G3"/>
      <c r="H3"/>
      <c r="I3"/>
      <c r="Q3"/>
      <c r="R3"/>
      <c r="S3"/>
      <c r="T3"/>
      <c r="U3"/>
    </row>
    <row r="4" spans="2:24" x14ac:dyDescent="0.2">
      <c r="B4" t="s">
        <v>0</v>
      </c>
      <c r="E4" s="1" cm="1">
        <f t="array" aca="1" ref="E4" ca="1">_FV(B3,"Price")</f>
        <v>539.49</v>
      </c>
      <c r="F4"/>
      <c r="G4"/>
      <c r="H4"/>
      <c r="I4"/>
      <c r="Q4"/>
      <c r="R4"/>
      <c r="S4"/>
      <c r="T4"/>
      <c r="U4"/>
    </row>
    <row r="5" spans="2:24" x14ac:dyDescent="0.2">
      <c r="B5" t="s">
        <v>1</v>
      </c>
      <c r="E5" s="2">
        <v>1620.48</v>
      </c>
      <c r="F5"/>
      <c r="G5"/>
      <c r="H5"/>
      <c r="I5"/>
      <c r="Q5"/>
      <c r="R5"/>
      <c r="S5"/>
      <c r="T5"/>
      <c r="U5"/>
    </row>
    <row r="6" spans="2:24" x14ac:dyDescent="0.2">
      <c r="B6" t="s">
        <v>2</v>
      </c>
      <c r="E6" s="2">
        <f ca="1">E4*E5</f>
        <v>874232.75520000001</v>
      </c>
      <c r="F6"/>
      <c r="G6"/>
      <c r="H6"/>
      <c r="I6"/>
      <c r="Q6"/>
      <c r="R6"/>
      <c r="S6"/>
      <c r="T6"/>
      <c r="U6"/>
    </row>
    <row r="7" spans="2:24" x14ac:dyDescent="0.2">
      <c r="E7"/>
      <c r="F7"/>
      <c r="G7"/>
      <c r="H7"/>
      <c r="I7"/>
      <c r="Q7"/>
      <c r="R7"/>
      <c r="S7"/>
      <c r="T7"/>
      <c r="U7"/>
    </row>
    <row r="8" spans="2:24" x14ac:dyDescent="0.2">
      <c r="B8" s="42" t="s">
        <v>81</v>
      </c>
      <c r="C8" s="65" t="s">
        <v>109</v>
      </c>
      <c r="D8" s="65" t="s">
        <v>108</v>
      </c>
      <c r="E8" s="11" t="s">
        <v>92</v>
      </c>
      <c r="F8" s="11" t="s">
        <v>93</v>
      </c>
      <c r="G8" s="11" t="s">
        <v>94</v>
      </c>
      <c r="H8" s="11" t="s">
        <v>95</v>
      </c>
      <c r="I8" s="14" t="s">
        <v>107</v>
      </c>
      <c r="J8" s="38" t="s">
        <v>23</v>
      </c>
      <c r="K8" s="12" t="s">
        <v>24</v>
      </c>
      <c r="L8" s="13" t="s">
        <v>111</v>
      </c>
      <c r="N8" s="77" t="s">
        <v>81</v>
      </c>
      <c r="O8" s="71" t="s">
        <v>109</v>
      </c>
      <c r="P8" s="71" t="s">
        <v>108</v>
      </c>
      <c r="Q8" s="11" t="s">
        <v>92</v>
      </c>
      <c r="R8" s="11" t="s">
        <v>93</v>
      </c>
      <c r="S8" s="11" t="s">
        <v>94</v>
      </c>
      <c r="T8" s="11" t="s">
        <v>95</v>
      </c>
      <c r="U8" s="11" t="s">
        <v>107</v>
      </c>
      <c r="V8" s="38" t="s">
        <v>23</v>
      </c>
      <c r="W8" s="12" t="s">
        <v>24</v>
      </c>
      <c r="X8" s="13" t="s">
        <v>111</v>
      </c>
    </row>
    <row r="9" spans="2:24" x14ac:dyDescent="0.2">
      <c r="B9" s="7" t="s">
        <v>3</v>
      </c>
      <c r="C9" s="14"/>
      <c r="D9" s="14"/>
      <c r="J9" s="57"/>
      <c r="K9" s="58"/>
      <c r="L9" s="59"/>
      <c r="N9" s="7" t="s">
        <v>26</v>
      </c>
      <c r="O9" s="14"/>
      <c r="P9" s="14"/>
      <c r="U9" s="16"/>
      <c r="V9" s="57"/>
      <c r="W9" s="58"/>
      <c r="X9" s="59"/>
    </row>
    <row r="10" spans="2:24" x14ac:dyDescent="0.2">
      <c r="B10" s="6" t="s">
        <v>4</v>
      </c>
      <c r="C10" s="83" t="s">
        <v>110</v>
      </c>
      <c r="D10" s="83" t="s">
        <v>110</v>
      </c>
      <c r="E10" s="2">
        <v>3694</v>
      </c>
      <c r="F10" s="2">
        <v>6043</v>
      </c>
      <c r="G10" s="2">
        <v>6496</v>
      </c>
      <c r="H10" s="2">
        <v>12579</v>
      </c>
      <c r="I10" s="2">
        <v>16635</v>
      </c>
      <c r="J10" s="96">
        <f>LN(Table4[[#This Row],[2025]]/Table4[[#This Row],[2024]])</f>
        <v>0.27948015261370474</v>
      </c>
      <c r="K10" s="97">
        <f>LN(Table4[[#This Row],[2025]]/Table4[[#This Row],[2023]])</f>
        <v>0.94032230661106331</v>
      </c>
      <c r="L10" s="86" t="s">
        <v>110</v>
      </c>
      <c r="N10" s="78" t="s">
        <v>27</v>
      </c>
      <c r="O10" s="15"/>
      <c r="P10" s="15"/>
      <c r="U10" s="16"/>
      <c r="V10" s="60"/>
      <c r="W10" s="21"/>
      <c r="X10" s="22"/>
    </row>
    <row r="11" spans="2:24" x14ac:dyDescent="0.2">
      <c r="B11" s="6" t="s">
        <v>5</v>
      </c>
      <c r="C11" s="83" t="s">
        <v>110</v>
      </c>
      <c r="D11" s="83" t="s">
        <v>110</v>
      </c>
      <c r="E11" s="2">
        <v>6887</v>
      </c>
      <c r="F11" s="2">
        <v>6201</v>
      </c>
      <c r="G11" s="2">
        <v>4651</v>
      </c>
      <c r="H11" s="2">
        <v>7054</v>
      </c>
      <c r="I11" s="2">
        <v>10640</v>
      </c>
      <c r="J11" s="96">
        <f>LN(Table4[[#This Row],[2025]]/Table4[[#This Row],[2024]])</f>
        <v>0.41102565209963804</v>
      </c>
      <c r="K11" s="97">
        <f>LN(Table4[[#This Row],[2025]]/Table4[[#This Row],[2023]])</f>
        <v>0.82753823367153845</v>
      </c>
      <c r="L11" s="86" t="s">
        <v>110</v>
      </c>
      <c r="N11" s="79" t="s">
        <v>28</v>
      </c>
      <c r="O11" s="72">
        <v>1466</v>
      </c>
      <c r="P11" s="72">
        <v>1595</v>
      </c>
      <c r="Q11" s="2">
        <v>2535</v>
      </c>
      <c r="R11" s="2">
        <v>4835</v>
      </c>
      <c r="S11" s="2">
        <v>3933</v>
      </c>
      <c r="T11" s="2">
        <v>3787</v>
      </c>
      <c r="U11" s="2">
        <v>5539</v>
      </c>
      <c r="V11" s="96">
        <f>LN(Table3[[#This Row],[2025]]/Table3[[#This Row],[2024]])</f>
        <v>0.38023983013130908</v>
      </c>
      <c r="W11" s="93">
        <f>LN(Table3[[#This Row],[2025]]/Table3[[#This Row],[2023]])</f>
        <v>0.34241148560129431</v>
      </c>
      <c r="X11" s="94">
        <f>LN(Table3[[#This Row],[2025]]/Table3[[#This Row],[2019]])</f>
        <v>1.3292763755865071</v>
      </c>
    </row>
    <row r="12" spans="2:24" x14ac:dyDescent="0.2">
      <c r="B12" s="6" t="s">
        <v>6</v>
      </c>
      <c r="C12" s="83" t="s">
        <v>110</v>
      </c>
      <c r="D12" s="83" t="s">
        <v>110</v>
      </c>
      <c r="E12" s="2">
        <v>5607</v>
      </c>
      <c r="F12" s="2">
        <v>6805</v>
      </c>
      <c r="G12" s="2">
        <v>6212</v>
      </c>
      <c r="H12" s="2">
        <v>2595</v>
      </c>
      <c r="I12" s="2">
        <v>3910</v>
      </c>
      <c r="J12" s="96">
        <f>LN(Table4[[#This Row],[2025]]/Table4[[#This Row],[2024]])</f>
        <v>0.40995085737942238</v>
      </c>
      <c r="K12" s="97">
        <f>LN(Table4[[#This Row],[2025]]/Table4[[#This Row],[2023]])</f>
        <v>-0.46294553128916621</v>
      </c>
      <c r="L12" s="86" t="s">
        <v>110</v>
      </c>
      <c r="N12" s="79" t="s">
        <v>29</v>
      </c>
      <c r="O12" s="72">
        <v>37</v>
      </c>
      <c r="P12" s="72">
        <v>695</v>
      </c>
      <c r="Q12" s="2">
        <v>1073</v>
      </c>
      <c r="R12" s="2">
        <v>1020</v>
      </c>
      <c r="S12" s="2">
        <v>1840</v>
      </c>
      <c r="T12" s="2">
        <v>1345</v>
      </c>
      <c r="U12" s="2">
        <v>5013</v>
      </c>
      <c r="V12" s="96">
        <f>LN(Table3[[#This Row],[2025]]/Table3[[#This Row],[2024]])</f>
        <v>1.315640525227564</v>
      </c>
      <c r="W12" s="93">
        <f>LN(Table3[[#This Row],[2025]]/Table3[[#This Row],[2023]])</f>
        <v>1.002268966660472</v>
      </c>
      <c r="X12" s="97">
        <f>LN(Table3[[#This Row],[2025]]/Table3[[#This Row],[2019]])</f>
        <v>4.9088719046192786</v>
      </c>
    </row>
    <row r="13" spans="2:24" x14ac:dyDescent="0.2">
      <c r="B13" s="6" t="s">
        <v>7</v>
      </c>
      <c r="C13" s="83" t="s">
        <v>110</v>
      </c>
      <c r="D13" s="83" t="s">
        <v>110</v>
      </c>
      <c r="E13" s="2">
        <v>246</v>
      </c>
      <c r="F13" s="2">
        <v>4552</v>
      </c>
      <c r="G13" s="2">
        <v>5321</v>
      </c>
      <c r="H13" s="2">
        <v>3557</v>
      </c>
      <c r="I13" s="2">
        <v>3454</v>
      </c>
      <c r="J13" s="84">
        <f>LN(Table4[[#This Row],[2025]]/Table4[[#This Row],[2024]])</f>
        <v>-2.9384513241831323E-2</v>
      </c>
      <c r="K13" s="97">
        <f>LN(Table4[[#This Row],[2025]]/Table4[[#This Row],[2023]])</f>
        <v>-0.43212827588974528</v>
      </c>
      <c r="L13" s="86" t="s">
        <v>110</v>
      </c>
      <c r="N13" s="79" t="s">
        <v>30</v>
      </c>
      <c r="O13" s="72">
        <v>1859</v>
      </c>
      <c r="P13" s="72">
        <v>2066</v>
      </c>
      <c r="Q13" s="2">
        <v>2706</v>
      </c>
      <c r="R13" s="2">
        <v>4126</v>
      </c>
      <c r="S13" s="2">
        <v>4323</v>
      </c>
      <c r="T13" s="2">
        <v>6192</v>
      </c>
      <c r="U13" s="2">
        <v>6315</v>
      </c>
      <c r="V13" s="92">
        <f>LN(Table3[[#This Row],[2025]]/Table3[[#This Row],[2024]])</f>
        <v>1.9669619515028366E-2</v>
      </c>
      <c r="W13" s="93">
        <f>LN(Table3[[#This Row],[2025]]/Table3[[#This Row],[2023]])</f>
        <v>0.37897815011695962</v>
      </c>
      <c r="X13" s="94">
        <f>LN(Table3[[#This Row],[2025]]/Table3[[#This Row],[2019]])</f>
        <v>1.2228890470631475</v>
      </c>
    </row>
    <row r="14" spans="2:24" ht="13.5" thickBot="1" x14ac:dyDescent="0.25">
      <c r="B14" s="8" t="s">
        <v>8</v>
      </c>
      <c r="C14" s="3">
        <v>6731</v>
      </c>
      <c r="D14" s="3">
        <v>9763</v>
      </c>
      <c r="E14" s="3">
        <f t="shared" ref="E14:G14" si="0">SUM(E10:E13)</f>
        <v>16434</v>
      </c>
      <c r="F14" s="3">
        <f t="shared" si="0"/>
        <v>23601</v>
      </c>
      <c r="G14" s="3">
        <f t="shared" si="0"/>
        <v>22680</v>
      </c>
      <c r="H14" s="3">
        <f t="shared" ref="H14:I14" si="1">SUM(H10:H13)</f>
        <v>25785</v>
      </c>
      <c r="I14" s="3">
        <f t="shared" si="1"/>
        <v>34639</v>
      </c>
      <c r="J14" s="98">
        <f>LN(Table4[[#This Row],[2025]]/Table4[[#This Row],[2024]])</f>
        <v>0.29518728741433592</v>
      </c>
      <c r="K14" s="98">
        <f>LN(Table4[[#This Row],[2025]]/Table4[[#This Row],[2023]])</f>
        <v>0.42349673605770677</v>
      </c>
      <c r="L14" s="98">
        <f>LN(Table4[[#This Row],[2025]]/Table4[[#This Row],[2019]])</f>
        <v>1.6382564938886821</v>
      </c>
      <c r="N14" s="79" t="s">
        <v>31</v>
      </c>
      <c r="O14" s="72">
        <v>982</v>
      </c>
      <c r="P14" s="72">
        <v>1399</v>
      </c>
      <c r="Q14" s="2">
        <v>1955</v>
      </c>
      <c r="R14" s="2">
        <v>3771</v>
      </c>
      <c r="S14" s="2">
        <v>4351</v>
      </c>
      <c r="T14" s="2">
        <v>5734</v>
      </c>
      <c r="U14" s="2">
        <v>7920</v>
      </c>
      <c r="V14" s="96">
        <f>LN(Table3[[#This Row],[2025]]/Table3[[#This Row],[2024]])</f>
        <v>0.32297783836515642</v>
      </c>
      <c r="W14" s="93">
        <f>LN(Table3[[#This Row],[2025]]/Table3[[#This Row],[2023]])</f>
        <v>0.59898550208779144</v>
      </c>
      <c r="X14" s="94">
        <f>LN(Table3[[#This Row],[2025]]/Table3[[#This Row],[2019]])</f>
        <v>2.0875551764540057</v>
      </c>
    </row>
    <row r="15" spans="2:24" x14ac:dyDescent="0.2">
      <c r="B15" s="6"/>
      <c r="C15" s="66"/>
      <c r="D15" s="66"/>
      <c r="J15" s="89"/>
      <c r="K15" s="90"/>
      <c r="L15" s="91"/>
      <c r="N15" s="79" t="s">
        <v>32</v>
      </c>
      <c r="O15" s="72">
        <v>20</v>
      </c>
      <c r="P15" s="72">
        <v>10</v>
      </c>
      <c r="Q15" s="2">
        <v>2</v>
      </c>
      <c r="R15" s="2">
        <v>2</v>
      </c>
      <c r="S15" s="2">
        <v>9</v>
      </c>
      <c r="T15" s="2">
        <v>113</v>
      </c>
      <c r="U15" s="2">
        <v>0</v>
      </c>
      <c r="V15" s="92" t="e">
        <f>LN(Table3[[#This Row],[2025]]/Table3[[#This Row],[2024]])</f>
        <v>#NUM!</v>
      </c>
      <c r="W15" s="93" t="e">
        <f>LN(Table3[[#This Row],[2025]]/Table3[[#This Row],[2023]])</f>
        <v>#NUM!</v>
      </c>
      <c r="X15" s="94" t="e">
        <f>LN(Table3[[#This Row],[2025]]/Table3[[#This Row],[2019]])</f>
        <v>#NUM!</v>
      </c>
    </row>
    <row r="16" spans="2:24" ht="13.5" thickBot="1" x14ac:dyDescent="0.25">
      <c r="B16" s="8" t="s">
        <v>9</v>
      </c>
      <c r="C16" s="3">
        <v>3863</v>
      </c>
      <c r="D16" s="3">
        <v>5416</v>
      </c>
      <c r="E16" s="3">
        <v>8505</v>
      </c>
      <c r="F16" s="3">
        <v>11550</v>
      </c>
      <c r="G16" s="3">
        <v>11278</v>
      </c>
      <c r="H16" s="3">
        <v>12114</v>
      </c>
      <c r="I16" s="3">
        <v>16456</v>
      </c>
      <c r="J16" s="98">
        <f>LN(Table4[[#This Row],[2025]]/Table4[[#This Row],[2024]])</f>
        <v>0.30632834379190066</v>
      </c>
      <c r="K16" s="98">
        <f>LN(Table4[[#This Row],[2025]]/Table4[[#This Row],[2023]])</f>
        <v>0.37783622696566571</v>
      </c>
      <c r="L16" s="98">
        <f>LN(Table4[[#This Row],[2025]]/Table4[[#This Row],[2019]])</f>
        <v>1.4492460686665118</v>
      </c>
      <c r="N16" s="79" t="s">
        <v>34</v>
      </c>
      <c r="O16" s="72">
        <v>233</v>
      </c>
      <c r="P16" s="72">
        <v>378</v>
      </c>
      <c r="Q16" s="2">
        <v>312</v>
      </c>
      <c r="R16" s="2">
        <v>1265</v>
      </c>
      <c r="S16" s="2">
        <v>2312</v>
      </c>
      <c r="T16" s="2">
        <v>1878</v>
      </c>
      <c r="U16" s="2">
        <v>2160</v>
      </c>
      <c r="V16" s="92">
        <f>LN(Table3[[#This Row],[2025]]/Table3[[#This Row],[2024]])</f>
        <v>0.13990084091000252</v>
      </c>
      <c r="W16" s="93">
        <f>LN(Table3[[#This Row],[2025]]/Table3[[#This Row],[2023]])</f>
        <v>-6.8004729114057416E-2</v>
      </c>
      <c r="X16" s="94">
        <f>LN(Table3[[#This Row],[2025]]/Table3[[#This Row],[2019]])</f>
        <v>2.2268250471125102</v>
      </c>
    </row>
    <row r="17" spans="2:24" ht="13.5" thickBot="1" x14ac:dyDescent="0.25">
      <c r="B17" s="6" t="s">
        <v>15</v>
      </c>
      <c r="C17" s="66">
        <v>0</v>
      </c>
      <c r="D17" s="66">
        <v>0</v>
      </c>
      <c r="E17" s="2">
        <v>0</v>
      </c>
      <c r="F17" s="2">
        <v>1448</v>
      </c>
      <c r="G17" s="2">
        <v>942</v>
      </c>
      <c r="H17" s="2">
        <v>946</v>
      </c>
      <c r="I17" s="2">
        <v>1031</v>
      </c>
      <c r="J17" s="92">
        <f>LN(Table4[[#This Row],[2025]]/Table4[[#This Row],[2024]])</f>
        <v>8.6041914965081664E-2</v>
      </c>
      <c r="K17" s="93">
        <f>LN(Table4[[#This Row],[2025]]/Table4[[#This Row],[2023]])</f>
        <v>9.0279209440596947E-2</v>
      </c>
      <c r="L17" s="94" t="e">
        <f>LN(Table4[[#This Row],[2025]]/Table4[[#This Row],[2019]])</f>
        <v>#DIV/0!</v>
      </c>
      <c r="N17" s="80" t="s">
        <v>33</v>
      </c>
      <c r="O17" s="3">
        <f t="shared" ref="O17:S17" si="2">SUM(O11:O16)</f>
        <v>4597</v>
      </c>
      <c r="P17" s="3">
        <f t="shared" si="2"/>
        <v>6143</v>
      </c>
      <c r="Q17" s="3">
        <f t="shared" si="2"/>
        <v>8583</v>
      </c>
      <c r="R17" s="3">
        <f t="shared" si="2"/>
        <v>15019</v>
      </c>
      <c r="S17" s="3">
        <f t="shared" si="2"/>
        <v>16768</v>
      </c>
      <c r="T17" s="3">
        <f>SUM(T11:T16)</f>
        <v>19049</v>
      </c>
      <c r="U17" s="3">
        <f t="shared" ref="U17" si="3">SUM(U11:U16)</f>
        <v>26947</v>
      </c>
      <c r="V17" s="98">
        <f>LN(Table3[[#This Row],[2025]]/Table3[[#This Row],[2024]])</f>
        <v>0.34685736714804538</v>
      </c>
      <c r="W17" s="87">
        <f>LN(Table3[[#This Row],[2025]]/Table3[[#This Row],[2023]])</f>
        <v>0.47439966576597475</v>
      </c>
      <c r="X17" s="88">
        <f>LN(Table3[[#This Row],[2025]]/Table3[[#This Row],[2019]])</f>
        <v>1.7684680570805154</v>
      </c>
    </row>
    <row r="18" spans="2:24" ht="13.5" thickBot="1" x14ac:dyDescent="0.25">
      <c r="B18" s="8" t="s">
        <v>10</v>
      </c>
      <c r="C18" s="3">
        <f t="shared" ref="C18:G18" si="4">C14-C16-C17</f>
        <v>2868</v>
      </c>
      <c r="D18" s="3">
        <f t="shared" si="4"/>
        <v>4347</v>
      </c>
      <c r="E18" s="3">
        <f t="shared" si="4"/>
        <v>7929</v>
      </c>
      <c r="F18" s="3">
        <f t="shared" si="4"/>
        <v>10603</v>
      </c>
      <c r="G18" s="3">
        <f t="shared" si="4"/>
        <v>10460</v>
      </c>
      <c r="H18" s="3">
        <f t="shared" ref="H18:I18" si="5">H14-H16-H17</f>
        <v>12725</v>
      </c>
      <c r="I18" s="3">
        <f t="shared" si="5"/>
        <v>17152</v>
      </c>
      <c r="J18" s="98">
        <f>LN(Table4[[#This Row],[2025]]/Table4[[#This Row],[2024]])</f>
        <v>0.29854622245180501</v>
      </c>
      <c r="K18" s="98">
        <f>LN(Table4[[#This Row],[2025]]/Table4[[#This Row],[2023]])</f>
        <v>0.49455632625161466</v>
      </c>
      <c r="L18" s="98">
        <f>LN(Table4[[#This Row],[2025]]/Table4[[#This Row],[2019]])</f>
        <v>1.7884998621510175</v>
      </c>
      <c r="N18" s="9" t="s">
        <v>35</v>
      </c>
      <c r="O18" s="73">
        <v>500</v>
      </c>
      <c r="P18" s="73">
        <v>641</v>
      </c>
      <c r="Q18" s="2">
        <v>702</v>
      </c>
      <c r="R18" s="2">
        <v>1513</v>
      </c>
      <c r="S18" s="2">
        <v>1589</v>
      </c>
      <c r="T18" s="2">
        <v>1802</v>
      </c>
      <c r="U18" s="2">
        <v>2312</v>
      </c>
      <c r="V18" s="96">
        <f>LN(Table3[[#This Row],[2025]]/Table3[[#This Row],[2024]])</f>
        <v>0.24921579162398483</v>
      </c>
      <c r="W18" s="93">
        <f>LN(Table3[[#This Row],[2025]]/Table3[[#This Row],[2023]])</f>
        <v>0.37500806325555214</v>
      </c>
      <c r="X18" s="97">
        <f>LN(Table3[[#This Row],[2025]]/Table3[[#This Row],[2019]])</f>
        <v>1.5312601313700762</v>
      </c>
    </row>
    <row r="19" spans="2:24" x14ac:dyDescent="0.2">
      <c r="B19" s="6"/>
      <c r="C19" s="66"/>
      <c r="D19" s="66"/>
      <c r="J19" s="89"/>
      <c r="K19" s="90"/>
      <c r="L19" s="91"/>
      <c r="N19" s="9" t="s">
        <v>36</v>
      </c>
      <c r="O19" s="73">
        <v>205</v>
      </c>
      <c r="P19" s="73">
        <v>208</v>
      </c>
      <c r="Q19" s="2">
        <v>367</v>
      </c>
      <c r="R19" s="2">
        <v>460</v>
      </c>
      <c r="S19" s="2">
        <v>633</v>
      </c>
      <c r="T19" s="2">
        <v>623</v>
      </c>
      <c r="U19" s="2">
        <v>0</v>
      </c>
      <c r="V19" s="92" t="e">
        <f>LN(Table3[[#This Row],[2025]]/Table3[[#This Row],[2024]])</f>
        <v>#NUM!</v>
      </c>
      <c r="W19" s="93" t="e">
        <f>LN(Table3[[#This Row],[2025]]/Table3[[#This Row],[2023]])</f>
        <v>#NUM!</v>
      </c>
      <c r="X19" s="94" t="e">
        <f>LN(Table3[[#This Row],[2025]]/Table3[[#This Row],[2019]])</f>
        <v>#NUM!</v>
      </c>
    </row>
    <row r="20" spans="2:24" x14ac:dyDescent="0.2">
      <c r="B20" s="7" t="s">
        <v>11</v>
      </c>
      <c r="C20" s="67"/>
      <c r="D20" s="67"/>
      <c r="J20" s="89"/>
      <c r="K20" s="90"/>
      <c r="L20" s="91"/>
      <c r="N20" s="9" t="s">
        <v>37</v>
      </c>
      <c r="O20" s="73">
        <v>289</v>
      </c>
      <c r="P20" s="73">
        <v>289</v>
      </c>
      <c r="Q20" s="2">
        <v>289</v>
      </c>
      <c r="R20" s="2">
        <v>24177</v>
      </c>
      <c r="S20" s="2">
        <v>24262</v>
      </c>
      <c r="T20" s="2">
        <v>24839</v>
      </c>
      <c r="U20" s="2">
        <v>25126</v>
      </c>
      <c r="V20" s="92">
        <f>LN(Table3[[#This Row],[2025]]/Table3[[#This Row],[2024]])</f>
        <v>1.1488167976262214E-2</v>
      </c>
      <c r="W20" s="93">
        <f>LN(Table3[[#This Row],[2025]]/Table3[[#This Row],[2023]])</f>
        <v>3.4991826233498571E-2</v>
      </c>
      <c r="X20" s="94">
        <f>LN(Table3[[#This Row],[2025]]/Table3[[#This Row],[2019]])</f>
        <v>4.4652317574519307</v>
      </c>
    </row>
    <row r="21" spans="2:24" x14ac:dyDescent="0.2">
      <c r="B21" s="6" t="s">
        <v>12</v>
      </c>
      <c r="C21" s="66">
        <v>1547</v>
      </c>
      <c r="D21" s="66">
        <v>1983</v>
      </c>
      <c r="E21" s="2">
        <v>2845</v>
      </c>
      <c r="F21" s="2">
        <v>5005</v>
      </c>
      <c r="G21" s="2">
        <v>5872</v>
      </c>
      <c r="H21" s="2">
        <v>6456</v>
      </c>
      <c r="I21" s="2">
        <v>8091</v>
      </c>
      <c r="J21" s="96">
        <f>LN(Table4[[#This Row],[2025]]/Table4[[#This Row],[2024]])</f>
        <v>0.22574240185805486</v>
      </c>
      <c r="K21" s="85">
        <f>LN(Table4[[#This Row],[2025]]/Table4[[#This Row],[2023]])</f>
        <v>0.32055704151348818</v>
      </c>
      <c r="L21" s="97">
        <f>LN(Table4[[#This Row],[2025]]/Table4[[#This Row],[2019]])</f>
        <v>1.6544347612347736</v>
      </c>
      <c r="N21" s="9" t="s">
        <v>38</v>
      </c>
      <c r="O21" s="73">
        <v>0</v>
      </c>
      <c r="P21" s="73">
        <v>0</v>
      </c>
      <c r="Q21" s="2">
        <v>0</v>
      </c>
      <c r="R21" s="2">
        <v>24118</v>
      </c>
      <c r="S21" s="2">
        <v>21363</v>
      </c>
      <c r="T21" s="2">
        <v>18930</v>
      </c>
      <c r="U21" s="2">
        <v>16705</v>
      </c>
      <c r="V21" s="96">
        <f>LN(Table3[[#This Row],[2025]]/Table3[[#This Row],[2024]])</f>
        <v>-0.12503988941251165</v>
      </c>
      <c r="W21" s="97">
        <f>LN(Table3[[#This Row],[2025]]/Table3[[#This Row],[2023]])</f>
        <v>-0.24595237785937754</v>
      </c>
      <c r="X21" s="94" t="e">
        <f>LN(Table3[[#This Row],[2025]]/Table3[[#This Row],[2019]])</f>
        <v>#DIV/0!</v>
      </c>
    </row>
    <row r="22" spans="2:24" x14ac:dyDescent="0.2">
      <c r="B22" s="6" t="s">
        <v>13</v>
      </c>
      <c r="C22" s="66">
        <v>750</v>
      </c>
      <c r="D22" s="66">
        <v>995</v>
      </c>
      <c r="E22" s="2">
        <v>1448</v>
      </c>
      <c r="F22" s="2">
        <v>2336</v>
      </c>
      <c r="G22" s="2">
        <v>2352</v>
      </c>
      <c r="H22" s="2">
        <v>2783</v>
      </c>
      <c r="I22" s="2">
        <v>4144</v>
      </c>
      <c r="J22" s="96">
        <f>LN(Table4[[#This Row],[2025]]/Table4[[#This Row],[2024]])</f>
        <v>0.39813202241342821</v>
      </c>
      <c r="K22" s="85">
        <f>LN(Table4[[#This Row],[2025]]/Table4[[#This Row],[2023]])</f>
        <v>0.56639547492080144</v>
      </c>
      <c r="L22" s="95">
        <f>LN(Table4[[#This Row],[2025]]/Table4[[#This Row],[2019]])</f>
        <v>1.7093435774089629</v>
      </c>
      <c r="N22" s="9" t="s">
        <v>39</v>
      </c>
      <c r="O22" s="73">
        <v>58</v>
      </c>
      <c r="P22" s="73">
        <v>63</v>
      </c>
      <c r="Q22" s="2">
        <v>69</v>
      </c>
      <c r="R22" s="2">
        <v>83</v>
      </c>
      <c r="S22" s="2">
        <v>99</v>
      </c>
      <c r="T22" s="2">
        <v>149</v>
      </c>
      <c r="U22" s="2">
        <v>0</v>
      </c>
      <c r="V22" s="92" t="e">
        <f>LN(Table3[[#This Row],[2025]]/Table3[[#This Row],[2024]])</f>
        <v>#NUM!</v>
      </c>
      <c r="W22" s="93" t="e">
        <f>LN(Table3[[#This Row],[2025]]/Table3[[#This Row],[2023]])</f>
        <v>#NUM!</v>
      </c>
      <c r="X22" s="94" t="e">
        <f>LN(Table3[[#This Row],[2025]]/Table3[[#This Row],[2019]])</f>
        <v>#NUM!</v>
      </c>
    </row>
    <row r="23" spans="2:24" x14ac:dyDescent="0.2">
      <c r="B23" s="6" t="s">
        <v>14</v>
      </c>
      <c r="C23" s="66">
        <v>0</v>
      </c>
      <c r="D23" s="66">
        <v>0</v>
      </c>
      <c r="E23" s="2">
        <v>0</v>
      </c>
      <c r="F23" s="2">
        <v>2100</v>
      </c>
      <c r="G23" s="2">
        <v>1869</v>
      </c>
      <c r="H23" s="2">
        <v>1448</v>
      </c>
      <c r="I23" s="2">
        <v>1223</v>
      </c>
      <c r="J23" s="96">
        <f>LN(Table4[[#This Row],[2025]]/Table4[[#This Row],[2024]])</f>
        <v>-0.1688764372584893</v>
      </c>
      <c r="K23" s="97">
        <f>LN(Table4[[#This Row],[2025]]/Table4[[#This Row],[2023]])</f>
        <v>-0.4240966717683905</v>
      </c>
      <c r="L23" s="95" t="e">
        <f>LN(Table4[[#This Row],[2025]]/Table4[[#This Row],[2019]])</f>
        <v>#DIV/0!</v>
      </c>
      <c r="N23" s="9" t="s">
        <v>40</v>
      </c>
      <c r="O23" s="73">
        <v>22</v>
      </c>
      <c r="P23" s="73">
        <v>1245</v>
      </c>
      <c r="Q23" s="2">
        <v>931</v>
      </c>
      <c r="R23" s="2">
        <v>58</v>
      </c>
      <c r="S23" s="2">
        <v>366</v>
      </c>
      <c r="T23" s="2">
        <v>688</v>
      </c>
      <c r="U23" s="2">
        <v>384</v>
      </c>
      <c r="V23" s="92">
        <f>LN(Table3[[#This Row],[2025]]/Table3[[#This Row],[2024]])</f>
        <v>-0.58314628534561685</v>
      </c>
      <c r="W23" s="93">
        <f>LN(Table3[[#This Row],[2025]]/Table3[[#This Row],[2023]])</f>
        <v>4.8009219186360662E-2</v>
      </c>
      <c r="X23" s="94">
        <f>LN(Table3[[#This Row],[2025]]/Table3[[#This Row],[2019]])</f>
        <v>2.8596000992294108</v>
      </c>
    </row>
    <row r="24" spans="2:24" x14ac:dyDescent="0.2">
      <c r="B24" s="6" t="s">
        <v>25</v>
      </c>
      <c r="C24" s="66">
        <v>0</v>
      </c>
      <c r="D24" s="66">
        <v>0</v>
      </c>
      <c r="E24" s="2">
        <v>0</v>
      </c>
      <c r="F24" s="2">
        <v>0</v>
      </c>
      <c r="G24" s="2">
        <v>0</v>
      </c>
      <c r="H24" s="2">
        <v>186</v>
      </c>
      <c r="I24" s="2">
        <v>0</v>
      </c>
      <c r="J24" s="84" t="e">
        <f>LN(Table4[[#This Row],[2025]]/Table4[[#This Row],[2024]])</f>
        <v>#NUM!</v>
      </c>
      <c r="K24" s="85" t="e">
        <f>LN(Table4[[#This Row],[2025]]/Table4[[#This Row],[2023]])</f>
        <v>#DIV/0!</v>
      </c>
      <c r="L24" s="95" t="e">
        <f>LN(Table4[[#This Row],[2025]]/Table4[[#This Row],[2019]])</f>
        <v>#DIV/0!</v>
      </c>
      <c r="N24" s="9" t="s">
        <v>41</v>
      </c>
      <c r="O24" s="73">
        <v>357</v>
      </c>
      <c r="P24" s="73">
        <v>373</v>
      </c>
      <c r="Q24" s="2">
        <v>1478</v>
      </c>
      <c r="R24" s="2">
        <v>2152</v>
      </c>
      <c r="S24" s="2">
        <v>2805</v>
      </c>
      <c r="T24" s="2">
        <v>3146</v>
      </c>
      <c r="U24" s="2">
        <v>5452</v>
      </c>
      <c r="V24" s="96">
        <f>LN(Table3[[#This Row],[2025]]/Table3[[#This Row],[2024]])</f>
        <v>0.54985070919820012</v>
      </c>
      <c r="W24" s="93">
        <f>LN(Table3[[#This Row],[2025]]/Table3[[#This Row],[2023]])</f>
        <v>0.66457897485962647</v>
      </c>
      <c r="X24" s="94">
        <f>LN(Table3[[#This Row],[2025]]/Table3[[#This Row],[2019]])</f>
        <v>2.7260020110367842</v>
      </c>
    </row>
    <row r="25" spans="2:24" ht="13.5" thickBot="1" x14ac:dyDescent="0.25">
      <c r="B25" s="6" t="s">
        <v>16</v>
      </c>
      <c r="C25" s="66">
        <v>-60</v>
      </c>
      <c r="D25" s="66">
        <v>0</v>
      </c>
      <c r="E25" s="2">
        <v>-12</v>
      </c>
      <c r="F25" s="2">
        <v>-102</v>
      </c>
      <c r="G25" s="2">
        <v>-34</v>
      </c>
      <c r="H25" s="2">
        <v>-48</v>
      </c>
      <c r="I25" s="2">
        <v>0</v>
      </c>
      <c r="J25" s="84" t="e">
        <f>LN(Table4[[#This Row],[2025]]/Table4[[#This Row],[2024]])</f>
        <v>#NUM!</v>
      </c>
      <c r="K25" s="85" t="e">
        <f>LN(Table4[[#This Row],[2025]]/Table4[[#This Row],[2023]])</f>
        <v>#NUM!</v>
      </c>
      <c r="L25" s="95" t="e">
        <f>LN(Table4[[#This Row],[2025]]/Table4[[#This Row],[2019]])</f>
        <v>#NUM!</v>
      </c>
      <c r="N25" s="80" t="s">
        <v>42</v>
      </c>
      <c r="O25" s="3">
        <f t="shared" ref="O25:S25" si="6">SUM(O17:O24)</f>
        <v>6028</v>
      </c>
      <c r="P25" s="3">
        <f t="shared" si="6"/>
        <v>8962</v>
      </c>
      <c r="Q25" s="3">
        <f t="shared" si="6"/>
        <v>12419</v>
      </c>
      <c r="R25" s="3">
        <f t="shared" si="6"/>
        <v>67580</v>
      </c>
      <c r="S25" s="3">
        <f t="shared" si="6"/>
        <v>67885</v>
      </c>
      <c r="T25" s="3">
        <f>SUM(T17:T24)</f>
        <v>69226</v>
      </c>
      <c r="U25" s="3">
        <f t="shared" ref="U25" si="7">SUM(U17:U24)</f>
        <v>76926</v>
      </c>
      <c r="V25" s="98">
        <f>LN(Table3[[#This Row],[2025]]/Table3[[#This Row],[2024]])</f>
        <v>0.10546740619768206</v>
      </c>
      <c r="W25" s="87">
        <f>LN(Table3[[#This Row],[2025]]/Table3[[#This Row],[2023]])</f>
        <v>0.12502882374637408</v>
      </c>
      <c r="X25" s="98">
        <f>LN(Table3[[#This Row],[2025]]/Table3[[#This Row],[2019]])</f>
        <v>2.5464286400343696</v>
      </c>
    </row>
    <row r="26" spans="2:24" ht="13.5" thickBot="1" x14ac:dyDescent="0.25">
      <c r="B26" s="8" t="s">
        <v>17</v>
      </c>
      <c r="C26" s="3">
        <f t="shared" ref="C26:G26" si="8">SUM(C21:C25)</f>
        <v>2237</v>
      </c>
      <c r="D26" s="3">
        <f t="shared" si="8"/>
        <v>2978</v>
      </c>
      <c r="E26" s="3">
        <f t="shared" si="8"/>
        <v>4281</v>
      </c>
      <c r="F26" s="3">
        <f t="shared" si="8"/>
        <v>9339</v>
      </c>
      <c r="G26" s="3">
        <f t="shared" si="8"/>
        <v>10059</v>
      </c>
      <c r="H26" s="3">
        <f t="shared" ref="H26:I26" si="9">SUM(H21:H25)</f>
        <v>10825</v>
      </c>
      <c r="I26" s="3">
        <f t="shared" si="9"/>
        <v>13458</v>
      </c>
      <c r="J26" s="98">
        <f>LN(Table4[[#This Row],[2025]]/Table4[[#This Row],[2024]])</f>
        <v>0.21771545087757277</v>
      </c>
      <c r="K26" s="87">
        <f>LN(Table4[[#This Row],[2025]]/Table4[[#This Row],[2023]])</f>
        <v>0.29110596861392501</v>
      </c>
      <c r="L26" s="98">
        <f>LN(Table4[[#This Row],[2025]]/Table4[[#This Row],[2019]])</f>
        <v>1.7944380422581336</v>
      </c>
      <c r="N26" s="6"/>
      <c r="O26" s="74"/>
      <c r="P26" s="74"/>
      <c r="V26" s="60"/>
      <c r="W26" s="63"/>
      <c r="X26" s="64"/>
    </row>
    <row r="27" spans="2:24" x14ac:dyDescent="0.2">
      <c r="B27" s="6"/>
      <c r="C27" s="66"/>
      <c r="D27" s="66"/>
      <c r="J27" s="89"/>
      <c r="K27" s="90"/>
      <c r="L27" s="91"/>
      <c r="N27" s="81" t="s">
        <v>43</v>
      </c>
      <c r="O27" s="75"/>
      <c r="P27" s="75"/>
      <c r="V27" s="57"/>
      <c r="W27" s="58"/>
      <c r="X27" s="59"/>
    </row>
    <row r="28" spans="2:24" x14ac:dyDescent="0.2">
      <c r="B28" s="7" t="s">
        <v>106</v>
      </c>
      <c r="C28" s="4">
        <f t="shared" ref="C28:G28" si="10">C18-C26</f>
        <v>631</v>
      </c>
      <c r="D28" s="4">
        <f t="shared" si="10"/>
        <v>1369</v>
      </c>
      <c r="E28" s="4">
        <f t="shared" si="10"/>
        <v>3648</v>
      </c>
      <c r="F28" s="4">
        <f t="shared" si="10"/>
        <v>1264</v>
      </c>
      <c r="G28" s="4">
        <f t="shared" si="10"/>
        <v>401</v>
      </c>
      <c r="H28" s="4">
        <f t="shared" ref="H28:I28" si="11">H18-H26</f>
        <v>1900</v>
      </c>
      <c r="I28" s="4">
        <f t="shared" si="11"/>
        <v>3694</v>
      </c>
      <c r="J28" s="96">
        <f>LN(Table4[[#This Row],[2025]]/Table4[[#This Row],[2024]])</f>
        <v>0.66485599560465336</v>
      </c>
      <c r="K28" s="97">
        <f>LN(Table4[[#This Row],[2025]]/Table4[[#This Row],[2023]])</f>
        <v>2.2205037334526159</v>
      </c>
      <c r="L28" s="94">
        <f>LN(Table4[[#This Row],[2025]]/Table4[[#This Row],[2019]])</f>
        <v>1.767159298217972</v>
      </c>
      <c r="N28" s="78" t="s">
        <v>27</v>
      </c>
      <c r="O28" s="76"/>
      <c r="P28" s="76"/>
      <c r="V28" s="60"/>
      <c r="W28" s="61"/>
      <c r="X28" s="62"/>
    </row>
    <row r="29" spans="2:24" x14ac:dyDescent="0.2">
      <c r="B29" s="6" t="s">
        <v>18</v>
      </c>
      <c r="C29" s="66">
        <v>-94</v>
      </c>
      <c r="D29" s="66">
        <v>-47</v>
      </c>
      <c r="E29" s="2">
        <v>-34</v>
      </c>
      <c r="F29" s="2">
        <v>-88</v>
      </c>
      <c r="G29" s="2">
        <v>-106</v>
      </c>
      <c r="H29" s="2">
        <v>-92</v>
      </c>
      <c r="I29" s="2">
        <v>-131</v>
      </c>
      <c r="J29" s="92">
        <f>LN(Table4[[#This Row],[2025]]/Table4[[#This Row],[2024]])</f>
        <v>0.35340874615211132</v>
      </c>
      <c r="K29" s="93">
        <f>LN(Table4[[#This Row],[2025]]/Table4[[#This Row],[2023]])</f>
        <v>0.21175822908908445</v>
      </c>
      <c r="L29" s="94">
        <f>LN(Table4[[#This Row],[2025]]/Table4[[#This Row],[2019]])</f>
        <v>0.33190254093114763</v>
      </c>
      <c r="N29" s="79" t="s">
        <v>44</v>
      </c>
      <c r="O29" s="72">
        <v>988</v>
      </c>
      <c r="P29" s="72">
        <v>468</v>
      </c>
      <c r="Q29" s="2">
        <v>1321</v>
      </c>
      <c r="R29" s="2">
        <v>2493</v>
      </c>
      <c r="S29" s="2">
        <v>2055</v>
      </c>
      <c r="T29" s="2">
        <v>1990</v>
      </c>
      <c r="U29" s="2">
        <v>2929</v>
      </c>
      <c r="V29" s="96">
        <f>LN(Table3[[#This Row],[2025]]/Table3[[#This Row],[2024]])</f>
        <v>0.38652642910919532</v>
      </c>
      <c r="W29" s="93">
        <f>LN(Table3[[#This Row],[2025]]/Table3[[#This Row],[2023]])</f>
        <v>0.35438521989739852</v>
      </c>
      <c r="X29" s="94">
        <f>LN(Table3[[#This Row],[2025]]/Table3[[#This Row],[2019]])</f>
        <v>1.0867336490798656</v>
      </c>
    </row>
    <row r="30" spans="2:24" x14ac:dyDescent="0.2">
      <c r="B30" s="6" t="s">
        <v>19</v>
      </c>
      <c r="C30" s="66">
        <v>-165</v>
      </c>
      <c r="D30" s="66">
        <v>-47</v>
      </c>
      <c r="E30" s="2">
        <v>55</v>
      </c>
      <c r="F30" s="2">
        <v>8</v>
      </c>
      <c r="G30" s="2">
        <v>197</v>
      </c>
      <c r="H30" s="2">
        <v>181</v>
      </c>
      <c r="I30" s="2">
        <v>577</v>
      </c>
      <c r="J30" s="92">
        <f>LN(Table4[[#This Row],[2025]]/Table4[[#This Row],[2024]])</f>
        <v>1.159345235242274</v>
      </c>
      <c r="K30" s="93">
        <f>LN(Table4[[#This Row],[2025]]/Table4[[#This Row],[2023]])</f>
        <v>1.0746385377701111</v>
      </c>
      <c r="L30" s="94" t="e">
        <f>LN(Table4[[#This Row],[2025]]/Table4[[#This Row],[2019]])</f>
        <v>#NUM!</v>
      </c>
      <c r="N30" s="79" t="s">
        <v>45</v>
      </c>
      <c r="O30" s="72">
        <v>213</v>
      </c>
      <c r="P30" s="72">
        <v>78</v>
      </c>
      <c r="Q30" s="2">
        <v>85</v>
      </c>
      <c r="R30" s="2">
        <v>463</v>
      </c>
      <c r="S30" s="2">
        <v>363</v>
      </c>
      <c r="T30" s="2">
        <v>476</v>
      </c>
      <c r="U30" s="2" t="s">
        <v>112</v>
      </c>
      <c r="V30" s="92" t="e">
        <f>LN(Table3[[#This Row],[2025]]/Table3[[#This Row],[2024]])</f>
        <v>#VALUE!</v>
      </c>
      <c r="W30" s="93" t="e">
        <f>LN(Table3[[#This Row],[2025]]/Table3[[#This Row],[2023]])</f>
        <v>#VALUE!</v>
      </c>
      <c r="X30" s="94" t="e">
        <f>LN(Table3[[#This Row],[2025]]/Table3[[#This Row],[2019]])</f>
        <v>#VALUE!</v>
      </c>
    </row>
    <row r="31" spans="2:24" ht="13.5" thickBot="1" x14ac:dyDescent="0.25">
      <c r="B31" s="24" t="s">
        <v>57</v>
      </c>
      <c r="C31" s="3">
        <f t="shared" ref="C31:G31" si="12">SUM(C28:C30)</f>
        <v>372</v>
      </c>
      <c r="D31" s="3">
        <f t="shared" si="12"/>
        <v>1275</v>
      </c>
      <c r="E31" s="3">
        <f t="shared" si="12"/>
        <v>3669</v>
      </c>
      <c r="F31" s="3">
        <f t="shared" si="12"/>
        <v>1184</v>
      </c>
      <c r="G31" s="3">
        <f t="shared" si="12"/>
        <v>492</v>
      </c>
      <c r="H31" s="3">
        <f t="shared" ref="H31:I31" si="13">SUM(H28:H30)</f>
        <v>1989</v>
      </c>
      <c r="I31" s="3">
        <f t="shared" si="13"/>
        <v>4140</v>
      </c>
      <c r="J31" s="98">
        <f>LN(Table4[[#This Row],[2025]]/Table4[[#This Row],[2024]])</f>
        <v>0.73306378796538796</v>
      </c>
      <c r="K31" s="98">
        <f>LN(Table4[[#This Row],[2025]]/Table4[[#This Row],[2023]])</f>
        <v>2.1299723503270518</v>
      </c>
      <c r="L31" s="88">
        <f>LN(Table4[[#This Row],[2025]]/Table4[[#This Row],[2019]])</f>
        <v>2.4095572125462135</v>
      </c>
      <c r="N31" s="79" t="s">
        <v>46</v>
      </c>
      <c r="O31" s="72">
        <v>1084</v>
      </c>
      <c r="P31" s="72">
        <v>1796</v>
      </c>
      <c r="Q31" s="2">
        <v>2424</v>
      </c>
      <c r="R31" s="2">
        <v>3077</v>
      </c>
      <c r="S31" s="2">
        <v>3082</v>
      </c>
      <c r="T31" s="2">
        <v>4260</v>
      </c>
      <c r="U31" s="2">
        <v>5250</v>
      </c>
      <c r="V31" s="96">
        <f>LN(Table3[[#This Row],[2025]]/Table3[[#This Row],[2024]])</f>
        <v>0.20895891632225325</v>
      </c>
      <c r="W31" s="93">
        <f>LN(Table3[[#This Row],[2025]]/Table3[[#This Row],[2023]])</f>
        <v>0.53264933970560835</v>
      </c>
      <c r="X31" s="94">
        <f>LN(Table3[[#This Row],[2025]]/Table3[[#This Row],[2019]])</f>
        <v>1.5775701735860779</v>
      </c>
    </row>
    <row r="32" spans="2:24" x14ac:dyDescent="0.2">
      <c r="B32" s="9" t="s">
        <v>20</v>
      </c>
      <c r="C32" s="68">
        <v>31</v>
      </c>
      <c r="D32" s="68">
        <f>-1210-5</f>
        <v>-1215</v>
      </c>
      <c r="E32" s="2">
        <v>507</v>
      </c>
      <c r="F32" s="2">
        <v>-136</v>
      </c>
      <c r="G32" s="2">
        <v>-362</v>
      </c>
      <c r="H32" s="2">
        <f>381-33</f>
        <v>348</v>
      </c>
      <c r="I32" s="2">
        <f>-103-26</f>
        <v>-129</v>
      </c>
      <c r="J32" s="92" t="e">
        <f>LN(Table4[[#This Row],[2025]]/Table4[[#This Row],[2024]])</f>
        <v>#NUM!</v>
      </c>
      <c r="K32" s="93">
        <f>LN(Table4[[#This Row],[2025]]/Table4[[#This Row],[2023]])</f>
        <v>-1.0318318074640991</v>
      </c>
      <c r="L32" s="94" t="e">
        <f>LN(Table4[[#This Row],[2025]]/Table4[[#This Row],[2019]])</f>
        <v>#NUM!</v>
      </c>
      <c r="N32" s="79" t="s">
        <v>47</v>
      </c>
      <c r="O32" s="72">
        <v>0</v>
      </c>
      <c r="P32" s="72">
        <v>0</v>
      </c>
      <c r="Q32" s="2">
        <v>312</v>
      </c>
      <c r="R32" s="2">
        <v>0</v>
      </c>
      <c r="S32" s="2">
        <v>751</v>
      </c>
      <c r="T32" s="2">
        <v>0</v>
      </c>
      <c r="U32" s="2">
        <v>874</v>
      </c>
      <c r="V32" s="92" t="e">
        <f>LN(Table3[[#This Row],[2025]]/Table3[[#This Row],[2024]])</f>
        <v>#DIV/0!</v>
      </c>
      <c r="W32" s="93">
        <f>LN(Table3[[#This Row],[2025]]/Table3[[#This Row],[2023]])</f>
        <v>0.15167472389140074</v>
      </c>
      <c r="X32" s="94" t="e">
        <f>LN(Table3[[#This Row],[2025]]/Table3[[#This Row],[2019]])</f>
        <v>#DIV/0!</v>
      </c>
    </row>
    <row r="33" spans="2:24" ht="13.5" thickBot="1" x14ac:dyDescent="0.25">
      <c r="B33" s="10" t="s">
        <v>21</v>
      </c>
      <c r="C33" s="3">
        <f t="shared" ref="C33:G33" si="14">C31-C32</f>
        <v>341</v>
      </c>
      <c r="D33" s="3">
        <f t="shared" si="14"/>
        <v>2490</v>
      </c>
      <c r="E33" s="3">
        <f t="shared" si="14"/>
        <v>3162</v>
      </c>
      <c r="F33" s="3">
        <f t="shared" si="14"/>
        <v>1320</v>
      </c>
      <c r="G33" s="3">
        <f t="shared" si="14"/>
        <v>854</v>
      </c>
      <c r="H33" s="3">
        <f t="shared" ref="H33:I33" si="15">H31-H32</f>
        <v>1641</v>
      </c>
      <c r="I33" s="3">
        <f t="shared" si="15"/>
        <v>4269</v>
      </c>
      <c r="J33" s="98">
        <f>LN(Table4[[#This Row],[2025]]/Table4[[#This Row],[2024]])</f>
        <v>0.95607379566787121</v>
      </c>
      <c r="K33" s="98">
        <f>LN(Table4[[#This Row],[2025]]/Table4[[#This Row],[2023]])</f>
        <v>1.6092036929693923</v>
      </c>
      <c r="L33" s="98">
        <f>LN(Table4[[#This Row],[2025]]/Table4[[#This Row],[2019]])</f>
        <v>2.5272524094744453</v>
      </c>
      <c r="N33" s="79" t="s">
        <v>41</v>
      </c>
      <c r="O33" s="72">
        <v>74</v>
      </c>
      <c r="P33" s="72">
        <v>75</v>
      </c>
      <c r="Q33" s="2">
        <v>98</v>
      </c>
      <c r="R33" s="2">
        <v>336</v>
      </c>
      <c r="S33" s="2">
        <v>438</v>
      </c>
      <c r="T33" s="2">
        <v>555</v>
      </c>
      <c r="U33" s="2">
        <v>402</v>
      </c>
      <c r="V33" s="92">
        <f>LN(Table3[[#This Row],[2025]]/Table3[[#This Row],[2024]])</f>
        <v>-0.3225160251274134</v>
      </c>
      <c r="W33" s="93">
        <f>LN(Table3[[#This Row],[2025]]/Table3[[#This Row],[2023]])</f>
        <v>-8.576682175742506E-2</v>
      </c>
      <c r="X33" s="94">
        <f>LN(Table3[[#This Row],[2025]]/Table3[[#This Row],[2019]])</f>
        <v>1.6923869954148514</v>
      </c>
    </row>
    <row r="34" spans="2:24" ht="13.5" thickBot="1" x14ac:dyDescent="0.25">
      <c r="B34" s="41"/>
      <c r="C34" s="69"/>
      <c r="D34" s="69"/>
      <c r="J34" s="89"/>
      <c r="K34" s="90"/>
      <c r="L34" s="91"/>
      <c r="N34" s="80" t="s">
        <v>48</v>
      </c>
      <c r="O34" s="3">
        <f t="shared" ref="O34:S34" si="16">SUM(O29:O33)</f>
        <v>2359</v>
      </c>
      <c r="P34" s="3">
        <f t="shared" si="16"/>
        <v>2417</v>
      </c>
      <c r="Q34" s="3">
        <f t="shared" si="16"/>
        <v>4240</v>
      </c>
      <c r="R34" s="3">
        <f t="shared" si="16"/>
        <v>6369</v>
      </c>
      <c r="S34" s="3">
        <f t="shared" si="16"/>
        <v>6689</v>
      </c>
      <c r="T34" s="3">
        <f>SUM(T29:T33)</f>
        <v>7281</v>
      </c>
      <c r="U34" s="3">
        <f>SUM(U29:U33)</f>
        <v>9455</v>
      </c>
      <c r="V34" s="98">
        <f>LN(Table3[[#This Row],[2025]]/Table3[[#This Row],[2024]])</f>
        <v>0.26127548669784684</v>
      </c>
      <c r="W34" s="87">
        <f>LN(Table3[[#This Row],[2025]]/Table3[[#This Row],[2023]])</f>
        <v>0.34607931597414981</v>
      </c>
      <c r="X34" s="98">
        <f>LN(Table3[[#This Row],[2025]]/Table3[[#This Row],[2019]])</f>
        <v>1.3883059016848829</v>
      </c>
    </row>
    <row r="35" spans="2:24" x14ac:dyDescent="0.2">
      <c r="B35" s="6" t="s">
        <v>1</v>
      </c>
      <c r="C35" s="66">
        <v>1091</v>
      </c>
      <c r="D35" s="66">
        <v>1184</v>
      </c>
      <c r="E35" s="2">
        <v>1229</v>
      </c>
      <c r="F35" s="2">
        <v>1571</v>
      </c>
      <c r="G35" s="2">
        <v>1625</v>
      </c>
      <c r="H35" s="2">
        <v>1637</v>
      </c>
      <c r="I35" s="2">
        <v>1636</v>
      </c>
      <c r="J35" s="84">
        <f>LN(Table4[[#This Row],[2025]]/Table4[[#This Row],[2024]])</f>
        <v>-6.1106020844254618E-4</v>
      </c>
      <c r="K35" s="85">
        <f>LN(Table4[[#This Row],[2025]]/Table4[[#This Row],[2023]])</f>
        <v>6.7464223988545954E-3</v>
      </c>
      <c r="L35" s="97">
        <f>LN(Table4[[#This Row],[2025]]/Table4[[#This Row],[2019]])</f>
        <v>0.40515953132962151</v>
      </c>
      <c r="N35" s="9" t="s">
        <v>49</v>
      </c>
      <c r="O35" s="73">
        <v>486</v>
      </c>
      <c r="P35" s="73">
        <v>330</v>
      </c>
      <c r="Q35" s="2">
        <v>1</v>
      </c>
      <c r="R35" s="2">
        <v>2467</v>
      </c>
      <c r="S35" s="2">
        <v>1717</v>
      </c>
      <c r="T35" s="2">
        <v>1721</v>
      </c>
      <c r="U35" s="2">
        <v>2348</v>
      </c>
      <c r="V35" s="96">
        <f>LN(Table3[[#This Row],[2025]]/Table3[[#This Row],[2024]])</f>
        <v>0.31065838473644763</v>
      </c>
      <c r="W35" s="93">
        <f>LN(Table3[[#This Row],[2025]]/Table3[[#This Row],[2023]])</f>
        <v>0.3129853200505115</v>
      </c>
      <c r="X35" s="94">
        <f>LN(Table3[[#This Row],[2025]]/Table3[[#This Row],[2019]])</f>
        <v>1.5751105570474935</v>
      </c>
    </row>
    <row r="36" spans="2:24" x14ac:dyDescent="0.2">
      <c r="B36" s="6" t="s">
        <v>22</v>
      </c>
      <c r="C36" s="5">
        <f t="shared" ref="C36:D36" si="17">C33/C35</f>
        <v>0.31255728689275891</v>
      </c>
      <c r="D36" s="5">
        <f t="shared" si="17"/>
        <v>2.1030405405405403</v>
      </c>
      <c r="E36" s="5">
        <f>E33/E35</f>
        <v>2.5728234336859237</v>
      </c>
      <c r="F36" s="5">
        <f>F33/F35</f>
        <v>0.84022915340547422</v>
      </c>
      <c r="G36" s="5">
        <f>G33/G35</f>
        <v>0.52553846153846151</v>
      </c>
      <c r="H36" s="5">
        <f>H33/H35</f>
        <v>1.0024434941967013</v>
      </c>
      <c r="I36" s="5">
        <f>I33/I35</f>
        <v>2.6094132029339852</v>
      </c>
      <c r="J36" s="84">
        <f>LN(Table4[[#This Row],[2025]]/Table4[[#This Row],[2024]])</f>
        <v>0.95668485587631358</v>
      </c>
      <c r="K36" s="85">
        <f>LN(Table4[[#This Row],[2025]]/Table4[[#This Row],[2023]])</f>
        <v>1.6024572705705378</v>
      </c>
      <c r="L36" s="95">
        <f>LN(Table4[[#This Row],[2025]]/Table4[[#This Row],[2019]])</f>
        <v>2.1220928781448238</v>
      </c>
      <c r="N36" s="9" t="s">
        <v>50</v>
      </c>
      <c r="O36" s="73">
        <v>199</v>
      </c>
      <c r="P36" s="73">
        <v>201</v>
      </c>
      <c r="Q36" s="2">
        <v>348</v>
      </c>
      <c r="R36" s="2">
        <v>396</v>
      </c>
      <c r="S36" s="2">
        <v>535</v>
      </c>
      <c r="T36" s="2">
        <v>491</v>
      </c>
      <c r="U36" s="2">
        <v>625</v>
      </c>
      <c r="V36" s="92">
        <f>LN(Table3[[#This Row],[2025]]/Table3[[#This Row],[2024]])</f>
        <v>0.24130752194188085</v>
      </c>
      <c r="W36" s="93">
        <f>LN(Table3[[#This Row],[2025]]/Table3[[#This Row],[2023]])</f>
        <v>0.15548490284039496</v>
      </c>
      <c r="X36" s="94">
        <f>LN(Table3[[#This Row],[2025]]/Table3[[#This Row],[2019]])</f>
        <v>1.1444468250119091</v>
      </c>
    </row>
    <row r="37" spans="2:24" x14ac:dyDescent="0.2">
      <c r="B37" s="6" t="s">
        <v>0</v>
      </c>
      <c r="C37" s="70">
        <v>47</v>
      </c>
      <c r="D37" s="70">
        <v>85.64</v>
      </c>
      <c r="E37" s="5">
        <v>144.22999999999999</v>
      </c>
      <c r="F37" s="5">
        <v>64.81</v>
      </c>
      <c r="G37" s="5">
        <v>147.06</v>
      </c>
      <c r="H37" s="5">
        <v>120.62</v>
      </c>
      <c r="I37" s="5">
        <v>236.73</v>
      </c>
      <c r="J37" s="84">
        <f>LN(Table4[[#This Row],[2025]]/Table4[[#This Row],[2024]])</f>
        <v>0.67427514317821258</v>
      </c>
      <c r="K37" s="85">
        <f>LN(Table4[[#This Row],[2025]]/Table4[[#This Row],[2023]])</f>
        <v>0.47607958443297699</v>
      </c>
      <c r="L37" s="95">
        <f>LN(Table4[[#This Row],[2025]]/Table4[[#This Row],[2019]])</f>
        <v>1.6167726494909946</v>
      </c>
      <c r="N37" s="9" t="s">
        <v>40</v>
      </c>
      <c r="O37" s="73">
        <v>0</v>
      </c>
      <c r="P37" s="73">
        <v>0</v>
      </c>
      <c r="Q37" s="2">
        <v>12</v>
      </c>
      <c r="R37" s="2">
        <v>1934</v>
      </c>
      <c r="S37" s="2">
        <v>1202</v>
      </c>
      <c r="T37" s="2">
        <v>349</v>
      </c>
      <c r="U37" s="2">
        <v>313</v>
      </c>
      <c r="V37" s="92">
        <f>LN(Table3[[#This Row],[2025]]/Table3[[#This Row],[2024]])</f>
        <v>-0.10886873166227397</v>
      </c>
      <c r="W37" s="93">
        <f>LN(Table3[[#This Row],[2025]]/Table3[[#This Row],[2023]])</f>
        <v>-1.3455389245549998</v>
      </c>
      <c r="X37" s="94" t="e">
        <f>LN(Table3[[#This Row],[2025]]/Table3[[#This Row],[2019]])</f>
        <v>#DIV/0!</v>
      </c>
    </row>
    <row r="38" spans="2:24" x14ac:dyDescent="0.2">
      <c r="B38" s="6" t="s">
        <v>54</v>
      </c>
      <c r="C38" s="2">
        <f t="shared" ref="C38:G38" si="18">C37*C35</f>
        <v>51277</v>
      </c>
      <c r="D38" s="2">
        <f t="shared" si="18"/>
        <v>101397.75999999999</v>
      </c>
      <c r="E38" s="2">
        <f t="shared" si="18"/>
        <v>177258.66999999998</v>
      </c>
      <c r="F38" s="2">
        <f t="shared" si="18"/>
        <v>101816.51000000001</v>
      </c>
      <c r="G38" s="2">
        <f t="shared" si="18"/>
        <v>238972.5</v>
      </c>
      <c r="H38" s="2">
        <f>H37*H35</f>
        <v>197454.94</v>
      </c>
      <c r="I38" s="2">
        <f>I37*I35</f>
        <v>387290.27999999997</v>
      </c>
      <c r="J38" s="96">
        <f>LN(Table4[[#This Row],[2025]]/Table4[[#This Row],[2024]])</f>
        <v>0.67366408296976987</v>
      </c>
      <c r="K38" s="85">
        <f>LN(Table4[[#This Row],[2025]]/Table4[[#This Row],[2023]])</f>
        <v>0.48282600683183158</v>
      </c>
      <c r="L38" s="95">
        <f>LN(Table4[[#This Row],[2025]]/Table4[[#This Row],[2019]])</f>
        <v>2.0219321808206163</v>
      </c>
      <c r="N38" s="9" t="s">
        <v>41</v>
      </c>
      <c r="O38" s="73">
        <v>157</v>
      </c>
      <c r="P38" s="73">
        <v>177</v>
      </c>
      <c r="Q38" s="2">
        <v>321</v>
      </c>
      <c r="R38" s="2">
        <v>1664</v>
      </c>
      <c r="S38" s="2">
        <v>1850</v>
      </c>
      <c r="T38" s="2">
        <v>1816</v>
      </c>
      <c r="U38" s="2">
        <v>1186</v>
      </c>
      <c r="V38" s="92">
        <f>LN(Table3[[#This Row],[2025]]/Table3[[#This Row],[2024]])</f>
        <v>-0.42604997960356783</v>
      </c>
      <c r="W38" s="93">
        <f>LN(Table3[[#This Row],[2025]]/Table3[[#This Row],[2023]])</f>
        <v>-0.44459933851469974</v>
      </c>
      <c r="X38" s="94">
        <f>LN(Table3[[#This Row],[2025]]/Table3[[#This Row],[2019]])</f>
        <v>2.0220957742093626</v>
      </c>
    </row>
    <row r="39" spans="2:24" ht="13.5" thickBot="1" x14ac:dyDescent="0.25">
      <c r="B39" s="6" t="s">
        <v>56</v>
      </c>
      <c r="C39" s="20">
        <f t="shared" ref="C39:D39" si="19">C28+C23</f>
        <v>631</v>
      </c>
      <c r="D39" s="20">
        <f t="shared" si="19"/>
        <v>1369</v>
      </c>
      <c r="E39" s="20">
        <f t="shared" ref="E39:G39" si="20">E28+E23</f>
        <v>3648</v>
      </c>
      <c r="F39" s="20">
        <f t="shared" si="20"/>
        <v>3364</v>
      </c>
      <c r="G39" s="20">
        <f t="shared" si="20"/>
        <v>2270</v>
      </c>
      <c r="H39" s="20">
        <f>H28+H23</f>
        <v>3348</v>
      </c>
      <c r="I39" s="20">
        <f>I28+I23</f>
        <v>4917</v>
      </c>
      <c r="J39" s="96">
        <f>LN(Table4[[#This Row],[2025]]/Table4[[#This Row],[2024]])</f>
        <v>0.3843354358025734</v>
      </c>
      <c r="K39" s="97">
        <f>LN(Table4[[#This Row],[2025]]/Table4[[#This Row],[2023]])</f>
        <v>0.77291875693649104</v>
      </c>
      <c r="L39" s="97">
        <f>LN(Table4[[#This Row],[2025]]/Table4[[#This Row],[2019]])</f>
        <v>2.0531480048707262</v>
      </c>
      <c r="N39" s="80" t="s">
        <v>51</v>
      </c>
      <c r="O39" s="17">
        <f t="shared" ref="O39:S39" si="21">SUM(O34:O38)</f>
        <v>3201</v>
      </c>
      <c r="P39" s="17">
        <f t="shared" si="21"/>
        <v>3125</v>
      </c>
      <c r="Q39" s="17">
        <f t="shared" si="21"/>
        <v>4922</v>
      </c>
      <c r="R39" s="17">
        <f t="shared" si="21"/>
        <v>12830</v>
      </c>
      <c r="S39" s="17">
        <f t="shared" si="21"/>
        <v>11993</v>
      </c>
      <c r="T39" s="17">
        <f>SUM(T34:T38)</f>
        <v>11658</v>
      </c>
      <c r="U39" s="17">
        <f>SUM(U34:U38)</f>
        <v>13927</v>
      </c>
      <c r="V39" s="98">
        <f>LN(Table3[[#This Row],[2025]]/Table3[[#This Row],[2024]])</f>
        <v>0.1778367624475968</v>
      </c>
      <c r="W39" s="87">
        <f>LN(Table3[[#This Row],[2025]]/Table3[[#This Row],[2023]])</f>
        <v>0.14950625582137095</v>
      </c>
      <c r="X39" s="88">
        <f>LN(Table3[[#This Row],[2025]]/Table3[[#This Row],[2019]])</f>
        <v>1.4703661410832289</v>
      </c>
    </row>
    <row r="40" spans="2:24" x14ac:dyDescent="0.2">
      <c r="B40" s="6" t="s">
        <v>59</v>
      </c>
      <c r="C40" s="99">
        <f t="shared" ref="C40:D40" si="22">C28/C14</f>
        <v>9.3745357302035356E-2</v>
      </c>
      <c r="D40" s="99">
        <f t="shared" si="22"/>
        <v>0.14022329202089523</v>
      </c>
      <c r="E40" s="99">
        <f>E28/E14</f>
        <v>0.22197882438846295</v>
      </c>
      <c r="F40" s="99">
        <f t="shared" ref="F40:G40" si="23">F28/F14</f>
        <v>5.3557052667259859E-2</v>
      </c>
      <c r="G40" s="99">
        <f t="shared" si="23"/>
        <v>1.7680776014109348E-2</v>
      </c>
      <c r="H40" s="99">
        <f t="shared" ref="H40:I40" si="24">H28/H14</f>
        <v>7.3686251696722896E-2</v>
      </c>
      <c r="I40" s="99">
        <f t="shared" si="24"/>
        <v>0.10664280146655504</v>
      </c>
      <c r="J40" s="96">
        <f>LN(Table4[[#This Row],[2025]]/Table4[[#This Row],[2024]])</f>
        <v>0.36966870819031761</v>
      </c>
      <c r="K40" s="97">
        <f>LN(Table4[[#This Row],[2025]]/Table4[[#This Row],[2023]])</f>
        <v>1.7970069973949092</v>
      </c>
      <c r="L40" s="95">
        <f>LN(Table4[[#This Row],[2025]]/Table4[[#This Row],[2019]])</f>
        <v>0.12890280432929005</v>
      </c>
      <c r="N40" s="6"/>
      <c r="O40" s="74"/>
      <c r="P40" s="74"/>
      <c r="V40" s="39"/>
      <c r="W40" s="63"/>
      <c r="X40" s="62"/>
    </row>
    <row r="41" spans="2:24" ht="13.5" thickBot="1" x14ac:dyDescent="0.25">
      <c r="B41" s="6" t="s">
        <v>61</v>
      </c>
      <c r="C41" s="99">
        <f t="shared" ref="C41:D41" si="25">C18/C14</f>
        <v>0.42608824840291187</v>
      </c>
      <c r="D41" s="99">
        <f t="shared" si="25"/>
        <v>0.44525248386766364</v>
      </c>
      <c r="E41" s="99">
        <f>E18/E14</f>
        <v>0.48247535596933189</v>
      </c>
      <c r="F41" s="99">
        <f t="shared" ref="F41:G41" si="26">F18/F14</f>
        <v>0.4492606245498072</v>
      </c>
      <c r="G41" s="99">
        <f t="shared" si="26"/>
        <v>0.46119929453262787</v>
      </c>
      <c r="H41" s="99">
        <f t="shared" ref="H41:I41" si="27">H18/H14</f>
        <v>0.49350397517936784</v>
      </c>
      <c r="I41" s="99">
        <f t="shared" si="27"/>
        <v>0.49516441005802708</v>
      </c>
      <c r="J41" s="84">
        <f>LN(Table4[[#This Row],[2025]]/Table4[[#This Row],[2024]])</f>
        <v>3.3589350374692269E-3</v>
      </c>
      <c r="K41" s="85">
        <f>LN(Table4[[#This Row],[2025]]/Table4[[#This Row],[2023]])</f>
        <v>7.1059590193907798E-2</v>
      </c>
      <c r="L41" s="95">
        <f>LN(Table4[[#This Row],[2025]]/Table4[[#This Row],[2019]])</f>
        <v>0.1502433682623355</v>
      </c>
      <c r="N41" s="82" t="s">
        <v>52</v>
      </c>
      <c r="O41" s="3">
        <f t="shared" ref="O41:S41" si="28">O25-O39</f>
        <v>2827</v>
      </c>
      <c r="P41" s="3">
        <f t="shared" si="28"/>
        <v>5837</v>
      </c>
      <c r="Q41" s="3">
        <f t="shared" si="28"/>
        <v>7497</v>
      </c>
      <c r="R41" s="3">
        <f t="shared" si="28"/>
        <v>54750</v>
      </c>
      <c r="S41" s="3">
        <f t="shared" si="28"/>
        <v>55892</v>
      </c>
      <c r="T41" s="3">
        <f>T25-T39</f>
        <v>57568</v>
      </c>
      <c r="U41" s="3">
        <f>U25-U39</f>
        <v>62999</v>
      </c>
      <c r="V41" s="98">
        <f>LN(Table3[[#This Row],[2025]]/Table3[[#This Row],[2024]])</f>
        <v>9.0151995481559416E-2</v>
      </c>
      <c r="W41" s="87">
        <f>LN(Table3[[#This Row],[2025]]/Table3[[#This Row],[2023]])</f>
        <v>0.11969759603148057</v>
      </c>
      <c r="X41" s="98">
        <f>LN(Table3[[#This Row],[2025]]/Table3[[#This Row],[2019]])</f>
        <v>3.1039027745382288</v>
      </c>
    </row>
    <row r="42" spans="2:24" x14ac:dyDescent="0.2">
      <c r="B42" s="6" t="s">
        <v>60</v>
      </c>
      <c r="C42" s="99">
        <f t="shared" ref="C42:D42" si="29">C33/C14</f>
        <v>5.0661120190164909E-2</v>
      </c>
      <c r="D42" s="99">
        <f t="shared" si="29"/>
        <v>0.25504455597664655</v>
      </c>
      <c r="E42" s="99">
        <f>E33/E14</f>
        <v>0.19240598758671049</v>
      </c>
      <c r="F42" s="99">
        <f t="shared" ref="F42:G42" si="30">F33/F14</f>
        <v>5.5929833481632135E-2</v>
      </c>
      <c r="G42" s="99">
        <f t="shared" si="30"/>
        <v>3.7654320987654324E-2</v>
      </c>
      <c r="H42" s="99">
        <f t="shared" ref="H42:I42" si="31">H33/H14</f>
        <v>6.3641652123327522E-2</v>
      </c>
      <c r="I42" s="99">
        <f t="shared" si="31"/>
        <v>0.12324258783452179</v>
      </c>
      <c r="J42" s="96">
        <f>LN(Table4[[#This Row],[2025]]/Table4[[#This Row],[2024]])</f>
        <v>0.66088650825353523</v>
      </c>
      <c r="K42" s="97">
        <f>LN(Table4[[#This Row],[2025]]/Table4[[#This Row],[2023]])</f>
        <v>1.1857069569116854</v>
      </c>
      <c r="L42" s="95">
        <f>LN(Table4[[#This Row],[2025]]/Table4[[#This Row],[2019]])</f>
        <v>0.8889959155857633</v>
      </c>
      <c r="N42" s="6" t="s">
        <v>28</v>
      </c>
      <c r="O42" s="2">
        <f t="shared" ref="O42:P42" si="32">O12+O11</f>
        <v>1503</v>
      </c>
      <c r="P42" s="2">
        <f t="shared" si="32"/>
        <v>2290</v>
      </c>
      <c r="Q42" s="2">
        <f>Q12+Q11</f>
        <v>3608</v>
      </c>
      <c r="R42" s="2">
        <f t="shared" ref="R42:T42" si="33">R12+R11</f>
        <v>5855</v>
      </c>
      <c r="S42" s="2">
        <f t="shared" si="33"/>
        <v>5773</v>
      </c>
      <c r="T42" s="2">
        <f t="shared" si="33"/>
        <v>5132</v>
      </c>
      <c r="U42" s="2">
        <f t="shared" ref="U42" si="34">U12+U11</f>
        <v>10552</v>
      </c>
      <c r="V42" s="96">
        <f>LN(Table3[[#This Row],[2025]]/Table3[[#This Row],[2024]])</f>
        <v>0.72081996866162346</v>
      </c>
      <c r="W42" s="93">
        <f>LN(Table3[[#This Row],[2025]]/Table3[[#This Row],[2023]])</f>
        <v>0.60312353933621698</v>
      </c>
      <c r="X42" s="94">
        <f>LN(Table3[[#This Row],[2025]]/Table3[[#This Row],[2019]])</f>
        <v>1.9488523046441759</v>
      </c>
    </row>
    <row r="43" spans="2:24" x14ac:dyDescent="0.2">
      <c r="B43" s="6" t="s">
        <v>64</v>
      </c>
      <c r="C43" s="99">
        <f>C33/O41</f>
        <v>0.12062256809338522</v>
      </c>
      <c r="D43" s="99">
        <f>D33/P41</f>
        <v>0.4265890011992462</v>
      </c>
      <c r="E43" s="99">
        <f>E33/Q41</f>
        <v>0.42176870748299322</v>
      </c>
      <c r="F43" s="99">
        <f>F33/R41</f>
        <v>2.4109589041095891E-2</v>
      </c>
      <c r="G43" s="99">
        <f>G33/S41</f>
        <v>1.5279467544550203E-2</v>
      </c>
      <c r="H43" s="99">
        <f>H33/S41</f>
        <v>2.9360194661132183E-2</v>
      </c>
      <c r="I43" s="99">
        <f>I33/T41</f>
        <v>7.4155780989438577E-2</v>
      </c>
      <c r="J43" s="84">
        <f>LN(Table4[[#This Row],[2025]]/Table4[[#This Row],[2024]])</f>
        <v>0.92652819511795004</v>
      </c>
      <c r="K43" s="85">
        <f>LN(Table4[[#This Row],[2025]]/Table4[[#This Row],[2023]])</f>
        <v>1.579658092419471</v>
      </c>
      <c r="L43" s="95">
        <f>LN(Table4[[#This Row],[2025]]/Table4[[#This Row],[2019]])</f>
        <v>-0.48649836958222409</v>
      </c>
      <c r="N43" s="6" t="s">
        <v>55</v>
      </c>
      <c r="O43" s="2">
        <f t="shared" ref="O43:P43" si="35">O32+O35</f>
        <v>486</v>
      </c>
      <c r="P43" s="2">
        <f t="shared" si="35"/>
        <v>330</v>
      </c>
      <c r="Q43" s="2">
        <f>Q32+Q35</f>
        <v>313</v>
      </c>
      <c r="R43" s="2">
        <f t="shared" ref="R43:T43" si="36">R32+R35</f>
        <v>2467</v>
      </c>
      <c r="S43" s="2">
        <f t="shared" si="36"/>
        <v>2468</v>
      </c>
      <c r="T43" s="2">
        <f t="shared" si="36"/>
        <v>1721</v>
      </c>
      <c r="U43" s="2">
        <f t="shared" ref="U43" si="37">U32+U35</f>
        <v>3222</v>
      </c>
      <c r="V43" s="96">
        <f>LN(Table3[[#This Row],[2025]]/Table3[[#This Row],[2024]])</f>
        <v>0.62709676752538024</v>
      </c>
      <c r="W43" s="93">
        <f>LN(Table3[[#This Row],[2025]]/Table3[[#This Row],[2023]])</f>
        <v>0.26659417871164126</v>
      </c>
      <c r="X43" s="94">
        <f>LN(Table3[[#This Row],[2025]]/Table3[[#This Row],[2019]])</f>
        <v>1.891548939836426</v>
      </c>
    </row>
    <row r="44" spans="2:24" x14ac:dyDescent="0.2">
      <c r="J44" s="57"/>
      <c r="K44" s="58"/>
      <c r="L44" s="59"/>
      <c r="N44" s="6" t="s">
        <v>53</v>
      </c>
      <c r="O44" s="2">
        <f t="shared" ref="O44:P44" si="38">C38-O42+O43</f>
        <v>50260</v>
      </c>
      <c r="P44" s="2">
        <f t="shared" si="38"/>
        <v>99437.759999999995</v>
      </c>
      <c r="Q44" s="2">
        <f>E38-Q42+Q43</f>
        <v>173963.66999999998</v>
      </c>
      <c r="R44" s="2">
        <f>F38-R42+R43</f>
        <v>98428.510000000009</v>
      </c>
      <c r="S44" s="2">
        <f>G38-S42+S43</f>
        <v>235667.5</v>
      </c>
      <c r="T44" s="2">
        <f>I38-T42+T43</f>
        <v>383879.27999999997</v>
      </c>
      <c r="U44" s="2">
        <f>I38-U42+U43</f>
        <v>379960.27999999997</v>
      </c>
      <c r="V44" s="92">
        <f>LN(Table3[[#This Row],[2025]]/Table3[[#This Row],[2024]])</f>
        <v>-1.0261407220161401E-2</v>
      </c>
      <c r="W44" s="93">
        <f>LN(Table3[[#This Row],[2025]]/Table3[[#This Row],[2023]])</f>
        <v>0.4776448076512822</v>
      </c>
      <c r="X44" s="94">
        <f>LN(Table3[[#This Row],[2025]]/Table3[[#This Row],[2019]])</f>
        <v>2.0228571888259399</v>
      </c>
    </row>
    <row r="45" spans="2:24" x14ac:dyDescent="0.2">
      <c r="E45" s="50"/>
      <c r="F45" s="50"/>
      <c r="G45" s="50"/>
      <c r="H45" s="50"/>
      <c r="I45" s="50"/>
      <c r="J45" s="50"/>
      <c r="N45" s="6" t="s">
        <v>58</v>
      </c>
      <c r="O45" s="16">
        <f t="shared" ref="O45:P45" si="39">O44/C39</f>
        <v>79.651347068145796</v>
      </c>
      <c r="P45" s="16">
        <f t="shared" si="39"/>
        <v>72.635325054784516</v>
      </c>
      <c r="Q45" s="16">
        <f>Q44/E39</f>
        <v>47.687409539473677</v>
      </c>
      <c r="R45" s="16">
        <f>R44/F39</f>
        <v>29.259366825208087</v>
      </c>
      <c r="S45" s="16">
        <f>S44/G39</f>
        <v>103.818281938326</v>
      </c>
      <c r="T45" s="16">
        <f>T44/I39</f>
        <v>78.07184868822452</v>
      </c>
      <c r="U45" s="16">
        <f>U44/I39</f>
        <v>77.27481797844213</v>
      </c>
      <c r="V45" s="92">
        <f>LN(Table3[[#This Row],[2025]]/Table3[[#This Row],[2024]])</f>
        <v>-1.0261407220161514E-2</v>
      </c>
      <c r="W45" s="93">
        <f>LN(Table3[[#This Row],[2025]]/Table3[[#This Row],[2023]])</f>
        <v>-0.295273949285209</v>
      </c>
      <c r="X45" s="94">
        <f>LN(Table3[[#This Row],[2025]]/Table3[[#This Row],[2019]])</f>
        <v>-3.0290816044786506E-2</v>
      </c>
    </row>
    <row r="46" spans="2:24" x14ac:dyDescent="0.2">
      <c r="E46" s="51"/>
      <c r="F46" s="51"/>
      <c r="G46" s="51"/>
      <c r="H46" s="51"/>
      <c r="I46" s="50"/>
      <c r="J46" s="52"/>
      <c r="N46" s="6" t="s">
        <v>63</v>
      </c>
      <c r="O46" s="19">
        <f t="shared" ref="O46:T46" si="40">C16/O14</f>
        <v>3.9338085539714869</v>
      </c>
      <c r="P46" s="19">
        <f t="shared" si="40"/>
        <v>3.8713366690493207</v>
      </c>
      <c r="Q46" s="19">
        <f t="shared" si="40"/>
        <v>4.3503836317135551</v>
      </c>
      <c r="R46" s="19">
        <f t="shared" si="40"/>
        <v>3.0628480509148766</v>
      </c>
      <c r="S46" s="19">
        <f t="shared" si="40"/>
        <v>2.5920478051022755</v>
      </c>
      <c r="T46" s="19">
        <f t="shared" si="40"/>
        <v>2.1126613184513428</v>
      </c>
      <c r="U46" s="19">
        <f>I16/U14</f>
        <v>2.0777777777777779</v>
      </c>
      <c r="V46" s="92">
        <f>LN(Table3[[#This Row],[2025]]/Table3[[#This Row],[2024]])</f>
        <v>-1.6649494573255683E-2</v>
      </c>
      <c r="W46" s="93">
        <f>LN(Table3[[#This Row],[2025]]/Table3[[#This Row],[2023]])</f>
        <v>-0.22114927512212573</v>
      </c>
      <c r="X46" s="94">
        <f>LN(Table3[[#This Row],[2025]]/Table3[[#This Row],[2019]])</f>
        <v>-0.63830910778749372</v>
      </c>
    </row>
    <row r="47" spans="2:24" x14ac:dyDescent="0.2">
      <c r="E47" s="51"/>
      <c r="F47" s="51"/>
      <c r="G47" s="51"/>
      <c r="H47" s="51"/>
      <c r="I47" s="50"/>
      <c r="J47" s="52"/>
      <c r="N47" s="9" t="s">
        <v>62</v>
      </c>
      <c r="O47" s="16">
        <f t="shared" ref="O47" si="41">365/O46</f>
        <v>92.785399948226768</v>
      </c>
      <c r="P47" s="16">
        <f t="shared" ref="P47" si="42">365/P46</f>
        <v>94.282680945347124</v>
      </c>
      <c r="Q47" s="16">
        <f>365/Q46</f>
        <v>83.900646678424451</v>
      </c>
      <c r="R47" s="16">
        <f t="shared" ref="R47:T47" si="43">365/R46</f>
        <v>119.17012987012987</v>
      </c>
      <c r="S47" s="16">
        <f t="shared" si="43"/>
        <v>140.81530413193829</v>
      </c>
      <c r="T47" s="16">
        <f t="shared" si="43"/>
        <v>172.76787188377085</v>
      </c>
      <c r="U47" s="16">
        <f t="shared" ref="U47" si="44">365/U46</f>
        <v>175.66844919786095</v>
      </c>
      <c r="V47" s="92">
        <f>LN(Table3[[#This Row],[2025]]/Table3[[#This Row],[2024]])</f>
        <v>1.664949457325569E-2</v>
      </c>
      <c r="W47" s="93">
        <f>LN(Table3[[#This Row],[2025]]/Table3[[#This Row],[2023]])</f>
        <v>0.22114927512212568</v>
      </c>
      <c r="X47" s="94">
        <f>LN(Table3[[#This Row],[2025]]/Table3[[#This Row],[2019]])</f>
        <v>0.63830910778749383</v>
      </c>
    </row>
    <row r="48" spans="2:24" x14ac:dyDescent="0.2">
      <c r="E48" s="51"/>
      <c r="F48" s="51"/>
      <c r="G48" s="51"/>
      <c r="H48" s="51"/>
      <c r="I48" s="50"/>
      <c r="J48" s="52"/>
      <c r="N48" s="6" t="s">
        <v>113</v>
      </c>
      <c r="O48" s="2">
        <f>O17-O34+O18+O22+O20</f>
        <v>3085</v>
      </c>
      <c r="P48" s="2">
        <f t="shared" ref="P48:U48" si="45">P17-P34+P18+P22+P20</f>
        <v>4719</v>
      </c>
      <c r="Q48" s="2">
        <f t="shared" si="45"/>
        <v>5403</v>
      </c>
      <c r="R48" s="2">
        <f t="shared" si="45"/>
        <v>34423</v>
      </c>
      <c r="S48" s="2">
        <f t="shared" si="45"/>
        <v>36029</v>
      </c>
      <c r="T48" s="2">
        <f t="shared" si="45"/>
        <v>38558</v>
      </c>
      <c r="U48" s="2">
        <f t="shared" si="45"/>
        <v>44930</v>
      </c>
      <c r="V48" s="96">
        <f>LN(Table3[[#This Row],[2025]]/Table3[[#This Row],[2024]])</f>
        <v>0.15294212190479148</v>
      </c>
      <c r="W48" s="93">
        <f>LN(Table3[[#This Row],[2025]]/Table3[[#This Row],[2023]])</f>
        <v>0.22078155335613786</v>
      </c>
      <c r="X48" s="94">
        <f>LN(Table3[[#This Row],[2025]]/Table3[[#This Row],[2019]])</f>
        <v>2.6785540657247173</v>
      </c>
    </row>
    <row r="49" spans="5:24" x14ac:dyDescent="0.2">
      <c r="E49" s="51"/>
      <c r="F49" s="51"/>
      <c r="G49" s="51"/>
      <c r="H49" s="51"/>
      <c r="I49" s="50"/>
      <c r="J49" s="52"/>
      <c r="N49" s="9"/>
      <c r="O49" s="16"/>
      <c r="P49" s="16"/>
      <c r="Q49" s="16"/>
      <c r="R49" s="16"/>
      <c r="S49" s="16"/>
      <c r="T49" s="16"/>
      <c r="U49" s="16"/>
      <c r="V49" s="39"/>
      <c r="W49" s="63"/>
      <c r="X49" s="62"/>
    </row>
    <row r="50" spans="5:24" x14ac:dyDescent="0.2">
      <c r="E50" s="50"/>
      <c r="F50" s="50"/>
      <c r="G50" s="50"/>
      <c r="H50" s="50"/>
      <c r="I50" s="53"/>
    </row>
    <row r="51" spans="5:24" x14ac:dyDescent="0.2">
      <c r="E51" s="50"/>
      <c r="F51" s="50"/>
      <c r="G51" s="50"/>
      <c r="H51" s="50"/>
      <c r="I51" s="53"/>
      <c r="J51" s="54"/>
      <c r="K51" s="54"/>
      <c r="L51" s="54"/>
    </row>
    <row r="52" spans="5:24" x14ac:dyDescent="0.2">
      <c r="E52" s="51"/>
      <c r="F52" s="51"/>
      <c r="G52" s="51"/>
      <c r="H52" s="51"/>
      <c r="I52" s="55"/>
      <c r="J52" s="56"/>
      <c r="K52" s="56"/>
      <c r="L52" s="56"/>
    </row>
    <row r="53" spans="5:24" x14ac:dyDescent="0.2">
      <c r="E53" s="51"/>
      <c r="F53" s="51"/>
      <c r="G53" s="51"/>
      <c r="H53" s="51"/>
      <c r="I53" s="55"/>
      <c r="J53" s="56"/>
      <c r="K53" s="56"/>
      <c r="L53" s="56"/>
    </row>
    <row r="54" spans="5:24" x14ac:dyDescent="0.2">
      <c r="E54" s="51"/>
      <c r="F54" s="51"/>
      <c r="G54" s="51"/>
      <c r="H54" s="51"/>
      <c r="I54" s="55"/>
      <c r="J54" s="56"/>
      <c r="K54" s="56"/>
      <c r="L54" s="56"/>
    </row>
    <row r="55" spans="5:24" x14ac:dyDescent="0.2">
      <c r="E55" s="50"/>
      <c r="F55" s="50"/>
      <c r="G55" s="50"/>
      <c r="H55" s="50"/>
      <c r="I55" s="53"/>
    </row>
  </sheetData>
  <phoneticPr fontId="10" type="noConversion"/>
  <pageMargins left="0.25" right="0.25" top="0.75" bottom="0.75" header="0.3" footer="0.3"/>
  <pageSetup paperSize="3" scale="74"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7869-FC88-4110-8F85-51C298F52F2E}">
  <dimension ref="B1:L35"/>
  <sheetViews>
    <sheetView topLeftCell="A3" workbookViewId="0">
      <selection activeCell="E47" sqref="E47"/>
    </sheetView>
  </sheetViews>
  <sheetFormatPr defaultRowHeight="12.75" x14ac:dyDescent="0.2"/>
  <cols>
    <col min="3" max="3" width="17.42578125" customWidth="1"/>
    <col min="4" max="4" width="18.5703125" customWidth="1"/>
    <col min="5" max="5" width="11.140625" customWidth="1"/>
    <col min="6" max="9" width="10.42578125" style="2" customWidth="1"/>
    <col min="10" max="10" width="12" style="2" bestFit="1" customWidth="1"/>
    <col min="11" max="12" width="10.7109375" customWidth="1"/>
  </cols>
  <sheetData>
    <row r="1" spans="2:12" x14ac:dyDescent="0.2">
      <c r="F1"/>
      <c r="G1"/>
      <c r="H1"/>
      <c r="I1"/>
      <c r="J1"/>
    </row>
    <row r="2" spans="2:12" x14ac:dyDescent="0.2">
      <c r="C2" s="14" t="s">
        <v>72</v>
      </c>
      <c r="D2" s="14"/>
      <c r="E2" s="14"/>
      <c r="F2"/>
      <c r="G2"/>
      <c r="H2"/>
      <c r="I2"/>
      <c r="J2"/>
    </row>
    <row r="3" spans="2:12" x14ac:dyDescent="0.2">
      <c r="C3" s="14"/>
      <c r="D3" s="14"/>
      <c r="E3" s="14"/>
      <c r="F3"/>
      <c r="G3"/>
      <c r="H3"/>
      <c r="I3"/>
      <c r="J3"/>
    </row>
    <row r="4" spans="2:12" x14ac:dyDescent="0.2">
      <c r="C4" s="14" t="s">
        <v>77</v>
      </c>
      <c r="D4" s="14" t="s">
        <v>76</v>
      </c>
      <c r="E4" s="14" t="s">
        <v>52</v>
      </c>
      <c r="F4" s="14" t="s">
        <v>73</v>
      </c>
      <c r="G4" s="14" t="s">
        <v>74</v>
      </c>
      <c r="H4" s="14" t="s">
        <v>75</v>
      </c>
      <c r="I4" s="14" t="s">
        <v>56</v>
      </c>
      <c r="J4" s="14" t="s">
        <v>53</v>
      </c>
      <c r="K4" s="14" t="s">
        <v>58</v>
      </c>
      <c r="L4" s="14" t="s">
        <v>80</v>
      </c>
    </row>
    <row r="5" spans="2:12" x14ac:dyDescent="0.2">
      <c r="B5" s="26" t="e" vm="2">
        <v>#VALUE!</v>
      </c>
      <c r="C5" s="25" t="s">
        <v>65</v>
      </c>
      <c r="D5" s="2" cm="1">
        <f t="array" aca="1" ref="D5" ca="1">_FV(B5,"Market cap",TRUE)</f>
        <v>4718274000000</v>
      </c>
      <c r="E5" s="2"/>
      <c r="F5" s="2">
        <v>62</v>
      </c>
      <c r="H5" s="2">
        <f t="shared" ref="H5:H11" si="0">F5-G5</f>
        <v>62</v>
      </c>
      <c r="K5" s="27" t="e">
        <f>J5/I5</f>
        <v>#DIV/0!</v>
      </c>
      <c r="L5" s="27" t="e">
        <f>E5/I5</f>
        <v>#DIV/0!</v>
      </c>
    </row>
    <row r="6" spans="2:12" x14ac:dyDescent="0.2">
      <c r="B6" s="26" t="e" vm="3">
        <v>#VALUE!</v>
      </c>
      <c r="C6" s="25" t="s">
        <v>66</v>
      </c>
      <c r="D6" s="2">
        <v>205990</v>
      </c>
      <c r="E6" s="2"/>
      <c r="H6" s="2">
        <f t="shared" si="0"/>
        <v>0</v>
      </c>
      <c r="K6" s="27" t="e">
        <f>J6/I6</f>
        <v>#DIV/0!</v>
      </c>
      <c r="L6" s="27" t="e">
        <f>E6/I6</f>
        <v>#DIV/0!</v>
      </c>
    </row>
    <row r="7" spans="2:12" x14ac:dyDescent="0.2">
      <c r="B7" s="26" t="e" vm="1">
        <v>#VALUE!</v>
      </c>
      <c r="C7" s="25" t="s">
        <v>67</v>
      </c>
      <c r="D7" s="2">
        <v>203160</v>
      </c>
      <c r="E7" s="2">
        <f>Statements!S41-Statements!S42+Statements!S43</f>
        <v>52587</v>
      </c>
      <c r="F7" s="2">
        <f>Statements!I14</f>
        <v>34639</v>
      </c>
      <c r="G7" s="2">
        <f>Statements!I16</f>
        <v>16456</v>
      </c>
      <c r="H7" s="2">
        <f t="shared" si="0"/>
        <v>18183</v>
      </c>
      <c r="I7" s="2">
        <v>1900</v>
      </c>
      <c r="J7" s="2">
        <f>Statements!T44</f>
        <v>383879.27999999997</v>
      </c>
      <c r="K7" s="27">
        <f t="shared" ref="K7:K11" si="1">J7/I7</f>
        <v>202.04172631578945</v>
      </c>
      <c r="L7" s="27">
        <f t="shared" ref="L7:L11" si="2">E7/I7</f>
        <v>27.677368421052631</v>
      </c>
    </row>
    <row r="8" spans="2:12" x14ac:dyDescent="0.2">
      <c r="B8" s="26" t="e" vm="4">
        <v>#VALUE!</v>
      </c>
      <c r="C8" s="25" t="s">
        <v>68</v>
      </c>
      <c r="D8" s="2">
        <v>107690</v>
      </c>
      <c r="E8" s="2">
        <f>35176-(1991.3+371.8)+(6634.3+399.6+547.7)</f>
        <v>40394.5</v>
      </c>
      <c r="F8" s="2">
        <v>9427.1</v>
      </c>
      <c r="G8" s="2">
        <v>4045.8</v>
      </c>
      <c r="H8" s="2">
        <f t="shared" si="0"/>
        <v>5381.3</v>
      </c>
      <c r="I8" s="2">
        <v>2032.8</v>
      </c>
      <c r="J8" s="2">
        <f>D8-(1991.3+371.8)+(6634.3+399.6+547.7)</f>
        <v>112908.5</v>
      </c>
      <c r="K8" s="27">
        <f t="shared" si="1"/>
        <v>55.543339236521057</v>
      </c>
      <c r="L8" s="27">
        <f t="shared" si="2"/>
        <v>19.871359700905156</v>
      </c>
    </row>
    <row r="9" spans="2:12" x14ac:dyDescent="0.2">
      <c r="B9" s="26" t="e" vm="5">
        <v>#VALUE!</v>
      </c>
      <c r="C9" s="25" t="s">
        <v>69</v>
      </c>
      <c r="D9" s="2">
        <v>84130</v>
      </c>
      <c r="E9" s="2">
        <f>105032-(8249+13813)+(3729+46282)</f>
        <v>132981</v>
      </c>
      <c r="F9" s="2">
        <v>53101</v>
      </c>
      <c r="G9" s="2">
        <v>35756</v>
      </c>
      <c r="H9" s="2">
        <f t="shared" si="0"/>
        <v>17345</v>
      </c>
      <c r="I9" s="2">
        <v>-11678</v>
      </c>
      <c r="J9" s="2">
        <f>D9-(8249+13813)+(3729+46282)</f>
        <v>112079</v>
      </c>
      <c r="K9" s="27">
        <f t="shared" si="1"/>
        <v>-9.5974481931837641</v>
      </c>
      <c r="L9" s="27">
        <f t="shared" si="2"/>
        <v>-11.387309470799794</v>
      </c>
    </row>
    <row r="10" spans="2:12" x14ac:dyDescent="0.2">
      <c r="B10" s="26" t="e" vm="6">
        <v>#VALUE!</v>
      </c>
      <c r="C10" s="25" t="s">
        <v>70</v>
      </c>
      <c r="D10" s="2">
        <v>22880</v>
      </c>
      <c r="E10" s="2"/>
      <c r="H10" s="2">
        <f t="shared" si="0"/>
        <v>0</v>
      </c>
      <c r="K10" s="27" t="e">
        <f t="shared" si="1"/>
        <v>#DIV/0!</v>
      </c>
      <c r="L10" s="27" t="e">
        <f t="shared" si="2"/>
        <v>#DIV/0!</v>
      </c>
    </row>
    <row r="11" spans="2:12" x14ac:dyDescent="0.2">
      <c r="B11" s="26" t="e" vm="7">
        <v>#VALUE!</v>
      </c>
      <c r="C11" s="25" t="s">
        <v>71</v>
      </c>
      <c r="D11" s="2">
        <v>174690</v>
      </c>
      <c r="E11" s="2">
        <f>26274-(7849+5451)-(1364+13270)</f>
        <v>-1660</v>
      </c>
      <c r="F11" s="2">
        <v>38962</v>
      </c>
      <c r="G11" s="2">
        <v>17060</v>
      </c>
      <c r="H11" s="2">
        <f t="shared" si="0"/>
        <v>21902</v>
      </c>
      <c r="I11" s="2">
        <v>10071</v>
      </c>
      <c r="J11" s="2">
        <f>D11-(7849+5451)-(1364+13270)</f>
        <v>146756</v>
      </c>
      <c r="K11" s="27">
        <f t="shared" si="1"/>
        <v>14.57213782146758</v>
      </c>
      <c r="L11" s="27">
        <f t="shared" si="2"/>
        <v>-0.16482970906563399</v>
      </c>
    </row>
    <row r="12" spans="2:12" x14ac:dyDescent="0.2">
      <c r="B12" s="26"/>
    </row>
    <row r="13" spans="2:12" x14ac:dyDescent="0.2">
      <c r="F13"/>
      <c r="G13"/>
      <c r="H13"/>
      <c r="I13"/>
      <c r="J13"/>
    </row>
    <row r="14" spans="2:12" x14ac:dyDescent="0.2">
      <c r="C14" s="29" t="s">
        <v>78</v>
      </c>
      <c r="D14" s="30" t="s">
        <v>81</v>
      </c>
      <c r="E14" s="30" t="s">
        <v>82</v>
      </c>
      <c r="F14" s="31" t="s">
        <v>83</v>
      </c>
      <c r="G14" s="31" t="s">
        <v>84</v>
      </c>
      <c r="H14" s="31" t="s">
        <v>85</v>
      </c>
      <c r="I14" s="31" t="s">
        <v>86</v>
      </c>
      <c r="J14" s="31" t="s">
        <v>87</v>
      </c>
      <c r="K14" s="31" t="s">
        <v>88</v>
      </c>
      <c r="L14" s="31" t="s">
        <v>89</v>
      </c>
    </row>
    <row r="15" spans="2:12" x14ac:dyDescent="0.2">
      <c r="C15" s="29" t="s">
        <v>77</v>
      </c>
      <c r="D15" s="29" t="s">
        <v>76</v>
      </c>
      <c r="E15" s="29" t="s">
        <v>79</v>
      </c>
      <c r="F15" s="29" t="s">
        <v>73</v>
      </c>
      <c r="G15" s="29" t="s">
        <v>74</v>
      </c>
      <c r="H15" s="29" t="s">
        <v>75</v>
      </c>
      <c r="I15" s="29" t="s">
        <v>56</v>
      </c>
      <c r="J15" s="29" t="s">
        <v>53</v>
      </c>
      <c r="K15" s="29" t="s">
        <v>58</v>
      </c>
      <c r="L15" s="29" t="s">
        <v>80</v>
      </c>
    </row>
    <row r="16" spans="2:12" x14ac:dyDescent="0.2">
      <c r="B16" s="32">
        <f>(Table2[[#This Row],[Column1]])/(SUM(D16:D22))</f>
        <v>0.57730272506708713</v>
      </c>
      <c r="C16" s="25" t="s">
        <v>65</v>
      </c>
      <c r="D16" s="2">
        <f>49.52*24940</f>
        <v>1235028.8</v>
      </c>
      <c r="E16" s="2">
        <f>42978-(7280+18704)+(1250+8459)</f>
        <v>26703</v>
      </c>
      <c r="F16" s="2">
        <v>60922</v>
      </c>
      <c r="G16" s="2">
        <v>16621</v>
      </c>
      <c r="H16" s="2">
        <f t="shared" ref="H16:H22" si="3">F16-G16</f>
        <v>44301</v>
      </c>
      <c r="I16" s="2">
        <v>32972</v>
      </c>
      <c r="J16" s="2">
        <f>D16-(7280+18704)+(1250+8459)</f>
        <v>1218753.8</v>
      </c>
      <c r="K16" s="27">
        <f t="shared" ref="K16:K22" si="4">J16/I16</f>
        <v>36.963296130049741</v>
      </c>
      <c r="L16" s="27">
        <f t="shared" ref="L16:L22" si="5">E16/I16</f>
        <v>0.80986897974038574</v>
      </c>
    </row>
    <row r="17" spans="2:12" x14ac:dyDescent="0.2">
      <c r="B17" s="32">
        <f>(Table2[[#This Row],[Column1]])/(SUM(D16:D22))</f>
        <v>0.11131632796536901</v>
      </c>
      <c r="C17" s="25" t="s">
        <v>67</v>
      </c>
      <c r="D17" s="2">
        <v>238140</v>
      </c>
      <c r="E17" s="2">
        <f>(55892)-Statements!S42+Statements!S43</f>
        <v>52587</v>
      </c>
      <c r="F17" s="2">
        <v>22680</v>
      </c>
      <c r="G17" s="2">
        <v>11278</v>
      </c>
      <c r="H17" s="2">
        <f t="shared" si="3"/>
        <v>11402</v>
      </c>
      <c r="I17" s="2">
        <v>401</v>
      </c>
      <c r="J17" s="2">
        <f>D17-Statements!S42+Statements!S43</f>
        <v>234835</v>
      </c>
      <c r="K17" s="27">
        <f t="shared" si="4"/>
        <v>585.62344139650872</v>
      </c>
      <c r="L17" s="27">
        <f t="shared" si="5"/>
        <v>131.13965087281795</v>
      </c>
    </row>
    <row r="18" spans="2:12" x14ac:dyDescent="0.2">
      <c r="B18" s="32">
        <f>(Table2[[#This Row],[Column1]])/(SUM(D16:D22))</f>
        <v>9.9027311999090553E-2</v>
      </c>
      <c r="C18" s="25" t="s">
        <v>69</v>
      </c>
      <c r="D18" s="2">
        <v>211850</v>
      </c>
      <c r="E18" s="2">
        <f>105032-(7079+17955)-(2288+46978)</f>
        <v>30732</v>
      </c>
      <c r="F18" s="2">
        <v>54228</v>
      </c>
      <c r="G18" s="2">
        <v>32517</v>
      </c>
      <c r="H18" s="2">
        <f t="shared" si="3"/>
        <v>21711</v>
      </c>
      <c r="I18" s="2">
        <v>93</v>
      </c>
      <c r="J18" s="2">
        <f>D18-(7079+17955)-(2288+46978)</f>
        <v>137550</v>
      </c>
      <c r="K18" s="27">
        <f t="shared" si="4"/>
        <v>1479.0322580645161</v>
      </c>
      <c r="L18" s="27">
        <f t="shared" si="5"/>
        <v>330.45161290322579</v>
      </c>
    </row>
    <row r="19" spans="2:12" x14ac:dyDescent="0.2">
      <c r="B19" s="32">
        <f>(Table2[[#This Row],[Column1]])/(SUM(D16:D22))</f>
        <v>7.5243929254159111E-2</v>
      </c>
      <c r="C19" s="25" t="s">
        <v>71</v>
      </c>
      <c r="D19" s="2">
        <v>160970</v>
      </c>
      <c r="E19" s="2">
        <f>21581-(8450+2874)+(914+14484)</f>
        <v>25655</v>
      </c>
      <c r="F19" s="2">
        <v>35820</v>
      </c>
      <c r="G19" s="2">
        <v>15869</v>
      </c>
      <c r="H19" s="2">
        <f t="shared" si="3"/>
        <v>19951</v>
      </c>
      <c r="I19" s="2">
        <v>7788</v>
      </c>
      <c r="J19" s="2">
        <f>D19-(8450+2874)+(914+14484)</f>
        <v>165044</v>
      </c>
      <c r="K19" s="27">
        <f t="shared" si="4"/>
        <v>21.192090395480225</v>
      </c>
      <c r="L19" s="27">
        <f t="shared" si="5"/>
        <v>3.2941705187467898</v>
      </c>
    </row>
    <row r="20" spans="2:12" x14ac:dyDescent="0.2">
      <c r="B20" s="32">
        <f>(Table2[[#This Row],[Column1]])/(SUM(D16:D22))</f>
        <v>6.980759392940375E-2</v>
      </c>
      <c r="C20" s="25" t="s">
        <v>66</v>
      </c>
      <c r="D20" s="2">
        <v>149340</v>
      </c>
      <c r="E20" s="2">
        <f>22613-(13068+21+373)+(6426+50121)</f>
        <v>65698</v>
      </c>
      <c r="F20" s="2">
        <v>61860</v>
      </c>
      <c r="G20" s="2">
        <v>27560</v>
      </c>
      <c r="H20" s="2">
        <f t="shared" si="3"/>
        <v>34300</v>
      </c>
      <c r="I20" s="2">
        <f>8690+1607</f>
        <v>10297</v>
      </c>
      <c r="J20" s="2">
        <f>D20-(13068+21+373)+(6426+50121)</f>
        <v>192425</v>
      </c>
      <c r="K20" s="28">
        <f t="shared" si="4"/>
        <v>18.687481790812857</v>
      </c>
      <c r="L20" s="27">
        <f t="shared" si="5"/>
        <v>6.380304943187336</v>
      </c>
    </row>
    <row r="21" spans="2:12" x14ac:dyDescent="0.2">
      <c r="B21" s="32">
        <f>(Table2[[#This Row],[Column1]])/(SUM(D16:D22))</f>
        <v>4.6061606440360552E-2</v>
      </c>
      <c r="C21" s="25" t="s">
        <v>68</v>
      </c>
      <c r="D21" s="2">
        <v>98540</v>
      </c>
      <c r="E21" s="2">
        <f>35565-(958.1+0)+(499+547.22+5902.45)</f>
        <v>41555.57</v>
      </c>
      <c r="F21" s="2">
        <v>12305.5</v>
      </c>
      <c r="G21" s="2">
        <v>4428.3</v>
      </c>
      <c r="H21" s="2">
        <f t="shared" si="3"/>
        <v>7877.2</v>
      </c>
      <c r="I21" s="2">
        <v>3823.1</v>
      </c>
      <c r="J21" s="2">
        <f>D21-(958.1+0)+(499+547.22+5902.45)</f>
        <v>104530.56999999999</v>
      </c>
      <c r="K21" s="27">
        <f t="shared" si="4"/>
        <v>27.341835159948733</v>
      </c>
      <c r="L21" s="27">
        <f t="shared" si="5"/>
        <v>10.869600585911957</v>
      </c>
    </row>
    <row r="22" spans="2:12" x14ac:dyDescent="0.2">
      <c r="B22" s="32">
        <f>(Table2[[#This Row],[Column1]])/(SUM(D16:D22))</f>
        <v>2.1240505344529974E-2</v>
      </c>
      <c r="C22" s="25" t="s">
        <v>70</v>
      </c>
      <c r="D22" s="2">
        <v>45440</v>
      </c>
      <c r="E22" s="2">
        <f>16852-(3222+1226+1635)+(217+2710)</f>
        <v>13696</v>
      </c>
      <c r="F22" s="2">
        <v>17286</v>
      </c>
      <c r="G22" s="2">
        <v>8999</v>
      </c>
      <c r="H22" s="2">
        <f t="shared" si="3"/>
        <v>8287</v>
      </c>
      <c r="I22" s="2">
        <v>4611</v>
      </c>
      <c r="J22" s="2">
        <f>D22-(3222+1226+1635)+(217+2710)</f>
        <v>42284</v>
      </c>
      <c r="K22" s="27">
        <f t="shared" si="4"/>
        <v>9.1702450661461725</v>
      </c>
      <c r="L22" s="27">
        <f t="shared" si="5"/>
        <v>2.9702884406853176</v>
      </c>
    </row>
    <row r="23" spans="2:12" x14ac:dyDescent="0.2">
      <c r="B23" s="33">
        <f>SUM(B16:B22)</f>
        <v>1</v>
      </c>
    </row>
    <row r="24" spans="2:12" x14ac:dyDescent="0.2">
      <c r="J24" s="2" t="s">
        <v>90</v>
      </c>
      <c r="K24" s="27">
        <f>SUM(K16:K22)/7</f>
        <v>311.14437828620891</v>
      </c>
      <c r="L24" s="27">
        <f>SUM(L16:L22)/7</f>
        <v>69.416499606330788</v>
      </c>
    </row>
    <row r="25" spans="2:12" x14ac:dyDescent="0.2">
      <c r="J25" s="2" t="s">
        <v>91</v>
      </c>
      <c r="K25" s="35">
        <f>SUM(I26:I32)/7</f>
        <v>33.906620758118542</v>
      </c>
      <c r="L25" s="35"/>
    </row>
    <row r="26" spans="2:12" x14ac:dyDescent="0.2">
      <c r="I26" s="36">
        <f t="shared" ref="I26:I32" si="6">B16*K16</f>
        <v>21.339011583339431</v>
      </c>
    </row>
    <row r="27" spans="2:12" x14ac:dyDescent="0.2">
      <c r="I27" s="36">
        <f t="shared" si="6"/>
        <v>65.189451066701821</v>
      </c>
    </row>
    <row r="28" spans="2:12" x14ac:dyDescent="0.2">
      <c r="I28" s="36">
        <f t="shared" si="6"/>
        <v>146.46458887607426</v>
      </c>
    </row>
    <row r="29" spans="2:12" x14ac:dyDescent="0.2">
      <c r="I29" s="36">
        <f t="shared" si="6"/>
        <v>1.5945761504652589</v>
      </c>
    </row>
    <row r="30" spans="2:12" x14ac:dyDescent="0.2">
      <c r="I30" s="36">
        <f t="shared" si="6"/>
        <v>1.3045281404161908</v>
      </c>
    </row>
    <row r="31" spans="2:12" x14ac:dyDescent="0.2">
      <c r="I31" s="36">
        <f t="shared" si="6"/>
        <v>1.2594088504947711</v>
      </c>
    </row>
    <row r="32" spans="2:12" x14ac:dyDescent="0.2">
      <c r="I32" s="36">
        <f t="shared" si="6"/>
        <v>0.19478063933812739</v>
      </c>
    </row>
    <row r="33" spans="9:9" x14ac:dyDescent="0.2">
      <c r="I33" s="37"/>
    </row>
    <row r="34" spans="9:9" x14ac:dyDescent="0.2">
      <c r="I34" s="34"/>
    </row>
    <row r="35" spans="9:9" x14ac:dyDescent="0.2">
      <c r="I35" s="34"/>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ACA3-874C-45B5-AAE9-D5AEC2BA56A0}">
  <dimension ref="B1:G26"/>
  <sheetViews>
    <sheetView workbookViewId="0">
      <selection activeCell="F41" sqref="F41"/>
    </sheetView>
  </sheetViews>
  <sheetFormatPr defaultColWidth="10.5703125" defaultRowHeight="12.75" x14ac:dyDescent="0.2"/>
  <cols>
    <col min="2" max="2" width="15.5703125" customWidth="1"/>
    <col min="3" max="5" width="10.5703125" style="2"/>
  </cols>
  <sheetData>
    <row r="1" spans="2:7" x14ac:dyDescent="0.2">
      <c r="C1"/>
      <c r="D1"/>
      <c r="E1"/>
    </row>
    <row r="2" spans="2:7" x14ac:dyDescent="0.2">
      <c r="C2"/>
      <c r="D2"/>
      <c r="E2"/>
    </row>
    <row r="3" spans="2:7" x14ac:dyDescent="0.2">
      <c r="C3"/>
      <c r="D3"/>
      <c r="E3"/>
    </row>
    <row r="4" spans="2:7" x14ac:dyDescent="0.2">
      <c r="B4" s="14" t="s">
        <v>96</v>
      </c>
      <c r="C4"/>
      <c r="D4"/>
      <c r="E4"/>
    </row>
    <row r="5" spans="2:7" x14ac:dyDescent="0.2">
      <c r="C5"/>
      <c r="D5"/>
      <c r="E5"/>
    </row>
    <row r="6" spans="2:7" x14ac:dyDescent="0.2">
      <c r="B6" s="45" t="s">
        <v>81</v>
      </c>
      <c r="C6" s="11" t="s">
        <v>93</v>
      </c>
      <c r="D6" s="11" t="s">
        <v>94</v>
      </c>
      <c r="E6" s="11" t="s">
        <v>95</v>
      </c>
      <c r="F6" s="38" t="s">
        <v>23</v>
      </c>
      <c r="G6" s="12" t="s">
        <v>24</v>
      </c>
    </row>
    <row r="7" spans="2:7" x14ac:dyDescent="0.2">
      <c r="B7" s="7" t="s">
        <v>97</v>
      </c>
      <c r="C7" s="2">
        <v>8049</v>
      </c>
      <c r="D7" s="2">
        <v>7837</v>
      </c>
      <c r="E7" s="2">
        <v>8693</v>
      </c>
      <c r="F7" s="46">
        <f t="shared" ref="F7" si="0">(E7-D7)/D7</f>
        <v>0.10922546892943728</v>
      </c>
      <c r="G7" s="47">
        <f t="shared" ref="G7" si="1">(E7-C7)/C7</f>
        <v>8.0009939122872409E-2</v>
      </c>
    </row>
    <row r="8" spans="2:7" x14ac:dyDescent="0.2">
      <c r="B8" s="7" t="s">
        <v>98</v>
      </c>
      <c r="C8" s="2">
        <v>5207</v>
      </c>
      <c r="D8" s="2">
        <v>3417</v>
      </c>
      <c r="E8" s="2">
        <v>6231</v>
      </c>
      <c r="F8" s="23">
        <f t="shared" ref="F8:F14" si="2">(E8-D8)/D8</f>
        <v>0.82352941176470584</v>
      </c>
      <c r="G8" s="47">
        <f t="shared" ref="G8:G14" si="3">(E8-C8)/C8</f>
        <v>0.19665834453620126</v>
      </c>
    </row>
    <row r="9" spans="2:7" x14ac:dyDescent="0.2">
      <c r="B9" s="7" t="s">
        <v>99</v>
      </c>
      <c r="C9" s="2">
        <v>1380</v>
      </c>
      <c r="D9" s="2">
        <v>2231</v>
      </c>
      <c r="E9" s="2">
        <v>3614</v>
      </c>
      <c r="F9" s="23">
        <f t="shared" si="2"/>
        <v>0.61990138951142981</v>
      </c>
      <c r="G9" s="23">
        <f t="shared" si="3"/>
        <v>1.6188405797101448</v>
      </c>
    </row>
    <row r="10" spans="2:7" x14ac:dyDescent="0.2">
      <c r="B10" s="7" t="s">
        <v>100</v>
      </c>
      <c r="C10" s="2">
        <v>2369</v>
      </c>
      <c r="D10" s="2">
        <v>1841</v>
      </c>
      <c r="E10" s="2">
        <v>3301</v>
      </c>
      <c r="F10" s="23">
        <f t="shared" si="2"/>
        <v>0.79304725692558398</v>
      </c>
      <c r="G10" s="47">
        <f t="shared" si="3"/>
        <v>0.39341494301392993</v>
      </c>
    </row>
    <row r="11" spans="2:7" x14ac:dyDescent="0.2">
      <c r="B11" s="7" t="s">
        <v>101</v>
      </c>
      <c r="C11" s="2">
        <v>4177</v>
      </c>
      <c r="D11" s="2">
        <v>4629</v>
      </c>
      <c r="E11" s="2">
        <v>1767</v>
      </c>
      <c r="F11" s="23">
        <f t="shared" si="2"/>
        <v>-0.61827608554763447</v>
      </c>
      <c r="G11" s="47">
        <f t="shared" si="3"/>
        <v>-0.5769691165908547</v>
      </c>
    </row>
    <row r="12" spans="2:7" x14ac:dyDescent="0.2">
      <c r="B12" s="7" t="s">
        <v>102</v>
      </c>
      <c r="C12" s="2">
        <v>1773</v>
      </c>
      <c r="D12" s="2">
        <v>2030</v>
      </c>
      <c r="E12" s="2">
        <v>1625</v>
      </c>
      <c r="F12" s="46">
        <f t="shared" si="2"/>
        <v>-0.19950738916256158</v>
      </c>
      <c r="G12" s="47">
        <f t="shared" si="3"/>
        <v>-8.3474337281443878E-2</v>
      </c>
    </row>
    <row r="13" spans="2:7" x14ac:dyDescent="0.2">
      <c r="B13" s="7" t="s">
        <v>41</v>
      </c>
      <c r="C13" s="2">
        <v>646</v>
      </c>
      <c r="D13" s="2">
        <v>695</v>
      </c>
      <c r="E13" s="2">
        <v>554</v>
      </c>
      <c r="F13" s="46">
        <f t="shared" si="2"/>
        <v>-0.20287769784172663</v>
      </c>
      <c r="G13" s="47">
        <f t="shared" si="3"/>
        <v>-0.14241486068111456</v>
      </c>
    </row>
    <row r="14" spans="2:7" ht="39" thickBot="1" x14ac:dyDescent="0.25">
      <c r="B14" s="43" t="s">
        <v>103</v>
      </c>
      <c r="C14" s="44">
        <f t="shared" ref="C14:D14" si="4">SUM(C7:C13)</f>
        <v>23601</v>
      </c>
      <c r="D14" s="44">
        <f t="shared" si="4"/>
        <v>22680</v>
      </c>
      <c r="E14" s="44">
        <f>SUM(E7:E13)</f>
        <v>25785</v>
      </c>
      <c r="F14" s="40">
        <f t="shared" si="2"/>
        <v>0.13690476190476192</v>
      </c>
      <c r="G14" s="48">
        <f t="shared" si="3"/>
        <v>9.2538451760518628E-2</v>
      </c>
    </row>
    <row r="15" spans="2:7" ht="32.25" customHeight="1" x14ac:dyDescent="0.2"/>
    <row r="16" spans="2:7" x14ac:dyDescent="0.2">
      <c r="B16" s="14" t="s">
        <v>104</v>
      </c>
    </row>
    <row r="17" spans="2:7" x14ac:dyDescent="0.2">
      <c r="B17" s="14"/>
    </row>
    <row r="18" spans="2:7" x14ac:dyDescent="0.2">
      <c r="B18" s="45" t="s">
        <v>81</v>
      </c>
      <c r="C18" s="11" t="s">
        <v>93</v>
      </c>
      <c r="D18" s="11" t="s">
        <v>94</v>
      </c>
      <c r="E18" s="11" t="s">
        <v>95</v>
      </c>
      <c r="F18" s="38" t="s">
        <v>23</v>
      </c>
      <c r="G18" s="49" t="s">
        <v>24</v>
      </c>
    </row>
    <row r="19" spans="2:7" x14ac:dyDescent="0.2">
      <c r="B19" s="7" t="s">
        <v>97</v>
      </c>
      <c r="C19" s="18">
        <f>C7/C$14</f>
        <v>0.34104487098004321</v>
      </c>
      <c r="D19" s="18">
        <f>D7/D$14</f>
        <v>0.3455467372134039</v>
      </c>
      <c r="E19" s="18">
        <f t="shared" ref="E19:E25" si="5">E7/E$14</f>
        <v>0.33713399263137483</v>
      </c>
      <c r="F19" s="46">
        <f>(E19-D19)/D19</f>
        <v>-2.4346184397144206E-2</v>
      </c>
      <c r="G19" s="47">
        <f t="shared" ref="G19:G26" si="6">(E19-C19)/C19</f>
        <v>-1.1467342515458119E-2</v>
      </c>
    </row>
    <row r="20" spans="2:7" x14ac:dyDescent="0.2">
      <c r="B20" s="7" t="s">
        <v>98</v>
      </c>
      <c r="C20" s="18">
        <f t="shared" ref="C20:D25" si="7">C8/C$14</f>
        <v>0.22062624465065039</v>
      </c>
      <c r="D20" s="18">
        <f t="shared" si="7"/>
        <v>0.15066137566137566</v>
      </c>
      <c r="E20" s="18">
        <f t="shared" si="5"/>
        <v>0.24165212332751601</v>
      </c>
      <c r="F20" s="23">
        <f t="shared" ref="F20:F26" si="8">(E20-D20)/D20</f>
        <v>0.60394210040036966</v>
      </c>
      <c r="G20" s="47">
        <f t="shared" si="6"/>
        <v>9.5300895458556828E-2</v>
      </c>
    </row>
    <row r="21" spans="2:7" x14ac:dyDescent="0.2">
      <c r="B21" s="7" t="s">
        <v>99</v>
      </c>
      <c r="C21" s="18">
        <f t="shared" si="7"/>
        <v>5.8472098639888143E-2</v>
      </c>
      <c r="D21" s="18">
        <f t="shared" si="7"/>
        <v>9.8368606701940031E-2</v>
      </c>
      <c r="E21" s="18">
        <f t="shared" si="5"/>
        <v>0.14015900717471397</v>
      </c>
      <c r="F21" s="23">
        <f t="shared" si="8"/>
        <v>0.42483473004146705</v>
      </c>
      <c r="G21" s="23">
        <f t="shared" si="6"/>
        <v>1.3970237161814669</v>
      </c>
    </row>
    <row r="22" spans="2:7" x14ac:dyDescent="0.2">
      <c r="B22" s="7" t="s">
        <v>100</v>
      </c>
      <c r="C22" s="18">
        <f t="shared" si="7"/>
        <v>0.10037710266514131</v>
      </c>
      <c r="D22" s="18">
        <f t="shared" si="7"/>
        <v>8.1172839506172836E-2</v>
      </c>
      <c r="E22" s="18">
        <f t="shared" si="5"/>
        <v>0.12802016676362227</v>
      </c>
      <c r="F22" s="23">
        <f t="shared" si="8"/>
        <v>0.57713057153663938</v>
      </c>
      <c r="G22" s="47">
        <f t="shared" si="6"/>
        <v>0.27539212992327944</v>
      </c>
    </row>
    <row r="23" spans="2:7" x14ac:dyDescent="0.2">
      <c r="B23" s="7" t="s">
        <v>101</v>
      </c>
      <c r="C23" s="18">
        <f t="shared" si="7"/>
        <v>0.17698402610058897</v>
      </c>
      <c r="D23" s="18">
        <f t="shared" si="7"/>
        <v>0.20410052910052909</v>
      </c>
      <c r="E23" s="18">
        <f t="shared" si="5"/>
        <v>6.8528214077952301E-2</v>
      </c>
      <c r="F23" s="46">
        <f t="shared" si="8"/>
        <v>-0.66424283964399256</v>
      </c>
      <c r="G23" s="47">
        <f t="shared" si="6"/>
        <v>-0.61280000467949436</v>
      </c>
    </row>
    <row r="24" spans="2:7" x14ac:dyDescent="0.2">
      <c r="B24" s="7" t="s">
        <v>102</v>
      </c>
      <c r="C24" s="18">
        <f t="shared" si="7"/>
        <v>7.5123935426464977E-2</v>
      </c>
      <c r="D24" s="18">
        <f t="shared" si="7"/>
        <v>8.9506172839506168E-2</v>
      </c>
      <c r="E24" s="18">
        <f t="shared" si="5"/>
        <v>6.3021136319565643E-2</v>
      </c>
      <c r="F24" s="46">
        <f t="shared" si="8"/>
        <v>-0.29590178732623207</v>
      </c>
      <c r="G24" s="47">
        <f t="shared" si="6"/>
        <v>-0.16110443413532499</v>
      </c>
    </row>
    <row r="25" spans="2:7" x14ac:dyDescent="0.2">
      <c r="B25" s="7" t="s">
        <v>41</v>
      </c>
      <c r="C25" s="18">
        <f t="shared" si="7"/>
        <v>2.7371721537223E-2</v>
      </c>
      <c r="D25" s="18">
        <f t="shared" si="7"/>
        <v>3.0643738977072309E-2</v>
      </c>
      <c r="E25" s="18">
        <f t="shared" si="5"/>
        <v>2.1485359705254992E-2</v>
      </c>
      <c r="F25" s="46">
        <f t="shared" si="8"/>
        <v>-0.29886624731628308</v>
      </c>
      <c r="G25" s="47">
        <f t="shared" si="6"/>
        <v>-0.2150526712016671</v>
      </c>
    </row>
    <row r="26" spans="2:7" ht="13.5" thickBot="1" x14ac:dyDescent="0.25">
      <c r="B26" s="43" t="s">
        <v>105</v>
      </c>
      <c r="C26" s="44">
        <f t="shared" ref="C26" si="9">SUM(C19:C25)</f>
        <v>1</v>
      </c>
      <c r="D26" s="44">
        <f t="shared" ref="D26" si="10">SUM(D19:D25)</f>
        <v>0.99999999999999989</v>
      </c>
      <c r="E26" s="44">
        <f>SUM(E19:E25)</f>
        <v>1</v>
      </c>
      <c r="F26" s="40">
        <f t="shared" si="8"/>
        <v>1.1102230246251565E-16</v>
      </c>
      <c r="G26" s="48">
        <f t="shared" si="6"/>
        <v>0</v>
      </c>
    </row>
  </sheetData>
  <pageMargins left="0.7" right="0.7" top="0.75" bottom="0.75" header="0.3" footer="0.3"/>
  <pageSetup orientation="portrait"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CB862-6235-4D65-8E8A-B0CB04BD8E62}">
  <dimension ref="A1:Q43"/>
  <sheetViews>
    <sheetView showGridLines="0" zoomScale="140" zoomScaleNormal="140" workbookViewId="0">
      <selection activeCell="D15" sqref="D15"/>
    </sheetView>
  </sheetViews>
  <sheetFormatPr defaultColWidth="12.7109375" defaultRowHeight="12.75" x14ac:dyDescent="0.2"/>
  <cols>
    <col min="2" max="2" width="18.42578125" customWidth="1"/>
    <col min="4" max="4" width="13.7109375" bestFit="1" customWidth="1"/>
  </cols>
  <sheetData>
    <row r="1" spans="1:17" ht="15" x14ac:dyDescent="0.2">
      <c r="A1" s="102"/>
      <c r="B1" s="102"/>
      <c r="C1" s="102"/>
      <c r="D1" s="102"/>
      <c r="E1" s="102"/>
      <c r="F1" s="102"/>
      <c r="G1" s="102"/>
      <c r="H1" s="102"/>
      <c r="I1" s="102"/>
      <c r="J1" s="102"/>
      <c r="K1" s="102"/>
      <c r="L1" s="102"/>
      <c r="M1" s="102"/>
      <c r="N1" s="102"/>
      <c r="O1" s="102"/>
      <c r="P1" s="102"/>
      <c r="Q1" s="102"/>
    </row>
    <row r="2" spans="1:17" ht="15" x14ac:dyDescent="0.2">
      <c r="A2" s="102"/>
      <c r="B2" s="102"/>
      <c r="C2" s="102"/>
      <c r="D2" s="102"/>
      <c r="E2" s="102"/>
      <c r="F2" s="102"/>
      <c r="G2" s="102"/>
      <c r="H2" s="102"/>
      <c r="I2" s="102"/>
      <c r="J2" s="102"/>
      <c r="K2" s="102"/>
      <c r="L2" s="102"/>
      <c r="M2" s="102"/>
      <c r="N2" s="102"/>
      <c r="O2" s="102"/>
      <c r="P2" s="102"/>
      <c r="Q2" s="102"/>
    </row>
    <row r="3" spans="1:17" ht="15" x14ac:dyDescent="0.2">
      <c r="A3" s="102"/>
      <c r="B3" s="102"/>
      <c r="C3" s="102"/>
      <c r="D3" s="102"/>
      <c r="E3" s="102"/>
      <c r="F3" s="102"/>
      <c r="G3" s="102"/>
      <c r="H3" s="102"/>
      <c r="I3" s="102"/>
      <c r="J3" s="102"/>
      <c r="K3" s="102"/>
      <c r="L3" s="102"/>
      <c r="M3" s="102"/>
      <c r="N3" s="102"/>
      <c r="O3" s="102"/>
      <c r="P3" s="102"/>
      <c r="Q3" s="102"/>
    </row>
    <row r="4" spans="1:17" ht="20.25" x14ac:dyDescent="0.3">
      <c r="A4" s="102"/>
      <c r="B4" s="107" t="s">
        <v>122</v>
      </c>
      <c r="C4" s="102"/>
      <c r="D4" s="102"/>
      <c r="E4" s="102"/>
      <c r="F4" s="102"/>
      <c r="G4" s="102"/>
      <c r="H4" s="102"/>
      <c r="I4" s="102"/>
      <c r="J4" s="102"/>
      <c r="K4" s="102"/>
      <c r="L4" s="102"/>
      <c r="M4" s="102"/>
      <c r="N4" s="102"/>
      <c r="O4" s="102"/>
      <c r="P4" s="102"/>
      <c r="Q4" s="102"/>
    </row>
    <row r="5" spans="1:17" ht="15" x14ac:dyDescent="0.2">
      <c r="A5" s="102"/>
      <c r="B5" s="102"/>
      <c r="C5" s="102"/>
      <c r="D5" s="102"/>
      <c r="E5" s="102"/>
      <c r="F5" s="102"/>
      <c r="G5" s="102"/>
      <c r="H5" s="102"/>
      <c r="I5" s="102"/>
      <c r="J5" s="102"/>
      <c r="K5" s="102"/>
      <c r="L5" s="102"/>
      <c r="M5" s="102"/>
      <c r="N5" s="102"/>
      <c r="O5" s="102"/>
      <c r="P5" s="102"/>
      <c r="Q5" s="102"/>
    </row>
    <row r="6" spans="1:17" ht="15.75" x14ac:dyDescent="0.25">
      <c r="A6" s="102"/>
      <c r="B6" s="108" t="s">
        <v>114</v>
      </c>
      <c r="C6" s="100" t="s">
        <v>81</v>
      </c>
      <c r="D6" s="101" t="s">
        <v>107</v>
      </c>
      <c r="E6" s="102"/>
      <c r="F6" s="102"/>
      <c r="G6" s="102"/>
      <c r="H6" s="102"/>
      <c r="I6" s="102"/>
      <c r="J6" s="102"/>
      <c r="K6" s="102"/>
      <c r="L6" s="102"/>
      <c r="M6" s="102"/>
      <c r="N6" s="102"/>
      <c r="O6" s="102"/>
      <c r="P6" s="102"/>
      <c r="Q6" s="102"/>
    </row>
    <row r="7" spans="1:17" ht="15" x14ac:dyDescent="0.2">
      <c r="A7" s="102"/>
      <c r="B7" s="102" t="s">
        <v>121</v>
      </c>
      <c r="C7" s="102"/>
      <c r="D7" s="103">
        <f>((Statements!I14/Statements!C14)^(1/7))-1</f>
        <v>0.2636907954974832</v>
      </c>
      <c r="E7" s="102"/>
      <c r="F7" s="102"/>
      <c r="G7" s="102"/>
      <c r="H7" s="102"/>
      <c r="I7" s="102"/>
      <c r="J7" s="102"/>
      <c r="K7" s="102"/>
      <c r="L7" s="102"/>
      <c r="M7" s="102"/>
      <c r="N7" s="102"/>
      <c r="O7" s="102"/>
      <c r="P7" s="102"/>
      <c r="Q7" s="102"/>
    </row>
    <row r="8" spans="1:17" ht="15" x14ac:dyDescent="0.2">
      <c r="A8" s="102"/>
      <c r="B8" s="102" t="s">
        <v>115</v>
      </c>
      <c r="C8" s="102"/>
      <c r="D8" s="103">
        <f>Statements!I39/Statements!I14</f>
        <v>0.14194982534137821</v>
      </c>
      <c r="E8" s="102"/>
      <c r="F8" s="102"/>
      <c r="G8" s="102"/>
      <c r="H8" s="102"/>
      <c r="I8" s="102"/>
      <c r="J8" s="102"/>
      <c r="K8" s="102"/>
      <c r="L8" s="102"/>
      <c r="M8" s="102"/>
      <c r="N8" s="102"/>
      <c r="O8" s="102"/>
      <c r="P8" s="102"/>
      <c r="Q8" s="102"/>
    </row>
    <row r="9" spans="1:17" ht="15" x14ac:dyDescent="0.2">
      <c r="A9" s="102"/>
      <c r="B9" s="102" t="s">
        <v>64</v>
      </c>
      <c r="C9" s="102"/>
      <c r="D9" s="103">
        <f>Statements!I33/Statements!U41</f>
        <v>6.7762980364767689E-2</v>
      </c>
      <c r="E9" s="102"/>
      <c r="F9" s="102"/>
      <c r="G9" s="102"/>
      <c r="H9" s="102"/>
      <c r="I9" s="102"/>
      <c r="J9" s="102"/>
      <c r="K9" s="102"/>
      <c r="L9" s="102"/>
      <c r="M9" s="102"/>
      <c r="N9" s="102"/>
      <c r="O9" s="102"/>
      <c r="P9" s="102"/>
      <c r="Q9" s="102"/>
    </row>
    <row r="10" spans="1:17" ht="15" x14ac:dyDescent="0.2">
      <c r="A10" s="102"/>
      <c r="B10" s="102" t="s">
        <v>116</v>
      </c>
      <c r="C10" s="102"/>
      <c r="D10" s="103">
        <f>(Statements!I28*(0.21))/Statements!U48</f>
        <v>1.7265524148675718E-2</v>
      </c>
      <c r="E10" s="102"/>
      <c r="F10" s="102"/>
      <c r="G10" s="102"/>
      <c r="H10" s="102"/>
      <c r="I10" s="102"/>
      <c r="J10" s="102"/>
      <c r="K10" s="102"/>
      <c r="L10" s="102"/>
      <c r="M10" s="102"/>
      <c r="N10" s="102"/>
      <c r="O10" s="102"/>
      <c r="P10" s="102"/>
      <c r="Q10" s="102"/>
    </row>
    <row r="11" spans="1:17" ht="15" x14ac:dyDescent="0.2">
      <c r="A11" s="102"/>
      <c r="B11" s="102" t="s">
        <v>117</v>
      </c>
      <c r="C11" s="102"/>
      <c r="D11" s="104">
        <f>Statements!U43/Statements!I39</f>
        <v>0.65527760829774251</v>
      </c>
      <c r="E11" s="102"/>
      <c r="F11" s="102"/>
      <c r="G11" s="102"/>
      <c r="H11" s="102"/>
      <c r="I11" s="102"/>
      <c r="J11" s="102"/>
      <c r="K11" s="102"/>
      <c r="L11" s="102"/>
      <c r="M11" s="102"/>
      <c r="N11" s="102"/>
      <c r="O11" s="102"/>
      <c r="P11" s="102"/>
      <c r="Q11" s="102"/>
    </row>
    <row r="12" spans="1:17" ht="15" x14ac:dyDescent="0.2">
      <c r="A12" s="102"/>
      <c r="B12" s="102" t="s">
        <v>118</v>
      </c>
      <c r="C12" s="102"/>
      <c r="D12" s="105">
        <f>_xlfn.STDEV.S(Statements!C36:I36)</f>
        <v>0.97870080404439752</v>
      </c>
      <c r="E12" s="102"/>
      <c r="F12" s="102"/>
      <c r="G12" s="102"/>
      <c r="H12" s="102"/>
      <c r="I12" s="102"/>
      <c r="J12" s="102"/>
      <c r="K12" s="102"/>
      <c r="L12" s="102"/>
      <c r="M12" s="102"/>
      <c r="N12" s="102"/>
      <c r="O12" s="102"/>
      <c r="P12" s="102"/>
      <c r="Q12" s="102"/>
    </row>
    <row r="13" spans="1:17" ht="15" x14ac:dyDescent="0.2">
      <c r="A13" s="102"/>
      <c r="B13" s="102" t="s">
        <v>119</v>
      </c>
      <c r="C13" s="102"/>
      <c r="D13" s="105">
        <f>Statements!U44/Statements!I39</f>
        <v>77.27481797844213</v>
      </c>
      <c r="E13" s="102"/>
      <c r="F13" s="102"/>
      <c r="G13" s="102"/>
      <c r="H13" s="102"/>
      <c r="I13" s="102"/>
      <c r="J13" s="102"/>
      <c r="K13" s="102"/>
      <c r="L13" s="102"/>
      <c r="M13" s="102"/>
      <c r="N13" s="102"/>
      <c r="O13" s="102"/>
      <c r="P13" s="102"/>
      <c r="Q13" s="102"/>
    </row>
    <row r="14" spans="1:17" ht="15" x14ac:dyDescent="0.2">
      <c r="A14" s="102"/>
      <c r="B14" s="102" t="s">
        <v>120</v>
      </c>
      <c r="C14" s="102"/>
      <c r="D14" s="106" t="s">
        <v>123</v>
      </c>
      <c r="E14" s="102"/>
      <c r="F14" s="102"/>
      <c r="G14" s="102"/>
      <c r="H14" s="102"/>
      <c r="I14" s="102"/>
      <c r="J14" s="102"/>
      <c r="K14" s="102"/>
      <c r="L14" s="102"/>
      <c r="M14" s="102"/>
      <c r="N14" s="102"/>
      <c r="O14" s="102"/>
      <c r="P14" s="102"/>
      <c r="Q14" s="102"/>
    </row>
    <row r="15" spans="1:17" ht="15" x14ac:dyDescent="0.2">
      <c r="A15" s="102"/>
      <c r="B15" s="102"/>
      <c r="C15" s="102"/>
      <c r="D15" s="102"/>
      <c r="E15" s="102"/>
      <c r="F15" s="102"/>
      <c r="G15" s="102"/>
      <c r="H15" s="102"/>
      <c r="I15" s="102"/>
      <c r="J15" s="102"/>
      <c r="K15" s="102"/>
      <c r="L15" s="102"/>
      <c r="M15" s="102"/>
      <c r="N15" s="102"/>
      <c r="O15" s="102"/>
      <c r="P15" s="102"/>
      <c r="Q15" s="102"/>
    </row>
    <row r="16" spans="1:17" ht="15" x14ac:dyDescent="0.2">
      <c r="A16" s="102"/>
      <c r="B16" s="102"/>
      <c r="C16" s="102"/>
      <c r="D16" s="102"/>
      <c r="E16" s="102"/>
      <c r="F16" s="102"/>
      <c r="G16" s="102"/>
      <c r="H16" s="102"/>
      <c r="I16" s="102"/>
      <c r="J16" s="102"/>
      <c r="K16" s="102"/>
      <c r="L16" s="102"/>
      <c r="M16" s="102"/>
      <c r="N16" s="102"/>
      <c r="O16" s="102"/>
      <c r="P16" s="102"/>
      <c r="Q16" s="102"/>
    </row>
    <row r="17" spans="1:17" ht="15" x14ac:dyDescent="0.2">
      <c r="A17" s="102"/>
      <c r="B17" s="102"/>
      <c r="C17" s="102"/>
      <c r="D17" s="102"/>
      <c r="E17" s="102"/>
      <c r="F17" s="102"/>
      <c r="G17" s="102"/>
      <c r="H17" s="102"/>
      <c r="I17" s="102"/>
      <c r="J17" s="102"/>
      <c r="K17" s="102"/>
      <c r="L17" s="102"/>
      <c r="M17" s="102"/>
      <c r="N17" s="102"/>
      <c r="O17" s="102"/>
      <c r="P17" s="102"/>
      <c r="Q17" s="102"/>
    </row>
    <row r="18" spans="1:17" ht="15" x14ac:dyDescent="0.2">
      <c r="A18" s="102"/>
      <c r="B18" s="102"/>
      <c r="C18" s="102"/>
      <c r="D18" s="102"/>
      <c r="E18" s="102"/>
      <c r="F18" s="102"/>
      <c r="G18" s="102"/>
      <c r="H18" s="102"/>
      <c r="I18" s="102"/>
      <c r="J18" s="102"/>
      <c r="K18" s="102"/>
      <c r="L18" s="102"/>
      <c r="M18" s="102"/>
      <c r="N18" s="102"/>
      <c r="O18" s="102"/>
      <c r="P18" s="102"/>
      <c r="Q18" s="102"/>
    </row>
    <row r="19" spans="1:17" ht="15" x14ac:dyDescent="0.2">
      <c r="A19" s="102"/>
      <c r="B19" s="102"/>
      <c r="C19" s="102"/>
      <c r="D19" s="102"/>
      <c r="E19" s="102"/>
      <c r="F19" s="102"/>
      <c r="G19" s="102"/>
      <c r="H19" s="102"/>
      <c r="I19" s="102"/>
      <c r="J19" s="102"/>
      <c r="K19" s="102"/>
      <c r="L19" s="102"/>
      <c r="M19" s="102"/>
      <c r="N19" s="102"/>
      <c r="O19" s="102"/>
      <c r="P19" s="102"/>
      <c r="Q19" s="102"/>
    </row>
    <row r="20" spans="1:17" ht="15" x14ac:dyDescent="0.2">
      <c r="A20" s="102"/>
      <c r="B20" s="102"/>
      <c r="C20" s="102"/>
      <c r="D20" s="102"/>
      <c r="E20" s="102"/>
      <c r="F20" s="102"/>
      <c r="G20" s="102"/>
      <c r="H20" s="102"/>
      <c r="I20" s="102"/>
      <c r="J20" s="102"/>
      <c r="K20" s="102"/>
      <c r="L20" s="102"/>
      <c r="M20" s="102"/>
      <c r="N20" s="102"/>
      <c r="O20" s="102"/>
      <c r="P20" s="102"/>
      <c r="Q20" s="102"/>
    </row>
    <row r="21" spans="1:17" ht="15" x14ac:dyDescent="0.2">
      <c r="A21" s="102"/>
      <c r="B21" s="102"/>
      <c r="C21" s="102"/>
      <c r="D21" s="102"/>
      <c r="E21" s="102"/>
      <c r="F21" s="102"/>
      <c r="G21" s="102"/>
      <c r="H21" s="102"/>
      <c r="I21" s="102"/>
      <c r="J21" s="102"/>
      <c r="K21" s="102"/>
      <c r="L21" s="102"/>
      <c r="M21" s="102"/>
      <c r="N21" s="102"/>
      <c r="O21" s="102"/>
      <c r="P21" s="102"/>
      <c r="Q21" s="102"/>
    </row>
    <row r="22" spans="1:17" ht="15" x14ac:dyDescent="0.2">
      <c r="A22" s="102"/>
      <c r="B22" s="102"/>
      <c r="C22" s="102"/>
      <c r="D22" s="102"/>
      <c r="E22" s="102"/>
      <c r="F22" s="102"/>
      <c r="G22" s="102"/>
      <c r="H22" s="102"/>
      <c r="I22" s="102"/>
      <c r="J22" s="102"/>
      <c r="K22" s="102"/>
      <c r="L22" s="102"/>
      <c r="M22" s="102"/>
      <c r="N22" s="102"/>
      <c r="O22" s="102"/>
      <c r="P22" s="102"/>
      <c r="Q22" s="102"/>
    </row>
    <row r="23" spans="1:17" ht="15" x14ac:dyDescent="0.2">
      <c r="A23" s="102"/>
      <c r="B23" s="102"/>
      <c r="C23" s="102"/>
      <c r="D23" s="102"/>
      <c r="E23" s="102"/>
      <c r="F23" s="102"/>
      <c r="G23" s="102"/>
      <c r="H23" s="102"/>
      <c r="I23" s="102"/>
      <c r="J23" s="102"/>
      <c r="K23" s="102"/>
      <c r="L23" s="102"/>
      <c r="M23" s="102"/>
      <c r="N23" s="102"/>
      <c r="O23" s="102"/>
      <c r="P23" s="102"/>
      <c r="Q23" s="102"/>
    </row>
    <row r="24" spans="1:17" ht="15" x14ac:dyDescent="0.2">
      <c r="A24" s="102"/>
      <c r="B24" s="102"/>
      <c r="C24" s="102"/>
      <c r="D24" s="102"/>
      <c r="E24" s="102"/>
      <c r="F24" s="102"/>
      <c r="G24" s="102"/>
      <c r="H24" s="102"/>
      <c r="I24" s="102"/>
      <c r="J24" s="102"/>
      <c r="K24" s="102"/>
      <c r="L24" s="102"/>
      <c r="M24" s="102"/>
      <c r="N24" s="102"/>
      <c r="O24" s="102"/>
      <c r="P24" s="102"/>
      <c r="Q24" s="102"/>
    </row>
    <row r="25" spans="1:17" ht="15" x14ac:dyDescent="0.2">
      <c r="A25" s="102"/>
      <c r="B25" s="102"/>
      <c r="C25" s="102"/>
      <c r="D25" s="102"/>
      <c r="E25" s="102"/>
      <c r="F25" s="102"/>
      <c r="G25" s="102"/>
      <c r="H25" s="102"/>
      <c r="I25" s="102"/>
      <c r="J25" s="102"/>
      <c r="K25" s="102"/>
      <c r="L25" s="102"/>
      <c r="M25" s="102"/>
      <c r="N25" s="102"/>
      <c r="O25" s="102"/>
      <c r="P25" s="102"/>
      <c r="Q25" s="102"/>
    </row>
    <row r="26" spans="1:17" ht="15" x14ac:dyDescent="0.2">
      <c r="A26" s="102"/>
      <c r="B26" s="102"/>
      <c r="C26" s="102"/>
      <c r="D26" s="102"/>
      <c r="E26" s="102"/>
      <c r="F26" s="102"/>
      <c r="G26" s="102"/>
      <c r="H26" s="102"/>
      <c r="I26" s="102"/>
      <c r="J26" s="102"/>
      <c r="K26" s="102"/>
      <c r="L26" s="102"/>
      <c r="M26" s="102"/>
      <c r="N26" s="102"/>
      <c r="O26" s="102"/>
      <c r="P26" s="102"/>
      <c r="Q26" s="102"/>
    </row>
    <row r="27" spans="1:17" ht="15" x14ac:dyDescent="0.2">
      <c r="A27" s="102"/>
      <c r="B27" s="102"/>
      <c r="C27" s="102"/>
      <c r="D27" s="102"/>
      <c r="E27" s="102"/>
      <c r="F27" s="102"/>
      <c r="G27" s="102"/>
      <c r="H27" s="102"/>
      <c r="I27" s="102"/>
      <c r="J27" s="102"/>
      <c r="K27" s="102"/>
      <c r="L27" s="102"/>
      <c r="M27" s="102"/>
      <c r="N27" s="102"/>
      <c r="O27" s="102"/>
      <c r="P27" s="102"/>
      <c r="Q27" s="102"/>
    </row>
    <row r="28" spans="1:17" ht="15" x14ac:dyDescent="0.2">
      <c r="A28" s="102"/>
      <c r="B28" s="102"/>
      <c r="C28" s="102"/>
      <c r="D28" s="102"/>
      <c r="E28" s="102"/>
      <c r="F28" s="102"/>
      <c r="G28" s="102"/>
      <c r="H28" s="102"/>
      <c r="I28" s="102"/>
      <c r="J28" s="102"/>
      <c r="K28" s="102"/>
      <c r="L28" s="102"/>
      <c r="M28" s="102"/>
      <c r="N28" s="102"/>
      <c r="O28" s="102"/>
      <c r="P28" s="102"/>
      <c r="Q28" s="102"/>
    </row>
    <row r="29" spans="1:17" ht="15" x14ac:dyDescent="0.2">
      <c r="A29" s="102"/>
      <c r="B29" s="102"/>
      <c r="C29" s="102"/>
      <c r="D29" s="102"/>
      <c r="E29" s="102"/>
      <c r="F29" s="102"/>
      <c r="G29" s="102"/>
      <c r="H29" s="102"/>
      <c r="I29" s="102"/>
      <c r="J29" s="102"/>
      <c r="K29" s="102"/>
      <c r="L29" s="102"/>
      <c r="M29" s="102"/>
      <c r="N29" s="102"/>
      <c r="O29" s="102"/>
      <c r="P29" s="102"/>
      <c r="Q29" s="102"/>
    </row>
    <row r="30" spans="1:17" ht="15" x14ac:dyDescent="0.2">
      <c r="A30" s="102"/>
      <c r="B30" s="102"/>
      <c r="C30" s="102"/>
      <c r="D30" s="102"/>
      <c r="E30" s="102"/>
      <c r="F30" s="102"/>
      <c r="G30" s="102"/>
      <c r="H30" s="102"/>
      <c r="I30" s="102"/>
      <c r="J30" s="102"/>
      <c r="K30" s="102"/>
      <c r="L30" s="102"/>
      <c r="M30" s="102"/>
      <c r="N30" s="102"/>
      <c r="O30" s="102"/>
      <c r="P30" s="102"/>
      <c r="Q30" s="102"/>
    </row>
    <row r="31" spans="1:17" ht="15" x14ac:dyDescent="0.2">
      <c r="A31" s="102"/>
      <c r="B31" s="102"/>
      <c r="C31" s="102"/>
      <c r="D31" s="102"/>
      <c r="E31" s="102"/>
      <c r="F31" s="102"/>
      <c r="G31" s="102"/>
      <c r="H31" s="102"/>
      <c r="I31" s="102"/>
      <c r="J31" s="102"/>
      <c r="K31" s="102"/>
      <c r="L31" s="102"/>
      <c r="M31" s="102"/>
      <c r="N31" s="102"/>
      <c r="O31" s="102"/>
      <c r="P31" s="102"/>
      <c r="Q31" s="102"/>
    </row>
    <row r="32" spans="1:17" ht="15" x14ac:dyDescent="0.2">
      <c r="A32" s="102"/>
      <c r="B32" s="102"/>
      <c r="C32" s="102"/>
      <c r="D32" s="102"/>
      <c r="E32" s="102"/>
      <c r="F32" s="102"/>
      <c r="G32" s="102"/>
      <c r="H32" s="102"/>
      <c r="I32" s="102"/>
      <c r="J32" s="102"/>
      <c r="K32" s="102"/>
      <c r="L32" s="102"/>
      <c r="M32" s="102"/>
      <c r="N32" s="102"/>
      <c r="O32" s="102"/>
      <c r="P32" s="102"/>
      <c r="Q32" s="102"/>
    </row>
    <row r="33" spans="1:17" ht="15" x14ac:dyDescent="0.2">
      <c r="A33" s="102"/>
      <c r="B33" s="102"/>
      <c r="C33" s="102"/>
      <c r="D33" s="102"/>
      <c r="E33" s="102"/>
      <c r="F33" s="102"/>
      <c r="G33" s="102"/>
      <c r="H33" s="102"/>
      <c r="I33" s="102"/>
      <c r="J33" s="102"/>
      <c r="K33" s="102"/>
      <c r="L33" s="102"/>
      <c r="M33" s="102"/>
      <c r="N33" s="102"/>
      <c r="O33" s="102"/>
      <c r="P33" s="102"/>
      <c r="Q33" s="102"/>
    </row>
    <row r="34" spans="1:17" ht="15" x14ac:dyDescent="0.2">
      <c r="A34" s="102"/>
      <c r="B34" s="102"/>
      <c r="C34" s="102"/>
      <c r="D34" s="102"/>
      <c r="E34" s="102"/>
      <c r="F34" s="102"/>
      <c r="G34" s="102"/>
      <c r="H34" s="102"/>
      <c r="I34" s="102"/>
      <c r="J34" s="102"/>
      <c r="K34" s="102"/>
      <c r="L34" s="102"/>
      <c r="M34" s="102"/>
      <c r="N34" s="102"/>
      <c r="O34" s="102"/>
      <c r="P34" s="102"/>
      <c r="Q34" s="102"/>
    </row>
    <row r="35" spans="1:17" ht="15" x14ac:dyDescent="0.2">
      <c r="A35" s="102"/>
      <c r="B35" s="102"/>
      <c r="C35" s="102"/>
      <c r="D35" s="102"/>
      <c r="E35" s="102"/>
      <c r="F35" s="102"/>
      <c r="G35" s="102"/>
      <c r="H35" s="102"/>
      <c r="I35" s="102"/>
      <c r="J35" s="102"/>
      <c r="K35" s="102"/>
      <c r="L35" s="102"/>
      <c r="M35" s="102"/>
      <c r="N35" s="102"/>
      <c r="O35" s="102"/>
      <c r="P35" s="102"/>
      <c r="Q35" s="102"/>
    </row>
    <row r="36" spans="1:17" ht="15" x14ac:dyDescent="0.2">
      <c r="A36" s="102"/>
      <c r="B36" s="102"/>
      <c r="C36" s="102"/>
      <c r="D36" s="102"/>
      <c r="E36" s="102"/>
      <c r="F36" s="102"/>
      <c r="G36" s="102"/>
      <c r="H36" s="102"/>
      <c r="I36" s="102"/>
      <c r="J36" s="102"/>
      <c r="K36" s="102"/>
      <c r="L36" s="102"/>
      <c r="M36" s="102"/>
      <c r="N36" s="102"/>
      <c r="O36" s="102"/>
      <c r="P36" s="102"/>
      <c r="Q36" s="102"/>
    </row>
    <row r="37" spans="1:17" ht="15" x14ac:dyDescent="0.2">
      <c r="A37" s="102"/>
      <c r="B37" s="102"/>
      <c r="C37" s="102"/>
      <c r="D37" s="102"/>
      <c r="E37" s="102"/>
      <c r="F37" s="102"/>
      <c r="G37" s="102"/>
      <c r="H37" s="102"/>
      <c r="I37" s="102"/>
      <c r="J37" s="102"/>
      <c r="K37" s="102"/>
      <c r="L37" s="102"/>
      <c r="M37" s="102"/>
      <c r="N37" s="102"/>
      <c r="O37" s="102"/>
      <c r="P37" s="102"/>
      <c r="Q37" s="102"/>
    </row>
    <row r="38" spans="1:17" ht="15" x14ac:dyDescent="0.2">
      <c r="A38" s="102"/>
      <c r="B38" s="102"/>
      <c r="C38" s="102"/>
      <c r="D38" s="102"/>
      <c r="E38" s="102"/>
      <c r="F38" s="102"/>
      <c r="G38" s="102"/>
      <c r="H38" s="102"/>
      <c r="I38" s="102"/>
      <c r="J38" s="102"/>
      <c r="K38" s="102"/>
      <c r="L38" s="102"/>
      <c r="M38" s="102"/>
      <c r="N38" s="102"/>
      <c r="O38" s="102"/>
      <c r="P38" s="102"/>
      <c r="Q38" s="102"/>
    </row>
    <row r="39" spans="1:17" ht="15" x14ac:dyDescent="0.2">
      <c r="A39" s="102"/>
      <c r="B39" s="102"/>
      <c r="C39" s="102"/>
      <c r="D39" s="102"/>
      <c r="E39" s="102"/>
      <c r="F39" s="102"/>
      <c r="G39" s="102"/>
      <c r="H39" s="102"/>
      <c r="I39" s="102"/>
      <c r="J39" s="102"/>
      <c r="K39" s="102"/>
      <c r="L39" s="102"/>
      <c r="M39" s="102"/>
      <c r="N39" s="102"/>
      <c r="O39" s="102"/>
      <c r="P39" s="102"/>
      <c r="Q39" s="102"/>
    </row>
    <row r="40" spans="1:17" ht="15" x14ac:dyDescent="0.2">
      <c r="A40" s="102"/>
      <c r="B40" s="102"/>
      <c r="C40" s="102"/>
      <c r="D40" s="102"/>
      <c r="E40" s="102"/>
      <c r="F40" s="102"/>
      <c r="G40" s="102"/>
      <c r="H40" s="102"/>
      <c r="I40" s="102"/>
      <c r="J40" s="102"/>
      <c r="K40" s="102"/>
      <c r="L40" s="102"/>
      <c r="M40" s="102"/>
      <c r="N40" s="102"/>
      <c r="O40" s="102"/>
      <c r="P40" s="102"/>
      <c r="Q40" s="102"/>
    </row>
    <row r="41" spans="1:17" ht="15" x14ac:dyDescent="0.2">
      <c r="A41" s="102"/>
      <c r="B41" s="102"/>
      <c r="C41" s="102"/>
      <c r="D41" s="102"/>
      <c r="E41" s="102"/>
      <c r="F41" s="102"/>
      <c r="G41" s="102"/>
      <c r="H41" s="102"/>
      <c r="I41" s="102"/>
      <c r="J41" s="102"/>
      <c r="K41" s="102"/>
      <c r="L41" s="102"/>
      <c r="M41" s="102"/>
      <c r="N41" s="102"/>
      <c r="O41" s="102"/>
      <c r="P41" s="102"/>
      <c r="Q41" s="102"/>
    </row>
    <row r="42" spans="1:17" ht="15" x14ac:dyDescent="0.2">
      <c r="A42" s="102"/>
      <c r="B42" s="102"/>
      <c r="C42" s="102"/>
      <c r="D42" s="102"/>
      <c r="E42" s="102"/>
      <c r="F42" s="102"/>
      <c r="G42" s="102"/>
      <c r="H42" s="102"/>
      <c r="I42" s="102"/>
      <c r="J42" s="102"/>
      <c r="K42" s="102"/>
      <c r="L42" s="102"/>
      <c r="M42" s="102"/>
      <c r="N42" s="102"/>
      <c r="O42" s="102"/>
      <c r="P42" s="102"/>
      <c r="Q42" s="102"/>
    </row>
    <row r="43" spans="1:17" ht="15" x14ac:dyDescent="0.2">
      <c r="A43" s="102"/>
      <c r="B43" s="102"/>
      <c r="C43" s="102"/>
      <c r="D43" s="102"/>
      <c r="E43" s="102"/>
      <c r="F43" s="102"/>
      <c r="G43" s="102"/>
      <c r="H43" s="102"/>
      <c r="I43" s="102"/>
      <c r="J43" s="102"/>
      <c r="K43" s="102"/>
      <c r="L43" s="102"/>
      <c r="M43" s="102"/>
      <c r="N43" s="102"/>
      <c r="O43" s="102"/>
      <c r="P43" s="102"/>
      <c r="Q43" s="10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B2E386-CFF1-41F0-ADF2-810509D45C52}">
  <ds:schemaRefs>
    <ds:schemaRef ds:uri="http://purl.org/dc/elements/1.1/"/>
    <ds:schemaRef ds:uri="36567613-e428-4167-ab55-a4f66cede826"/>
    <ds:schemaRef ds:uri="http://schemas.openxmlformats.org/package/2006/metadata/core-properties"/>
    <ds:schemaRef ds:uri="http://schemas.microsoft.com/office/2006/documentManagement/types"/>
    <ds:schemaRef ds:uri="http://schemas.microsoft.com/office/infopath/2007/PartnerControls"/>
    <ds:schemaRef ds:uri="http://purl.org/dc/term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1FD186D7-F9A3-4925-A0EB-5DB9D38C66D5}">
  <ds:schemaRefs>
    <ds:schemaRef ds:uri="http://schemas.microsoft.com/sharepoint/v3/contenttype/forms"/>
  </ds:schemaRefs>
</ds:datastoreItem>
</file>

<file path=customXml/itemProps3.xml><?xml version="1.0" encoding="utf-8"?>
<ds:datastoreItem xmlns:ds="http://schemas.openxmlformats.org/officeDocument/2006/customXml" ds:itemID="{6D859E0A-B379-43BD-A57F-29B087806A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Statements</vt:lpstr>
      <vt:lpstr>Industry Study</vt:lpstr>
      <vt:lpstr>Geographic Billing</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2026-06-29T21:10:41Z</cp:lastPrinted>
  <dcterms:created xsi:type="dcterms:W3CDTF">2025-01-28T23:55:20Z</dcterms:created>
  <dcterms:modified xsi:type="dcterms:W3CDTF">2026-06-29T21:45:51Z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c50c7b0-9e53-455f-9b3f-deab1aa8a41e_Enabled">
    <vt:lpwstr>true</vt:lpwstr>
  </property>
  <property fmtid="{D5CDD505-2E9C-101B-9397-08002B2CF9AE}" pid="3" name="MSIP_Label_bc50c7b0-9e53-455f-9b3f-deab1aa8a41e_SetDate">
    <vt:lpwstr>2025-01-28T23:57:55Z</vt:lpwstr>
  </property>
  <property fmtid="{D5CDD505-2E9C-101B-9397-08002B2CF9AE}" pid="4" name="MSIP_Label_bc50c7b0-9e53-455f-9b3f-deab1aa8a41e_Method">
    <vt:lpwstr>Standard</vt:lpwstr>
  </property>
  <property fmtid="{D5CDD505-2E9C-101B-9397-08002B2CF9AE}" pid="5" name="MSIP_Label_bc50c7b0-9e53-455f-9b3f-deab1aa8a41e_Name">
    <vt:lpwstr>defa4170-0d19-0005-0004-bc88714345d2</vt:lpwstr>
  </property>
  <property fmtid="{D5CDD505-2E9C-101B-9397-08002B2CF9AE}" pid="6" name="MSIP_Label_bc50c7b0-9e53-455f-9b3f-deab1aa8a41e_SiteId">
    <vt:lpwstr>7cc8e357-468d-472c-a6fc-c5600e789b55</vt:lpwstr>
  </property>
  <property fmtid="{D5CDD505-2E9C-101B-9397-08002B2CF9AE}" pid="7" name="MSIP_Label_bc50c7b0-9e53-455f-9b3f-deab1aa8a41e_ActionId">
    <vt:lpwstr>0643be35-7278-4c8c-b25e-347c18c9ba68</vt:lpwstr>
  </property>
  <property fmtid="{D5CDD505-2E9C-101B-9397-08002B2CF9AE}" pid="8" name="MSIP_Label_bc50c7b0-9e53-455f-9b3f-deab1aa8a41e_ContentBits">
    <vt:lpwstr>0</vt:lpwstr>
  </property>
  <property fmtid="{D5CDD505-2E9C-101B-9397-08002B2CF9AE}" pid="9" name="ContentTypeId">
    <vt:lpwstr>0x0101004600919C5D1CD245AE9967B74E8175F3</vt:lpwstr>
  </property>
</Properties>
</file>