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85AD7401-584C-4921-80B7-E4D38A720F53}" xr6:coauthVersionLast="47" xr6:coauthVersionMax="47" xr10:uidLastSave="{00000000-0000-0000-0000-000000000000}"/>
  <bookViews>
    <workbookView xWindow="-120" yWindow="-120" windowWidth="29040" windowHeight="15720" xr2:uid="{1A6BB5DA-2F52-42A2-BD6C-43DF986EEBA4}"/>
  </bookViews>
  <sheets>
    <sheet name="Statements" sheetId="1" r:id="rId1"/>
    <sheet name="Note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9" i="1" l="1"/>
  <c r="Q59" i="1"/>
  <c r="R59" i="1"/>
  <c r="S59" i="1"/>
  <c r="T59" i="1"/>
  <c r="U59" i="1"/>
  <c r="O59" i="1"/>
  <c r="D10" i="2"/>
  <c r="D9" i="2"/>
  <c r="D8" i="2"/>
  <c r="D7" i="2"/>
  <c r="X59" i="1"/>
  <c r="W59" i="1"/>
  <c r="V59" i="1"/>
  <c r="D6" i="2"/>
  <c r="D5" i="2"/>
  <c r="D4" i="2"/>
  <c r="X58" i="1"/>
  <c r="W58" i="1"/>
  <c r="V58" i="1"/>
  <c r="X57" i="1"/>
  <c r="W57" i="1"/>
  <c r="V57" i="1"/>
  <c r="X56" i="1"/>
  <c r="W56" i="1"/>
  <c r="V56" i="1"/>
  <c r="X55" i="1"/>
  <c r="W55" i="1"/>
  <c r="V55" i="1"/>
  <c r="X54" i="1"/>
  <c r="W54" i="1"/>
  <c r="V54" i="1"/>
  <c r="X53" i="1"/>
  <c r="W53" i="1"/>
  <c r="V53" i="1"/>
  <c r="X52" i="1"/>
  <c r="W52" i="1"/>
  <c r="V52" i="1"/>
  <c r="X50" i="1"/>
  <c r="W50" i="1"/>
  <c r="V50" i="1"/>
  <c r="X49" i="1"/>
  <c r="W49" i="1"/>
  <c r="V49" i="1"/>
  <c r="X48" i="1"/>
  <c r="W48" i="1"/>
  <c r="V48" i="1"/>
  <c r="X47" i="1"/>
  <c r="W47" i="1"/>
  <c r="V47" i="1"/>
  <c r="X46" i="1"/>
  <c r="W46" i="1"/>
  <c r="V46" i="1"/>
  <c r="X45" i="1"/>
  <c r="W45" i="1"/>
  <c r="V45" i="1"/>
  <c r="X44" i="1"/>
  <c r="W44" i="1"/>
  <c r="V44" i="1"/>
  <c r="X43" i="1"/>
  <c r="W43" i="1"/>
  <c r="V43" i="1"/>
  <c r="X42" i="1"/>
  <c r="W42" i="1"/>
  <c r="V42" i="1"/>
  <c r="X41" i="1"/>
  <c r="W41" i="1"/>
  <c r="V41" i="1"/>
  <c r="X40" i="1"/>
  <c r="W40" i="1"/>
  <c r="V40" i="1"/>
  <c r="X39" i="1"/>
  <c r="W39" i="1"/>
  <c r="V39" i="1"/>
  <c r="X38" i="1"/>
  <c r="W38" i="1"/>
  <c r="V38" i="1"/>
  <c r="X37" i="1"/>
  <c r="W37" i="1"/>
  <c r="V37" i="1"/>
  <c r="X36" i="1"/>
  <c r="W36" i="1"/>
  <c r="V36" i="1"/>
  <c r="X35" i="1"/>
  <c r="W35" i="1"/>
  <c r="V35" i="1"/>
  <c r="X31" i="1"/>
  <c r="W31" i="1"/>
  <c r="V31" i="1"/>
  <c r="X30" i="1"/>
  <c r="W30" i="1"/>
  <c r="V30" i="1"/>
  <c r="X29" i="1"/>
  <c r="W29" i="1"/>
  <c r="V29" i="1"/>
  <c r="X28" i="1"/>
  <c r="W28" i="1"/>
  <c r="V28" i="1"/>
  <c r="X27" i="1"/>
  <c r="W27" i="1"/>
  <c r="V27" i="1"/>
  <c r="X26" i="1"/>
  <c r="W26" i="1"/>
  <c r="V26" i="1"/>
  <c r="X25" i="1"/>
  <c r="W25" i="1"/>
  <c r="V25" i="1"/>
  <c r="X24" i="1"/>
  <c r="W24" i="1"/>
  <c r="V24" i="1"/>
  <c r="X23" i="1"/>
  <c r="W23" i="1"/>
  <c r="V23" i="1"/>
  <c r="X22" i="1"/>
  <c r="W22" i="1"/>
  <c r="V22" i="1"/>
  <c r="X20" i="1"/>
  <c r="W20" i="1"/>
  <c r="V20" i="1"/>
  <c r="X19" i="1"/>
  <c r="W19" i="1"/>
  <c r="V19" i="1"/>
  <c r="X18" i="1"/>
  <c r="W18" i="1"/>
  <c r="V18" i="1"/>
  <c r="X17" i="1"/>
  <c r="W17" i="1"/>
  <c r="V17" i="1"/>
  <c r="X16" i="1"/>
  <c r="W16" i="1"/>
  <c r="V16" i="1"/>
  <c r="X15" i="1"/>
  <c r="W15" i="1"/>
  <c r="V15" i="1"/>
  <c r="X14" i="1"/>
  <c r="W14" i="1"/>
  <c r="V14" i="1"/>
  <c r="X12" i="1"/>
  <c r="W12" i="1"/>
  <c r="V12" i="1"/>
  <c r="X11" i="1"/>
  <c r="W11" i="1"/>
  <c r="V11" i="1"/>
  <c r="L48" i="1"/>
  <c r="K48" i="1"/>
  <c r="J48" i="1"/>
  <c r="L47" i="1"/>
  <c r="K47" i="1"/>
  <c r="J47" i="1"/>
  <c r="L46" i="1"/>
  <c r="K46" i="1"/>
  <c r="J46" i="1"/>
  <c r="L45" i="1"/>
  <c r="K45" i="1"/>
  <c r="J45" i="1"/>
  <c r="L44" i="1"/>
  <c r="K44" i="1"/>
  <c r="J44" i="1"/>
  <c r="L43" i="1"/>
  <c r="K43" i="1"/>
  <c r="J43" i="1"/>
  <c r="L42" i="1"/>
  <c r="K42" i="1"/>
  <c r="J42" i="1"/>
  <c r="L41" i="1"/>
  <c r="K41" i="1"/>
  <c r="J41" i="1"/>
  <c r="L40" i="1"/>
  <c r="K40" i="1"/>
  <c r="J40" i="1"/>
  <c r="L39" i="1"/>
  <c r="K39" i="1"/>
  <c r="J39" i="1"/>
  <c r="L38" i="1"/>
  <c r="K38" i="1"/>
  <c r="J38" i="1"/>
  <c r="L37" i="1"/>
  <c r="K37" i="1"/>
  <c r="J37" i="1"/>
  <c r="L36" i="1"/>
  <c r="K36" i="1"/>
  <c r="J36" i="1"/>
  <c r="L34" i="1"/>
  <c r="K34" i="1"/>
  <c r="J34" i="1"/>
  <c r="L33" i="1"/>
  <c r="K33" i="1"/>
  <c r="J33" i="1"/>
  <c r="L32" i="1"/>
  <c r="K32" i="1"/>
  <c r="J32" i="1"/>
  <c r="L31" i="1"/>
  <c r="K31" i="1"/>
  <c r="J31" i="1"/>
  <c r="L29" i="1"/>
  <c r="K29" i="1"/>
  <c r="J29" i="1"/>
  <c r="L28" i="1"/>
  <c r="K28" i="1"/>
  <c r="J28" i="1"/>
  <c r="L27" i="1"/>
  <c r="K27" i="1"/>
  <c r="J27" i="1"/>
  <c r="L26" i="1"/>
  <c r="K26" i="1"/>
  <c r="J26" i="1"/>
  <c r="L25" i="1"/>
  <c r="K25" i="1"/>
  <c r="J25" i="1"/>
  <c r="L24" i="1"/>
  <c r="K24" i="1"/>
  <c r="J24" i="1"/>
  <c r="L23" i="1"/>
  <c r="K23" i="1"/>
  <c r="J23" i="1"/>
  <c r="L22" i="1"/>
  <c r="K22" i="1"/>
  <c r="J22" i="1"/>
  <c r="L21" i="1"/>
  <c r="K21" i="1"/>
  <c r="J21" i="1"/>
  <c r="L20" i="1"/>
  <c r="K20" i="1"/>
  <c r="J20" i="1"/>
  <c r="L17" i="1"/>
  <c r="K17" i="1"/>
  <c r="J17" i="1"/>
  <c r="L16" i="1"/>
  <c r="K16" i="1"/>
  <c r="J16" i="1"/>
  <c r="L15" i="1"/>
  <c r="K15" i="1"/>
  <c r="J15" i="1"/>
  <c r="L14" i="1"/>
  <c r="K14" i="1"/>
  <c r="J14" i="1"/>
  <c r="L13" i="1"/>
  <c r="K13" i="1"/>
  <c r="J13" i="1"/>
  <c r="L12" i="1"/>
  <c r="K12" i="1"/>
  <c r="J12" i="1"/>
  <c r="L11" i="1"/>
  <c r="K11" i="1"/>
  <c r="J11" i="1"/>
  <c r="L10" i="1"/>
  <c r="K10" i="1"/>
  <c r="J10" i="1"/>
  <c r="U58" i="1"/>
  <c r="T58" i="1"/>
  <c r="S58" i="1"/>
  <c r="R58" i="1"/>
  <c r="Q58" i="1"/>
  <c r="P58" i="1"/>
  <c r="O58" i="1"/>
  <c r="U57" i="1"/>
  <c r="T57" i="1"/>
  <c r="S57" i="1"/>
  <c r="R57" i="1"/>
  <c r="Q57" i="1"/>
  <c r="P57" i="1"/>
  <c r="O57" i="1"/>
  <c r="U56" i="1"/>
  <c r="T56" i="1"/>
  <c r="S56" i="1"/>
  <c r="R56" i="1"/>
  <c r="Q56" i="1"/>
  <c r="P56" i="1"/>
  <c r="O56" i="1"/>
  <c r="U55" i="1"/>
  <c r="T55" i="1"/>
  <c r="S55" i="1"/>
  <c r="R55" i="1"/>
  <c r="Q55" i="1"/>
  <c r="P55" i="1"/>
  <c r="O55" i="1"/>
  <c r="U54" i="1"/>
  <c r="T54" i="1"/>
  <c r="S54" i="1"/>
  <c r="R54" i="1"/>
  <c r="Q54" i="1"/>
  <c r="P54" i="1"/>
  <c r="U53" i="1"/>
  <c r="T53" i="1"/>
  <c r="S53" i="1"/>
  <c r="R53" i="1"/>
  <c r="Q53" i="1"/>
  <c r="P53" i="1"/>
  <c r="O54" i="1"/>
  <c r="O53" i="1"/>
  <c r="T52" i="1"/>
  <c r="S52" i="1"/>
  <c r="R52" i="1"/>
  <c r="Q52" i="1"/>
  <c r="P52" i="1"/>
  <c r="O52" i="1"/>
  <c r="U52" i="1"/>
  <c r="U50" i="1"/>
  <c r="U42" i="1"/>
  <c r="U31" i="1"/>
  <c r="U27" i="1"/>
  <c r="U20" i="1"/>
  <c r="I48" i="1"/>
  <c r="H48" i="1"/>
  <c r="G48" i="1"/>
  <c r="F48" i="1"/>
  <c r="E48" i="1"/>
  <c r="D48" i="1"/>
  <c r="I47" i="1"/>
  <c r="H47" i="1"/>
  <c r="G47" i="1"/>
  <c r="F47" i="1"/>
  <c r="E47" i="1"/>
  <c r="D47" i="1"/>
  <c r="I46" i="1"/>
  <c r="H46" i="1"/>
  <c r="G46" i="1"/>
  <c r="F46" i="1"/>
  <c r="E46" i="1"/>
  <c r="D46" i="1"/>
  <c r="I45" i="1"/>
  <c r="H45" i="1"/>
  <c r="G45" i="1"/>
  <c r="F45" i="1"/>
  <c r="E45" i="1"/>
  <c r="D45" i="1"/>
  <c r="I44" i="1"/>
  <c r="H44" i="1"/>
  <c r="G44" i="1"/>
  <c r="F44" i="1"/>
  <c r="E44" i="1"/>
  <c r="D44" i="1"/>
  <c r="I43" i="1"/>
  <c r="H43" i="1"/>
  <c r="G43" i="1"/>
  <c r="F43" i="1"/>
  <c r="E43" i="1"/>
  <c r="D43" i="1"/>
  <c r="C48" i="1"/>
  <c r="C47" i="1"/>
  <c r="C46" i="1"/>
  <c r="C45" i="1"/>
  <c r="C44" i="1"/>
  <c r="C43" i="1"/>
  <c r="I42" i="1"/>
  <c r="H42" i="1"/>
  <c r="G42" i="1"/>
  <c r="F42" i="1"/>
  <c r="E42" i="1"/>
  <c r="D42" i="1"/>
  <c r="C42" i="1"/>
  <c r="I41" i="1"/>
  <c r="H41" i="1"/>
  <c r="G41" i="1"/>
  <c r="F41" i="1"/>
  <c r="E41" i="1"/>
  <c r="D41" i="1"/>
  <c r="I40" i="1"/>
  <c r="H40" i="1"/>
  <c r="G40" i="1"/>
  <c r="F40" i="1"/>
  <c r="E40" i="1"/>
  <c r="D40" i="1"/>
  <c r="C41" i="1"/>
  <c r="C40" i="1"/>
  <c r="I39" i="1"/>
  <c r="H39" i="1"/>
  <c r="G39" i="1"/>
  <c r="F39" i="1"/>
  <c r="E39" i="1"/>
  <c r="D39" i="1"/>
  <c r="C39" i="1"/>
  <c r="H34" i="1"/>
  <c r="G34" i="1"/>
  <c r="F34" i="1"/>
  <c r="E34" i="1"/>
  <c r="D34" i="1"/>
  <c r="C34" i="1"/>
  <c r="I34" i="1"/>
  <c r="I37" i="1"/>
  <c r="I31" i="1"/>
  <c r="I29" i="1"/>
  <c r="I17" i="1"/>
  <c r="T42" i="1"/>
  <c r="T50" i="1" s="1"/>
  <c r="R42" i="1"/>
  <c r="R50" i="1" s="1"/>
  <c r="Q42" i="1"/>
  <c r="Q50" i="1" s="1"/>
  <c r="P42" i="1"/>
  <c r="P50" i="1" s="1"/>
  <c r="O42" i="1"/>
  <c r="O50" i="1" s="1"/>
  <c r="S42" i="1"/>
  <c r="S50" i="1" s="1"/>
  <c r="T27" i="1"/>
  <c r="R27" i="1"/>
  <c r="Q27" i="1"/>
  <c r="P27" i="1"/>
  <c r="O27" i="1"/>
  <c r="S27" i="1"/>
  <c r="R20" i="1"/>
  <c r="Q20" i="1"/>
  <c r="P20" i="1"/>
  <c r="O20" i="1"/>
  <c r="T20" i="1"/>
  <c r="S20" i="1"/>
  <c r="T31" i="1" l="1"/>
  <c r="H37" i="1"/>
  <c r="G37" i="1"/>
  <c r="F37" i="1"/>
  <c r="E37" i="1"/>
  <c r="D37" i="1"/>
  <c r="C37" i="1"/>
  <c r="S31" i="1"/>
  <c r="O31" i="1"/>
  <c r="P31" i="1"/>
  <c r="Q31" i="1"/>
  <c r="R31" i="1"/>
  <c r="H29" i="1"/>
  <c r="F29" i="1"/>
  <c r="E29" i="1"/>
  <c r="D29" i="1"/>
  <c r="C29" i="1"/>
  <c r="G29" i="1"/>
  <c r="H17" i="1"/>
  <c r="F17" i="1"/>
  <c r="E17" i="1"/>
  <c r="D17" i="1"/>
  <c r="C17" i="1"/>
  <c r="G17" i="1"/>
  <c r="C4" i="1" a="1"/>
  <c r="C6" i="1" s="1"/>
  <c r="H31" i="1" l="1"/>
  <c r="D31" i="1"/>
  <c r="G31" i="1"/>
  <c r="C31" i="1"/>
  <c r="E31" i="1"/>
  <c r="F3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<sst xmlns="http://schemas.openxmlformats.org/spreadsheetml/2006/main" count="123" uniqueCount="101">
  <si>
    <t>Price</t>
  </si>
  <si>
    <t>Shares outstanding</t>
  </si>
  <si>
    <t>Mkt cap</t>
  </si>
  <si>
    <t>Revenues</t>
  </si>
  <si>
    <t>Residential</t>
  </si>
  <si>
    <t>Business</t>
  </si>
  <si>
    <t>Multiple residential</t>
  </si>
  <si>
    <t>Industrial</t>
  </si>
  <si>
    <t>Public authorities</t>
  </si>
  <si>
    <t>Other</t>
  </si>
  <si>
    <t>Regulatory balancing revenue</t>
  </si>
  <si>
    <t>Total revenue</t>
  </si>
  <si>
    <t>Operating expenses</t>
  </si>
  <si>
    <t>Purchased water</t>
  </si>
  <si>
    <t>Purchased power</t>
  </si>
  <si>
    <t>Pump taxes</t>
  </si>
  <si>
    <t>G&amp;A</t>
  </si>
  <si>
    <t>Total operating expenses</t>
  </si>
  <si>
    <t>Maintenance</t>
  </si>
  <si>
    <t>Depr &amp; Amor</t>
  </si>
  <si>
    <t>Income taxe (benefit)</t>
  </si>
  <si>
    <t>Property &amp; other taxes</t>
  </si>
  <si>
    <t>Operating income</t>
  </si>
  <si>
    <t>Other income (expense)</t>
  </si>
  <si>
    <t>Net income</t>
  </si>
  <si>
    <t>EPS</t>
  </si>
  <si>
    <t>1Y</t>
  </si>
  <si>
    <t>2Y</t>
  </si>
  <si>
    <t>Assets</t>
  </si>
  <si>
    <t>Current</t>
  </si>
  <si>
    <t>Cash</t>
  </si>
  <si>
    <t>Restricted cash</t>
  </si>
  <si>
    <t>Receivables:</t>
  </si>
  <si>
    <t>Customers, net</t>
  </si>
  <si>
    <t>Regulatory balancing accounts</t>
  </si>
  <si>
    <t>Unbilled revenue</t>
  </si>
  <si>
    <t>Materials &amp; supplies</t>
  </si>
  <si>
    <t>Taxes, PPE, &amp; other</t>
  </si>
  <si>
    <t>Total current assets</t>
  </si>
  <si>
    <t>Utility plant</t>
  </si>
  <si>
    <t>Land</t>
  </si>
  <si>
    <t>Construction WIP</t>
  </si>
  <si>
    <t>Intangible assets</t>
  </si>
  <si>
    <t>Net utility plant</t>
  </si>
  <si>
    <t>Regulatory assets</t>
  </si>
  <si>
    <t>Goodwill</t>
  </si>
  <si>
    <t>Depr P&amp;E</t>
  </si>
  <si>
    <t>Liabilities</t>
  </si>
  <si>
    <t>Current maturities of LT debt</t>
  </si>
  <si>
    <t>ST borrowings</t>
  </si>
  <si>
    <t>AP</t>
  </si>
  <si>
    <t>Accr other taxes</t>
  </si>
  <si>
    <t>Accr interest</t>
  </si>
  <si>
    <t>Other accr</t>
  </si>
  <si>
    <t>Total current liabilities</t>
  </si>
  <si>
    <t>Defer income taxes</t>
  </si>
  <si>
    <t>Regulatory liabilities</t>
  </si>
  <si>
    <t>Pension</t>
  </si>
  <si>
    <t>Advances for construction</t>
  </si>
  <si>
    <t>Continbution in aid of construction</t>
  </si>
  <si>
    <t>Total liabilities</t>
  </si>
  <si>
    <t>LT debt</t>
  </si>
  <si>
    <t>Equity</t>
  </si>
  <si>
    <t>2019</t>
  </si>
  <si>
    <t>2020</t>
  </si>
  <si>
    <t>2021</t>
  </si>
  <si>
    <t>2022</t>
  </si>
  <si>
    <t>2023</t>
  </si>
  <si>
    <t>2024</t>
  </si>
  <si>
    <t>Income Statements</t>
  </si>
  <si>
    <t>Balance Sheet(s)</t>
  </si>
  <si>
    <t>EBITDA</t>
  </si>
  <si>
    <t>Operating margin</t>
  </si>
  <si>
    <t>Net margin</t>
  </si>
  <si>
    <t>2025</t>
  </si>
  <si>
    <t>6Y</t>
  </si>
  <si>
    <t>Interest expense, net</t>
  </si>
  <si>
    <t>Screening Score</t>
  </si>
  <si>
    <t>Column1</t>
  </si>
  <si>
    <t>Revenue (CAGR)</t>
  </si>
  <si>
    <t>EBITDA Margin</t>
  </si>
  <si>
    <t>ROE</t>
  </si>
  <si>
    <t>ROIC</t>
  </si>
  <si>
    <t>Debt-to-EBITDA</t>
  </si>
  <si>
    <t>EPS σ</t>
  </si>
  <si>
    <t>EV-to-EBITDA</t>
  </si>
  <si>
    <t>Industry</t>
  </si>
  <si>
    <t>Residential-to-rev</t>
  </si>
  <si>
    <t>Business-to-rev</t>
  </si>
  <si>
    <t>Multiple residential-to-rev</t>
  </si>
  <si>
    <t>Industrial-to-rev</t>
  </si>
  <si>
    <t>Public authorities-to-rev</t>
  </si>
  <si>
    <t>Other-to-rev</t>
  </si>
  <si>
    <t>Total assets</t>
  </si>
  <si>
    <t>Debt</t>
  </si>
  <si>
    <t>EV</t>
  </si>
  <si>
    <t>D/E</t>
  </si>
  <si>
    <t>Current ratio</t>
  </si>
  <si>
    <t>EV / EBITDA</t>
  </si>
  <si>
    <t>IC</t>
  </si>
  <si>
    <t>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</si>
</sst>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409]* #,##0.00_);_([$$-409]* \(#,##0.00\);_([$$-409]* &quot;-&quot;??_);_(@_)"/>
    <numFmt numFmtId="165" formatCode="_(* #,##0.0_);_(* \(#,##0.0\);_(* &quot;-&quot;??_);_(@_)"/>
    <numFmt numFmtId="166" formatCode="0.000"/>
    <numFmt numFmtId="167" formatCode="0.0%"/>
    <numFmt numFmtId="168" formatCode="0.000%"/>
    <numFmt numFmtId="169" formatCode="_(* #,##0.000_);_(* \(#,##0.000\);_(* &quot;-&quot;??_);_(@_)"/>
  </numFmts>
  <fonts count="9" x14ac:knownFonts="1">
    <font>
      <sz val="10"/>
      <color theme="1"/>
      <name val="Arial"/>
      <family val="2"/>
    </font>
    <font>
      <sz val="10"/>
      <color theme="1"/>
      <name val="Arial"/>
      <family val="2"/>
    </font>
    <font>
      <b/>
      <sz val="10"/>
      <color theme="1"/>
      <name val="Arial"/>
      <family val="2"/>
    </font>
    <font>
      <sz val="8"/>
      <name val="Arial"/>
      <family val="2"/>
    </font>
    <font>
      <b/>
      <sz val="12"/>
      <color theme="1"/>
      <name val="Arial"/>
      <family val="2"/>
    </font>
    <font>
      <sz val="12"/>
      <color theme="4"/>
      <name val="Arial"/>
      <family val="2"/>
    </font>
    <font>
      <sz val="12"/>
      <color theme="0"/>
      <name val="Arial"/>
      <family val="2"/>
    </font>
    <font>
      <sz val="12"/>
      <color theme="1"/>
      <name val="Arial"/>
      <family val="2"/>
    </font>
    <font>
      <b/>
      <sz val="10"/>
      <color theme="0"/>
      <name val="Arial"/>
      <family val="2"/>
    </font>
  </fonts>
  <fills count="7">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94DCF7"/>
        <bgColor indexed="64"/>
      </patternFill>
    </fill>
    <fill>
      <patternFill patternType="solid">
        <fgColor rgb="FFFF0000"/>
        <bgColor indexed="64"/>
      </patternFill>
    </fill>
  </fills>
  <borders count="10">
    <border>
      <left/>
      <right/>
      <top/>
      <bottom/>
      <diagonal/>
    </border>
    <border>
      <left/>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thin">
        <color indexed="64"/>
      </top>
      <bottom style="medium">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55">
    <xf numFmtId="0" fontId="0" fillId="0" borderId="0" xfId="0"/>
    <xf numFmtId="164" fontId="0" fillId="0" borderId="0" xfId="0" applyNumberFormat="1"/>
    <xf numFmtId="165" fontId="0" fillId="0" borderId="0" xfId="1" applyNumberFormat="1" applyFont="1"/>
    <xf numFmtId="0" fontId="2" fillId="0" borderId="0" xfId="0" applyFont="1"/>
    <xf numFmtId="165" fontId="2" fillId="0" borderId="0" xfId="1" applyNumberFormat="1" applyFont="1"/>
    <xf numFmtId="165" fontId="2" fillId="0" borderId="1" xfId="1" applyNumberFormat="1" applyFont="1" applyBorder="1"/>
    <xf numFmtId="44" fontId="0" fillId="0" borderId="0" xfId="2" applyFont="1"/>
    <xf numFmtId="0" fontId="2" fillId="2" borderId="2" xfId="0" applyFont="1" applyFill="1" applyBorder="1" applyAlignment="1">
      <alignment horizontal="center"/>
    </xf>
    <xf numFmtId="0" fontId="2" fillId="3" borderId="3" xfId="0" applyFont="1" applyFill="1" applyBorder="1" applyAlignment="1">
      <alignment horizontal="center"/>
    </xf>
    <xf numFmtId="0" fontId="2" fillId="4" borderId="3" xfId="0" applyFont="1" applyFill="1" applyBorder="1" applyAlignment="1">
      <alignment horizontal="center"/>
    </xf>
    <xf numFmtId="0" fontId="1" fillId="2" borderId="4" xfId="0" applyFont="1" applyFill="1" applyBorder="1"/>
    <xf numFmtId="0" fontId="1" fillId="5" borderId="0" xfId="0" applyFont="1" applyFill="1"/>
    <xf numFmtId="0" fontId="1" fillId="4" borderId="0" xfId="0" applyFont="1" applyFill="1"/>
    <xf numFmtId="0" fontId="2" fillId="0" borderId="3" xfId="0" applyFont="1" applyBorder="1"/>
    <xf numFmtId="0" fontId="0" fillId="0" borderId="6" xfId="0" applyBorder="1"/>
    <xf numFmtId="0" fontId="2" fillId="0" borderId="5" xfId="0" applyFont="1" applyBorder="1"/>
    <xf numFmtId="0" fontId="0" fillId="0" borderId="5" xfId="0" applyBorder="1"/>
    <xf numFmtId="0" fontId="2" fillId="0" borderId="7" xfId="0" applyFont="1" applyBorder="1"/>
    <xf numFmtId="0" fontId="0" fillId="0" borderId="5" xfId="0" applyBorder="1" applyAlignment="1">
      <alignment horizontal="left" indent="1"/>
    </xf>
    <xf numFmtId="0" fontId="0" fillId="0" borderId="5" xfId="0" applyBorder="1" applyAlignment="1">
      <alignment horizontal="left"/>
    </xf>
    <xf numFmtId="0" fontId="2" fillId="0" borderId="7" xfId="0" applyFont="1" applyBorder="1" applyAlignment="1">
      <alignment horizontal="left"/>
    </xf>
    <xf numFmtId="0" fontId="2" fillId="0" borderId="8" xfId="0" applyFont="1" applyBorder="1"/>
    <xf numFmtId="0" fontId="0" fillId="0" borderId="5" xfId="0" applyBorder="1" applyAlignment="1">
      <alignment horizontal="left" indent="2"/>
    </xf>
    <xf numFmtId="0" fontId="2" fillId="0" borderId="7" xfId="0" applyFont="1" applyBorder="1" applyAlignment="1">
      <alignment horizontal="left" indent="2"/>
    </xf>
    <xf numFmtId="0" fontId="2" fillId="0" borderId="7" xfId="0" applyFont="1" applyBorder="1" applyAlignment="1">
      <alignment horizontal="left" indent="3"/>
    </xf>
    <xf numFmtId="0" fontId="2" fillId="2" borderId="3" xfId="0" applyFont="1" applyFill="1" applyBorder="1" applyAlignment="1">
      <alignment horizontal="center"/>
    </xf>
    <xf numFmtId="0" fontId="1" fillId="2" borderId="0" xfId="0" applyFont="1" applyFill="1"/>
    <xf numFmtId="165" fontId="0" fillId="0" borderId="0" xfId="0" applyNumberFormat="1"/>
    <xf numFmtId="0" fontId="4" fillId="0" borderId="0" xfId="0" applyFont="1"/>
    <xf numFmtId="0" fontId="5" fillId="0" borderId="0" xfId="0" applyFont="1"/>
    <xf numFmtId="0" fontId="6" fillId="0" borderId="0" xfId="0" applyFont="1" applyAlignment="1">
      <alignment horizontal="right"/>
    </xf>
    <xf numFmtId="0" fontId="7" fillId="0" borderId="0" xfId="0" applyFont="1"/>
    <xf numFmtId="10" fontId="7" fillId="0" borderId="0" xfId="3" applyNumberFormat="1" applyFont="1"/>
    <xf numFmtId="166" fontId="7" fillId="0" borderId="0" xfId="0" applyNumberFormat="1" applyFont="1"/>
    <xf numFmtId="2" fontId="7" fillId="0" borderId="0" xfId="0" applyNumberFormat="1" applyFont="1"/>
    <xf numFmtId="0" fontId="7" fillId="0" borderId="0" xfId="0" applyFont="1" applyAlignment="1">
      <alignment horizontal="right"/>
    </xf>
    <xf numFmtId="167" fontId="0" fillId="0" borderId="0" xfId="3" applyNumberFormat="1" applyFont="1"/>
    <xf numFmtId="168" fontId="0" fillId="0" borderId="0" xfId="3" applyNumberFormat="1" applyFont="1"/>
    <xf numFmtId="165" fontId="0" fillId="0" borderId="0" xfId="1" applyNumberFormat="1" applyFont="1" applyBorder="1"/>
    <xf numFmtId="169" fontId="0" fillId="0" borderId="0" xfId="1" applyNumberFormat="1" applyFont="1"/>
    <xf numFmtId="169" fontId="0" fillId="0" borderId="0" xfId="1" applyNumberFormat="1" applyFont="1" applyBorder="1"/>
    <xf numFmtId="167" fontId="1" fillId="2" borderId="0" xfId="3" applyNumberFormat="1" applyFont="1" applyFill="1"/>
    <xf numFmtId="167" fontId="1" fillId="5" borderId="0" xfId="3" applyNumberFormat="1" applyFont="1" applyFill="1"/>
    <xf numFmtId="167" fontId="1" fillId="4" borderId="0" xfId="3" applyNumberFormat="1" applyFont="1" applyFill="1"/>
    <xf numFmtId="167" fontId="2" fillId="5" borderId="0" xfId="3" applyNumberFormat="1" applyFont="1" applyFill="1"/>
    <xf numFmtId="167" fontId="2" fillId="4" borderId="0" xfId="3" applyNumberFormat="1" applyFont="1" applyFill="1"/>
    <xf numFmtId="167" fontId="2" fillId="2" borderId="1" xfId="3" applyNumberFormat="1" applyFont="1" applyFill="1" applyBorder="1"/>
    <xf numFmtId="167" fontId="2" fillId="5" borderId="1" xfId="3" applyNumberFormat="1" applyFont="1" applyFill="1" applyBorder="1"/>
    <xf numFmtId="167" fontId="2" fillId="4" borderId="1" xfId="3" applyNumberFormat="1" applyFont="1" applyFill="1" applyBorder="1"/>
    <xf numFmtId="167" fontId="1" fillId="2" borderId="4" xfId="3" applyNumberFormat="1" applyFont="1" applyFill="1" applyBorder="1"/>
    <xf numFmtId="167" fontId="2" fillId="2" borderId="4" xfId="3" applyNumberFormat="1" applyFont="1" applyFill="1" applyBorder="1"/>
    <xf numFmtId="167" fontId="8" fillId="6" borderId="0" xfId="3" applyNumberFormat="1" applyFont="1" applyFill="1"/>
    <xf numFmtId="167" fontId="8" fillId="6" borderId="1" xfId="3" applyNumberFormat="1" applyFont="1" applyFill="1" applyBorder="1"/>
    <xf numFmtId="167" fontId="8" fillId="6" borderId="4" xfId="3" applyNumberFormat="1" applyFont="1" applyFill="1" applyBorder="1"/>
    <xf numFmtId="167" fontId="8" fillId="6" borderId="9" xfId="3" applyNumberFormat="1" applyFont="1" applyFill="1" applyBorder="1"/>
  </cellXfs>
  <cellStyles count="4">
    <cellStyle name="Comma" xfId="1" builtinId="3"/>
    <cellStyle name="Currency" xfId="2" builtinId="4"/>
    <cellStyle name="Normal" xfId="0" builtinId="0"/>
    <cellStyle name="Percent" xfId="3" builtinId="5"/>
  </cellStyles>
  <dxfs count="28">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 #,##0.0_);_(* \(#,##0.0\);_(* &quot;-&quot;??_);_(@_)"/>
    </dxf>
    <dxf>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border outline="0">
        <right style="thin">
          <color indexed="64"/>
        </right>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5" Type="http://schemas.openxmlformats.org/officeDocument/2006/relationships/customXml" Target="../customXml/item2.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openxmlformats.org/officeDocument/2006/relationships/customXml" Target="../customXml/item1.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https://www.bing.com/financeapi/forcetrigger?t=a1qn27&amp;q=XNYS%3aCWT&amp;form=skydnc</v>
    <v>Learn more on Bing</v>
  </rv>
  <rv s="1">
    <v>en-US</v>
    <v>a1qn27</v>
    <v>268435456</v>
    <v>1</v>
    <v>Powered by Refinitiv</v>
    <v>0</v>
    <v>CALIFORNIA WATER SERVICE GROUP (XNYS:CWT)</v>
    <v>2</v>
    <v>3</v>
    <v>Finance</v>
    <v>4</v>
    <v>50.44</v>
    <v>41.29</v>
    <v>0.48709999999999998</v>
    <v>-0.18</v>
    <v>-9.4050000000000002E-3</v>
    <v>-3.6670000000000001E-3</v>
    <v>-0.46</v>
    <v>USD</v>
    <v>California Water Service Group is a holding company that provides water utility and other related services in California, Washington, New Mexico, Hawaii and Texas through its subsidiaries. Its business is conducted through its operating subsidiaries and provides utility services. Its business consists of the production, purchase, storage, treatment, testing, distribution, and sale of water for domestic, industrial, public, and irrigation uses, and the provision of domestic and municipal fire protection services. It provides wastewater collection and treatment services, including treatment which allows water recycling. It also provides non-regulated water-related services under agreements with municipalities and other private companies. The non-regulated services include full water system operation, meter reading, and billing services. Non-regulated operations also include the lease of communication antenna sites, lab services and promotion of other non-regulated services.</v>
    <v>1336</v>
    <v>New York Stock Exchange</v>
    <v>XNYS</v>
    <v>XNYS</v>
    <v>C/O CALIFORNIA WATER SERVICE CO, 1720 N FIRST ST, SAN JOSE, CA, 95112 US</v>
    <v>49.19</v>
    <v>Water Utilities</v>
    <v>Stock</v>
    <v>46202.900208298437</v>
    <v>0</v>
    <v>48.35</v>
    <v>2926824414</v>
    <v>CALIFORNIA WATER SERVICE GROUP</v>
    <v>CALIFORNIA WATER SERVICE GROUP</v>
    <v>48.72</v>
    <v>24.5456</v>
    <v>49.08</v>
    <v>48.9</v>
    <v>48.45</v>
    <v>59853260</v>
    <v>CWT</v>
    <v>CALIFORNIA WATER SERVICE GROUP (XNYS:CWT)</v>
    <v>647836</v>
    <v>641465</v>
    <v>1999</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E6E351-EBB6-42EF-A1A7-4FADBCA3AFE4}" name="Table1" displayName="Table1" ref="B8:I55" totalsRowCount="1" headerRowDxfId="27" dataDxfId="25" headerRowBorderDxfId="26" tableBorderDxfId="24" dataCellStyle="Comma">
  <autoFilter ref="B8:I54" xr:uid="{15E6E351-EBB6-42EF-A1A7-4FADBCA3AFE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6FA85A1F-4E85-4478-AB95-836314CB29A5}" name="Income Statements"/>
    <tableColumn id="2" xr3:uid="{9BBEB95B-AF9B-42CA-86CA-70AE03CCD83F}" name="2019" dataDxfId="23" dataCellStyle="Comma"/>
    <tableColumn id="3" xr3:uid="{26EE7BA2-AA91-4F53-983D-2360B6948C78}" name="2020" dataDxfId="22" dataCellStyle="Comma"/>
    <tableColumn id="4" xr3:uid="{7BF6757F-E011-4203-AE1A-F58A34C65925}" name="2021" dataDxfId="21" dataCellStyle="Comma"/>
    <tableColumn id="5" xr3:uid="{7169E366-545C-4766-B17C-4D4D0E66A8BB}" name="2022" dataDxfId="20" dataCellStyle="Comma"/>
    <tableColumn id="6" xr3:uid="{E5C3F8AA-FE77-425F-8861-22B062278EA3}" name="2023" dataDxfId="19" dataCellStyle="Comma"/>
    <tableColumn id="7" xr3:uid="{959C6534-EC30-40E5-BAC0-26A4EDE4596F}" name="2024" dataDxfId="18" totalsRowDxfId="17" dataCellStyle="Comma"/>
    <tableColumn id="8" xr3:uid="{89DE1EF7-4195-45D9-8A8F-B82615601920}" name="2025" dataDxfId="16"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26A93A-28A4-470D-BE2C-063C4956E0AE}" name="Table2" displayName="Table2" ref="N8:U59" totalsRowShown="0" headerRowDxfId="15" dataDxfId="13" headerRowBorderDxfId="14" dataCellStyle="Comma">
  <autoFilter ref="N8:U59" xr:uid="{9326A93A-28A4-470D-BE2C-063C4956E0A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CD4C553C-89E4-4FDF-A440-DC55735150D3}" name="Balance Sheet(s)" dataDxfId="12"/>
    <tableColumn id="2" xr3:uid="{6756F04A-9F26-45EB-964F-BA9F7A4CB55F}" name="2019" dataDxfId="11" dataCellStyle="Comma"/>
    <tableColumn id="3" xr3:uid="{644852E4-35E3-4C6E-92AC-0FB203E6A133}" name="2020" dataDxfId="10" dataCellStyle="Comma"/>
    <tableColumn id="4" xr3:uid="{95564021-C7E8-447B-AE33-B76AD71D24BB}" name="2021" dataDxfId="9" dataCellStyle="Comma"/>
    <tableColumn id="5" xr3:uid="{0E06A182-34FB-4F91-B2D6-27214BD06006}" name="2022" dataDxfId="8" dataCellStyle="Comma"/>
    <tableColumn id="6" xr3:uid="{993EB9D0-96D5-4CD1-BED1-72041ACFAD57}" name="2023" dataDxfId="7" dataCellStyle="Comma"/>
    <tableColumn id="7" xr3:uid="{B8BA3F7F-04EC-4F24-BFAB-5A8FADDE9FC0}" name="2024" dataDxfId="6" dataCellStyle="Comma"/>
    <tableColumn id="8" xr3:uid="{E9112864-B5B0-4F5F-AF84-277C1A77D463}" name="2025" dataDxfId="5"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59E69E8-279D-4F57-9AE5-FD43BC7D7AE7}" name="Table810" displayName="Table810" ref="B3:D11" totalsRowShown="0" headerRowDxfId="4" dataDxfId="3">
  <autoFilter ref="B3:D11" xr:uid="{B59E69E8-279D-4F57-9AE5-FD43BC7D7AE7}">
    <filterColumn colId="0" hiddenButton="1"/>
    <filterColumn colId="1" hiddenButton="1"/>
    <filterColumn colId="2" hiddenButton="1"/>
  </autoFilter>
  <tableColumns count="3">
    <tableColumn id="1" xr3:uid="{113A7AFA-F45A-4FFE-87CC-A2547F1079F0}" name="Screening Score" dataDxfId="2"/>
    <tableColumn id="2" xr3:uid="{19A09920-66FD-4C9F-BB50-8B0B1AB2EFEE}" name="Column1" dataDxfId="1"/>
    <tableColumn id="3" xr3:uid="{A4FA498A-4CC8-4D88-8C3D-0E238F3017EA}" name="202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9DF3E-C864-4109-8FE4-C9BA60424054}">
  <dimension ref="A1:X853"/>
  <sheetViews>
    <sheetView tabSelected="1" topLeftCell="E23" zoomScale="115" zoomScaleNormal="115" workbookViewId="0">
      <selection activeCell="O59" sqref="O59"/>
    </sheetView>
  </sheetViews>
  <sheetFormatPr defaultColWidth="10.7109375" defaultRowHeight="12.75" x14ac:dyDescent="0.2"/>
  <cols>
    <col min="2" max="2" width="30.7109375" style="16" customWidth="1"/>
    <col min="3" max="9" width="10.7109375" style="2"/>
    <col min="13" max="13" width="5.7109375" customWidth="1"/>
    <col min="14" max="14" width="30.7109375" style="16" customWidth="1"/>
    <col min="15" max="21" width="10.7109375" style="2"/>
  </cols>
  <sheetData>
    <row r="1" spans="1:24" x14ac:dyDescent="0.2">
      <c r="B1"/>
      <c r="C1"/>
      <c r="D1"/>
      <c r="E1"/>
      <c r="F1"/>
      <c r="G1"/>
      <c r="H1"/>
      <c r="I1"/>
      <c r="N1"/>
      <c r="O1"/>
      <c r="P1"/>
      <c r="Q1"/>
      <c r="R1"/>
      <c r="S1"/>
      <c r="T1"/>
      <c r="U1"/>
    </row>
    <row r="2" spans="1:24" x14ac:dyDescent="0.2">
      <c r="B2"/>
      <c r="C2"/>
      <c r="D2"/>
      <c r="E2"/>
      <c r="F2"/>
      <c r="G2"/>
      <c r="H2"/>
      <c r="I2"/>
      <c r="N2"/>
      <c r="O2"/>
      <c r="P2"/>
      <c r="Q2"/>
      <c r="R2"/>
      <c r="S2"/>
      <c r="T2"/>
      <c r="U2"/>
    </row>
    <row r="3" spans="1:24" x14ac:dyDescent="0.2">
      <c r="B3" t="e" vm="1">
        <v>#VALUE!</v>
      </c>
      <c r="C3"/>
      <c r="D3"/>
      <c r="E3"/>
      <c r="F3"/>
      <c r="G3"/>
      <c r="H3"/>
      <c r="I3"/>
      <c r="N3"/>
      <c r="O3"/>
      <c r="P3"/>
      <c r="Q3"/>
      <c r="R3"/>
      <c r="S3"/>
      <c r="T3"/>
      <c r="U3"/>
    </row>
    <row r="4" spans="1:24" x14ac:dyDescent="0.2">
      <c r="B4" t="s">
        <v>0</v>
      </c>
      <c r="C4" s="1" cm="1">
        <f t="array" aca="1" ref="C4" ca="1">_FV(B3,"Price")</f>
        <v>48.9</v>
      </c>
      <c r="D4"/>
      <c r="E4"/>
      <c r="F4"/>
      <c r="G4"/>
      <c r="H4"/>
      <c r="I4"/>
      <c r="N4"/>
      <c r="O4"/>
      <c r="P4"/>
      <c r="Q4"/>
      <c r="R4"/>
      <c r="S4"/>
      <c r="T4"/>
      <c r="U4"/>
    </row>
    <row r="5" spans="1:24" x14ac:dyDescent="0.2">
      <c r="B5" t="s">
        <v>1</v>
      </c>
      <c r="C5" s="2">
        <v>59.47</v>
      </c>
      <c r="D5"/>
      <c r="E5"/>
      <c r="F5"/>
      <c r="G5"/>
      <c r="H5"/>
      <c r="I5"/>
      <c r="N5"/>
      <c r="O5"/>
      <c r="P5"/>
      <c r="Q5"/>
      <c r="R5"/>
      <c r="S5"/>
      <c r="T5"/>
      <c r="U5"/>
    </row>
    <row r="6" spans="1:24" x14ac:dyDescent="0.2">
      <c r="B6" t="s">
        <v>2</v>
      </c>
      <c r="C6" s="2">
        <f ca="1">C4*C5</f>
        <v>2908.0830000000001</v>
      </c>
      <c r="D6"/>
      <c r="E6"/>
      <c r="F6"/>
      <c r="G6"/>
      <c r="H6"/>
      <c r="I6"/>
      <c r="N6"/>
      <c r="O6"/>
      <c r="P6"/>
      <c r="Q6"/>
      <c r="R6"/>
      <c r="S6"/>
      <c r="T6"/>
      <c r="U6"/>
    </row>
    <row r="7" spans="1:24" x14ac:dyDescent="0.2">
      <c r="B7"/>
      <c r="C7"/>
      <c r="D7"/>
      <c r="E7"/>
      <c r="F7"/>
      <c r="G7"/>
      <c r="H7"/>
      <c r="I7"/>
      <c r="N7"/>
      <c r="O7"/>
      <c r="P7"/>
      <c r="Q7"/>
      <c r="R7"/>
      <c r="S7"/>
      <c r="T7"/>
      <c r="U7"/>
    </row>
    <row r="8" spans="1:24" s="3" customFormat="1" x14ac:dyDescent="0.2">
      <c r="A8"/>
      <c r="B8" s="14" t="s">
        <v>69</v>
      </c>
      <c r="C8" s="13" t="s">
        <v>63</v>
      </c>
      <c r="D8" s="13" t="s">
        <v>64</v>
      </c>
      <c r="E8" s="13" t="s">
        <v>65</v>
      </c>
      <c r="F8" s="13" t="s">
        <v>66</v>
      </c>
      <c r="G8" s="13" t="s">
        <v>67</v>
      </c>
      <c r="H8" s="13" t="s">
        <v>68</v>
      </c>
      <c r="I8" s="13" t="s">
        <v>74</v>
      </c>
      <c r="J8" s="25" t="s">
        <v>26</v>
      </c>
      <c r="K8" s="8" t="s">
        <v>27</v>
      </c>
      <c r="L8" s="9" t="s">
        <v>75</v>
      </c>
      <c r="N8" s="14" t="s">
        <v>70</v>
      </c>
      <c r="O8" s="13" t="s">
        <v>63</v>
      </c>
      <c r="P8" s="13" t="s">
        <v>64</v>
      </c>
      <c r="Q8" s="13" t="s">
        <v>65</v>
      </c>
      <c r="R8" s="13" t="s">
        <v>66</v>
      </c>
      <c r="S8" s="13" t="s">
        <v>67</v>
      </c>
      <c r="T8" s="13" t="s">
        <v>68</v>
      </c>
      <c r="U8" s="13" t="s">
        <v>74</v>
      </c>
      <c r="V8" s="7" t="s">
        <v>26</v>
      </c>
      <c r="W8" s="8" t="s">
        <v>27</v>
      </c>
      <c r="X8" s="9" t="s">
        <v>75</v>
      </c>
    </row>
    <row r="9" spans="1:24" x14ac:dyDescent="0.2">
      <c r="B9" s="15" t="s">
        <v>3</v>
      </c>
      <c r="J9" s="26"/>
      <c r="K9" s="11"/>
      <c r="L9" s="12"/>
      <c r="N9" s="21" t="s">
        <v>28</v>
      </c>
      <c r="V9" s="10"/>
      <c r="W9" s="11"/>
      <c r="X9" s="12"/>
    </row>
    <row r="10" spans="1:24" x14ac:dyDescent="0.2">
      <c r="B10" s="16" t="s">
        <v>4</v>
      </c>
      <c r="C10" s="2">
        <v>446.32299999999998</v>
      </c>
      <c r="D10" s="2">
        <v>486.065</v>
      </c>
      <c r="E10" s="2">
        <v>467.36500000000001</v>
      </c>
      <c r="F10" s="2">
        <v>458.44799999999998</v>
      </c>
      <c r="G10" s="2">
        <v>463.41</v>
      </c>
      <c r="H10" s="2">
        <v>538.23</v>
      </c>
      <c r="I10" s="2">
        <v>567.274</v>
      </c>
      <c r="J10" s="41">
        <f>LN(Table1[[#This Row],[2025]]/Table1[[#This Row],[2024]])</f>
        <v>5.255645405292686E-2</v>
      </c>
      <c r="K10" s="51">
        <f>LN(Table1[[#This Row],[2025]]/Table1[[#This Row],[2023]])</f>
        <v>0.20223024075806012</v>
      </c>
      <c r="L10" s="43">
        <f>LN(Table1[[#This Row],[2025]]/Table1[[#This Row],[2019]])</f>
        <v>0.23979952700294521</v>
      </c>
      <c r="N10" s="15" t="s">
        <v>29</v>
      </c>
      <c r="V10" s="10"/>
      <c r="W10" s="11"/>
      <c r="X10" s="12"/>
    </row>
    <row r="11" spans="1:24" x14ac:dyDescent="0.2">
      <c r="B11" s="16" t="s">
        <v>5</v>
      </c>
      <c r="C11" s="2">
        <v>129.22300000000001</v>
      </c>
      <c r="D11" s="2">
        <v>125.819</v>
      </c>
      <c r="E11" s="2">
        <v>144.565</v>
      </c>
      <c r="F11" s="2">
        <v>153.57</v>
      </c>
      <c r="G11" s="2">
        <v>159.05000000000001</v>
      </c>
      <c r="H11" s="2">
        <v>180.03</v>
      </c>
      <c r="I11" s="2">
        <v>192.66</v>
      </c>
      <c r="J11" s="41">
        <f>LN(Table1[[#This Row],[2025]]/Table1[[#This Row],[2024]])</f>
        <v>6.7803473659946392E-2</v>
      </c>
      <c r="K11" s="51">
        <f>LN(Table1[[#This Row],[2025]]/Table1[[#This Row],[2023]])</f>
        <v>0.19170835913432441</v>
      </c>
      <c r="L11" s="43">
        <f>LN(Table1[[#This Row],[2025]]/Table1[[#This Row],[2019]])</f>
        <v>0.39938738324855094</v>
      </c>
      <c r="N11" s="18" t="s">
        <v>30</v>
      </c>
      <c r="O11" s="2">
        <v>42.652999999999999</v>
      </c>
      <c r="P11" s="2">
        <v>44.555</v>
      </c>
      <c r="Q11" s="2">
        <v>78.38</v>
      </c>
      <c r="R11" s="2">
        <v>62.1</v>
      </c>
      <c r="S11" s="2">
        <v>39.590000000000003</v>
      </c>
      <c r="T11" s="2">
        <v>50.121000000000002</v>
      </c>
      <c r="U11" s="2">
        <v>51.82</v>
      </c>
      <c r="V11" s="49">
        <f>LN(Table2[[#This Row],[2025]]/Table2[[#This Row],[2024]])</f>
        <v>3.3336093190212933E-2</v>
      </c>
      <c r="W11" s="51">
        <f>LN(Table2[[#This Row],[2025]]/Table2[[#This Row],[2023]])</f>
        <v>0.26919961401592452</v>
      </c>
      <c r="X11" s="43">
        <f>LN(Table2[[#This Row],[2025]]/Table2[[#This Row],[2019]])</f>
        <v>0.19467856369346254</v>
      </c>
    </row>
    <row r="12" spans="1:24" x14ac:dyDescent="0.2">
      <c r="B12" s="16" t="s">
        <v>6</v>
      </c>
      <c r="C12" s="2">
        <v>0</v>
      </c>
      <c r="D12" s="2">
        <v>0</v>
      </c>
      <c r="E12" s="2">
        <v>61.478000000000002</v>
      </c>
      <c r="F12" s="2">
        <v>64.48</v>
      </c>
      <c r="G12" s="2">
        <v>67.7</v>
      </c>
      <c r="H12" s="2">
        <v>76.83</v>
      </c>
      <c r="I12" s="2">
        <v>83.997</v>
      </c>
      <c r="J12" s="41">
        <f>LN(Table1[[#This Row],[2025]]/Table1[[#This Row],[2024]])</f>
        <v>8.918589504028554E-2</v>
      </c>
      <c r="K12" s="51">
        <f>LN(Table1[[#This Row],[2025]]/Table1[[#This Row],[2023]])</f>
        <v>0.21569490400159974</v>
      </c>
      <c r="L12" s="43" t="e">
        <f>LN(Table1[[#This Row],[2025]]/Table1[[#This Row],[2019]])</f>
        <v>#DIV/0!</v>
      </c>
      <c r="N12" s="18" t="s">
        <v>31</v>
      </c>
      <c r="O12" s="2">
        <v>0</v>
      </c>
      <c r="P12" s="2">
        <v>0</v>
      </c>
      <c r="Q12" s="2">
        <v>0</v>
      </c>
      <c r="R12" s="2">
        <v>22.925000000000001</v>
      </c>
      <c r="S12" s="2">
        <v>45.375999999999998</v>
      </c>
      <c r="T12" s="2">
        <v>45.566000000000003</v>
      </c>
      <c r="U12" s="2">
        <v>45.55</v>
      </c>
      <c r="V12" s="49">
        <f>LN(Table2[[#This Row],[2025]]/Table2[[#This Row],[2024]])</f>
        <v>-3.5120067089117912E-4</v>
      </c>
      <c r="W12" s="42">
        <f>LN(Table2[[#This Row],[2025]]/Table2[[#This Row],[2023]])</f>
        <v>3.8272927963051077E-3</v>
      </c>
      <c r="X12" s="43" t="e">
        <f>LN(Table2[[#This Row],[2025]]/Table2[[#This Row],[2019]])</f>
        <v>#DIV/0!</v>
      </c>
    </row>
    <row r="13" spans="1:24" x14ac:dyDescent="0.2">
      <c r="B13" s="16" t="s">
        <v>7</v>
      </c>
      <c r="C13" s="2">
        <v>31.856999999999999</v>
      </c>
      <c r="D13" s="2">
        <v>29.088000000000001</v>
      </c>
      <c r="E13" s="2">
        <v>26.568999999999999</v>
      </c>
      <c r="F13" s="2">
        <v>26.622</v>
      </c>
      <c r="G13" s="2">
        <v>28.055</v>
      </c>
      <c r="H13" s="2">
        <v>30.4</v>
      </c>
      <c r="I13" s="2">
        <v>30.962</v>
      </c>
      <c r="J13" s="41">
        <f>LN(Table1[[#This Row],[2025]]/Table1[[#This Row],[2024]])</f>
        <v>1.831803770609787E-2</v>
      </c>
      <c r="K13" s="42">
        <f>LN(Table1[[#This Row],[2025]]/Table1[[#This Row],[2023]])</f>
        <v>9.8593776915338521E-2</v>
      </c>
      <c r="L13" s="43">
        <f>LN(Table1[[#This Row],[2025]]/Table1[[#This Row],[2019]])</f>
        <v>-2.8496491971544496E-2</v>
      </c>
      <c r="N13" s="18" t="s">
        <v>32</v>
      </c>
      <c r="V13" s="10"/>
      <c r="W13" s="11"/>
      <c r="X13" s="12"/>
    </row>
    <row r="14" spans="1:24" x14ac:dyDescent="0.2">
      <c r="B14" s="16" t="s">
        <v>8</v>
      </c>
      <c r="C14" s="2">
        <v>33.862000000000002</v>
      </c>
      <c r="D14" s="2">
        <v>35.776000000000003</v>
      </c>
      <c r="E14" s="2">
        <v>40.500999999999998</v>
      </c>
      <c r="F14" s="2">
        <v>41.15</v>
      </c>
      <c r="G14" s="2">
        <v>40.811</v>
      </c>
      <c r="H14" s="2">
        <v>49.2</v>
      </c>
      <c r="I14" s="2">
        <v>54.68</v>
      </c>
      <c r="J14" s="51">
        <f>LN(Table1[[#This Row],[2025]]/Table1[[#This Row],[2024]])</f>
        <v>0.10560438835748634</v>
      </c>
      <c r="K14" s="51">
        <f>LN(Table1[[#This Row],[2025]]/Table1[[#This Row],[2023]])</f>
        <v>0.29254635894015901</v>
      </c>
      <c r="L14" s="51">
        <f>LN(Table1[[#This Row],[2025]]/Table1[[#This Row],[2019]])</f>
        <v>0.47920457014970869</v>
      </c>
      <c r="N14" s="22" t="s">
        <v>33</v>
      </c>
      <c r="O14" s="2">
        <v>32.058</v>
      </c>
      <c r="P14" s="2">
        <v>44.024999999999999</v>
      </c>
      <c r="Q14" s="2">
        <v>60.784999999999997</v>
      </c>
      <c r="R14" s="2">
        <v>55.078000000000003</v>
      </c>
      <c r="S14" s="2">
        <v>59.348999999999997</v>
      </c>
      <c r="T14" s="2">
        <v>58.585000000000001</v>
      </c>
      <c r="U14" s="2">
        <v>56.322000000000003</v>
      </c>
      <c r="V14" s="49">
        <f>LN(Table2[[#This Row],[2025]]/Table2[[#This Row],[2024]])</f>
        <v>-3.9393468537209105E-2</v>
      </c>
      <c r="W14" s="42">
        <f>LN(Table2[[#This Row],[2025]]/Table2[[#This Row],[2023]])</f>
        <v>-5.2350049131154743E-2</v>
      </c>
      <c r="X14" s="43">
        <f>LN(Table2[[#This Row],[2025]]/Table2[[#This Row],[2019]])</f>
        <v>0.56353846037922051</v>
      </c>
    </row>
    <row r="15" spans="1:24" x14ac:dyDescent="0.2">
      <c r="B15" s="16" t="s">
        <v>9</v>
      </c>
      <c r="C15" s="2">
        <v>23.093</v>
      </c>
      <c r="D15" s="2">
        <v>20.829000000000001</v>
      </c>
      <c r="E15" s="2">
        <v>25.22</v>
      </c>
      <c r="F15" s="2">
        <v>28.34</v>
      </c>
      <c r="G15" s="2">
        <v>31.297999999999998</v>
      </c>
      <c r="H15" s="2">
        <v>30.96</v>
      </c>
      <c r="I15" s="2">
        <v>34.11</v>
      </c>
      <c r="J15" s="41">
        <f>LN(Table1[[#This Row],[2025]]/Table1[[#This Row],[2024]])</f>
        <v>9.6894547709027959E-2</v>
      </c>
      <c r="K15" s="42">
        <f>LN(Table1[[#This Row],[2025]]/Table1[[#This Row],[2023]])</f>
        <v>8.6036398689574245E-2</v>
      </c>
      <c r="L15" s="43">
        <f>LN(Table1[[#This Row],[2025]]/Table1[[#This Row],[2019]])</f>
        <v>0.39006105512879674</v>
      </c>
      <c r="N15" s="22" t="s">
        <v>34</v>
      </c>
      <c r="O15" s="2">
        <v>38.225000000000001</v>
      </c>
      <c r="P15" s="2">
        <v>96.241</v>
      </c>
      <c r="Q15" s="2">
        <v>78.599999999999994</v>
      </c>
      <c r="R15" s="2">
        <v>66.825999999999993</v>
      </c>
      <c r="S15" s="2">
        <v>64.239999999999995</v>
      </c>
      <c r="T15" s="2">
        <v>55.9</v>
      </c>
      <c r="U15" s="2">
        <v>72.510999999999996</v>
      </c>
      <c r="V15" s="53">
        <f>LN(Table2[[#This Row],[2025]]/Table2[[#This Row],[2024]])</f>
        <v>0.26017389432856364</v>
      </c>
      <c r="W15" s="42">
        <f>LN(Table2[[#This Row],[2025]]/Table2[[#This Row],[2023]])</f>
        <v>0.1211122048511111</v>
      </c>
      <c r="X15" s="43">
        <f>LN(Table2[[#This Row],[2025]]/Table2[[#This Row],[2019]])</f>
        <v>0.64024852267449117</v>
      </c>
    </row>
    <row r="16" spans="1:24" x14ac:dyDescent="0.2">
      <c r="B16" s="16" t="s">
        <v>10</v>
      </c>
      <c r="C16" s="2">
        <v>50.2</v>
      </c>
      <c r="D16" s="2">
        <v>96.73</v>
      </c>
      <c r="E16" s="2">
        <v>25.204999999999998</v>
      </c>
      <c r="F16" s="2">
        <v>73.814999999999998</v>
      </c>
      <c r="G16" s="2">
        <v>4.298</v>
      </c>
      <c r="H16" s="2">
        <v>131.18199999999999</v>
      </c>
      <c r="I16" s="2">
        <v>36.445</v>
      </c>
      <c r="J16" s="51">
        <f>LN(Table1[[#This Row],[2025]]/Table1[[#This Row],[2024]])</f>
        <v>-1.2807813971417494</v>
      </c>
      <c r="K16" s="42">
        <f>LN(Table1[[#This Row],[2025]]/Table1[[#This Row],[2023]])</f>
        <v>2.1376544766138577</v>
      </c>
      <c r="L16" s="43">
        <f>LN(Table1[[#This Row],[2025]]/Table1[[#This Row],[2019]])</f>
        <v>-0.32021075186350728</v>
      </c>
      <c r="N16" s="22" t="s">
        <v>9</v>
      </c>
      <c r="O16" s="2">
        <v>14.186999999999999</v>
      </c>
      <c r="P16" s="2">
        <v>20.331</v>
      </c>
      <c r="Q16" s="2">
        <v>18.452000000000002</v>
      </c>
      <c r="R16" s="2">
        <v>20.931999999999999</v>
      </c>
      <c r="S16" s="2">
        <v>16.43</v>
      </c>
      <c r="T16" s="2">
        <v>33.975999999999999</v>
      </c>
      <c r="U16" s="2">
        <v>49</v>
      </c>
      <c r="V16" s="53">
        <f>LN(Table2[[#This Row],[2025]]/Table2[[#This Row],[2024]])</f>
        <v>0.36616590509965657</v>
      </c>
      <c r="W16" s="42">
        <f>LN(Table2[[#This Row],[2025]]/Table2[[#This Row],[2023]])</f>
        <v>1.09271136606145</v>
      </c>
      <c r="X16" s="43">
        <f>LN(Table2[[#This Row],[2025]]/Table2[[#This Row],[2019]])</f>
        <v>1.2394942457807783</v>
      </c>
    </row>
    <row r="17" spans="2:24" ht="13.5" thickBot="1" x14ac:dyDescent="0.25">
      <c r="B17" s="17" t="s">
        <v>11</v>
      </c>
      <c r="C17" s="5">
        <f t="shared" ref="C17:F17" si="0">SUM(C10:C16)</f>
        <v>714.55799999999999</v>
      </c>
      <c r="D17" s="5">
        <f t="shared" si="0"/>
        <v>794.3069999999999</v>
      </c>
      <c r="E17" s="5">
        <f t="shared" si="0"/>
        <v>790.90300000000002</v>
      </c>
      <c r="F17" s="5">
        <f t="shared" si="0"/>
        <v>846.42499999999995</v>
      </c>
      <c r="G17" s="5">
        <f>SUM(G10:G16)</f>
        <v>794.62200000000007</v>
      </c>
      <c r="H17" s="5">
        <f>SUM(H10:H16)</f>
        <v>1036.8320000000001</v>
      </c>
      <c r="I17" s="5">
        <f>SUM(I10:I16)</f>
        <v>1000.1279999999999</v>
      </c>
      <c r="J17" s="46">
        <f>LN(Table1[[#This Row],[2025]]/Table1[[#This Row],[2024]])</f>
        <v>-3.6041918528415713E-2</v>
      </c>
      <c r="K17" s="52">
        <f>LN(Table1[[#This Row],[2025]]/Table1[[#This Row],[2023]])</f>
        <v>0.23001674090712826</v>
      </c>
      <c r="L17" s="48">
        <f>LN(Table1[[#This Row],[2025]]/Table1[[#This Row],[2019]])</f>
        <v>0.3362191010681726</v>
      </c>
      <c r="N17" s="18" t="s">
        <v>35</v>
      </c>
      <c r="O17" s="2">
        <v>34.878999999999998</v>
      </c>
      <c r="P17" s="2">
        <v>34.069000000000003</v>
      </c>
      <c r="Q17" s="2">
        <v>32.76</v>
      </c>
      <c r="R17" s="2">
        <v>33.14</v>
      </c>
      <c r="S17" s="2">
        <v>36.999000000000002</v>
      </c>
      <c r="T17" s="2">
        <v>39.700000000000003</v>
      </c>
      <c r="U17" s="2">
        <v>39.67</v>
      </c>
      <c r="V17" s="49">
        <f>LN(Table2[[#This Row],[2025]]/Table2[[#This Row],[2024]])</f>
        <v>-7.5595316690602662E-4</v>
      </c>
      <c r="W17" s="42">
        <f>LN(Table2[[#This Row],[2025]]/Table2[[#This Row],[2023]])</f>
        <v>6.9704349274278113E-2</v>
      </c>
      <c r="X17" s="43">
        <f>LN(Table2[[#This Row],[2025]]/Table2[[#This Row],[2019]])</f>
        <v>0.12871030562121497</v>
      </c>
    </row>
    <row r="18" spans="2:24" x14ac:dyDescent="0.2">
      <c r="J18" s="26"/>
      <c r="K18" s="11"/>
      <c r="L18" s="12"/>
      <c r="N18" s="18" t="s">
        <v>36</v>
      </c>
      <c r="O18" s="2">
        <v>7.7450000000000001</v>
      </c>
      <c r="P18" s="2">
        <v>8.8309999999999995</v>
      </c>
      <c r="Q18" s="2">
        <v>9.5109999999999992</v>
      </c>
      <c r="R18" s="2">
        <v>12.56</v>
      </c>
      <c r="S18" s="2">
        <v>16.170000000000002</v>
      </c>
      <c r="T18" s="2">
        <v>20.510999999999999</v>
      </c>
      <c r="U18" s="2">
        <v>19.78</v>
      </c>
      <c r="V18" s="49">
        <f>LN(Table2[[#This Row],[2025]]/Table2[[#This Row],[2024]])</f>
        <v>-3.6290001405200487E-2</v>
      </c>
      <c r="W18" s="51">
        <f>LN(Table2[[#This Row],[2025]]/Table2[[#This Row],[2023]])</f>
        <v>0.20151365260555057</v>
      </c>
      <c r="X18" s="51">
        <f>LN(Table2[[#This Row],[2025]]/Table2[[#This Row],[2019]])</f>
        <v>0.93762385232573409</v>
      </c>
    </row>
    <row r="19" spans="2:24" x14ac:dyDescent="0.2">
      <c r="B19" s="15" t="s">
        <v>12</v>
      </c>
      <c r="J19" s="26"/>
      <c r="K19" s="11"/>
      <c r="L19" s="12"/>
      <c r="N19" s="18" t="s">
        <v>37</v>
      </c>
      <c r="O19" s="2">
        <v>14.97</v>
      </c>
      <c r="P19" s="2">
        <v>17.963999999999999</v>
      </c>
      <c r="Q19" s="2">
        <v>21.972999999999999</v>
      </c>
      <c r="R19" s="2">
        <v>21.969000000000001</v>
      </c>
      <c r="S19" s="2">
        <v>18.13</v>
      </c>
      <c r="T19" s="2">
        <v>19.742000000000001</v>
      </c>
      <c r="U19" s="2">
        <v>19.760000000000002</v>
      </c>
      <c r="V19" s="49">
        <f>LN(Table2[[#This Row],[2025]]/Table2[[#This Row],[2024]])</f>
        <v>9.113463240254915E-4</v>
      </c>
      <c r="W19" s="42">
        <f>LN(Table2[[#This Row],[2025]]/Table2[[#This Row],[2023]])</f>
        <v>8.6091667552962173E-2</v>
      </c>
      <c r="X19" s="43">
        <f>LN(Table2[[#This Row],[2025]]/Table2[[#This Row],[2019]])</f>
        <v>0.27761149388818479</v>
      </c>
    </row>
    <row r="20" spans="2:24" ht="13.5" thickBot="1" x14ac:dyDescent="0.25">
      <c r="B20" s="16" t="s">
        <v>13</v>
      </c>
      <c r="C20" s="2">
        <v>212.46100000000001</v>
      </c>
      <c r="D20" s="2">
        <v>230.1</v>
      </c>
      <c r="E20" s="2">
        <v>225.02</v>
      </c>
      <c r="F20" s="2">
        <v>224.529</v>
      </c>
      <c r="G20" s="2">
        <v>223.833</v>
      </c>
      <c r="H20" s="2">
        <v>241.2</v>
      </c>
      <c r="I20" s="2">
        <v>252.89699999999999</v>
      </c>
      <c r="J20" s="51">
        <f>LN(Table1[[#This Row],[2025]]/Table1[[#This Row],[2024]])</f>
        <v>4.735582635632634E-2</v>
      </c>
      <c r="K20" s="51">
        <f>LN(Table1[[#This Row],[2025]]/Table1[[#This Row],[2023]])</f>
        <v>0.1220820531185592</v>
      </c>
      <c r="L20" s="51">
        <f>LN(Table1[[#This Row],[2025]]/Table1[[#This Row],[2019]])</f>
        <v>0.1742238491002332</v>
      </c>
      <c r="N20" s="23" t="s">
        <v>38</v>
      </c>
      <c r="O20" s="5">
        <f t="shared" ref="O20:Q20" si="1">SUM(O11:O19)</f>
        <v>184.71700000000001</v>
      </c>
      <c r="P20" s="5">
        <f t="shared" si="1"/>
        <v>266.01599999999996</v>
      </c>
      <c r="Q20" s="5">
        <f t="shared" si="1"/>
        <v>300.46100000000001</v>
      </c>
      <c r="R20" s="5">
        <f>SUM(R11:R19)</f>
        <v>295.52999999999997</v>
      </c>
      <c r="S20" s="5">
        <f>SUM(S11:S19)</f>
        <v>296.28400000000005</v>
      </c>
      <c r="T20" s="5">
        <f>SUM(T11:T19)</f>
        <v>324.10100000000006</v>
      </c>
      <c r="U20" s="5">
        <f>SUM(U11:U19)</f>
        <v>354.41300000000001</v>
      </c>
      <c r="V20" s="54">
        <f>LN(Table2[[#This Row],[2025]]/Table2[[#This Row],[2024]])</f>
        <v>8.9407704163553689E-2</v>
      </c>
      <c r="W20" s="52">
        <f>LN(Table2[[#This Row],[2025]]/Table2[[#This Row],[2023]])</f>
        <v>0.17914444597724855</v>
      </c>
      <c r="X20" s="52">
        <f>LN(Table2[[#This Row],[2025]]/Table2[[#This Row],[2019]])</f>
        <v>0.6516379756562688</v>
      </c>
    </row>
    <row r="21" spans="2:24" x14ac:dyDescent="0.2">
      <c r="B21" s="16" t="s">
        <v>14</v>
      </c>
      <c r="C21" s="2">
        <v>31.361999999999998</v>
      </c>
      <c r="D21" s="2">
        <v>34</v>
      </c>
      <c r="E21" s="2">
        <v>37.112000000000002</v>
      </c>
      <c r="F21" s="2">
        <v>44.566000000000003</v>
      </c>
      <c r="G21" s="2">
        <v>45.655999999999999</v>
      </c>
      <c r="H21" s="2">
        <v>47.7</v>
      </c>
      <c r="I21" s="2">
        <v>45.1</v>
      </c>
      <c r="J21" s="41">
        <f>LN(Table1[[#This Row],[2025]]/Table1[[#This Row],[2024]])</f>
        <v>-5.6049151385662938E-2</v>
      </c>
      <c r="K21" s="42">
        <f>LN(Table1[[#This Row],[2025]]/Table1[[#This Row],[2023]])</f>
        <v>-1.2252786725774248E-2</v>
      </c>
      <c r="L21" s="43">
        <f>LN(Table1[[#This Row],[2025]]/Table1[[#This Row],[2019]])</f>
        <v>0.36328527754979295</v>
      </c>
      <c r="N21" s="15" t="s">
        <v>39</v>
      </c>
      <c r="V21" s="10"/>
      <c r="W21" s="11"/>
      <c r="X21" s="12"/>
    </row>
    <row r="22" spans="2:24" x14ac:dyDescent="0.2">
      <c r="B22" s="16" t="s">
        <v>15</v>
      </c>
      <c r="C22" s="2">
        <v>11.518000000000001</v>
      </c>
      <c r="D22" s="2">
        <v>12.647</v>
      </c>
      <c r="E22" s="2">
        <v>15.342000000000001</v>
      </c>
      <c r="F22" s="2">
        <v>16.169</v>
      </c>
      <c r="G22" s="2">
        <v>19.023</v>
      </c>
      <c r="H22" s="2">
        <v>21.8</v>
      </c>
      <c r="I22" s="2">
        <v>24.23</v>
      </c>
      <c r="J22" s="51">
        <f>LN(Table1[[#This Row],[2025]]/Table1[[#This Row],[2024]])</f>
        <v>0.105681565033391</v>
      </c>
      <c r="K22" s="51">
        <f>LN(Table1[[#This Row],[2025]]/Table1[[#This Row],[2023]])</f>
        <v>0.2419427614424301</v>
      </c>
      <c r="L22" s="51">
        <f>LN(Table1[[#This Row],[2025]]/Table1[[#This Row],[2019]])</f>
        <v>0.74368050574395361</v>
      </c>
      <c r="N22" s="18" t="s">
        <v>40</v>
      </c>
      <c r="O22" s="2">
        <v>45.046999999999997</v>
      </c>
      <c r="P22" s="2">
        <v>45.67</v>
      </c>
      <c r="Q22" s="2">
        <v>45.046999999999997</v>
      </c>
      <c r="R22" s="2">
        <v>45.86</v>
      </c>
      <c r="S22" s="2">
        <v>47</v>
      </c>
      <c r="T22" s="2">
        <v>56.62</v>
      </c>
      <c r="U22" s="2">
        <v>64.379000000000005</v>
      </c>
      <c r="V22" s="53">
        <f>LN(Table2[[#This Row],[2025]]/Table2[[#This Row],[2024]])</f>
        <v>0.12842521329212034</v>
      </c>
      <c r="W22" s="42">
        <f>LN(Table2[[#This Row],[2025]]/Table2[[#This Row],[2023]])</f>
        <v>0.31463989126581537</v>
      </c>
      <c r="X22" s="43">
        <f>LN(Table2[[#This Row],[2025]]/Table2[[#This Row],[2019]])</f>
        <v>0.35708110381372349</v>
      </c>
    </row>
    <row r="23" spans="2:24" x14ac:dyDescent="0.2">
      <c r="B23" s="16" t="s">
        <v>16</v>
      </c>
      <c r="C23" s="2">
        <v>108.61</v>
      </c>
      <c r="D23" s="2">
        <v>117.05800000000001</v>
      </c>
      <c r="E23" s="2">
        <v>126.68600000000001</v>
      </c>
      <c r="F23" s="2">
        <v>132.71</v>
      </c>
      <c r="G23" s="2">
        <v>142.23500000000001</v>
      </c>
      <c r="H23" s="2">
        <v>139.51499999999999</v>
      </c>
      <c r="I23" s="2">
        <v>141.57</v>
      </c>
      <c r="J23" s="41">
        <f>LN(Table1[[#This Row],[2025]]/Table1[[#This Row],[2024]])</f>
        <v>1.4622172043865804E-2</v>
      </c>
      <c r="K23" s="42">
        <f>LN(Table1[[#This Row],[2025]]/Table1[[#This Row],[2023]])</f>
        <v>-4.6863248853297569E-3</v>
      </c>
      <c r="L23" s="43">
        <f>LN(Table1[[#This Row],[2025]]/Table1[[#This Row],[2019]])</f>
        <v>0.26503081011446106</v>
      </c>
      <c r="N23" s="18" t="s">
        <v>46</v>
      </c>
      <c r="O23" s="2">
        <v>3235.415</v>
      </c>
      <c r="P23" s="2">
        <v>3645.77</v>
      </c>
      <c r="Q23" s="2">
        <v>3899.6289999999999</v>
      </c>
      <c r="R23" s="2">
        <v>4215.6189999999997</v>
      </c>
      <c r="S23" s="2">
        <v>4557.9639999999999</v>
      </c>
      <c r="T23" s="2">
        <v>4977.21</v>
      </c>
      <c r="U23" s="2">
        <v>5471.2629999999999</v>
      </c>
      <c r="V23" s="49">
        <f>LN(Table2[[#This Row],[2025]]/Table2[[#This Row],[2024]])</f>
        <v>9.4639992497706549E-2</v>
      </c>
      <c r="W23" s="42">
        <f>LN(Table2[[#This Row],[2025]]/Table2[[#This Row],[2023]])</f>
        <v>0.18263345298546882</v>
      </c>
      <c r="X23" s="43">
        <f>LN(Table2[[#This Row],[2025]]/Table2[[#This Row],[2019]])</f>
        <v>0.52535228146218982</v>
      </c>
    </row>
    <row r="24" spans="2:24" x14ac:dyDescent="0.2">
      <c r="B24" s="16" t="s">
        <v>9</v>
      </c>
      <c r="C24" s="2">
        <v>90.061000000000007</v>
      </c>
      <c r="D24" s="2">
        <v>95.858999999999995</v>
      </c>
      <c r="E24" s="2">
        <v>86.391999999999996</v>
      </c>
      <c r="F24" s="2">
        <v>116.172</v>
      </c>
      <c r="G24" s="2">
        <v>112.48</v>
      </c>
      <c r="H24" s="2">
        <v>118.45699999999999</v>
      </c>
      <c r="I24" s="2">
        <v>130.1</v>
      </c>
      <c r="J24" s="51">
        <f>LN(Table1[[#This Row],[2025]]/Table1[[#This Row],[2024]])</f>
        <v>9.3753359994544677E-2</v>
      </c>
      <c r="K24" s="42">
        <f>LN(Table1[[#This Row],[2025]]/Table1[[#This Row],[2023]])</f>
        <v>0.14552795745610478</v>
      </c>
      <c r="L24" s="43">
        <f>LN(Table1[[#This Row],[2025]]/Table1[[#This Row],[2019]])</f>
        <v>0.36781616699804093</v>
      </c>
      <c r="N24" s="18" t="s">
        <v>41</v>
      </c>
      <c r="O24" s="2">
        <v>245.16900000000001</v>
      </c>
      <c r="P24" s="2">
        <v>171.41399999999999</v>
      </c>
      <c r="Q24" s="2">
        <v>222.71299999999999</v>
      </c>
      <c r="R24" s="2">
        <v>247</v>
      </c>
      <c r="S24" s="2">
        <v>287.596</v>
      </c>
      <c r="T24" s="2">
        <v>329.43900000000002</v>
      </c>
      <c r="U24" s="2">
        <v>333.82</v>
      </c>
      <c r="V24" s="49">
        <f>LN(Table2[[#This Row],[2025]]/Table2[[#This Row],[2024]])</f>
        <v>1.3210717729503036E-2</v>
      </c>
      <c r="W24" s="42">
        <f>LN(Table2[[#This Row],[2025]]/Table2[[#This Row],[2023]])</f>
        <v>0.1490452080059412</v>
      </c>
      <c r="X24" s="43">
        <f>LN(Table2[[#This Row],[2025]]/Table2[[#This Row],[2019]])</f>
        <v>0.30865415688703213</v>
      </c>
    </row>
    <row r="25" spans="2:24" x14ac:dyDescent="0.2">
      <c r="B25" s="16" t="s">
        <v>18</v>
      </c>
      <c r="C25" s="2">
        <v>26.834</v>
      </c>
      <c r="D25" s="2">
        <v>28.026</v>
      </c>
      <c r="E25" s="2">
        <v>29.591999999999999</v>
      </c>
      <c r="F25" s="2">
        <v>31.7</v>
      </c>
      <c r="G25" s="2">
        <v>31.975000000000001</v>
      </c>
      <c r="H25" s="2">
        <v>34.75</v>
      </c>
      <c r="I25" s="2">
        <v>36</v>
      </c>
      <c r="J25" s="41">
        <f>LN(Table1[[#This Row],[2025]]/Table1[[#This Row],[2024]])</f>
        <v>3.5339366445308863E-2</v>
      </c>
      <c r="K25" s="42">
        <f>LN(Table1[[#This Row],[2025]]/Table1[[#This Row],[2023]])</f>
        <v>0.11856459099120367</v>
      </c>
      <c r="L25" s="43">
        <f>LN(Table1[[#This Row],[2025]]/Table1[[#This Row],[2019]])</f>
        <v>0.29384919828783007</v>
      </c>
      <c r="N25" s="18" t="s">
        <v>42</v>
      </c>
      <c r="O25" s="2">
        <v>24.853999999999999</v>
      </c>
      <c r="P25" s="2">
        <v>27.567</v>
      </c>
      <c r="Q25" s="2">
        <v>29.954999999999998</v>
      </c>
      <c r="R25" s="2">
        <v>27.777899999999999</v>
      </c>
      <c r="S25" s="2">
        <v>32.920999999999999</v>
      </c>
      <c r="T25" s="2">
        <v>37.212000000000003</v>
      </c>
      <c r="U25" s="2">
        <v>39.776000000000003</v>
      </c>
      <c r="V25" s="49">
        <f>LN(Table2[[#This Row],[2025]]/Table2[[#This Row],[2024]])</f>
        <v>6.6632425421988453E-2</v>
      </c>
      <c r="W25" s="42">
        <f>LN(Table2[[#This Row],[2025]]/Table2[[#This Row],[2023]])</f>
        <v>0.18915296331007647</v>
      </c>
      <c r="X25" s="43">
        <f>LN(Table2[[#This Row],[2025]]/Table2[[#This Row],[2019]])</f>
        <v>0.47024500994449792</v>
      </c>
    </row>
    <row r="26" spans="2:24" x14ac:dyDescent="0.2">
      <c r="B26" s="16" t="s">
        <v>19</v>
      </c>
      <c r="C26" s="2">
        <v>89.22</v>
      </c>
      <c r="D26" s="2">
        <v>98.504999999999995</v>
      </c>
      <c r="E26" s="2">
        <v>108.715</v>
      </c>
      <c r="F26" s="2">
        <v>114.575</v>
      </c>
      <c r="G26" s="2">
        <v>121.212</v>
      </c>
      <c r="H26" s="2">
        <v>131.9</v>
      </c>
      <c r="I26" s="2">
        <v>144.36500000000001</v>
      </c>
      <c r="J26" s="41">
        <f>LN(Table1[[#This Row],[2025]]/Table1[[#This Row],[2024]])</f>
        <v>9.0300755084658527E-2</v>
      </c>
      <c r="K26" s="42">
        <f>LN(Table1[[#This Row],[2025]]/Table1[[#This Row],[2023]])</f>
        <v>0.17480373617288003</v>
      </c>
      <c r="L26" s="43">
        <f>LN(Table1[[#This Row],[2025]]/Table1[[#This Row],[2019]])</f>
        <v>0.4812395851078089</v>
      </c>
      <c r="N26" s="18" t="s">
        <v>19</v>
      </c>
      <c r="O26" s="2">
        <v>-1144.115</v>
      </c>
      <c r="P26" s="2">
        <v>-1239.865</v>
      </c>
      <c r="Q26" s="2">
        <v>-1350.482</v>
      </c>
      <c r="R26" s="2">
        <v>-1063.3399999999999</v>
      </c>
      <c r="S26" s="2">
        <v>-1152.22</v>
      </c>
      <c r="T26" s="2">
        <v>-1241.7850000000001</v>
      </c>
      <c r="U26" s="2">
        <v>-1329.65</v>
      </c>
      <c r="V26" s="49">
        <f>LN(Table2[[#This Row],[2025]]/Table2[[#This Row],[2024]])</f>
        <v>6.8365889070923225E-2</v>
      </c>
      <c r="W26" s="42">
        <f>LN(Table2[[#This Row],[2025]]/Table2[[#This Row],[2023]])</f>
        <v>0.14322523344376278</v>
      </c>
      <c r="X26" s="43">
        <f>LN(Table2[[#This Row],[2025]]/Table2[[#This Row],[2019]])</f>
        <v>0.15028433732592669</v>
      </c>
    </row>
    <row r="27" spans="2:24" ht="13.5" thickBot="1" x14ac:dyDescent="0.25">
      <c r="B27" s="16" t="s">
        <v>20</v>
      </c>
      <c r="C27" s="2">
        <v>16.28</v>
      </c>
      <c r="D27" s="2">
        <v>11.435</v>
      </c>
      <c r="E27" s="2">
        <v>2.8050000000000002</v>
      </c>
      <c r="F27" s="2">
        <v>3.262</v>
      </c>
      <c r="G27" s="2">
        <v>-15.189</v>
      </c>
      <c r="H27" s="2">
        <v>35.938000000000002</v>
      </c>
      <c r="I27" s="2">
        <v>11.2</v>
      </c>
      <c r="J27" s="41">
        <f>LN(Table1[[#This Row],[2025]]/Table1[[#This Row],[2024]])</f>
        <v>-1.1658814532032133</v>
      </c>
      <c r="K27" s="42" t="e">
        <f>LN(Table1[[#This Row],[2025]]/Table1[[#This Row],[2023]])</f>
        <v>#NUM!</v>
      </c>
      <c r="L27" s="43">
        <f>LN(Table1[[#This Row],[2025]]/Table1[[#This Row],[2019]])</f>
        <v>-0.37402358227334548</v>
      </c>
      <c r="N27" s="23" t="s">
        <v>43</v>
      </c>
      <c r="O27" s="5">
        <f t="shared" ref="O27:R27" si="2">SUM(O22:O26)</f>
        <v>2406.37</v>
      </c>
      <c r="P27" s="5">
        <f t="shared" si="2"/>
        <v>2650.5560000000005</v>
      </c>
      <c r="Q27" s="5">
        <f t="shared" si="2"/>
        <v>2846.8620000000001</v>
      </c>
      <c r="R27" s="5">
        <f t="shared" si="2"/>
        <v>3472.9168999999993</v>
      </c>
      <c r="S27" s="5">
        <f>SUM(S22:S26)</f>
        <v>3773.2609999999995</v>
      </c>
      <c r="T27" s="5">
        <f>SUM(T22:T26)</f>
        <v>4158.6960000000008</v>
      </c>
      <c r="U27" s="5">
        <f>SUM(U22:U26)</f>
        <v>4579.5879999999997</v>
      </c>
      <c r="V27" s="54">
        <f>LN(Table2[[#This Row],[2025]]/Table2[[#This Row],[2024]])</f>
        <v>9.640747415252901E-2</v>
      </c>
      <c r="W27" s="52">
        <f>LN(Table2[[#This Row],[2025]]/Table2[[#This Row],[2023]])</f>
        <v>0.19366942343602209</v>
      </c>
      <c r="X27" s="52">
        <f>LN(Table2[[#This Row],[2025]]/Table2[[#This Row],[2019]])</f>
        <v>0.64348964980754852</v>
      </c>
    </row>
    <row r="28" spans="2:24" x14ac:dyDescent="0.2">
      <c r="B28" s="16" t="s">
        <v>21</v>
      </c>
      <c r="C28" s="2">
        <v>28.79</v>
      </c>
      <c r="D28" s="2">
        <v>30.029</v>
      </c>
      <c r="E28" s="2">
        <v>32.475000000000001</v>
      </c>
      <c r="F28" s="2">
        <v>35.064999999999998</v>
      </c>
      <c r="G28" s="2">
        <v>36.271000000000001</v>
      </c>
      <c r="H28" s="2">
        <v>40.54</v>
      </c>
      <c r="I28" s="2">
        <v>44.274999999999999</v>
      </c>
      <c r="J28" s="51">
        <f>LN(Table1[[#This Row],[2025]]/Table1[[#This Row],[2024]])</f>
        <v>8.8131042645043262E-2</v>
      </c>
      <c r="K28" s="42">
        <f>LN(Table1[[#This Row],[2025]]/Table1[[#This Row],[2023]])</f>
        <v>0.19940165975884611</v>
      </c>
      <c r="L28" s="43">
        <f>LN(Table1[[#This Row],[2025]]/Table1[[#This Row],[2019]])</f>
        <v>0.4303920790448128</v>
      </c>
      <c r="N28" s="18" t="s">
        <v>44</v>
      </c>
      <c r="O28" s="2">
        <v>433.322</v>
      </c>
      <c r="P28" s="2">
        <v>325.37599999999998</v>
      </c>
      <c r="Q28" s="2">
        <v>285.7</v>
      </c>
      <c r="R28" s="2">
        <v>283.62</v>
      </c>
      <c r="S28" s="2">
        <v>257.62099999999998</v>
      </c>
      <c r="T28" s="2">
        <v>357.40600000000001</v>
      </c>
      <c r="U28" s="2">
        <v>339.86500000000001</v>
      </c>
      <c r="V28" s="49">
        <f>LN(Table2[[#This Row],[2025]]/Table2[[#This Row],[2024]])</f>
        <v>-5.0323910559164485E-2</v>
      </c>
      <c r="W28" s="42">
        <f>LN(Table2[[#This Row],[2025]]/Table2[[#This Row],[2023]])</f>
        <v>0.27705896729133811</v>
      </c>
      <c r="X28" s="43">
        <f>LN(Table2[[#This Row],[2025]]/Table2[[#This Row],[2019]])</f>
        <v>-0.24293262065539614</v>
      </c>
    </row>
    <row r="29" spans="2:24" ht="13.5" thickBot="1" x14ac:dyDescent="0.25">
      <c r="B29" s="17" t="s">
        <v>17</v>
      </c>
      <c r="C29" s="5">
        <f t="shared" ref="C29:F29" si="3">SUM(C20:C28)</f>
        <v>615.13599999999997</v>
      </c>
      <c r="D29" s="5">
        <f t="shared" si="3"/>
        <v>657.65899999999988</v>
      </c>
      <c r="E29" s="5">
        <f t="shared" si="3"/>
        <v>664.13900000000001</v>
      </c>
      <c r="F29" s="5">
        <f t="shared" si="3"/>
        <v>718.74800000000005</v>
      </c>
      <c r="G29" s="5">
        <f>SUM(G20:G28)</f>
        <v>717.49599999999998</v>
      </c>
      <c r="H29" s="5">
        <f>SUM(H20:H28)</f>
        <v>811.8</v>
      </c>
      <c r="I29" s="5">
        <f>SUM(I20:I28)</f>
        <v>829.73700000000008</v>
      </c>
      <c r="J29" s="46">
        <f>LN(Table1[[#This Row],[2025]]/Table1[[#This Row],[2024]])</f>
        <v>2.1854778702862562E-2</v>
      </c>
      <c r="K29" s="47">
        <f>LN(Table1[[#This Row],[2025]]/Table1[[#This Row],[2023]])</f>
        <v>0.14534141040231571</v>
      </c>
      <c r="L29" s="48">
        <f>LN(Table1[[#This Row],[2025]]/Table1[[#This Row],[2019]])</f>
        <v>0.29926540153721004</v>
      </c>
      <c r="N29" s="18" t="s">
        <v>45</v>
      </c>
      <c r="O29" s="2">
        <v>2.6150000000000002</v>
      </c>
      <c r="P29" s="2">
        <v>31.841999999999999</v>
      </c>
      <c r="Q29" s="2">
        <v>36.814</v>
      </c>
      <c r="R29" s="2">
        <v>36.814</v>
      </c>
      <c r="S29" s="2">
        <v>37.039000000000001</v>
      </c>
      <c r="T29" s="2">
        <v>37.063000000000002</v>
      </c>
      <c r="U29" s="2">
        <v>37.063000000000002</v>
      </c>
      <c r="V29" s="49">
        <f>LN(Table2[[#This Row],[2025]]/Table2[[#This Row],[2024]])</f>
        <v>0</v>
      </c>
      <c r="W29" s="42">
        <f>LN(Table2[[#This Row],[2025]]/Table2[[#This Row],[2023]])</f>
        <v>6.4775581871415481E-4</v>
      </c>
      <c r="X29" s="43">
        <f>LN(Table2[[#This Row],[2025]]/Table2[[#This Row],[2019]])</f>
        <v>2.6513550698751853</v>
      </c>
    </row>
    <row r="30" spans="2:24" x14ac:dyDescent="0.2">
      <c r="J30" s="26"/>
      <c r="K30" s="11"/>
      <c r="L30" s="12"/>
      <c r="N30" s="18" t="s">
        <v>9</v>
      </c>
      <c r="O30" s="2">
        <v>84.289000000000001</v>
      </c>
      <c r="P30" s="2">
        <v>120.45659999999999</v>
      </c>
      <c r="Q30" s="2">
        <v>153.44499999999999</v>
      </c>
      <c r="R30" s="2">
        <v>175.91319999999999</v>
      </c>
      <c r="S30" s="2">
        <v>231.33</v>
      </c>
      <c r="T30" s="2">
        <v>302.97399999999999</v>
      </c>
      <c r="U30" s="2">
        <v>360.21899999999999</v>
      </c>
      <c r="V30" s="53">
        <f>LN(Table2[[#This Row],[2025]]/Table2[[#This Row],[2024]])</f>
        <v>0.17306518657703027</v>
      </c>
      <c r="W30" s="51">
        <f>LN(Table2[[#This Row],[2025]]/Table2[[#This Row],[2023]])</f>
        <v>0.44286691731079536</v>
      </c>
      <c r="X30" s="51">
        <f>LN(Table2[[#This Row],[2025]]/Table2[[#This Row],[2019]])</f>
        <v>1.4524608096882945</v>
      </c>
    </row>
    <row r="31" spans="2:24" ht="13.5" thickBot="1" x14ac:dyDescent="0.25">
      <c r="B31" s="15" t="s">
        <v>22</v>
      </c>
      <c r="C31" s="4">
        <f t="shared" ref="C31:F31" si="4">C17-C29</f>
        <v>99.422000000000025</v>
      </c>
      <c r="D31" s="4">
        <f t="shared" si="4"/>
        <v>136.64800000000002</v>
      </c>
      <c r="E31" s="4">
        <f t="shared" si="4"/>
        <v>126.76400000000001</v>
      </c>
      <c r="F31" s="4">
        <f t="shared" si="4"/>
        <v>127.67699999999991</v>
      </c>
      <c r="G31" s="4">
        <f>G17-G29</f>
        <v>77.12600000000009</v>
      </c>
      <c r="H31" s="4">
        <f>H17-H29</f>
        <v>225.03200000000015</v>
      </c>
      <c r="I31" s="4">
        <f>I17-I29</f>
        <v>170.39099999999985</v>
      </c>
      <c r="J31" s="51">
        <f>LN(Table1[[#This Row],[2025]]/Table1[[#This Row],[2024]])</f>
        <v>-0.27814681821507725</v>
      </c>
      <c r="K31" s="51">
        <f>LN(Table1[[#This Row],[2025]]/Table1[[#This Row],[2023]])</f>
        <v>0.79265534799310511</v>
      </c>
      <c r="L31" s="45">
        <f>LN(Table1[[#This Row],[2025]]/Table1[[#This Row],[2019]])</f>
        <v>0.53872237895803021</v>
      </c>
      <c r="N31" s="24" t="s">
        <v>93</v>
      </c>
      <c r="O31" s="5">
        <f t="shared" ref="O31:R31" si="5">O20+O27+SUM(O28:O30)</f>
        <v>3111.3130000000001</v>
      </c>
      <c r="P31" s="5">
        <f t="shared" si="5"/>
        <v>3394.2466000000004</v>
      </c>
      <c r="Q31" s="5">
        <f t="shared" si="5"/>
        <v>3623.2820000000002</v>
      </c>
      <c r="R31" s="5">
        <f t="shared" si="5"/>
        <v>4264.7940999999992</v>
      </c>
      <c r="S31" s="5">
        <f>S20+S27+SUM(S28:S30)</f>
        <v>4595.5349999999999</v>
      </c>
      <c r="T31" s="5">
        <f>T20+T27+SUM(T28:T30)</f>
        <v>5180.2400000000007</v>
      </c>
      <c r="U31" s="5">
        <f>U20+U27+SUM(U28:U30)</f>
        <v>5671.1480000000001</v>
      </c>
      <c r="V31" s="54">
        <f>LN(Table2[[#This Row],[2025]]/Table2[[#This Row],[2024]])</f>
        <v>9.0540179136926233E-2</v>
      </c>
      <c r="W31" s="52">
        <f>LN(Table2[[#This Row],[2025]]/Table2[[#This Row],[2023]])</f>
        <v>0.21030638644809949</v>
      </c>
      <c r="X31" s="52">
        <f>LN(Table2[[#This Row],[2025]]/Table2[[#This Row],[2019]])</f>
        <v>0.60034674279067679</v>
      </c>
    </row>
    <row r="32" spans="2:24" x14ac:dyDescent="0.2">
      <c r="B32" s="16" t="s">
        <v>23</v>
      </c>
      <c r="C32" s="2">
        <v>4.9249999999999998</v>
      </c>
      <c r="D32" s="2">
        <v>2.0270000000000001</v>
      </c>
      <c r="E32" s="2">
        <v>17.422999999999998</v>
      </c>
      <c r="F32" s="2">
        <v>11.945</v>
      </c>
      <c r="G32" s="2">
        <v>24.06</v>
      </c>
      <c r="H32" s="2">
        <v>22.58</v>
      </c>
      <c r="I32" s="2">
        <v>24.175999999999998</v>
      </c>
      <c r="J32" s="41">
        <f>LN(Table1[[#This Row],[2025]]/Table1[[#This Row],[2024]])</f>
        <v>6.8295846808867716E-2</v>
      </c>
      <c r="K32" s="42">
        <f>LN(Table1[[#This Row],[2025]]/Table1[[#This Row],[2023]])</f>
        <v>4.809694983850866E-3</v>
      </c>
      <c r="L32" s="43">
        <f>LN(Table1[[#This Row],[2025]]/Table1[[#This Row],[2019]])</f>
        <v>1.5910361309063314</v>
      </c>
      <c r="V32" s="10"/>
      <c r="W32" s="11"/>
      <c r="X32" s="12"/>
    </row>
    <row r="33" spans="2:24" x14ac:dyDescent="0.2">
      <c r="B33" s="16" t="s">
        <v>76</v>
      </c>
      <c r="C33" s="2">
        <v>41.22</v>
      </c>
      <c r="D33" s="2">
        <v>42.284999999999997</v>
      </c>
      <c r="E33" s="2">
        <v>43.213999999999999</v>
      </c>
      <c r="F33" s="2">
        <v>44.386000000000003</v>
      </c>
      <c r="G33" s="2">
        <v>49.818999999999996</v>
      </c>
      <c r="H33" s="2">
        <v>57.55</v>
      </c>
      <c r="I33" s="2">
        <v>66.7</v>
      </c>
      <c r="J33" s="41">
        <f>LN(Table1[[#This Row],[2025]]/Table1[[#This Row],[2024]])</f>
        <v>0.14755081775368653</v>
      </c>
      <c r="K33" s="42">
        <f>LN(Table1[[#This Row],[2025]]/Table1[[#This Row],[2023]])</f>
        <v>0.29180851554913073</v>
      </c>
      <c r="L33" s="43">
        <f>LN(Table1[[#This Row],[2025]]/Table1[[#This Row],[2019]])</f>
        <v>0.48128137745926519</v>
      </c>
      <c r="N33" s="15" t="s">
        <v>47</v>
      </c>
      <c r="V33" s="10"/>
      <c r="W33" s="11"/>
      <c r="X33" s="12"/>
    </row>
    <row r="34" spans="2:24" ht="13.5" thickBot="1" x14ac:dyDescent="0.25">
      <c r="B34" s="20" t="s">
        <v>24</v>
      </c>
      <c r="C34" s="5">
        <f t="shared" ref="C34:H34" si="6">C31+C32-C33</f>
        <v>63.127000000000024</v>
      </c>
      <c r="D34" s="5">
        <f t="shared" si="6"/>
        <v>96.390000000000015</v>
      </c>
      <c r="E34" s="5">
        <f t="shared" si="6"/>
        <v>100.97300000000001</v>
      </c>
      <c r="F34" s="5">
        <f t="shared" si="6"/>
        <v>95.235999999999905</v>
      </c>
      <c r="G34" s="5">
        <f t="shared" si="6"/>
        <v>51.367000000000097</v>
      </c>
      <c r="H34" s="5">
        <f t="shared" si="6"/>
        <v>190.06200000000013</v>
      </c>
      <c r="I34" s="5">
        <f>I31+I32-I33</f>
        <v>127.86699999999983</v>
      </c>
      <c r="J34" s="52">
        <f>LN(Table1[[#This Row],[2025]]/Table1[[#This Row],[2024]])</f>
        <v>-0.39635967350059942</v>
      </c>
      <c r="K34" s="52">
        <f>LN(Table1[[#This Row],[2025]]/Table1[[#This Row],[2023]])</f>
        <v>0.91199471829036916</v>
      </c>
      <c r="L34" s="48">
        <f>LN(Table1[[#This Row],[2025]]/Table1[[#This Row],[2019]])</f>
        <v>0.7058420909580031</v>
      </c>
      <c r="N34" s="15" t="s">
        <v>29</v>
      </c>
      <c r="V34" s="10"/>
      <c r="W34" s="11"/>
      <c r="X34" s="12"/>
    </row>
    <row r="35" spans="2:24" x14ac:dyDescent="0.2">
      <c r="B35" s="18"/>
      <c r="J35" s="26"/>
      <c r="K35" s="11"/>
      <c r="L35" s="12"/>
      <c r="N35" s="18" t="s">
        <v>48</v>
      </c>
      <c r="O35" s="2">
        <v>21.867999999999999</v>
      </c>
      <c r="P35" s="2">
        <v>5.1269999999999998</v>
      </c>
      <c r="Q35" s="2">
        <v>5.1920000000000002</v>
      </c>
      <c r="R35" s="2">
        <v>3.31</v>
      </c>
      <c r="S35" s="2">
        <v>0.67</v>
      </c>
      <c r="T35" s="2">
        <v>72.421999999999997</v>
      </c>
      <c r="U35" s="2">
        <v>2.27</v>
      </c>
      <c r="V35" s="49">
        <f>LN(Table2[[#This Row],[2025]]/Table2[[#This Row],[2024]])</f>
        <v>-3.4627302891433254</v>
      </c>
      <c r="W35" s="42">
        <f>LN(Table2[[#This Row],[2025]]/Table2[[#This Row],[2023]])</f>
        <v>1.2202573980904365</v>
      </c>
      <c r="X35" s="43">
        <f>LN(Table2[[#This Row],[2025]]/Table2[[#This Row],[2019]])</f>
        <v>-2.2652445495394415</v>
      </c>
    </row>
    <row r="36" spans="2:24" x14ac:dyDescent="0.2">
      <c r="B36" s="19" t="s">
        <v>1</v>
      </c>
      <c r="C36" s="2">
        <v>48.167999999999999</v>
      </c>
      <c r="D36" s="2">
        <v>49.274000000000001</v>
      </c>
      <c r="E36" s="2">
        <v>51.633000000000003</v>
      </c>
      <c r="F36" s="2">
        <v>96.01</v>
      </c>
      <c r="G36" s="2">
        <v>51.911000000000001</v>
      </c>
      <c r="H36" s="2">
        <v>58.646999999999998</v>
      </c>
      <c r="I36" s="2">
        <v>59.633000000000003</v>
      </c>
      <c r="J36" s="41">
        <f>LN(Table1[[#This Row],[2025]]/Table1[[#This Row],[2024]])</f>
        <v>1.6672689219924691E-2</v>
      </c>
      <c r="K36" s="42">
        <f>LN(Table1[[#This Row],[2025]]/Table1[[#This Row],[2023]])</f>
        <v>0.13867839835146847</v>
      </c>
      <c r="L36" s="43">
        <f>LN(Table1[[#This Row],[2025]]/Table1[[#This Row],[2019]])</f>
        <v>0.21351421195387013</v>
      </c>
      <c r="N36" s="18" t="s">
        <v>49</v>
      </c>
      <c r="O36" s="2">
        <v>175.1</v>
      </c>
      <c r="P36" s="2">
        <v>370</v>
      </c>
      <c r="Q36" s="2">
        <v>35</v>
      </c>
      <c r="R36" s="2">
        <v>70</v>
      </c>
      <c r="S36" s="2">
        <v>180</v>
      </c>
      <c r="T36" s="2">
        <v>205</v>
      </c>
      <c r="U36" s="2">
        <v>130</v>
      </c>
      <c r="V36" s="53">
        <f>LN(Table2[[#This Row],[2025]]/Table2[[#This Row],[2024]])</f>
        <v>-0.45547552868282576</v>
      </c>
      <c r="W36" s="42">
        <f>LN(Table2[[#This Row],[2025]]/Table2[[#This Row],[2023]])</f>
        <v>-0.325422400434628</v>
      </c>
      <c r="X36" s="43">
        <f>LN(Table2[[#This Row],[2025]]/Table2[[#This Row],[2019]])</f>
        <v>-0.29782278883622376</v>
      </c>
    </row>
    <row r="37" spans="2:24" x14ac:dyDescent="0.2">
      <c r="B37" s="16" t="s">
        <v>25</v>
      </c>
      <c r="C37" s="6">
        <f t="shared" ref="C37:D37" si="7">C34/C36</f>
        <v>1.3105588772629138</v>
      </c>
      <c r="D37" s="6">
        <f t="shared" si="7"/>
        <v>1.9562040832893617</v>
      </c>
      <c r="E37" s="6">
        <f>E34/E36</f>
        <v>1.955590416981388</v>
      </c>
      <c r="F37" s="6">
        <f>F34/F36</f>
        <v>0.99193833975627432</v>
      </c>
      <c r="G37" s="6">
        <f>G34/G36</f>
        <v>0.98952052551482528</v>
      </c>
      <c r="H37" s="6">
        <f>H34/H36</f>
        <v>3.240779579518136</v>
      </c>
      <c r="I37" s="6">
        <f>I34/I36</f>
        <v>2.1442322204148683</v>
      </c>
      <c r="J37" s="51">
        <f>LN(Table1[[#This Row],[2025]]/Table1[[#This Row],[2024]])</f>
        <v>-0.41303236272052396</v>
      </c>
      <c r="K37" s="42">
        <f>LN(Table1[[#This Row],[2025]]/Table1[[#This Row],[2023]])</f>
        <v>0.77331631993890093</v>
      </c>
      <c r="L37" s="43">
        <f>LN(Table1[[#This Row],[2025]]/Table1[[#This Row],[2019]])</f>
        <v>0.492327879004133</v>
      </c>
      <c r="N37" s="18" t="s">
        <v>50</v>
      </c>
      <c r="O37" s="2">
        <v>108.46</v>
      </c>
      <c r="P37" s="2">
        <v>131.72499999999999</v>
      </c>
      <c r="Q37" s="2">
        <v>144.36799999999999</v>
      </c>
      <c r="R37" s="2">
        <v>140.98599999999999</v>
      </c>
      <c r="S37" s="2">
        <v>157.30500000000001</v>
      </c>
      <c r="T37" s="2">
        <v>167.53299999999999</v>
      </c>
      <c r="U37" s="2">
        <v>175.72900000000001</v>
      </c>
      <c r="V37" s="49">
        <f>LN(Table2[[#This Row],[2025]]/Table2[[#This Row],[2024]])</f>
        <v>4.7762688856961472E-2</v>
      </c>
      <c r="W37" s="42">
        <f>LN(Table2[[#This Row],[2025]]/Table2[[#This Row],[2023]])</f>
        <v>0.11075643968808578</v>
      </c>
      <c r="X37" s="43">
        <f>LN(Table2[[#This Row],[2025]]/Table2[[#This Row],[2019]])</f>
        <v>0.48256159422964928</v>
      </c>
    </row>
    <row r="38" spans="2:24" x14ac:dyDescent="0.2">
      <c r="B38" s="16" t="s">
        <v>0</v>
      </c>
      <c r="C38" s="6">
        <v>39.58</v>
      </c>
      <c r="D38" s="6">
        <v>49.33</v>
      </c>
      <c r="E38" s="6">
        <v>51.71</v>
      </c>
      <c r="F38" s="6">
        <v>59.34</v>
      </c>
      <c r="G38" s="6">
        <v>54.9</v>
      </c>
      <c r="H38" s="6">
        <v>50.68</v>
      </c>
      <c r="I38" s="6">
        <v>44.02</v>
      </c>
      <c r="J38" s="41">
        <f>LN(Table1[[#This Row],[2025]]/Table1[[#This Row],[2024]])</f>
        <v>-0.14088727935462259</v>
      </c>
      <c r="K38" s="42">
        <f>LN(Table1[[#This Row],[2025]]/Table1[[#This Row],[2023]])</f>
        <v>-0.22086927241716922</v>
      </c>
      <c r="L38" s="43">
        <f>LN(Table1[[#This Row],[2025]]/Table1[[#This Row],[2019]])</f>
        <v>0.10632013592389605</v>
      </c>
      <c r="N38" s="18" t="s">
        <v>34</v>
      </c>
      <c r="O38" s="2">
        <v>4.4619999999999997</v>
      </c>
      <c r="P38" s="2">
        <v>34.636600000000001</v>
      </c>
      <c r="Q38" s="2">
        <v>17.547000000000001</v>
      </c>
      <c r="R38" s="2">
        <v>12.24</v>
      </c>
      <c r="S38" s="2">
        <v>21.54</v>
      </c>
      <c r="T38" s="2">
        <v>22.648</v>
      </c>
      <c r="U38" s="2">
        <v>25.457999999999998</v>
      </c>
      <c r="V38" s="49">
        <f>LN(Table2[[#This Row],[2025]]/Table2[[#This Row],[2024]])</f>
        <v>0.11695848763864426</v>
      </c>
      <c r="W38" s="42">
        <f>LN(Table2[[#This Row],[2025]]/Table2[[#This Row],[2023]])</f>
        <v>0.1671183637200003</v>
      </c>
      <c r="X38" s="43">
        <f>LN(Table2[[#This Row],[2025]]/Table2[[#This Row],[2019]])</f>
        <v>1.741432939437902</v>
      </c>
    </row>
    <row r="39" spans="2:24" x14ac:dyDescent="0.2">
      <c r="B39" s="16" t="s">
        <v>2</v>
      </c>
      <c r="C39" s="2">
        <f>C36*C38</f>
        <v>1906.4894399999998</v>
      </c>
      <c r="D39" s="2">
        <f t="shared" ref="D39:I39" si="8">D36*D38</f>
        <v>2430.68642</v>
      </c>
      <c r="E39" s="2">
        <f t="shared" si="8"/>
        <v>2669.9424300000001</v>
      </c>
      <c r="F39" s="2">
        <f t="shared" si="8"/>
        <v>5697.233400000001</v>
      </c>
      <c r="G39" s="2">
        <f t="shared" si="8"/>
        <v>2849.9139</v>
      </c>
      <c r="H39" s="2">
        <f t="shared" si="8"/>
        <v>2972.2299600000001</v>
      </c>
      <c r="I39" s="2">
        <f t="shared" si="8"/>
        <v>2625.0446600000005</v>
      </c>
      <c r="J39" s="41">
        <f>LN(Table1[[#This Row],[2025]]/Table1[[#This Row],[2024]])</f>
        <v>-0.124214590134698</v>
      </c>
      <c r="K39" s="42">
        <f>LN(Table1[[#This Row],[2025]]/Table1[[#This Row],[2023]])</f>
        <v>-8.2190874065700706E-2</v>
      </c>
      <c r="L39" s="43">
        <f>LN(Table1[[#This Row],[2025]]/Table1[[#This Row],[2019]])</f>
        <v>0.31983434787776621</v>
      </c>
      <c r="N39" s="18" t="s">
        <v>51</v>
      </c>
      <c r="O39" s="2">
        <v>4.4450000000000003</v>
      </c>
      <c r="P39" s="2">
        <v>4.4770000000000003</v>
      </c>
      <c r="Q39" s="2">
        <v>5.3789999999999996</v>
      </c>
      <c r="R39" s="2">
        <v>8.6</v>
      </c>
      <c r="S39" s="2">
        <v>4.59</v>
      </c>
      <c r="T39" s="2">
        <v>6.0839999999999996</v>
      </c>
      <c r="U39" s="2">
        <v>6.0579999999999998</v>
      </c>
      <c r="V39" s="49">
        <f>LN(Table2[[#This Row],[2025]]/Table2[[#This Row],[2024]])</f>
        <v>-4.2826617920008478E-3</v>
      </c>
      <c r="W39" s="42">
        <f>LN(Table2[[#This Row],[2025]]/Table2[[#This Row],[2023]])</f>
        <v>0.27749968853259172</v>
      </c>
      <c r="X39" s="43">
        <f>LN(Table2[[#This Row],[2025]]/Table2[[#This Row],[2019]])</f>
        <v>0.30959984363917759</v>
      </c>
    </row>
    <row r="40" spans="2:24" x14ac:dyDescent="0.2">
      <c r="B40" s="16" t="s">
        <v>72</v>
      </c>
      <c r="C40" s="37">
        <f>C31/C17</f>
        <v>0.13913776068562667</v>
      </c>
      <c r="D40" s="37">
        <f t="shared" ref="D40:I40" si="9">D31/D17</f>
        <v>0.17203423865079881</v>
      </c>
      <c r="E40" s="37">
        <f t="shared" si="9"/>
        <v>0.16027755616048997</v>
      </c>
      <c r="F40" s="37">
        <f t="shared" si="9"/>
        <v>0.15084266178338296</v>
      </c>
      <c r="G40" s="37">
        <f t="shared" si="9"/>
        <v>9.7059985754232941E-2</v>
      </c>
      <c r="H40" s="37">
        <f t="shared" si="9"/>
        <v>0.21703805438103774</v>
      </c>
      <c r="I40" s="37">
        <f t="shared" si="9"/>
        <v>0.17036919274332871</v>
      </c>
      <c r="J40" s="51">
        <f>LN(Table1[[#This Row],[2025]]/Table1[[#This Row],[2024]])</f>
        <v>-0.24210489968666157</v>
      </c>
      <c r="K40" s="51">
        <f>LN(Table1[[#This Row],[2025]]/Table1[[#This Row],[2023]])</f>
        <v>0.56263860708597668</v>
      </c>
      <c r="L40" s="43">
        <f>LN(Table1[[#This Row],[2025]]/Table1[[#This Row],[2019]])</f>
        <v>0.20250327788985753</v>
      </c>
      <c r="N40" s="18" t="s">
        <v>52</v>
      </c>
      <c r="O40" s="2">
        <v>5.81</v>
      </c>
      <c r="P40" s="2">
        <v>6.1790000000000003</v>
      </c>
      <c r="Q40" s="2">
        <v>6.5419999999999998</v>
      </c>
      <c r="R40" s="2">
        <v>6.49</v>
      </c>
      <c r="S40" s="2">
        <v>6.62</v>
      </c>
      <c r="T40" s="2">
        <v>8.4060000000000006</v>
      </c>
      <c r="U40" s="2">
        <v>12.976000000000001</v>
      </c>
      <c r="V40" s="49">
        <f>LN(Table2[[#This Row],[2025]]/Table2[[#This Row],[2024]])</f>
        <v>0.43415576079013213</v>
      </c>
      <c r="W40" s="42">
        <f>LN(Table2[[#This Row],[2025]]/Table2[[#This Row],[2023]])</f>
        <v>0.67300612742414034</v>
      </c>
      <c r="X40" s="43">
        <f>LN(Table2[[#This Row],[2025]]/Table2[[#This Row],[2019]])</f>
        <v>0.80352092650923734</v>
      </c>
    </row>
    <row r="41" spans="2:24" x14ac:dyDescent="0.2">
      <c r="B41" s="16" t="s">
        <v>73</v>
      </c>
      <c r="C41" s="37">
        <f>C34/C17</f>
        <v>8.8344123220228485E-2</v>
      </c>
      <c r="D41" s="37">
        <f t="shared" ref="D41:I41" si="10">D34/D17</f>
        <v>0.12135106451283953</v>
      </c>
      <c r="E41" s="37">
        <f t="shared" si="10"/>
        <v>0.12766799468455678</v>
      </c>
      <c r="F41" s="37">
        <f t="shared" si="10"/>
        <v>0.11251558023451565</v>
      </c>
      <c r="G41" s="37">
        <f t="shared" si="10"/>
        <v>6.4643314682956282E-2</v>
      </c>
      <c r="H41" s="37">
        <f t="shared" si="10"/>
        <v>0.18331031449646626</v>
      </c>
      <c r="I41" s="37">
        <f t="shared" si="10"/>
        <v>0.12785063511870465</v>
      </c>
      <c r="J41" s="51">
        <f>LN(Table1[[#This Row],[2025]]/Table1[[#This Row],[2024]])</f>
        <v>-0.36031775497218377</v>
      </c>
      <c r="K41" s="51">
        <f>LN(Table1[[#This Row],[2025]]/Table1[[#This Row],[2023]])</f>
        <v>0.68197797738324106</v>
      </c>
      <c r="L41" s="43">
        <f>LN(Table1[[#This Row],[2025]]/Table1[[#This Row],[2019]])</f>
        <v>0.36962298988983033</v>
      </c>
      <c r="N41" s="18" t="s">
        <v>53</v>
      </c>
      <c r="O41" s="2">
        <v>38.573</v>
      </c>
      <c r="P41" s="2">
        <v>36.563000000000002</v>
      </c>
      <c r="Q41" s="2">
        <v>42.546999999999997</v>
      </c>
      <c r="R41" s="2">
        <v>53.01</v>
      </c>
      <c r="S41" s="2">
        <v>59.606000000000002</v>
      </c>
      <c r="T41" s="2">
        <v>56.271000000000001</v>
      </c>
      <c r="U41" s="2">
        <v>65.683000000000007</v>
      </c>
      <c r="V41" s="49">
        <f>LN(Table2[[#This Row],[2025]]/Table2[[#This Row],[2024]])</f>
        <v>0.15466083535961411</v>
      </c>
      <c r="W41" s="42">
        <f>LN(Table2[[#This Row],[2025]]/Table2[[#This Row],[2023]])</f>
        <v>9.7083899960683617E-2</v>
      </c>
      <c r="X41" s="43">
        <f>LN(Table2[[#This Row],[2025]]/Table2[[#This Row],[2019]])</f>
        <v>0.53228759025200723</v>
      </c>
    </row>
    <row r="42" spans="2:24" ht="13.5" thickBot="1" x14ac:dyDescent="0.25">
      <c r="B42" s="16" t="s">
        <v>71</v>
      </c>
      <c r="C42" s="2">
        <f>C31+C27+C26+C28</f>
        <v>233.71200000000002</v>
      </c>
      <c r="D42" s="2">
        <f t="shared" ref="D42:I42" si="11">D31+D27+D26+D28</f>
        <v>276.61700000000002</v>
      </c>
      <c r="E42" s="2">
        <f t="shared" si="11"/>
        <v>270.75900000000001</v>
      </c>
      <c r="F42" s="2">
        <f t="shared" si="11"/>
        <v>280.57899999999989</v>
      </c>
      <c r="G42" s="2">
        <f t="shared" si="11"/>
        <v>219.42000000000007</v>
      </c>
      <c r="H42" s="2">
        <f t="shared" si="11"/>
        <v>433.41000000000014</v>
      </c>
      <c r="I42" s="2">
        <f t="shared" si="11"/>
        <v>370.23099999999982</v>
      </c>
      <c r="J42" s="41">
        <f>LN(Table1[[#This Row],[2025]]/Table1[[#This Row],[2024]])</f>
        <v>-0.15755702705615837</v>
      </c>
      <c r="K42" s="42">
        <f>LN(Table1[[#This Row],[2025]]/Table1[[#This Row],[2023]])</f>
        <v>0.52313943376389649</v>
      </c>
      <c r="L42" s="43">
        <f>LN(Table1[[#This Row],[2025]]/Table1[[#This Row],[2019]])</f>
        <v>0.46003754704478678</v>
      </c>
      <c r="N42" s="23" t="s">
        <v>54</v>
      </c>
      <c r="O42" s="5">
        <f t="shared" ref="O42:R42" si="12">SUM(O35:O41)</f>
        <v>358.71799999999996</v>
      </c>
      <c r="P42" s="5">
        <f t="shared" si="12"/>
        <v>588.70759999999996</v>
      </c>
      <c r="Q42" s="5">
        <f t="shared" si="12"/>
        <v>256.57499999999999</v>
      </c>
      <c r="R42" s="5">
        <f t="shared" si="12"/>
        <v>294.63600000000002</v>
      </c>
      <c r="S42" s="5">
        <f>SUM(S35:S41)</f>
        <v>430.33100000000002</v>
      </c>
      <c r="T42" s="5">
        <f t="shared" ref="T42:U42" si="13">SUM(T35:T41)</f>
        <v>538.36400000000003</v>
      </c>
      <c r="U42" s="5">
        <f t="shared" si="13"/>
        <v>418.17399999999998</v>
      </c>
      <c r="V42" s="54">
        <f>LN(Table2[[#This Row],[2025]]/Table2[[#This Row],[2024]])</f>
        <v>-0.25263729745854602</v>
      </c>
      <c r="W42" s="47">
        <f>LN(Table2[[#This Row],[2025]]/Table2[[#This Row],[2023]])</f>
        <v>-2.865706615858751E-2</v>
      </c>
      <c r="X42" s="48">
        <f>LN(Table2[[#This Row],[2025]]/Table2[[#This Row],[2019]])</f>
        <v>0.15336104936274927</v>
      </c>
    </row>
    <row r="43" spans="2:24" x14ac:dyDescent="0.2">
      <c r="B43" s="16" t="s">
        <v>87</v>
      </c>
      <c r="C43" s="36">
        <f>C10/C17</f>
        <v>0.6246140971061831</v>
      </c>
      <c r="D43" s="36">
        <f t="shared" ref="D43:I43" si="14">D10/D17</f>
        <v>0.61193593912681121</v>
      </c>
      <c r="E43" s="36">
        <f t="shared" si="14"/>
        <v>0.59092581517581799</v>
      </c>
      <c r="F43" s="36">
        <f t="shared" si="14"/>
        <v>0.54162861446672772</v>
      </c>
      <c r="G43" s="36">
        <f t="shared" si="14"/>
        <v>0.58318294736365217</v>
      </c>
      <c r="H43" s="36">
        <f t="shared" si="14"/>
        <v>0.51911013548964535</v>
      </c>
      <c r="I43" s="36">
        <f t="shared" si="14"/>
        <v>0.56720139822102777</v>
      </c>
      <c r="J43" s="41">
        <f>LN(Table1[[#This Row],[2025]]/Table1[[#This Row],[2024]])</f>
        <v>8.8598372581342455E-2</v>
      </c>
      <c r="K43" s="42">
        <f>LN(Table1[[#This Row],[2025]]/Table1[[#This Row],[2023]])</f>
        <v>-2.778650014906817E-2</v>
      </c>
      <c r="L43" s="43">
        <f>LN(Table1[[#This Row],[2025]]/Table1[[#This Row],[2019]])</f>
        <v>-9.6419574065227373E-2</v>
      </c>
      <c r="N43" s="18" t="s">
        <v>55</v>
      </c>
      <c r="O43" s="2">
        <v>222.59</v>
      </c>
      <c r="P43" s="2">
        <v>276.02999999999997</v>
      </c>
      <c r="Q43" s="2">
        <v>298.94499999999999</v>
      </c>
      <c r="R43" s="2">
        <v>330.25</v>
      </c>
      <c r="S43" s="2">
        <v>352.762</v>
      </c>
      <c r="T43" s="2">
        <v>411.08300000000003</v>
      </c>
      <c r="U43" s="2">
        <v>450.94600000000003</v>
      </c>
      <c r="V43" s="49">
        <f>LN(Table2[[#This Row],[2025]]/Table2[[#This Row],[2024]])</f>
        <v>9.2552457829577578E-2</v>
      </c>
      <c r="W43" s="42">
        <f>LN(Table2[[#This Row],[2025]]/Table2[[#This Row],[2023]])</f>
        <v>0.24555398982843032</v>
      </c>
      <c r="X43" s="43">
        <f>LN(Table2[[#This Row],[2025]]/Table2[[#This Row],[2019]])</f>
        <v>0.70601608420686923</v>
      </c>
    </row>
    <row r="44" spans="2:24" x14ac:dyDescent="0.2">
      <c r="B44" s="16" t="s">
        <v>88</v>
      </c>
      <c r="C44" s="36">
        <f>C11/C17</f>
        <v>0.18084326254831659</v>
      </c>
      <c r="D44" s="36">
        <f t="shared" ref="D44:I44" si="15">D11/D17</f>
        <v>0.15840097090923286</v>
      </c>
      <c r="E44" s="36">
        <f t="shared" si="15"/>
        <v>0.18278474098593633</v>
      </c>
      <c r="F44" s="36">
        <f t="shared" si="15"/>
        <v>0.18143367693534573</v>
      </c>
      <c r="G44" s="36">
        <f t="shared" si="15"/>
        <v>0.2001580625756649</v>
      </c>
      <c r="H44" s="36">
        <f t="shared" si="15"/>
        <v>0.1736346872010123</v>
      </c>
      <c r="I44" s="36">
        <f t="shared" si="15"/>
        <v>0.19263534267613747</v>
      </c>
      <c r="J44" s="51">
        <f>LN(Table1[[#This Row],[2025]]/Table1[[#This Row],[2024]])</f>
        <v>0.10384539218836213</v>
      </c>
      <c r="K44" s="42">
        <f>LN(Table1[[#This Row],[2025]]/Table1[[#This Row],[2023]])</f>
        <v>-3.8308381772803969E-2</v>
      </c>
      <c r="L44" s="43">
        <f>LN(Table1[[#This Row],[2025]]/Table1[[#This Row],[2019]])</f>
        <v>6.3168282180378454E-2</v>
      </c>
      <c r="N44" s="18" t="s">
        <v>56</v>
      </c>
      <c r="O44" s="2">
        <v>211.41300000000001</v>
      </c>
      <c r="P44" s="2">
        <v>180.71</v>
      </c>
      <c r="Q44" s="2">
        <v>180.428</v>
      </c>
      <c r="R44" s="2">
        <v>627.70000000000005</v>
      </c>
      <c r="S44" s="2">
        <v>683.71699999999998</v>
      </c>
      <c r="T44" s="2">
        <v>814.55100000000004</v>
      </c>
      <c r="U44" s="2">
        <v>929.81399999999996</v>
      </c>
      <c r="V44" s="53">
        <f>LN(Table2[[#This Row],[2025]]/Table2[[#This Row],[2024]])</f>
        <v>0.13234752496148922</v>
      </c>
      <c r="W44" s="42">
        <f>LN(Table2[[#This Row],[2025]]/Table2[[#This Row],[2023]])</f>
        <v>0.30744047682726527</v>
      </c>
      <c r="X44" s="43">
        <f>LN(Table2[[#This Row],[2025]]/Table2[[#This Row],[2019]])</f>
        <v>1.4811709998026306</v>
      </c>
    </row>
    <row r="45" spans="2:24" x14ac:dyDescent="0.2">
      <c r="B45" s="16" t="s">
        <v>89</v>
      </c>
      <c r="C45" s="36">
        <f>C12/C17</f>
        <v>0</v>
      </c>
      <c r="D45" s="36">
        <f t="shared" ref="D45:I45" si="16">D12/D17</f>
        <v>0</v>
      </c>
      <c r="E45" s="36">
        <f t="shared" si="16"/>
        <v>7.7731403218852371E-2</v>
      </c>
      <c r="F45" s="36">
        <f t="shared" si="16"/>
        <v>7.6179224384913022E-2</v>
      </c>
      <c r="G45" s="36">
        <f t="shared" si="16"/>
        <v>8.5197741819380779E-2</v>
      </c>
      <c r="H45" s="36">
        <f t="shared" si="16"/>
        <v>7.4100722199932093E-2</v>
      </c>
      <c r="I45" s="36">
        <f t="shared" si="16"/>
        <v>8.3986249760030718E-2</v>
      </c>
      <c r="J45" s="51">
        <f>LN(Table1[[#This Row],[2025]]/Table1[[#This Row],[2024]])</f>
        <v>0.12522781356870105</v>
      </c>
      <c r="K45" s="42">
        <f>LN(Table1[[#This Row],[2025]]/Table1[[#This Row],[2023]])</f>
        <v>-1.4321836905528639E-2</v>
      </c>
      <c r="L45" s="43" t="e">
        <f>LN(Table1[[#This Row],[2025]]/Table1[[#This Row],[2019]])</f>
        <v>#DIV/0!</v>
      </c>
      <c r="N45" s="18" t="s">
        <v>57</v>
      </c>
      <c r="O45" s="2">
        <v>258.90699999999998</v>
      </c>
      <c r="P45" s="2">
        <v>115.58799999999999</v>
      </c>
      <c r="Q45" s="2">
        <v>92.289000000000001</v>
      </c>
      <c r="R45" s="2">
        <v>78.44</v>
      </c>
      <c r="S45" s="2">
        <v>82.92</v>
      </c>
      <c r="T45" s="2">
        <v>81.665000000000006</v>
      </c>
      <c r="U45" s="2">
        <v>94.225999999999999</v>
      </c>
      <c r="V45" s="53">
        <f>LN(Table2[[#This Row],[2025]]/Table2[[#This Row],[2024]])</f>
        <v>0.14307063848644716</v>
      </c>
      <c r="W45" s="42">
        <f>LN(Table2[[#This Row],[2025]]/Table2[[#This Row],[2023]])</f>
        <v>0.12781986442397084</v>
      </c>
      <c r="X45" s="43">
        <f>LN(Table2[[#This Row],[2025]]/Table2[[#This Row],[2019]])</f>
        <v>-1.0107727718666397</v>
      </c>
    </row>
    <row r="46" spans="2:24" x14ac:dyDescent="0.2">
      <c r="B46" s="16" t="s">
        <v>90</v>
      </c>
      <c r="C46" s="36">
        <f>C13/C17</f>
        <v>4.4582805034720764E-2</v>
      </c>
      <c r="D46" s="36">
        <f t="shared" ref="D46:I46" si="17">D13/D17</f>
        <v>3.6620601354388167E-2</v>
      </c>
      <c r="E46" s="36">
        <f t="shared" si="17"/>
        <v>3.3593247212363585E-2</v>
      </c>
      <c r="F46" s="36">
        <f t="shared" si="17"/>
        <v>3.1452284608795816E-2</v>
      </c>
      <c r="G46" s="36">
        <f t="shared" si="17"/>
        <v>3.5306095225151074E-2</v>
      </c>
      <c r="H46" s="36">
        <f t="shared" si="17"/>
        <v>2.9320082713496492E-2</v>
      </c>
      <c r="I46" s="36">
        <f t="shared" si="17"/>
        <v>3.0958037371216485E-2</v>
      </c>
      <c r="J46" s="41">
        <f>LN(Table1[[#This Row],[2025]]/Table1[[#This Row],[2024]])</f>
        <v>5.4359956234513548E-2</v>
      </c>
      <c r="K46" s="42">
        <f>LN(Table1[[#This Row],[2025]]/Table1[[#This Row],[2023]])</f>
        <v>-0.13142296399178985</v>
      </c>
      <c r="L46" s="43">
        <f>LN(Table1[[#This Row],[2025]]/Table1[[#This Row],[2019]])</f>
        <v>-0.36471559303971707</v>
      </c>
      <c r="N46" s="18" t="s">
        <v>58</v>
      </c>
      <c r="O46" s="2">
        <v>191.06200000000001</v>
      </c>
      <c r="P46" s="2">
        <v>195.625</v>
      </c>
      <c r="Q46" s="2">
        <v>198.08600000000001</v>
      </c>
      <c r="R46" s="2">
        <v>199.83199999999999</v>
      </c>
      <c r="S46" s="2">
        <v>199.44800000000001</v>
      </c>
      <c r="T46" s="2">
        <v>202.614</v>
      </c>
      <c r="U46" s="2">
        <v>210.63800000000001</v>
      </c>
      <c r="V46" s="49">
        <f>LN(Table2[[#This Row],[2025]]/Table2[[#This Row],[2024]])</f>
        <v>3.8838329164853136E-2</v>
      </c>
      <c r="W46" s="42">
        <f>LN(Table2[[#This Row],[2025]]/Table2[[#This Row],[2023]])</f>
        <v>5.458746954490299E-2</v>
      </c>
      <c r="X46" s="43">
        <f>LN(Table2[[#This Row],[2025]]/Table2[[#This Row],[2019]])</f>
        <v>9.7543037567296542E-2</v>
      </c>
    </row>
    <row r="47" spans="2:24" x14ac:dyDescent="0.2">
      <c r="B47" s="16" t="s">
        <v>91</v>
      </c>
      <c r="C47" s="36">
        <f>C14/C17</f>
        <v>4.7388735414060162E-2</v>
      </c>
      <c r="D47" s="36">
        <f t="shared" ref="D47:I47" si="18">D14/D17</f>
        <v>4.5040519597586336E-2</v>
      </c>
      <c r="E47" s="36">
        <f t="shared" si="18"/>
        <v>5.1208555284276321E-2</v>
      </c>
      <c r="F47" s="36">
        <f t="shared" si="18"/>
        <v>4.8616238887083912E-2</v>
      </c>
      <c r="G47" s="36">
        <f t="shared" si="18"/>
        <v>5.1359010951118896E-2</v>
      </c>
      <c r="H47" s="36">
        <f t="shared" si="18"/>
        <v>4.7452239128421961E-2</v>
      </c>
      <c r="I47" s="36">
        <f t="shared" si="18"/>
        <v>5.4673001855762467E-2</v>
      </c>
      <c r="J47" s="51">
        <f>LN(Table1[[#This Row],[2025]]/Table1[[#This Row],[2024]])</f>
        <v>0.14164630688590199</v>
      </c>
      <c r="K47" s="42">
        <f>LN(Table1[[#This Row],[2025]]/Table1[[#This Row],[2023]])</f>
        <v>6.2529618033030504E-2</v>
      </c>
      <c r="L47" s="43">
        <f>LN(Table1[[#This Row],[2025]]/Table1[[#This Row],[2019]])</f>
        <v>0.142985469081536</v>
      </c>
      <c r="N47" s="18" t="s">
        <v>59</v>
      </c>
      <c r="O47" s="2">
        <v>241.53700000000001</v>
      </c>
      <c r="P47" s="2">
        <v>268.05</v>
      </c>
      <c r="Q47" s="2">
        <v>285.66000000000003</v>
      </c>
      <c r="R47" s="2">
        <v>285.40100000000001</v>
      </c>
      <c r="S47" s="2">
        <v>286.49099999999999</v>
      </c>
      <c r="T47" s="2">
        <v>294.97000000000003</v>
      </c>
      <c r="U47" s="2">
        <v>297</v>
      </c>
      <c r="V47" s="49">
        <f>LN(Table2[[#This Row],[2025]]/Table2[[#This Row],[2024]])</f>
        <v>6.8584825494123931E-3</v>
      </c>
      <c r="W47" s="42">
        <f>LN(Table2[[#This Row],[2025]]/Table2[[#This Row],[2023]])</f>
        <v>3.6025016753888806E-2</v>
      </c>
      <c r="X47" s="43">
        <f>LN(Table2[[#This Row],[2025]]/Table2[[#This Row],[2019]])</f>
        <v>0.20670946833565837</v>
      </c>
    </row>
    <row r="48" spans="2:24" x14ac:dyDescent="0.2">
      <c r="B48" s="16" t="s">
        <v>92</v>
      </c>
      <c r="C48" s="36">
        <f>C15/C17</f>
        <v>3.2317880423982377E-2</v>
      </c>
      <c r="D48" s="36">
        <f t="shared" ref="D48:I48" si="19">D15/D17</f>
        <v>2.6222858416204319E-2</v>
      </c>
      <c r="E48" s="36">
        <f t="shared" si="19"/>
        <v>3.1887601893026071E-2</v>
      </c>
      <c r="F48" s="36">
        <f t="shared" si="19"/>
        <v>3.3481997814336771E-2</v>
      </c>
      <c r="G48" s="36">
        <f t="shared" si="19"/>
        <v>3.9387280996498956E-2</v>
      </c>
      <c r="H48" s="36">
        <f t="shared" si="19"/>
        <v>2.9860189500324062E-2</v>
      </c>
      <c r="I48" s="36">
        <f t="shared" si="19"/>
        <v>3.4105634478786714E-2</v>
      </c>
      <c r="J48" s="51">
        <f>LN(Table1[[#This Row],[2025]]/Table1[[#This Row],[2024]])</f>
        <v>0.13293646623744348</v>
      </c>
      <c r="K48" s="42">
        <f>LN(Table1[[#This Row],[2025]]/Table1[[#This Row],[2023]])</f>
        <v>-0.14398034221755412</v>
      </c>
      <c r="L48" s="43">
        <f>LN(Table1[[#This Row],[2025]]/Table1[[#This Row],[2019]])</f>
        <v>5.3841954060623899E-2</v>
      </c>
      <c r="N48" s="18" t="s">
        <v>61</v>
      </c>
      <c r="O48" s="2">
        <v>786.75400000000002</v>
      </c>
      <c r="P48" s="2">
        <v>781.1</v>
      </c>
      <c r="Q48" s="2">
        <v>1055.7940000000001</v>
      </c>
      <c r="R48" s="2">
        <v>1052.4870000000001</v>
      </c>
      <c r="S48" s="2">
        <v>1052.768</v>
      </c>
      <c r="T48" s="2">
        <v>1104.5709999999999</v>
      </c>
      <c r="U48" s="2">
        <v>1471.9680000000001</v>
      </c>
      <c r="V48" s="53">
        <f>LN(Table2[[#This Row],[2025]]/Table2[[#This Row],[2024]])</f>
        <v>0.28714325664718637</v>
      </c>
      <c r="W48" s="51">
        <f>LN(Table2[[#This Row],[2025]]/Table2[[#This Row],[2023]])</f>
        <v>0.3351773949497554</v>
      </c>
      <c r="X48" s="51">
        <f>LN(Table2[[#This Row],[2025]]/Table2[[#This Row],[2019]])</f>
        <v>0.62643993978331536</v>
      </c>
    </row>
    <row r="49" spans="2:24" x14ac:dyDescent="0.2">
      <c r="J49" s="26"/>
      <c r="K49" s="11"/>
      <c r="L49" s="12"/>
      <c r="N49" s="18" t="s">
        <v>9</v>
      </c>
      <c r="O49" s="2">
        <v>58.843000000000004</v>
      </c>
      <c r="P49" s="2">
        <v>67.091999999999999</v>
      </c>
      <c r="Q49" s="2">
        <v>72.510000000000005</v>
      </c>
      <c r="R49" s="2">
        <v>73.614999999999995</v>
      </c>
      <c r="S49" s="2">
        <v>76.775999999999996</v>
      </c>
      <c r="T49" s="2">
        <v>94.179000000000002</v>
      </c>
      <c r="U49" s="2">
        <v>106.4</v>
      </c>
      <c r="V49" s="49">
        <f>LN(Table2[[#This Row],[2025]]/Table2[[#This Row],[2024]])</f>
        <v>0.12200835011410424</v>
      </c>
      <c r="W49" s="42">
        <f>LN(Table2[[#This Row],[2025]]/Table2[[#This Row],[2023]])</f>
        <v>0.32631348559221762</v>
      </c>
      <c r="X49" s="43">
        <f>LN(Table2[[#This Row],[2025]]/Table2[[#This Row],[2019]])</f>
        <v>0.59233269675003786</v>
      </c>
    </row>
    <row r="50" spans="2:24" ht="13.5" thickBot="1" x14ac:dyDescent="0.25">
      <c r="J50" s="26"/>
      <c r="K50" s="11"/>
      <c r="L50" s="12"/>
      <c r="N50" s="23" t="s">
        <v>60</v>
      </c>
      <c r="O50" s="5">
        <f t="shared" ref="O50:R50" si="20">SUM(O42:O49)</f>
        <v>2329.8240000000001</v>
      </c>
      <c r="P50" s="5">
        <f t="shared" si="20"/>
        <v>2472.9025999999999</v>
      </c>
      <c r="Q50" s="5">
        <f t="shared" si="20"/>
        <v>2440.2870000000003</v>
      </c>
      <c r="R50" s="5">
        <f t="shared" si="20"/>
        <v>2942.3609999999999</v>
      </c>
      <c r="S50" s="5">
        <f>SUM(S42:S49)</f>
        <v>3165.2129999999997</v>
      </c>
      <c r="T50" s="5">
        <f t="shared" ref="T50:U50" si="21">SUM(T42:T49)</f>
        <v>3541.9970000000003</v>
      </c>
      <c r="U50" s="5">
        <f t="shared" si="21"/>
        <v>3979.1659999999997</v>
      </c>
      <c r="V50" s="54">
        <f>LN(Table2[[#This Row],[2025]]/Table2[[#This Row],[2024]])</f>
        <v>0.11638155721828254</v>
      </c>
      <c r="W50" s="47">
        <f>LN(Table2[[#This Row],[2025]]/Table2[[#This Row],[2023]])</f>
        <v>0.22885189768956701</v>
      </c>
      <c r="X50" s="48">
        <f>LN(Table2[[#This Row],[2025]]/Table2[[#This Row],[2019]])</f>
        <v>0.5352795213555589</v>
      </c>
    </row>
    <row r="51" spans="2:24" x14ac:dyDescent="0.2">
      <c r="I51" s="38"/>
      <c r="J51" s="26"/>
      <c r="K51" s="11"/>
      <c r="L51" s="12"/>
      <c r="V51" s="10"/>
      <c r="W51" s="11"/>
      <c r="X51" s="12"/>
    </row>
    <row r="52" spans="2:24" x14ac:dyDescent="0.2">
      <c r="B52"/>
      <c r="C52" s="38"/>
      <c r="D52" s="38"/>
      <c r="E52" s="38"/>
      <c r="I52" s="38"/>
      <c r="J52" s="26"/>
      <c r="K52" s="11"/>
      <c r="L52" s="12"/>
      <c r="N52" s="15" t="s">
        <v>62</v>
      </c>
      <c r="O52" s="4">
        <f t="shared" ref="O52:T52" si="22">O31-O50</f>
        <v>781.48900000000003</v>
      </c>
      <c r="P52" s="4">
        <f t="shared" si="22"/>
        <v>921.34400000000051</v>
      </c>
      <c r="Q52" s="4">
        <f t="shared" si="22"/>
        <v>1182.9949999999999</v>
      </c>
      <c r="R52" s="4">
        <f t="shared" si="22"/>
        <v>1322.4330999999993</v>
      </c>
      <c r="S52" s="4">
        <f t="shared" si="22"/>
        <v>1430.3220000000001</v>
      </c>
      <c r="T52" s="4">
        <f t="shared" si="22"/>
        <v>1638.2430000000004</v>
      </c>
      <c r="U52" s="4">
        <f>U31-U50</f>
        <v>1691.9820000000004</v>
      </c>
      <c r="V52" s="50">
        <f>LN(Table2[[#This Row],[2025]]/Table2[[#This Row],[2024]])</f>
        <v>3.2276296753360308E-2</v>
      </c>
      <c r="W52" s="44">
        <f>LN(Table2[[#This Row],[2025]]/Table2[[#This Row],[2023]])</f>
        <v>0.16800102908062739</v>
      </c>
      <c r="X52" s="51">
        <f>LN(Table2[[#This Row],[2025]]/Table2[[#This Row],[2019]])</f>
        <v>0.77245482754507999</v>
      </c>
    </row>
    <row r="53" spans="2:24" x14ac:dyDescent="0.2">
      <c r="B53"/>
      <c r="C53" s="38"/>
      <c r="D53" s="38"/>
      <c r="E53" s="38"/>
      <c r="I53" s="38"/>
      <c r="J53" s="26"/>
      <c r="K53" s="11"/>
      <c r="L53" s="12"/>
      <c r="N53" s="16" t="s">
        <v>30</v>
      </c>
      <c r="O53" s="2">
        <f>O11+O12</f>
        <v>42.652999999999999</v>
      </c>
      <c r="P53" s="2">
        <f t="shared" ref="P53:U53" si="23">P11+P12</f>
        <v>44.555</v>
      </c>
      <c r="Q53" s="2">
        <f t="shared" si="23"/>
        <v>78.38</v>
      </c>
      <c r="R53" s="2">
        <f t="shared" si="23"/>
        <v>85.025000000000006</v>
      </c>
      <c r="S53" s="2">
        <f t="shared" si="23"/>
        <v>84.966000000000008</v>
      </c>
      <c r="T53" s="2">
        <f t="shared" si="23"/>
        <v>95.687000000000012</v>
      </c>
      <c r="U53" s="2">
        <f t="shared" si="23"/>
        <v>97.37</v>
      </c>
      <c r="V53" s="49">
        <f>LN(Table2[[#This Row],[2025]]/Table2[[#This Row],[2024]])</f>
        <v>1.7435706929327468E-2</v>
      </c>
      <c r="W53" s="42">
        <f>LN(Table2[[#This Row],[2025]]/Table2[[#This Row],[2023]])</f>
        <v>0.13626697852168798</v>
      </c>
      <c r="X53" s="43">
        <f>LN(Table2[[#This Row],[2025]]/Table2[[#This Row],[2019]])</f>
        <v>0.82542054355016359</v>
      </c>
    </row>
    <row r="54" spans="2:24" x14ac:dyDescent="0.2">
      <c r="B54"/>
      <c r="C54" s="38"/>
      <c r="D54" s="38"/>
      <c r="E54" s="38"/>
      <c r="I54" s="38"/>
      <c r="J54" s="26"/>
      <c r="K54" s="11"/>
      <c r="L54" s="12"/>
      <c r="N54" s="16" t="s">
        <v>94</v>
      </c>
      <c r="O54" s="2">
        <f>O36+O35+O48</f>
        <v>983.72199999999998</v>
      </c>
      <c r="P54" s="2">
        <f t="shared" ref="P54:U54" si="24">P36+P35+P48</f>
        <v>1156.2270000000001</v>
      </c>
      <c r="Q54" s="2">
        <f t="shared" si="24"/>
        <v>1095.9860000000001</v>
      </c>
      <c r="R54" s="2">
        <f t="shared" si="24"/>
        <v>1125.797</v>
      </c>
      <c r="S54" s="2">
        <f t="shared" si="24"/>
        <v>1233.4380000000001</v>
      </c>
      <c r="T54" s="2">
        <f t="shared" si="24"/>
        <v>1381.9929999999999</v>
      </c>
      <c r="U54" s="2">
        <f t="shared" si="24"/>
        <v>1604.2380000000001</v>
      </c>
      <c r="V54" s="53">
        <f>LN(Table2[[#This Row],[2025]]/Table2[[#This Row],[2024]])</f>
        <v>0.14912221727996891</v>
      </c>
      <c r="W54" s="42">
        <f>LN(Table2[[#This Row],[2025]]/Table2[[#This Row],[2023]])</f>
        <v>0.26284348524349394</v>
      </c>
      <c r="X54" s="43">
        <f>LN(Table2[[#This Row],[2025]]/Table2[[#This Row],[2019]])</f>
        <v>0.48906081966108139</v>
      </c>
    </row>
    <row r="55" spans="2:24" x14ac:dyDescent="0.2">
      <c r="B55"/>
      <c r="C55"/>
      <c r="D55"/>
      <c r="E55"/>
      <c r="F55"/>
      <c r="G55"/>
      <c r="H55" s="27"/>
      <c r="I55"/>
      <c r="J55" s="26"/>
      <c r="K55" s="11"/>
      <c r="L55" s="12"/>
      <c r="N55" s="16" t="s">
        <v>95</v>
      </c>
      <c r="O55" s="2">
        <f>C39-O53+O54</f>
        <v>2847.5584399999998</v>
      </c>
      <c r="P55" s="2">
        <f t="shared" ref="P55:U55" si="25">D39-P53+P54</f>
        <v>3542.3584200000005</v>
      </c>
      <c r="Q55" s="2">
        <f t="shared" si="25"/>
        <v>3687.5484299999998</v>
      </c>
      <c r="R55" s="2">
        <f t="shared" si="25"/>
        <v>6738.0054000000018</v>
      </c>
      <c r="S55" s="2">
        <f t="shared" si="25"/>
        <v>3998.3859000000002</v>
      </c>
      <c r="T55" s="2">
        <f t="shared" si="25"/>
        <v>4258.5359600000002</v>
      </c>
      <c r="U55" s="2">
        <f t="shared" si="25"/>
        <v>4131.9126600000009</v>
      </c>
      <c r="V55" s="49">
        <f>LN(Table2[[#This Row],[2025]]/Table2[[#This Row],[2024]])</f>
        <v>-3.0185016280945488E-2</v>
      </c>
      <c r="W55" s="42">
        <f>LN(Table2[[#This Row],[2025]]/Table2[[#This Row],[2023]])</f>
        <v>3.2849658888526111E-2</v>
      </c>
      <c r="X55" s="43">
        <f>LN(Table2[[#This Row],[2025]]/Table2[[#This Row],[2019]])</f>
        <v>0.37227847417567145</v>
      </c>
    </row>
    <row r="56" spans="2:24" x14ac:dyDescent="0.2">
      <c r="B56"/>
      <c r="C56" s="38"/>
      <c r="D56" s="38"/>
      <c r="E56" s="38"/>
      <c r="I56" s="38"/>
      <c r="N56" s="16" t="s">
        <v>96</v>
      </c>
      <c r="O56" s="39">
        <f>O50/O52</f>
        <v>2.9812626921172276</v>
      </c>
      <c r="P56" s="39">
        <f t="shared" ref="P56:U56" si="26">P50/P52</f>
        <v>2.6840166105168088</v>
      </c>
      <c r="Q56" s="39">
        <f t="shared" si="26"/>
        <v>2.0628041538637105</v>
      </c>
      <c r="R56" s="39">
        <f t="shared" si="26"/>
        <v>2.2249601889123931</v>
      </c>
      <c r="S56" s="39">
        <f t="shared" si="26"/>
        <v>2.2129373665510279</v>
      </c>
      <c r="T56" s="39">
        <f t="shared" si="26"/>
        <v>2.1620705841563184</v>
      </c>
      <c r="U56" s="39">
        <f t="shared" si="26"/>
        <v>2.3517779739973586</v>
      </c>
      <c r="V56" s="49">
        <f>LN(Table2[[#This Row],[2025]]/Table2[[#This Row],[2024]])</f>
        <v>8.4105260464922102E-2</v>
      </c>
      <c r="W56" s="42">
        <f>LN(Table2[[#This Row],[2025]]/Table2[[#This Row],[2023]])</f>
        <v>6.0850868608939623E-2</v>
      </c>
      <c r="X56" s="43">
        <f>LN(Table2[[#This Row],[2025]]/Table2[[#This Row],[2019]])</f>
        <v>-0.23717530618952126</v>
      </c>
    </row>
    <row r="57" spans="2:24" x14ac:dyDescent="0.2">
      <c r="B57"/>
      <c r="C57" s="38"/>
      <c r="D57" s="38"/>
      <c r="E57" s="38"/>
      <c r="I57" s="38"/>
      <c r="N57" s="16" t="s">
        <v>97</v>
      </c>
      <c r="O57" s="40">
        <f>O20/O42</f>
        <v>0.51493652395475009</v>
      </c>
      <c r="P57" s="40">
        <f t="shared" ref="P57:U57" si="27">P20/P42</f>
        <v>0.45186438904474818</v>
      </c>
      <c r="Q57" s="40">
        <f t="shared" si="27"/>
        <v>1.1710455032641529</v>
      </c>
      <c r="R57" s="40">
        <f t="shared" si="27"/>
        <v>1.003034252433511</v>
      </c>
      <c r="S57" s="40">
        <f t="shared" si="27"/>
        <v>0.68850257127652903</v>
      </c>
      <c r="T57" s="40">
        <f t="shared" si="27"/>
        <v>0.60201090711860383</v>
      </c>
      <c r="U57" s="40">
        <f t="shared" si="27"/>
        <v>0.84752519286230144</v>
      </c>
      <c r="V57" s="53">
        <f>LN(Table2[[#This Row],[2025]]/Table2[[#This Row],[2024]])</f>
        <v>0.34204500162209978</v>
      </c>
      <c r="W57" s="42">
        <f>LN(Table2[[#This Row],[2025]]/Table2[[#This Row],[2023]])</f>
        <v>0.20780151213583617</v>
      </c>
      <c r="X57" s="43">
        <f>LN(Table2[[#This Row],[2025]]/Table2[[#This Row],[2019]])</f>
        <v>0.49827692629351955</v>
      </c>
    </row>
    <row r="58" spans="2:24" x14ac:dyDescent="0.2">
      <c r="B58"/>
      <c r="C58" s="38"/>
      <c r="D58" s="38"/>
      <c r="E58" s="38"/>
      <c r="I58" s="38"/>
      <c r="N58" s="16" t="s">
        <v>98</v>
      </c>
      <c r="O58" s="38">
        <f>O55/C42</f>
        <v>12.184048914903812</v>
      </c>
      <c r="P58" s="38">
        <f t="shared" ref="P58:U58" si="28">P55/D42</f>
        <v>12.806004041689413</v>
      </c>
      <c r="Q58" s="38">
        <f t="shared" si="28"/>
        <v>13.619301408263436</v>
      </c>
      <c r="R58" s="38">
        <f t="shared" si="28"/>
        <v>24.014646142441183</v>
      </c>
      <c r="S58" s="38">
        <f t="shared" si="28"/>
        <v>18.222522559474974</v>
      </c>
      <c r="T58" s="38">
        <f t="shared" si="28"/>
        <v>9.8256522922867457</v>
      </c>
      <c r="U58" s="38">
        <f t="shared" si="28"/>
        <v>11.160363826908073</v>
      </c>
      <c r="V58" s="53">
        <f>LN(Table2[[#This Row],[2025]]/Table2[[#This Row],[2024]])</f>
        <v>0.12737201077521298</v>
      </c>
      <c r="W58" s="51">
        <f>LN(Table2[[#This Row],[2025]]/Table2[[#This Row],[2023]])</f>
        <v>-0.49028977487537034</v>
      </c>
      <c r="X58" s="43">
        <f>LN(Table2[[#This Row],[2025]]/Table2[[#This Row],[2019]])</f>
        <v>-8.7759072869115301E-2</v>
      </c>
    </row>
    <row r="59" spans="2:24" x14ac:dyDescent="0.2">
      <c r="B59"/>
      <c r="C59" s="38"/>
      <c r="D59" s="38"/>
      <c r="E59" s="38"/>
      <c r="N59" s="16" t="s">
        <v>99</v>
      </c>
      <c r="O59" s="38">
        <f>O20-O42+O27+O29</f>
        <v>2234.9839999999999</v>
      </c>
      <c r="P59" s="38">
        <f t="shared" ref="P59:U59" si="29">P20-P42+P27+P29</f>
        <v>2359.7064000000005</v>
      </c>
      <c r="Q59" s="38">
        <f t="shared" si="29"/>
        <v>2927.5619999999999</v>
      </c>
      <c r="R59" s="38">
        <f t="shared" si="29"/>
        <v>3510.6248999999989</v>
      </c>
      <c r="S59" s="38">
        <f t="shared" si="29"/>
        <v>3676.2529999999997</v>
      </c>
      <c r="T59" s="38">
        <f t="shared" si="29"/>
        <v>3981.496000000001</v>
      </c>
      <c r="U59" s="38">
        <f t="shared" si="29"/>
        <v>4552.8899999999994</v>
      </c>
      <c r="V59" s="53">
        <f>LN(Table2[[#This Row],[2025]]/Table2[[#This Row],[2024]])</f>
        <v>0.13410456809784688</v>
      </c>
      <c r="W59" s="51">
        <f>LN(Table2[[#This Row],[2025]]/Table2[[#This Row],[2023]])</f>
        <v>0.21386816923151736</v>
      </c>
      <c r="X59" s="51">
        <f>LN(Table2[[#This Row],[2025]]/Table2[[#This Row],[2019]])</f>
        <v>0.71152812696299639</v>
      </c>
    </row>
    <row r="60" spans="2:24" x14ac:dyDescent="0.2">
      <c r="B60"/>
      <c r="C60" s="38"/>
      <c r="D60" s="38"/>
      <c r="E60" s="38"/>
      <c r="N60"/>
      <c r="O60" s="38"/>
      <c r="P60" s="38"/>
      <c r="Q60" s="38"/>
      <c r="R60" s="38"/>
      <c r="S60" s="38"/>
      <c r="T60" s="38"/>
      <c r="U60" s="38"/>
    </row>
    <row r="61" spans="2:24" x14ac:dyDescent="0.2">
      <c r="B61"/>
      <c r="C61" s="38"/>
      <c r="D61" s="38"/>
      <c r="E61" s="38"/>
      <c r="N61"/>
      <c r="O61" s="38"/>
      <c r="P61" s="38"/>
      <c r="Q61" s="38"/>
      <c r="R61" s="38"/>
      <c r="S61" s="38"/>
      <c r="T61" s="38"/>
      <c r="U61" s="38"/>
    </row>
    <row r="62" spans="2:24" x14ac:dyDescent="0.2">
      <c r="B62"/>
      <c r="C62" s="38"/>
      <c r="D62" s="38"/>
      <c r="E62" s="38"/>
      <c r="N62"/>
      <c r="O62" s="38"/>
      <c r="P62" s="38"/>
      <c r="Q62" s="38"/>
      <c r="R62" s="38"/>
    </row>
    <row r="63" spans="2:24" x14ac:dyDescent="0.2">
      <c r="B63"/>
      <c r="C63" s="38"/>
      <c r="D63" s="38"/>
      <c r="E63" s="38"/>
      <c r="N63"/>
      <c r="O63" s="38"/>
      <c r="P63" s="38"/>
      <c r="Q63" s="38"/>
      <c r="R63" s="38"/>
    </row>
    <row r="64" spans="2:24" x14ac:dyDescent="0.2">
      <c r="B64"/>
      <c r="C64" s="38"/>
      <c r="D64" s="38"/>
      <c r="E64" s="38"/>
      <c r="N64"/>
      <c r="O64" s="38"/>
      <c r="P64" s="38"/>
      <c r="Q64" s="38"/>
      <c r="R64" s="38"/>
    </row>
    <row r="65" spans="2:18" x14ac:dyDescent="0.2">
      <c r="B65"/>
      <c r="C65" s="38"/>
      <c r="D65" s="38"/>
      <c r="E65" s="38"/>
      <c r="N65"/>
      <c r="O65" s="38"/>
      <c r="P65" s="38"/>
      <c r="Q65" s="38"/>
      <c r="R65" s="38"/>
    </row>
    <row r="66" spans="2:18" x14ac:dyDescent="0.2">
      <c r="B66"/>
      <c r="C66" s="38"/>
      <c r="D66" s="38"/>
      <c r="E66" s="38"/>
      <c r="N66"/>
      <c r="O66" s="38"/>
      <c r="P66" s="38"/>
      <c r="Q66" s="38"/>
      <c r="R66" s="38"/>
    </row>
    <row r="67" spans="2:18" x14ac:dyDescent="0.2">
      <c r="B67"/>
      <c r="C67" s="38"/>
      <c r="D67" s="38"/>
      <c r="E67" s="38"/>
      <c r="N67"/>
      <c r="O67" s="38"/>
      <c r="P67" s="38"/>
      <c r="Q67" s="38"/>
      <c r="R67" s="38"/>
    </row>
    <row r="68" spans="2:18" x14ac:dyDescent="0.2">
      <c r="B68"/>
      <c r="C68" s="38"/>
      <c r="D68" s="38"/>
      <c r="E68" s="38"/>
      <c r="N68"/>
      <c r="O68" s="38"/>
      <c r="P68" s="38"/>
      <c r="Q68" s="38"/>
      <c r="R68" s="38"/>
    </row>
    <row r="69" spans="2:18" x14ac:dyDescent="0.2">
      <c r="B69"/>
      <c r="C69" s="38"/>
      <c r="D69" s="38"/>
      <c r="E69" s="38"/>
      <c r="N69"/>
      <c r="O69" s="38"/>
      <c r="P69" s="38"/>
      <c r="Q69" s="38"/>
      <c r="R69" s="38"/>
    </row>
    <row r="70" spans="2:18" x14ac:dyDescent="0.2">
      <c r="B70"/>
      <c r="C70" s="38"/>
      <c r="D70" s="38"/>
      <c r="E70" s="38"/>
      <c r="N70"/>
      <c r="O70" s="38"/>
      <c r="P70" s="38"/>
      <c r="Q70" s="38"/>
      <c r="R70" s="38"/>
    </row>
    <row r="71" spans="2:18" x14ac:dyDescent="0.2">
      <c r="B71"/>
      <c r="C71" s="38"/>
      <c r="D71" s="38"/>
      <c r="E71" s="38"/>
      <c r="N71"/>
      <c r="O71" s="38"/>
      <c r="P71" s="38"/>
      <c r="Q71" s="38"/>
      <c r="R71" s="38"/>
    </row>
    <row r="72" spans="2:18" x14ac:dyDescent="0.2">
      <c r="B72"/>
      <c r="C72" s="38"/>
      <c r="D72" s="38"/>
      <c r="E72" s="38"/>
      <c r="N72"/>
      <c r="O72" s="38"/>
      <c r="P72" s="38"/>
      <c r="Q72" s="38"/>
      <c r="R72" s="38"/>
    </row>
    <row r="73" spans="2:18" x14ac:dyDescent="0.2">
      <c r="B73"/>
      <c r="C73" s="38"/>
      <c r="D73" s="38"/>
      <c r="E73" s="38"/>
      <c r="N73"/>
      <c r="O73" s="38"/>
      <c r="P73" s="38"/>
      <c r="Q73" s="38"/>
      <c r="R73" s="38"/>
    </row>
    <row r="74" spans="2:18" x14ac:dyDescent="0.2">
      <c r="B74"/>
      <c r="C74" s="38"/>
      <c r="D74" s="38"/>
      <c r="E74" s="38"/>
      <c r="N74"/>
      <c r="O74" s="38"/>
      <c r="P74" s="38"/>
      <c r="Q74" s="38"/>
      <c r="R74" s="38"/>
    </row>
    <row r="75" spans="2:18" x14ac:dyDescent="0.2">
      <c r="B75"/>
      <c r="C75" s="38"/>
      <c r="D75" s="38"/>
      <c r="E75" s="38"/>
      <c r="N75"/>
      <c r="O75" s="38"/>
      <c r="P75" s="38"/>
      <c r="Q75" s="38"/>
      <c r="R75" s="38"/>
    </row>
    <row r="76" spans="2:18" x14ac:dyDescent="0.2">
      <c r="B76"/>
      <c r="C76" s="38"/>
      <c r="D76" s="38"/>
      <c r="E76" s="38"/>
      <c r="N76"/>
      <c r="O76" s="38"/>
      <c r="P76" s="38"/>
      <c r="Q76" s="38"/>
      <c r="R76" s="38"/>
    </row>
    <row r="77" spans="2:18" x14ac:dyDescent="0.2">
      <c r="B77"/>
      <c r="C77" s="38"/>
      <c r="D77" s="38"/>
      <c r="E77" s="38"/>
      <c r="N77"/>
      <c r="O77" s="38"/>
      <c r="P77" s="38"/>
      <c r="Q77" s="38"/>
      <c r="R77" s="38"/>
    </row>
    <row r="78" spans="2:18" x14ac:dyDescent="0.2">
      <c r="B78"/>
      <c r="C78" s="38"/>
      <c r="D78" s="38"/>
      <c r="E78" s="38"/>
      <c r="N78"/>
      <c r="O78" s="38"/>
      <c r="P78" s="38"/>
      <c r="Q78" s="38"/>
      <c r="R78" s="38"/>
    </row>
    <row r="79" spans="2:18" x14ac:dyDescent="0.2">
      <c r="B79"/>
      <c r="C79" s="38"/>
      <c r="D79" s="38"/>
      <c r="E79" s="38"/>
      <c r="N79"/>
      <c r="O79" s="38"/>
      <c r="P79" s="38"/>
      <c r="Q79" s="38"/>
      <c r="R79" s="38"/>
    </row>
    <row r="80" spans="2:18" x14ac:dyDescent="0.2">
      <c r="B80"/>
      <c r="C80" s="38"/>
      <c r="D80" s="38"/>
      <c r="E80" s="38"/>
      <c r="N80"/>
      <c r="O80" s="38"/>
      <c r="P80" s="38"/>
      <c r="Q80" s="38"/>
      <c r="R80" s="38"/>
    </row>
    <row r="81" spans="2:18" x14ac:dyDescent="0.2">
      <c r="B81"/>
      <c r="C81" s="38"/>
      <c r="D81" s="38"/>
      <c r="E81" s="38"/>
      <c r="N81"/>
      <c r="O81" s="38"/>
      <c r="P81" s="38"/>
      <c r="Q81" s="38"/>
      <c r="R81" s="38"/>
    </row>
    <row r="82" spans="2:18" x14ac:dyDescent="0.2">
      <c r="B82"/>
      <c r="C82" s="38"/>
      <c r="D82" s="38"/>
      <c r="E82" s="38"/>
      <c r="N82"/>
      <c r="O82" s="38"/>
      <c r="P82" s="38"/>
      <c r="Q82" s="38"/>
      <c r="R82" s="38"/>
    </row>
    <row r="83" spans="2:18" x14ac:dyDescent="0.2">
      <c r="B83"/>
      <c r="C83" s="38"/>
      <c r="D83" s="38"/>
      <c r="E83" s="38"/>
      <c r="N83"/>
      <c r="O83" s="38"/>
      <c r="P83" s="38"/>
      <c r="Q83" s="38"/>
      <c r="R83" s="38"/>
    </row>
    <row r="84" spans="2:18" x14ac:dyDescent="0.2">
      <c r="B84"/>
      <c r="C84" s="38"/>
      <c r="D84" s="38"/>
      <c r="E84" s="38"/>
      <c r="N84"/>
      <c r="O84" s="38"/>
      <c r="P84" s="38"/>
      <c r="Q84" s="38"/>
      <c r="R84" s="38"/>
    </row>
    <row r="85" spans="2:18" x14ac:dyDescent="0.2">
      <c r="B85"/>
      <c r="C85" s="38"/>
      <c r="D85" s="38"/>
      <c r="E85" s="38"/>
      <c r="N85"/>
      <c r="O85" s="38"/>
      <c r="P85" s="38"/>
      <c r="Q85" s="38"/>
      <c r="R85" s="38"/>
    </row>
    <row r="86" spans="2:18" x14ac:dyDescent="0.2">
      <c r="B86"/>
      <c r="C86" s="38"/>
      <c r="D86" s="38"/>
      <c r="E86" s="38"/>
      <c r="N86"/>
      <c r="O86" s="38"/>
      <c r="P86" s="38"/>
      <c r="Q86" s="38"/>
      <c r="R86" s="38"/>
    </row>
    <row r="87" spans="2:18" x14ac:dyDescent="0.2">
      <c r="B87"/>
      <c r="C87" s="38"/>
      <c r="D87" s="38"/>
      <c r="E87" s="38"/>
      <c r="N87"/>
      <c r="O87" s="38"/>
      <c r="P87" s="38"/>
      <c r="Q87" s="38"/>
      <c r="R87" s="38"/>
    </row>
    <row r="88" spans="2:18" x14ac:dyDescent="0.2">
      <c r="B88"/>
      <c r="C88" s="38"/>
      <c r="D88" s="38"/>
      <c r="E88" s="38"/>
      <c r="N88"/>
      <c r="O88" s="38"/>
      <c r="P88" s="38"/>
      <c r="Q88" s="38"/>
      <c r="R88" s="38"/>
    </row>
    <row r="89" spans="2:18" x14ac:dyDescent="0.2">
      <c r="B89"/>
      <c r="C89" s="38"/>
      <c r="D89" s="38"/>
      <c r="E89" s="38"/>
      <c r="N89"/>
      <c r="O89" s="38"/>
      <c r="P89" s="38"/>
      <c r="Q89" s="38"/>
      <c r="R89" s="38"/>
    </row>
    <row r="90" spans="2:18" x14ac:dyDescent="0.2">
      <c r="B90"/>
      <c r="C90" s="38"/>
      <c r="D90" s="38"/>
      <c r="E90" s="38"/>
      <c r="N90"/>
      <c r="O90" s="38"/>
      <c r="P90" s="38"/>
      <c r="Q90" s="38"/>
      <c r="R90" s="38"/>
    </row>
    <row r="91" spans="2:18" x14ac:dyDescent="0.2">
      <c r="B91"/>
      <c r="C91" s="38"/>
      <c r="D91" s="38"/>
      <c r="E91" s="38"/>
      <c r="N91"/>
      <c r="O91" s="38"/>
      <c r="P91" s="38"/>
      <c r="Q91" s="38"/>
      <c r="R91" s="38"/>
    </row>
    <row r="92" spans="2:18" x14ac:dyDescent="0.2">
      <c r="B92"/>
      <c r="C92" s="38"/>
      <c r="D92" s="38"/>
      <c r="E92" s="38"/>
      <c r="N92"/>
      <c r="O92" s="38"/>
      <c r="P92" s="38"/>
      <c r="Q92" s="38"/>
      <c r="R92" s="38"/>
    </row>
    <row r="93" spans="2:18" x14ac:dyDescent="0.2">
      <c r="B93"/>
      <c r="C93" s="38"/>
      <c r="D93" s="38"/>
      <c r="E93" s="38"/>
      <c r="N93"/>
      <c r="O93" s="38"/>
      <c r="P93" s="38"/>
      <c r="Q93" s="38"/>
      <c r="R93" s="38"/>
    </row>
    <row r="94" spans="2:18" x14ac:dyDescent="0.2">
      <c r="B94"/>
      <c r="C94" s="38"/>
      <c r="D94" s="38"/>
      <c r="E94" s="38"/>
      <c r="N94"/>
      <c r="O94" s="38"/>
      <c r="P94" s="38"/>
      <c r="Q94" s="38"/>
      <c r="R94" s="38"/>
    </row>
    <row r="95" spans="2:18" x14ac:dyDescent="0.2">
      <c r="B95"/>
      <c r="C95" s="38"/>
      <c r="D95" s="38"/>
      <c r="E95" s="38"/>
      <c r="N95"/>
      <c r="O95" s="38"/>
      <c r="P95" s="38"/>
      <c r="Q95" s="38"/>
      <c r="R95" s="38"/>
    </row>
    <row r="96" spans="2:18" x14ac:dyDescent="0.2">
      <c r="B96"/>
      <c r="C96" s="38"/>
      <c r="D96" s="38"/>
      <c r="E96" s="38"/>
      <c r="N96"/>
      <c r="O96" s="38"/>
      <c r="P96" s="38"/>
      <c r="Q96" s="38"/>
      <c r="R96" s="38"/>
    </row>
    <row r="97" spans="2:18" x14ac:dyDescent="0.2">
      <c r="B97"/>
      <c r="C97" s="38"/>
      <c r="D97" s="38"/>
      <c r="E97" s="38"/>
      <c r="N97"/>
      <c r="O97" s="38"/>
      <c r="P97" s="38"/>
      <c r="Q97" s="38"/>
      <c r="R97" s="38"/>
    </row>
    <row r="98" spans="2:18" x14ac:dyDescent="0.2">
      <c r="B98"/>
      <c r="C98" s="38"/>
      <c r="D98" s="38"/>
      <c r="E98" s="38"/>
      <c r="N98"/>
      <c r="O98" s="38"/>
      <c r="P98" s="38"/>
      <c r="Q98" s="38"/>
      <c r="R98" s="38"/>
    </row>
    <row r="99" spans="2:18" x14ac:dyDescent="0.2">
      <c r="B99"/>
      <c r="C99" s="38"/>
      <c r="D99" s="38"/>
      <c r="E99" s="38"/>
      <c r="N99"/>
      <c r="O99" s="38"/>
      <c r="P99" s="38"/>
      <c r="Q99" s="38"/>
      <c r="R99" s="38"/>
    </row>
    <row r="100" spans="2:18" x14ac:dyDescent="0.2">
      <c r="B100"/>
      <c r="C100" s="38"/>
      <c r="D100" s="38"/>
      <c r="E100" s="38"/>
      <c r="N100"/>
      <c r="O100" s="38"/>
      <c r="P100" s="38"/>
      <c r="Q100" s="38"/>
      <c r="R100" s="38"/>
    </row>
    <row r="101" spans="2:18" x14ac:dyDescent="0.2">
      <c r="B101"/>
      <c r="C101" s="38"/>
      <c r="D101" s="38"/>
      <c r="E101" s="38"/>
      <c r="N101"/>
      <c r="O101" s="38"/>
      <c r="P101" s="38"/>
      <c r="Q101" s="38"/>
      <c r="R101" s="38"/>
    </row>
    <row r="102" spans="2:18" x14ac:dyDescent="0.2">
      <c r="B102"/>
      <c r="C102" s="38"/>
      <c r="D102" s="38"/>
      <c r="E102" s="38"/>
      <c r="N102"/>
      <c r="O102" s="38"/>
      <c r="P102" s="38"/>
      <c r="Q102" s="38"/>
      <c r="R102" s="38"/>
    </row>
    <row r="103" spans="2:18" x14ac:dyDescent="0.2">
      <c r="B103"/>
      <c r="C103" s="38"/>
      <c r="D103" s="38"/>
      <c r="E103" s="38"/>
      <c r="N103"/>
      <c r="O103" s="38"/>
      <c r="P103" s="38"/>
      <c r="Q103" s="38"/>
      <c r="R103" s="38"/>
    </row>
    <row r="104" spans="2:18" x14ac:dyDescent="0.2">
      <c r="B104"/>
      <c r="C104" s="38"/>
      <c r="D104" s="38"/>
      <c r="E104" s="38"/>
      <c r="N104"/>
      <c r="O104" s="38"/>
      <c r="P104" s="38"/>
      <c r="Q104" s="38"/>
      <c r="R104" s="38"/>
    </row>
    <row r="105" spans="2:18" x14ac:dyDescent="0.2">
      <c r="B105"/>
      <c r="C105" s="38"/>
      <c r="D105" s="38"/>
      <c r="E105" s="38"/>
      <c r="N105"/>
      <c r="O105" s="38"/>
      <c r="P105" s="38"/>
      <c r="Q105" s="38"/>
      <c r="R105" s="38"/>
    </row>
    <row r="106" spans="2:18" x14ac:dyDescent="0.2">
      <c r="B106"/>
      <c r="C106" s="38"/>
      <c r="D106" s="38"/>
      <c r="E106" s="38"/>
      <c r="N106"/>
      <c r="O106" s="38"/>
      <c r="P106" s="38"/>
      <c r="Q106" s="38"/>
      <c r="R106" s="38"/>
    </row>
    <row r="107" spans="2:18" x14ac:dyDescent="0.2">
      <c r="B107"/>
      <c r="C107" s="38"/>
      <c r="D107" s="38"/>
      <c r="E107" s="38"/>
      <c r="N107"/>
      <c r="O107" s="38"/>
      <c r="P107" s="38"/>
      <c r="Q107" s="38"/>
      <c r="R107" s="38"/>
    </row>
    <row r="108" spans="2:18" x14ac:dyDescent="0.2">
      <c r="B108"/>
      <c r="C108" s="38"/>
      <c r="D108" s="38"/>
      <c r="E108" s="38"/>
      <c r="N108"/>
      <c r="O108" s="38"/>
      <c r="P108" s="38"/>
      <c r="Q108" s="38"/>
      <c r="R108" s="38"/>
    </row>
    <row r="109" spans="2:18" x14ac:dyDescent="0.2">
      <c r="B109"/>
      <c r="C109" s="38"/>
      <c r="D109" s="38"/>
      <c r="E109" s="38"/>
      <c r="N109"/>
      <c r="O109" s="38"/>
      <c r="P109" s="38"/>
      <c r="Q109" s="38"/>
      <c r="R109" s="38"/>
    </row>
    <row r="110" spans="2:18" x14ac:dyDescent="0.2">
      <c r="B110"/>
      <c r="C110" s="38"/>
      <c r="D110" s="38"/>
      <c r="E110" s="38"/>
      <c r="N110"/>
      <c r="O110" s="38"/>
      <c r="P110" s="38"/>
      <c r="Q110" s="38"/>
      <c r="R110" s="38"/>
    </row>
    <row r="111" spans="2:18" x14ac:dyDescent="0.2">
      <c r="B111"/>
      <c r="C111" s="38"/>
      <c r="D111" s="38"/>
      <c r="E111" s="38"/>
      <c r="N111"/>
      <c r="O111" s="38"/>
      <c r="P111" s="38"/>
      <c r="Q111" s="38"/>
      <c r="R111" s="38"/>
    </row>
    <row r="112" spans="2:18" x14ac:dyDescent="0.2">
      <c r="B112"/>
      <c r="C112" s="38"/>
      <c r="D112" s="38"/>
      <c r="E112" s="38"/>
      <c r="N112"/>
      <c r="O112" s="38"/>
      <c r="P112" s="38"/>
      <c r="Q112" s="38"/>
      <c r="R112" s="38"/>
    </row>
    <row r="113" spans="2:18" x14ac:dyDescent="0.2">
      <c r="B113"/>
      <c r="C113" s="38"/>
      <c r="D113" s="38"/>
      <c r="E113" s="38"/>
      <c r="N113"/>
      <c r="O113" s="38"/>
      <c r="P113" s="38"/>
      <c r="Q113" s="38"/>
      <c r="R113" s="38"/>
    </row>
    <row r="114" spans="2:18" x14ac:dyDescent="0.2">
      <c r="B114"/>
      <c r="C114" s="38"/>
      <c r="D114" s="38"/>
      <c r="E114" s="38"/>
      <c r="N114"/>
      <c r="O114" s="38"/>
      <c r="P114" s="38"/>
      <c r="Q114" s="38"/>
      <c r="R114" s="38"/>
    </row>
    <row r="115" spans="2:18" x14ac:dyDescent="0.2">
      <c r="B115"/>
      <c r="C115" s="38"/>
      <c r="D115" s="38"/>
      <c r="E115" s="38"/>
      <c r="N115"/>
      <c r="O115" s="38"/>
      <c r="P115" s="38"/>
      <c r="Q115" s="38"/>
      <c r="R115" s="38"/>
    </row>
    <row r="116" spans="2:18" x14ac:dyDescent="0.2">
      <c r="B116"/>
      <c r="C116" s="38"/>
      <c r="D116" s="38"/>
      <c r="E116" s="38"/>
      <c r="N116"/>
      <c r="O116" s="38"/>
      <c r="P116" s="38"/>
      <c r="Q116" s="38"/>
      <c r="R116" s="38"/>
    </row>
    <row r="117" spans="2:18" x14ac:dyDescent="0.2">
      <c r="B117"/>
      <c r="C117" s="38"/>
      <c r="D117" s="38"/>
      <c r="E117" s="38"/>
      <c r="N117"/>
      <c r="O117" s="38"/>
      <c r="P117" s="38"/>
      <c r="Q117" s="38"/>
      <c r="R117" s="38"/>
    </row>
    <row r="118" spans="2:18" x14ac:dyDescent="0.2">
      <c r="B118"/>
      <c r="C118" s="38"/>
      <c r="D118" s="38"/>
      <c r="E118" s="38"/>
      <c r="N118"/>
      <c r="O118" s="38"/>
      <c r="P118" s="38"/>
      <c r="Q118" s="38"/>
      <c r="R118" s="38"/>
    </row>
    <row r="119" spans="2:18" x14ac:dyDescent="0.2">
      <c r="B119"/>
      <c r="C119" s="38"/>
      <c r="D119" s="38"/>
      <c r="E119" s="38"/>
      <c r="N119"/>
      <c r="O119" s="38"/>
      <c r="P119" s="38"/>
      <c r="Q119" s="38"/>
      <c r="R119" s="38"/>
    </row>
    <row r="120" spans="2:18" x14ac:dyDescent="0.2">
      <c r="B120"/>
      <c r="C120" s="38"/>
      <c r="D120" s="38"/>
      <c r="E120" s="38"/>
      <c r="N120"/>
      <c r="O120" s="38"/>
      <c r="P120" s="38"/>
      <c r="Q120" s="38"/>
      <c r="R120" s="38"/>
    </row>
    <row r="121" spans="2:18" x14ac:dyDescent="0.2">
      <c r="B121"/>
      <c r="C121" s="38"/>
      <c r="D121" s="38"/>
      <c r="E121" s="38"/>
      <c r="N121"/>
      <c r="O121" s="38"/>
      <c r="P121" s="38"/>
      <c r="Q121" s="38"/>
      <c r="R121" s="38"/>
    </row>
    <row r="122" spans="2:18" x14ac:dyDescent="0.2">
      <c r="B122"/>
      <c r="C122" s="38"/>
      <c r="D122" s="38"/>
      <c r="E122" s="38"/>
      <c r="N122"/>
      <c r="O122" s="38"/>
      <c r="P122" s="38"/>
      <c r="Q122" s="38"/>
      <c r="R122" s="38"/>
    </row>
    <row r="123" spans="2:18" x14ac:dyDescent="0.2">
      <c r="B123"/>
      <c r="C123" s="38"/>
      <c r="D123" s="38"/>
      <c r="E123" s="38"/>
      <c r="N123"/>
      <c r="O123" s="38"/>
      <c r="P123" s="38"/>
      <c r="Q123" s="38"/>
      <c r="R123" s="38"/>
    </row>
    <row r="124" spans="2:18" x14ac:dyDescent="0.2">
      <c r="B124"/>
      <c r="C124" s="38"/>
      <c r="D124" s="38"/>
      <c r="E124" s="38"/>
      <c r="N124"/>
      <c r="O124" s="38"/>
      <c r="P124" s="38"/>
      <c r="Q124" s="38"/>
      <c r="R124" s="38"/>
    </row>
    <row r="125" spans="2:18" x14ac:dyDescent="0.2">
      <c r="B125"/>
      <c r="C125" s="38"/>
      <c r="D125" s="38"/>
      <c r="E125" s="38"/>
      <c r="N125"/>
      <c r="O125" s="38"/>
      <c r="P125" s="38"/>
      <c r="Q125" s="38"/>
      <c r="R125" s="38"/>
    </row>
    <row r="126" spans="2:18" x14ac:dyDescent="0.2">
      <c r="B126"/>
      <c r="C126" s="38"/>
      <c r="D126" s="38"/>
      <c r="E126" s="38"/>
      <c r="N126"/>
      <c r="O126" s="38"/>
      <c r="P126" s="38"/>
      <c r="Q126" s="38"/>
      <c r="R126" s="38"/>
    </row>
    <row r="127" spans="2:18" x14ac:dyDescent="0.2">
      <c r="B127"/>
      <c r="C127" s="38"/>
      <c r="D127" s="38"/>
      <c r="E127" s="38"/>
      <c r="N127"/>
      <c r="O127" s="38"/>
      <c r="P127" s="38"/>
      <c r="Q127" s="38"/>
      <c r="R127" s="38"/>
    </row>
    <row r="128" spans="2:18" x14ac:dyDescent="0.2">
      <c r="B128"/>
      <c r="C128" s="38"/>
      <c r="D128" s="38"/>
      <c r="E128" s="38"/>
      <c r="N128"/>
      <c r="O128" s="38"/>
      <c r="P128" s="38"/>
      <c r="Q128" s="38"/>
      <c r="R128" s="38"/>
    </row>
    <row r="129" spans="2:18" x14ac:dyDescent="0.2">
      <c r="B129"/>
      <c r="C129" s="38"/>
      <c r="D129" s="38"/>
      <c r="E129" s="38"/>
      <c r="N129"/>
      <c r="O129" s="38"/>
      <c r="P129" s="38"/>
      <c r="Q129" s="38"/>
      <c r="R129" s="38"/>
    </row>
    <row r="130" spans="2:18" x14ac:dyDescent="0.2">
      <c r="B130"/>
      <c r="C130" s="38"/>
      <c r="D130" s="38"/>
      <c r="E130" s="38"/>
      <c r="N130"/>
      <c r="O130" s="38"/>
      <c r="P130" s="38"/>
      <c r="Q130" s="38"/>
      <c r="R130" s="38"/>
    </row>
    <row r="131" spans="2:18" x14ac:dyDescent="0.2">
      <c r="B131"/>
      <c r="C131" s="38"/>
      <c r="D131" s="38"/>
      <c r="E131" s="38"/>
      <c r="N131"/>
      <c r="O131" s="38"/>
      <c r="P131" s="38"/>
      <c r="Q131" s="38"/>
      <c r="R131" s="38"/>
    </row>
    <row r="132" spans="2:18" x14ac:dyDescent="0.2">
      <c r="B132"/>
      <c r="C132" s="38"/>
      <c r="D132" s="38"/>
      <c r="E132" s="38"/>
      <c r="N132"/>
      <c r="O132" s="38"/>
      <c r="P132" s="38"/>
      <c r="Q132" s="38"/>
      <c r="R132" s="38"/>
    </row>
    <row r="133" spans="2:18" x14ac:dyDescent="0.2">
      <c r="B133"/>
      <c r="C133" s="38"/>
      <c r="D133" s="38"/>
      <c r="E133" s="38"/>
      <c r="N133"/>
      <c r="O133" s="38"/>
      <c r="P133" s="38"/>
      <c r="Q133" s="38"/>
      <c r="R133" s="38"/>
    </row>
    <row r="134" spans="2:18" x14ac:dyDescent="0.2">
      <c r="B134"/>
      <c r="C134" s="38"/>
      <c r="D134" s="38"/>
      <c r="E134" s="38"/>
      <c r="N134"/>
      <c r="O134" s="38"/>
      <c r="P134" s="38"/>
      <c r="Q134" s="38"/>
      <c r="R134" s="38"/>
    </row>
    <row r="135" spans="2:18" x14ac:dyDescent="0.2">
      <c r="B135"/>
      <c r="C135" s="38"/>
      <c r="D135" s="38"/>
      <c r="E135" s="38"/>
      <c r="N135"/>
      <c r="O135" s="38"/>
      <c r="P135" s="38"/>
      <c r="Q135" s="38"/>
      <c r="R135" s="38"/>
    </row>
    <row r="136" spans="2:18" x14ac:dyDescent="0.2">
      <c r="B136"/>
      <c r="C136" s="38"/>
      <c r="D136" s="38"/>
      <c r="E136" s="38"/>
      <c r="N136"/>
      <c r="O136" s="38"/>
      <c r="P136" s="38"/>
      <c r="Q136" s="38"/>
      <c r="R136" s="38"/>
    </row>
    <row r="137" spans="2:18" x14ac:dyDescent="0.2">
      <c r="B137"/>
      <c r="C137" s="38"/>
      <c r="D137" s="38"/>
      <c r="E137" s="38"/>
      <c r="N137"/>
      <c r="O137" s="38"/>
      <c r="P137" s="38"/>
      <c r="Q137" s="38"/>
      <c r="R137" s="38"/>
    </row>
    <row r="138" spans="2:18" x14ac:dyDescent="0.2">
      <c r="B138"/>
      <c r="C138" s="38"/>
      <c r="D138" s="38"/>
      <c r="E138" s="38"/>
      <c r="N138"/>
      <c r="O138" s="38"/>
      <c r="P138" s="38"/>
      <c r="Q138" s="38"/>
      <c r="R138" s="38"/>
    </row>
    <row r="139" spans="2:18" x14ac:dyDescent="0.2">
      <c r="B139"/>
      <c r="C139" s="38"/>
      <c r="D139" s="38"/>
      <c r="E139" s="38"/>
      <c r="N139"/>
      <c r="O139" s="38"/>
      <c r="P139" s="38"/>
      <c r="Q139" s="38"/>
      <c r="R139" s="38"/>
    </row>
    <row r="140" spans="2:18" x14ac:dyDescent="0.2">
      <c r="B140"/>
      <c r="C140" s="38"/>
      <c r="D140" s="38"/>
      <c r="E140" s="38"/>
      <c r="N140"/>
      <c r="O140" s="38"/>
      <c r="P140" s="38"/>
      <c r="Q140" s="38"/>
      <c r="R140" s="38"/>
    </row>
    <row r="141" spans="2:18" x14ac:dyDescent="0.2">
      <c r="B141"/>
      <c r="C141" s="38"/>
      <c r="D141" s="38"/>
      <c r="E141" s="38"/>
      <c r="N141"/>
      <c r="O141" s="38"/>
      <c r="P141" s="38"/>
      <c r="Q141" s="38"/>
      <c r="R141" s="38"/>
    </row>
    <row r="142" spans="2:18" x14ac:dyDescent="0.2">
      <c r="B142"/>
      <c r="C142" s="38"/>
      <c r="D142" s="38"/>
      <c r="E142" s="38"/>
      <c r="N142"/>
      <c r="O142" s="38"/>
      <c r="P142" s="38"/>
      <c r="Q142" s="38"/>
      <c r="R142" s="38"/>
    </row>
    <row r="143" spans="2:18" x14ac:dyDescent="0.2">
      <c r="B143"/>
      <c r="C143" s="38"/>
      <c r="D143" s="38"/>
      <c r="E143" s="38"/>
      <c r="N143"/>
      <c r="O143" s="38"/>
      <c r="P143" s="38"/>
      <c r="Q143" s="38"/>
      <c r="R143" s="38"/>
    </row>
    <row r="144" spans="2:18" x14ac:dyDescent="0.2">
      <c r="B144"/>
      <c r="C144" s="38"/>
      <c r="D144" s="38"/>
      <c r="E144" s="38"/>
      <c r="N144"/>
      <c r="O144" s="38"/>
      <c r="P144" s="38"/>
      <c r="Q144" s="38"/>
      <c r="R144" s="38"/>
    </row>
    <row r="145" spans="2:18" x14ac:dyDescent="0.2">
      <c r="B145"/>
      <c r="C145" s="38"/>
      <c r="D145" s="38"/>
      <c r="E145" s="38"/>
      <c r="N145"/>
      <c r="O145" s="38"/>
      <c r="P145" s="38"/>
      <c r="Q145" s="38"/>
      <c r="R145" s="38"/>
    </row>
    <row r="146" spans="2:18" x14ac:dyDescent="0.2">
      <c r="B146"/>
      <c r="C146" s="38"/>
      <c r="D146" s="38"/>
      <c r="E146" s="38"/>
      <c r="N146"/>
      <c r="O146" s="38"/>
      <c r="P146" s="38"/>
      <c r="Q146" s="38"/>
      <c r="R146" s="38"/>
    </row>
    <row r="147" spans="2:18" x14ac:dyDescent="0.2">
      <c r="B147"/>
      <c r="C147" s="38"/>
      <c r="D147" s="38"/>
      <c r="E147" s="38"/>
      <c r="N147"/>
      <c r="O147" s="38"/>
      <c r="P147" s="38"/>
      <c r="Q147" s="38"/>
      <c r="R147" s="38"/>
    </row>
    <row r="148" spans="2:18" x14ac:dyDescent="0.2">
      <c r="B148"/>
      <c r="C148" s="38"/>
      <c r="D148" s="38"/>
      <c r="E148" s="38"/>
      <c r="N148"/>
      <c r="O148" s="38"/>
      <c r="P148" s="38"/>
      <c r="Q148" s="38"/>
      <c r="R148" s="38"/>
    </row>
    <row r="149" spans="2:18" x14ac:dyDescent="0.2">
      <c r="B149"/>
      <c r="C149" s="38"/>
      <c r="D149" s="38"/>
      <c r="E149" s="38"/>
      <c r="N149"/>
      <c r="O149" s="38"/>
      <c r="P149" s="38"/>
      <c r="Q149" s="38"/>
      <c r="R149" s="38"/>
    </row>
    <row r="150" spans="2:18" x14ac:dyDescent="0.2">
      <c r="B150"/>
      <c r="C150" s="38"/>
      <c r="D150" s="38"/>
      <c r="E150" s="38"/>
      <c r="N150"/>
      <c r="O150" s="38"/>
      <c r="P150" s="38"/>
      <c r="Q150" s="38"/>
      <c r="R150" s="38"/>
    </row>
    <row r="151" spans="2:18" x14ac:dyDescent="0.2">
      <c r="B151"/>
      <c r="C151" s="38"/>
      <c r="D151" s="38"/>
      <c r="E151" s="38"/>
      <c r="N151"/>
      <c r="O151" s="38"/>
      <c r="P151" s="38"/>
      <c r="Q151" s="38"/>
      <c r="R151" s="38"/>
    </row>
    <row r="152" spans="2:18" x14ac:dyDescent="0.2">
      <c r="B152"/>
      <c r="C152" s="38"/>
      <c r="D152" s="38"/>
      <c r="E152" s="38"/>
      <c r="N152"/>
      <c r="O152" s="38"/>
      <c r="P152" s="38"/>
      <c r="Q152" s="38"/>
      <c r="R152" s="38"/>
    </row>
    <row r="153" spans="2:18" x14ac:dyDescent="0.2">
      <c r="B153"/>
      <c r="C153" s="38"/>
      <c r="D153" s="38"/>
      <c r="E153" s="38"/>
      <c r="N153"/>
      <c r="O153" s="38"/>
      <c r="P153" s="38"/>
      <c r="Q153" s="38"/>
      <c r="R153" s="38"/>
    </row>
    <row r="154" spans="2:18" x14ac:dyDescent="0.2">
      <c r="B154"/>
      <c r="C154" s="38"/>
      <c r="D154" s="38"/>
      <c r="E154" s="38"/>
      <c r="N154"/>
      <c r="O154" s="38"/>
      <c r="P154" s="38"/>
      <c r="Q154" s="38"/>
      <c r="R154" s="38"/>
    </row>
    <row r="155" spans="2:18" x14ac:dyDescent="0.2">
      <c r="B155"/>
      <c r="C155" s="38"/>
      <c r="D155" s="38"/>
      <c r="E155" s="38"/>
      <c r="N155"/>
      <c r="O155" s="38"/>
      <c r="P155" s="38"/>
      <c r="Q155" s="38"/>
      <c r="R155" s="38"/>
    </row>
    <row r="156" spans="2:18" x14ac:dyDescent="0.2">
      <c r="B156"/>
      <c r="C156" s="38"/>
      <c r="D156" s="38"/>
      <c r="E156" s="38"/>
      <c r="N156"/>
      <c r="O156" s="38"/>
      <c r="P156" s="38"/>
      <c r="Q156" s="38"/>
      <c r="R156" s="38"/>
    </row>
    <row r="157" spans="2:18" x14ac:dyDescent="0.2">
      <c r="B157"/>
      <c r="C157" s="38"/>
      <c r="D157" s="38"/>
      <c r="E157" s="38"/>
      <c r="N157"/>
      <c r="O157" s="38"/>
      <c r="P157" s="38"/>
      <c r="Q157" s="38"/>
      <c r="R157" s="38"/>
    </row>
    <row r="158" spans="2:18" x14ac:dyDescent="0.2">
      <c r="B158"/>
      <c r="C158" s="38"/>
      <c r="D158" s="38"/>
      <c r="E158" s="38"/>
      <c r="N158"/>
      <c r="O158" s="38"/>
      <c r="P158" s="38"/>
      <c r="Q158" s="38"/>
      <c r="R158" s="38"/>
    </row>
    <row r="159" spans="2:18" x14ac:dyDescent="0.2">
      <c r="B159"/>
      <c r="C159" s="38"/>
      <c r="D159" s="38"/>
      <c r="E159" s="38"/>
      <c r="N159"/>
      <c r="O159" s="38"/>
      <c r="P159" s="38"/>
      <c r="Q159" s="38"/>
      <c r="R159" s="38"/>
    </row>
    <row r="160" spans="2:18" x14ac:dyDescent="0.2">
      <c r="B160"/>
      <c r="C160" s="38"/>
      <c r="D160" s="38"/>
      <c r="E160" s="38"/>
      <c r="N160"/>
      <c r="O160" s="38"/>
      <c r="P160" s="38"/>
      <c r="Q160" s="38"/>
      <c r="R160" s="38"/>
    </row>
    <row r="161" spans="2:18" x14ac:dyDescent="0.2">
      <c r="B161"/>
      <c r="C161" s="38"/>
      <c r="D161" s="38"/>
      <c r="E161" s="38"/>
      <c r="N161"/>
      <c r="O161" s="38"/>
      <c r="P161" s="38"/>
      <c r="Q161" s="38"/>
      <c r="R161" s="38"/>
    </row>
    <row r="162" spans="2:18" x14ac:dyDescent="0.2">
      <c r="B162"/>
      <c r="C162" s="38"/>
      <c r="D162" s="38"/>
      <c r="E162" s="38"/>
      <c r="N162"/>
      <c r="O162" s="38"/>
      <c r="P162" s="38"/>
      <c r="Q162" s="38"/>
      <c r="R162" s="38"/>
    </row>
    <row r="163" spans="2:18" x14ac:dyDescent="0.2">
      <c r="B163"/>
      <c r="C163" s="38"/>
      <c r="D163" s="38"/>
      <c r="E163" s="38"/>
      <c r="N163"/>
      <c r="O163" s="38"/>
      <c r="P163" s="38"/>
      <c r="Q163" s="38"/>
      <c r="R163" s="38"/>
    </row>
    <row r="164" spans="2:18" x14ac:dyDescent="0.2">
      <c r="B164"/>
      <c r="C164" s="38"/>
      <c r="D164" s="38"/>
      <c r="E164" s="38"/>
      <c r="N164"/>
      <c r="O164" s="38"/>
      <c r="P164" s="38"/>
      <c r="Q164" s="38"/>
      <c r="R164" s="38"/>
    </row>
    <row r="165" spans="2:18" x14ac:dyDescent="0.2">
      <c r="B165"/>
      <c r="C165" s="38"/>
      <c r="D165" s="38"/>
      <c r="E165" s="38"/>
      <c r="N165"/>
      <c r="O165" s="38"/>
      <c r="P165" s="38"/>
      <c r="Q165" s="38"/>
      <c r="R165" s="38"/>
    </row>
    <row r="166" spans="2:18" x14ac:dyDescent="0.2">
      <c r="B166"/>
      <c r="C166" s="38"/>
      <c r="D166" s="38"/>
      <c r="E166" s="38"/>
      <c r="N166"/>
      <c r="O166" s="38"/>
      <c r="P166" s="38"/>
      <c r="Q166" s="38"/>
      <c r="R166" s="38"/>
    </row>
    <row r="167" spans="2:18" x14ac:dyDescent="0.2">
      <c r="B167"/>
      <c r="C167" s="38"/>
      <c r="D167" s="38"/>
      <c r="E167" s="38"/>
      <c r="N167"/>
      <c r="O167" s="38"/>
      <c r="P167" s="38"/>
      <c r="Q167" s="38"/>
      <c r="R167" s="38"/>
    </row>
    <row r="168" spans="2:18" x14ac:dyDescent="0.2">
      <c r="B168"/>
      <c r="C168" s="38"/>
      <c r="D168" s="38"/>
      <c r="E168" s="38"/>
      <c r="N168"/>
      <c r="O168" s="38"/>
      <c r="P168" s="38"/>
      <c r="Q168" s="38"/>
      <c r="R168" s="38"/>
    </row>
    <row r="169" spans="2:18" x14ac:dyDescent="0.2">
      <c r="B169"/>
      <c r="C169" s="38"/>
      <c r="D169" s="38"/>
      <c r="E169" s="38"/>
      <c r="N169"/>
      <c r="O169" s="38"/>
      <c r="P169" s="38"/>
      <c r="Q169" s="38"/>
      <c r="R169" s="38"/>
    </row>
    <row r="170" spans="2:18" x14ac:dyDescent="0.2">
      <c r="B170"/>
      <c r="C170" s="38"/>
      <c r="D170" s="38"/>
      <c r="E170" s="38"/>
      <c r="N170"/>
      <c r="O170" s="38"/>
      <c r="P170" s="38"/>
      <c r="Q170" s="38"/>
      <c r="R170" s="38"/>
    </row>
    <row r="171" spans="2:18" x14ac:dyDescent="0.2">
      <c r="B171"/>
      <c r="C171" s="38"/>
      <c r="D171" s="38"/>
      <c r="E171" s="38"/>
      <c r="N171"/>
      <c r="O171" s="38"/>
      <c r="P171" s="38"/>
      <c r="Q171" s="38"/>
      <c r="R171" s="38"/>
    </row>
    <row r="172" spans="2:18" x14ac:dyDescent="0.2">
      <c r="B172"/>
      <c r="C172" s="38"/>
      <c r="D172" s="38"/>
      <c r="E172" s="38"/>
      <c r="N172"/>
      <c r="O172" s="38"/>
      <c r="P172" s="38"/>
      <c r="Q172" s="38"/>
      <c r="R172" s="38"/>
    </row>
    <row r="173" spans="2:18" x14ac:dyDescent="0.2">
      <c r="B173"/>
      <c r="C173" s="38"/>
      <c r="D173" s="38"/>
      <c r="E173" s="38"/>
      <c r="N173"/>
      <c r="O173" s="38"/>
      <c r="P173" s="38"/>
      <c r="Q173" s="38"/>
      <c r="R173" s="38"/>
    </row>
    <row r="174" spans="2:18" x14ac:dyDescent="0.2">
      <c r="B174"/>
      <c r="C174" s="38"/>
      <c r="D174" s="38"/>
      <c r="E174" s="38"/>
      <c r="N174"/>
      <c r="O174" s="38"/>
      <c r="P174" s="38"/>
      <c r="Q174" s="38"/>
      <c r="R174" s="38"/>
    </row>
    <row r="175" spans="2:18" x14ac:dyDescent="0.2">
      <c r="B175"/>
      <c r="C175" s="38"/>
      <c r="D175" s="38"/>
      <c r="E175" s="38"/>
      <c r="N175"/>
      <c r="O175" s="38"/>
      <c r="P175" s="38"/>
      <c r="Q175" s="38"/>
      <c r="R175" s="38"/>
    </row>
    <row r="176" spans="2:18" x14ac:dyDescent="0.2">
      <c r="B176"/>
      <c r="C176" s="38"/>
      <c r="D176" s="38"/>
      <c r="E176" s="38"/>
      <c r="N176"/>
      <c r="O176" s="38"/>
      <c r="P176" s="38"/>
      <c r="Q176" s="38"/>
      <c r="R176" s="38"/>
    </row>
    <row r="177" spans="2:18" x14ac:dyDescent="0.2">
      <c r="B177"/>
      <c r="C177" s="38"/>
      <c r="D177" s="38"/>
      <c r="E177" s="38"/>
      <c r="N177"/>
      <c r="O177" s="38"/>
      <c r="P177" s="38"/>
      <c r="Q177" s="38"/>
      <c r="R177" s="38"/>
    </row>
    <row r="178" spans="2:18" x14ac:dyDescent="0.2">
      <c r="B178"/>
      <c r="C178" s="38"/>
      <c r="D178" s="38"/>
      <c r="E178" s="38"/>
      <c r="N178"/>
      <c r="O178" s="38"/>
      <c r="P178" s="38"/>
      <c r="Q178" s="38"/>
      <c r="R178" s="38"/>
    </row>
    <row r="179" spans="2:18" x14ac:dyDescent="0.2">
      <c r="B179"/>
      <c r="C179" s="38"/>
      <c r="D179" s="38"/>
      <c r="E179" s="38"/>
      <c r="N179"/>
      <c r="O179" s="38"/>
      <c r="P179" s="38"/>
      <c r="Q179" s="38"/>
      <c r="R179" s="38"/>
    </row>
    <row r="180" spans="2:18" x14ac:dyDescent="0.2">
      <c r="B180"/>
      <c r="C180" s="38"/>
      <c r="D180" s="38"/>
      <c r="E180" s="38"/>
      <c r="N180"/>
      <c r="O180" s="38"/>
      <c r="P180" s="38"/>
      <c r="Q180" s="38"/>
      <c r="R180" s="38"/>
    </row>
    <row r="181" spans="2:18" x14ac:dyDescent="0.2">
      <c r="B181"/>
      <c r="C181" s="38"/>
      <c r="D181" s="38"/>
      <c r="E181" s="38"/>
      <c r="N181"/>
      <c r="O181" s="38"/>
      <c r="P181" s="38"/>
      <c r="Q181" s="38"/>
      <c r="R181" s="38"/>
    </row>
    <row r="182" spans="2:18" x14ac:dyDescent="0.2">
      <c r="B182"/>
      <c r="C182" s="38"/>
      <c r="D182" s="38"/>
      <c r="E182" s="38"/>
      <c r="N182"/>
      <c r="O182" s="38"/>
      <c r="P182" s="38"/>
      <c r="Q182" s="38"/>
      <c r="R182" s="38"/>
    </row>
    <row r="183" spans="2:18" x14ac:dyDescent="0.2">
      <c r="B183"/>
      <c r="C183" s="38"/>
      <c r="D183" s="38"/>
      <c r="E183" s="38"/>
      <c r="N183"/>
      <c r="O183" s="38"/>
      <c r="P183" s="38"/>
      <c r="Q183" s="38"/>
      <c r="R183" s="38"/>
    </row>
    <row r="184" spans="2:18" x14ac:dyDescent="0.2">
      <c r="B184"/>
      <c r="C184" s="38"/>
      <c r="D184" s="38"/>
      <c r="E184" s="38"/>
      <c r="N184"/>
      <c r="O184" s="38"/>
      <c r="P184" s="38"/>
      <c r="Q184" s="38"/>
      <c r="R184" s="38"/>
    </row>
    <row r="185" spans="2:18" x14ac:dyDescent="0.2">
      <c r="B185"/>
      <c r="C185" s="38"/>
      <c r="D185" s="38"/>
      <c r="E185" s="38"/>
      <c r="N185"/>
      <c r="O185" s="38"/>
      <c r="P185" s="38"/>
      <c r="Q185" s="38"/>
      <c r="R185" s="38"/>
    </row>
    <row r="186" spans="2:18" x14ac:dyDescent="0.2">
      <c r="B186"/>
      <c r="C186" s="38"/>
      <c r="D186" s="38"/>
      <c r="E186" s="38"/>
      <c r="N186"/>
      <c r="O186" s="38"/>
      <c r="P186" s="38"/>
      <c r="Q186" s="38"/>
      <c r="R186" s="38"/>
    </row>
    <row r="187" spans="2:18" x14ac:dyDescent="0.2">
      <c r="B187"/>
      <c r="C187" s="38"/>
      <c r="D187" s="38"/>
      <c r="E187" s="38"/>
      <c r="N187"/>
      <c r="O187" s="38"/>
      <c r="P187" s="38"/>
      <c r="Q187" s="38"/>
      <c r="R187" s="38"/>
    </row>
    <row r="188" spans="2:18" x14ac:dyDescent="0.2">
      <c r="B188"/>
      <c r="C188" s="38"/>
      <c r="D188" s="38"/>
      <c r="E188" s="38"/>
      <c r="N188"/>
      <c r="O188" s="38"/>
      <c r="P188" s="38"/>
      <c r="Q188" s="38"/>
      <c r="R188" s="38"/>
    </row>
    <row r="189" spans="2:18" x14ac:dyDescent="0.2">
      <c r="B189"/>
      <c r="C189" s="38"/>
      <c r="D189" s="38"/>
      <c r="E189" s="38"/>
      <c r="N189"/>
      <c r="O189" s="38"/>
      <c r="P189" s="38"/>
      <c r="Q189" s="38"/>
      <c r="R189" s="38"/>
    </row>
    <row r="190" spans="2:18" x14ac:dyDescent="0.2">
      <c r="B190"/>
      <c r="C190" s="38"/>
      <c r="D190" s="38"/>
      <c r="E190" s="38"/>
      <c r="N190"/>
      <c r="O190" s="38"/>
      <c r="P190" s="38"/>
      <c r="Q190" s="38"/>
      <c r="R190" s="38"/>
    </row>
    <row r="191" spans="2:18" x14ac:dyDescent="0.2">
      <c r="B191"/>
      <c r="C191" s="38"/>
      <c r="D191" s="38"/>
      <c r="E191" s="38"/>
      <c r="N191"/>
      <c r="O191" s="38"/>
      <c r="P191" s="38"/>
      <c r="Q191" s="38"/>
      <c r="R191" s="38"/>
    </row>
    <row r="192" spans="2:18" x14ac:dyDescent="0.2">
      <c r="B192"/>
      <c r="C192" s="38"/>
      <c r="D192" s="38"/>
      <c r="E192" s="38"/>
      <c r="N192"/>
      <c r="O192" s="38"/>
      <c r="P192" s="38"/>
      <c r="Q192" s="38"/>
      <c r="R192" s="38"/>
    </row>
    <row r="193" spans="2:18" x14ac:dyDescent="0.2">
      <c r="B193"/>
      <c r="C193" s="38"/>
      <c r="D193" s="38"/>
      <c r="E193" s="38"/>
      <c r="N193"/>
      <c r="O193" s="38"/>
      <c r="P193" s="38"/>
      <c r="Q193" s="38"/>
      <c r="R193" s="38"/>
    </row>
    <row r="194" spans="2:18" x14ac:dyDescent="0.2">
      <c r="B194"/>
      <c r="C194" s="38"/>
      <c r="D194" s="38"/>
      <c r="E194" s="38"/>
      <c r="N194"/>
      <c r="O194" s="38"/>
      <c r="P194" s="38"/>
      <c r="Q194" s="38"/>
      <c r="R194" s="38"/>
    </row>
    <row r="195" spans="2:18" x14ac:dyDescent="0.2">
      <c r="B195"/>
      <c r="C195" s="38"/>
      <c r="D195" s="38"/>
      <c r="E195" s="38"/>
      <c r="N195"/>
      <c r="O195" s="38"/>
      <c r="P195" s="38"/>
      <c r="Q195" s="38"/>
      <c r="R195" s="38"/>
    </row>
    <row r="196" spans="2:18" x14ac:dyDescent="0.2">
      <c r="B196"/>
      <c r="C196" s="38"/>
      <c r="D196" s="38"/>
      <c r="E196" s="38"/>
      <c r="N196"/>
      <c r="O196" s="38"/>
      <c r="P196" s="38"/>
      <c r="Q196" s="38"/>
      <c r="R196" s="38"/>
    </row>
    <row r="197" spans="2:18" x14ac:dyDescent="0.2">
      <c r="B197"/>
      <c r="C197" s="38"/>
      <c r="D197" s="38"/>
      <c r="E197" s="38"/>
      <c r="N197"/>
      <c r="O197" s="38"/>
      <c r="P197" s="38"/>
      <c r="Q197" s="38"/>
      <c r="R197" s="38"/>
    </row>
    <row r="198" spans="2:18" x14ac:dyDescent="0.2">
      <c r="B198"/>
      <c r="C198" s="38"/>
      <c r="D198" s="38"/>
      <c r="E198" s="38"/>
      <c r="N198"/>
      <c r="O198" s="38"/>
      <c r="P198" s="38"/>
      <c r="Q198" s="38"/>
      <c r="R198" s="38"/>
    </row>
    <row r="199" spans="2:18" x14ac:dyDescent="0.2">
      <c r="B199"/>
      <c r="C199" s="38"/>
      <c r="D199" s="38"/>
      <c r="E199" s="38"/>
      <c r="N199"/>
      <c r="O199" s="38"/>
      <c r="P199" s="38"/>
      <c r="Q199" s="38"/>
      <c r="R199" s="38"/>
    </row>
    <row r="200" spans="2:18" x14ac:dyDescent="0.2">
      <c r="B200"/>
      <c r="C200" s="38"/>
      <c r="D200" s="38"/>
      <c r="E200" s="38"/>
      <c r="N200"/>
      <c r="O200" s="38"/>
      <c r="P200" s="38"/>
      <c r="Q200" s="38"/>
      <c r="R200" s="38"/>
    </row>
    <row r="201" spans="2:18" x14ac:dyDescent="0.2">
      <c r="B201"/>
      <c r="C201" s="38"/>
      <c r="D201" s="38"/>
      <c r="E201" s="38"/>
      <c r="N201"/>
      <c r="O201" s="38"/>
      <c r="P201" s="38"/>
      <c r="Q201" s="38"/>
      <c r="R201" s="38"/>
    </row>
    <row r="202" spans="2:18" x14ac:dyDescent="0.2">
      <c r="B202"/>
      <c r="C202" s="38"/>
      <c r="D202" s="38"/>
      <c r="E202" s="38"/>
      <c r="N202"/>
      <c r="O202" s="38"/>
      <c r="P202" s="38"/>
      <c r="Q202" s="38"/>
      <c r="R202" s="38"/>
    </row>
    <row r="203" spans="2:18" x14ac:dyDescent="0.2">
      <c r="B203"/>
      <c r="C203" s="38"/>
      <c r="D203" s="38"/>
      <c r="E203" s="38"/>
      <c r="N203"/>
      <c r="O203" s="38"/>
      <c r="P203" s="38"/>
      <c r="Q203" s="38"/>
      <c r="R203" s="38"/>
    </row>
    <row r="204" spans="2:18" x14ac:dyDescent="0.2">
      <c r="B204"/>
      <c r="C204" s="38"/>
      <c r="D204" s="38"/>
      <c r="E204" s="38"/>
      <c r="N204"/>
      <c r="O204" s="38"/>
      <c r="P204" s="38"/>
      <c r="Q204" s="38"/>
      <c r="R204" s="38"/>
    </row>
    <row r="205" spans="2:18" x14ac:dyDescent="0.2">
      <c r="B205"/>
      <c r="C205" s="38"/>
      <c r="D205" s="38"/>
      <c r="E205" s="38"/>
      <c r="N205"/>
      <c r="O205" s="38"/>
      <c r="P205" s="38"/>
      <c r="Q205" s="38"/>
      <c r="R205" s="38"/>
    </row>
    <row r="206" spans="2:18" x14ac:dyDescent="0.2">
      <c r="B206"/>
      <c r="C206" s="38"/>
      <c r="D206" s="38"/>
      <c r="E206" s="38"/>
      <c r="N206"/>
      <c r="O206" s="38"/>
      <c r="P206" s="38"/>
      <c r="Q206" s="38"/>
      <c r="R206" s="38"/>
    </row>
    <row r="207" spans="2:18" x14ac:dyDescent="0.2">
      <c r="B207"/>
      <c r="C207" s="38"/>
      <c r="D207" s="38"/>
      <c r="E207" s="38"/>
      <c r="N207"/>
      <c r="O207" s="38"/>
      <c r="P207" s="38"/>
      <c r="Q207" s="38"/>
      <c r="R207" s="38"/>
    </row>
    <row r="208" spans="2:18" x14ac:dyDescent="0.2">
      <c r="B208"/>
      <c r="C208" s="38"/>
      <c r="D208" s="38"/>
      <c r="E208" s="38"/>
      <c r="N208"/>
      <c r="O208" s="38"/>
      <c r="P208" s="38"/>
      <c r="Q208" s="38"/>
      <c r="R208" s="38"/>
    </row>
    <row r="209" spans="2:18" x14ac:dyDescent="0.2">
      <c r="B209"/>
      <c r="C209" s="38"/>
      <c r="D209" s="38"/>
      <c r="E209" s="38"/>
      <c r="N209"/>
      <c r="O209" s="38"/>
      <c r="P209" s="38"/>
      <c r="Q209" s="38"/>
      <c r="R209" s="38"/>
    </row>
    <row r="210" spans="2:18" x14ac:dyDescent="0.2">
      <c r="B210"/>
      <c r="C210" s="38"/>
      <c r="D210" s="38"/>
      <c r="E210" s="38"/>
      <c r="N210"/>
      <c r="O210" s="38"/>
      <c r="P210" s="38"/>
      <c r="Q210" s="38"/>
      <c r="R210" s="38"/>
    </row>
    <row r="211" spans="2:18" x14ac:dyDescent="0.2">
      <c r="B211"/>
      <c r="C211" s="38"/>
      <c r="D211" s="38"/>
      <c r="E211" s="38"/>
      <c r="N211"/>
      <c r="O211" s="38"/>
      <c r="P211" s="38"/>
      <c r="Q211" s="38"/>
      <c r="R211" s="38"/>
    </row>
    <row r="212" spans="2:18" x14ac:dyDescent="0.2">
      <c r="B212"/>
      <c r="C212" s="38"/>
      <c r="D212" s="38"/>
      <c r="E212" s="38"/>
      <c r="N212"/>
      <c r="O212" s="38"/>
      <c r="P212" s="38"/>
      <c r="Q212" s="38"/>
      <c r="R212" s="38"/>
    </row>
    <row r="213" spans="2:18" x14ac:dyDescent="0.2">
      <c r="B213"/>
      <c r="C213" s="38"/>
      <c r="D213" s="38"/>
      <c r="E213" s="38"/>
      <c r="N213"/>
      <c r="O213" s="38"/>
      <c r="P213" s="38"/>
      <c r="Q213" s="38"/>
      <c r="R213" s="38"/>
    </row>
    <row r="214" spans="2:18" x14ac:dyDescent="0.2">
      <c r="B214"/>
      <c r="C214" s="38"/>
      <c r="D214" s="38"/>
      <c r="E214" s="38"/>
      <c r="N214"/>
      <c r="O214" s="38"/>
      <c r="P214" s="38"/>
      <c r="Q214" s="38"/>
      <c r="R214" s="38"/>
    </row>
    <row r="215" spans="2:18" x14ac:dyDescent="0.2">
      <c r="B215"/>
      <c r="C215" s="38"/>
      <c r="D215" s="38"/>
      <c r="E215" s="38"/>
      <c r="N215"/>
      <c r="O215" s="38"/>
      <c r="P215" s="38"/>
      <c r="Q215" s="38"/>
      <c r="R215" s="38"/>
    </row>
    <row r="216" spans="2:18" x14ac:dyDescent="0.2">
      <c r="B216"/>
      <c r="C216" s="38"/>
      <c r="D216" s="38"/>
      <c r="E216" s="38"/>
      <c r="N216"/>
      <c r="O216" s="38"/>
      <c r="P216" s="38"/>
      <c r="Q216" s="38"/>
      <c r="R216" s="38"/>
    </row>
    <row r="217" spans="2:18" x14ac:dyDescent="0.2">
      <c r="B217"/>
      <c r="C217" s="38"/>
      <c r="D217" s="38"/>
      <c r="E217" s="38"/>
      <c r="N217"/>
      <c r="O217" s="38"/>
      <c r="P217" s="38"/>
      <c r="Q217" s="38"/>
      <c r="R217" s="38"/>
    </row>
    <row r="218" spans="2:18" x14ac:dyDescent="0.2">
      <c r="B218"/>
      <c r="C218" s="38"/>
      <c r="D218" s="38"/>
      <c r="E218" s="38"/>
      <c r="N218"/>
      <c r="O218" s="38"/>
      <c r="P218" s="38"/>
      <c r="Q218" s="38"/>
      <c r="R218" s="38"/>
    </row>
    <row r="219" spans="2:18" x14ac:dyDescent="0.2">
      <c r="B219"/>
      <c r="C219" s="38"/>
      <c r="D219" s="38"/>
      <c r="E219" s="38"/>
      <c r="N219"/>
      <c r="O219" s="38"/>
      <c r="P219" s="38"/>
      <c r="Q219" s="38"/>
      <c r="R219" s="38"/>
    </row>
    <row r="220" spans="2:18" x14ac:dyDescent="0.2">
      <c r="B220"/>
      <c r="C220" s="38"/>
      <c r="D220" s="38"/>
      <c r="E220" s="38"/>
      <c r="N220"/>
      <c r="O220" s="38"/>
      <c r="P220" s="38"/>
      <c r="Q220" s="38"/>
      <c r="R220" s="38"/>
    </row>
    <row r="221" spans="2:18" x14ac:dyDescent="0.2">
      <c r="B221"/>
      <c r="C221" s="38"/>
      <c r="D221" s="38"/>
      <c r="E221" s="38"/>
      <c r="N221"/>
      <c r="O221" s="38"/>
      <c r="P221" s="38"/>
      <c r="Q221" s="38"/>
      <c r="R221" s="38"/>
    </row>
    <row r="222" spans="2:18" x14ac:dyDescent="0.2">
      <c r="B222"/>
      <c r="C222" s="38"/>
      <c r="D222" s="38"/>
      <c r="E222" s="38"/>
      <c r="N222"/>
      <c r="O222" s="38"/>
      <c r="P222" s="38"/>
      <c r="Q222" s="38"/>
      <c r="R222" s="38"/>
    </row>
    <row r="223" spans="2:18" x14ac:dyDescent="0.2">
      <c r="B223"/>
      <c r="C223" s="38"/>
      <c r="D223" s="38"/>
      <c r="E223" s="38"/>
      <c r="N223"/>
      <c r="O223" s="38"/>
      <c r="P223" s="38"/>
      <c r="Q223" s="38"/>
      <c r="R223" s="38"/>
    </row>
    <row r="224" spans="2:18" x14ac:dyDescent="0.2">
      <c r="B224"/>
      <c r="C224" s="38"/>
      <c r="D224" s="38"/>
      <c r="E224" s="38"/>
      <c r="N224"/>
      <c r="O224" s="38"/>
      <c r="P224" s="38"/>
      <c r="Q224" s="38"/>
      <c r="R224" s="38"/>
    </row>
    <row r="225" spans="2:18" x14ac:dyDescent="0.2">
      <c r="B225"/>
      <c r="C225" s="38"/>
      <c r="D225" s="38"/>
      <c r="E225" s="38"/>
      <c r="N225"/>
      <c r="O225" s="38"/>
      <c r="P225" s="38"/>
      <c r="Q225" s="38"/>
      <c r="R225" s="38"/>
    </row>
    <row r="226" spans="2:18" x14ac:dyDescent="0.2">
      <c r="B226"/>
      <c r="C226" s="38"/>
      <c r="D226" s="38"/>
      <c r="E226" s="38"/>
      <c r="N226"/>
      <c r="O226" s="38"/>
      <c r="P226" s="38"/>
      <c r="Q226" s="38"/>
      <c r="R226" s="38"/>
    </row>
    <row r="227" spans="2:18" x14ac:dyDescent="0.2">
      <c r="B227"/>
      <c r="C227" s="38"/>
      <c r="D227" s="38"/>
      <c r="E227" s="38"/>
      <c r="N227"/>
      <c r="O227" s="38"/>
      <c r="P227" s="38"/>
      <c r="Q227" s="38"/>
      <c r="R227" s="38"/>
    </row>
    <row r="228" spans="2:18" x14ac:dyDescent="0.2">
      <c r="B228"/>
      <c r="C228" s="38"/>
      <c r="D228" s="38"/>
      <c r="E228" s="38"/>
      <c r="N228"/>
      <c r="O228" s="38"/>
      <c r="P228" s="38"/>
      <c r="Q228" s="38"/>
      <c r="R228" s="38"/>
    </row>
    <row r="229" spans="2:18" x14ac:dyDescent="0.2">
      <c r="B229"/>
      <c r="C229" s="38"/>
      <c r="D229" s="38"/>
      <c r="E229" s="38"/>
      <c r="N229"/>
      <c r="O229" s="38"/>
      <c r="P229" s="38"/>
      <c r="Q229" s="38"/>
      <c r="R229" s="38"/>
    </row>
    <row r="230" spans="2:18" x14ac:dyDescent="0.2">
      <c r="B230"/>
      <c r="C230" s="38"/>
      <c r="D230" s="38"/>
      <c r="E230" s="38"/>
      <c r="N230"/>
      <c r="O230" s="38"/>
      <c r="P230" s="38"/>
      <c r="Q230" s="38"/>
      <c r="R230" s="38"/>
    </row>
    <row r="231" spans="2:18" x14ac:dyDescent="0.2">
      <c r="B231"/>
      <c r="C231" s="38"/>
      <c r="D231" s="38"/>
      <c r="E231" s="38"/>
      <c r="N231"/>
      <c r="O231" s="38"/>
      <c r="P231" s="38"/>
      <c r="Q231" s="38"/>
      <c r="R231" s="38"/>
    </row>
    <row r="232" spans="2:18" x14ac:dyDescent="0.2">
      <c r="B232"/>
      <c r="C232" s="38"/>
      <c r="D232" s="38"/>
      <c r="E232" s="38"/>
      <c r="N232"/>
      <c r="O232" s="38"/>
      <c r="P232" s="38"/>
      <c r="Q232" s="38"/>
      <c r="R232" s="38"/>
    </row>
    <row r="233" spans="2:18" x14ac:dyDescent="0.2">
      <c r="B233"/>
      <c r="C233" s="38"/>
      <c r="D233" s="38"/>
      <c r="E233" s="38"/>
      <c r="N233"/>
      <c r="O233" s="38"/>
      <c r="P233" s="38"/>
      <c r="Q233" s="38"/>
      <c r="R233" s="38"/>
    </row>
    <row r="234" spans="2:18" x14ac:dyDescent="0.2">
      <c r="B234"/>
      <c r="C234" s="38"/>
      <c r="D234" s="38"/>
      <c r="E234" s="38"/>
      <c r="N234"/>
      <c r="O234" s="38"/>
      <c r="P234" s="38"/>
      <c r="Q234" s="38"/>
      <c r="R234" s="38"/>
    </row>
    <row r="235" spans="2:18" x14ac:dyDescent="0.2">
      <c r="B235"/>
      <c r="C235" s="38"/>
      <c r="D235" s="38"/>
      <c r="E235" s="38"/>
      <c r="N235"/>
      <c r="O235" s="38"/>
      <c r="P235" s="38"/>
      <c r="Q235" s="38"/>
      <c r="R235" s="38"/>
    </row>
    <row r="236" spans="2:18" x14ac:dyDescent="0.2">
      <c r="B236"/>
      <c r="C236" s="38"/>
      <c r="D236" s="38"/>
      <c r="E236" s="38"/>
      <c r="N236"/>
      <c r="O236" s="38"/>
      <c r="P236" s="38"/>
      <c r="Q236" s="38"/>
      <c r="R236" s="38"/>
    </row>
    <row r="237" spans="2:18" x14ac:dyDescent="0.2">
      <c r="B237"/>
      <c r="C237" s="38"/>
      <c r="D237" s="38"/>
      <c r="E237" s="38"/>
      <c r="N237"/>
      <c r="O237" s="38"/>
      <c r="P237" s="38"/>
      <c r="Q237" s="38"/>
      <c r="R237" s="38"/>
    </row>
    <row r="238" spans="2:18" x14ac:dyDescent="0.2">
      <c r="B238"/>
      <c r="C238" s="38"/>
      <c r="D238" s="38"/>
      <c r="E238" s="38"/>
      <c r="N238"/>
      <c r="O238" s="38"/>
      <c r="P238" s="38"/>
      <c r="Q238" s="38"/>
      <c r="R238" s="38"/>
    </row>
    <row r="239" spans="2:18" x14ac:dyDescent="0.2">
      <c r="B239"/>
      <c r="C239" s="38"/>
      <c r="D239" s="38"/>
      <c r="E239" s="38"/>
      <c r="N239"/>
      <c r="O239" s="38"/>
      <c r="P239" s="38"/>
      <c r="Q239" s="38"/>
      <c r="R239" s="38"/>
    </row>
    <row r="240" spans="2:18" x14ac:dyDescent="0.2">
      <c r="B240"/>
      <c r="C240" s="38"/>
      <c r="D240" s="38"/>
      <c r="E240" s="38"/>
      <c r="N240"/>
      <c r="O240" s="38"/>
      <c r="P240" s="38"/>
      <c r="Q240" s="38"/>
      <c r="R240" s="38"/>
    </row>
    <row r="241" spans="2:18" x14ac:dyDescent="0.2">
      <c r="B241"/>
      <c r="C241" s="38"/>
      <c r="D241" s="38"/>
      <c r="E241" s="38"/>
      <c r="N241"/>
      <c r="O241" s="38"/>
      <c r="P241" s="38"/>
      <c r="Q241" s="38"/>
      <c r="R241" s="38"/>
    </row>
    <row r="242" spans="2:18" x14ac:dyDescent="0.2">
      <c r="B242"/>
      <c r="C242" s="38"/>
      <c r="D242" s="38"/>
      <c r="E242" s="38"/>
      <c r="N242"/>
      <c r="O242" s="38"/>
      <c r="P242" s="38"/>
      <c r="Q242" s="38"/>
      <c r="R242" s="38"/>
    </row>
    <row r="243" spans="2:18" x14ac:dyDescent="0.2">
      <c r="B243"/>
      <c r="C243" s="38"/>
      <c r="D243" s="38"/>
      <c r="E243" s="38"/>
      <c r="N243"/>
      <c r="O243" s="38"/>
      <c r="P243" s="38"/>
      <c r="Q243" s="38"/>
      <c r="R243" s="38"/>
    </row>
    <row r="244" spans="2:18" x14ac:dyDescent="0.2">
      <c r="B244"/>
      <c r="C244" s="38"/>
      <c r="D244" s="38"/>
      <c r="E244" s="38"/>
      <c r="N244"/>
      <c r="O244" s="38"/>
      <c r="P244" s="38"/>
      <c r="Q244" s="38"/>
      <c r="R244" s="38"/>
    </row>
    <row r="245" spans="2:18" x14ac:dyDescent="0.2">
      <c r="B245"/>
      <c r="C245" s="38"/>
      <c r="D245" s="38"/>
      <c r="E245" s="38"/>
      <c r="N245"/>
      <c r="O245" s="38"/>
      <c r="P245" s="38"/>
      <c r="Q245" s="38"/>
      <c r="R245" s="38"/>
    </row>
    <row r="246" spans="2:18" x14ac:dyDescent="0.2">
      <c r="B246"/>
      <c r="C246" s="38"/>
      <c r="D246" s="38"/>
      <c r="E246" s="38"/>
      <c r="N246"/>
      <c r="O246" s="38"/>
      <c r="P246" s="38"/>
      <c r="Q246" s="38"/>
      <c r="R246" s="38"/>
    </row>
    <row r="247" spans="2:18" x14ac:dyDescent="0.2">
      <c r="B247"/>
      <c r="C247" s="38"/>
      <c r="D247" s="38"/>
      <c r="E247" s="38"/>
      <c r="N247"/>
      <c r="O247" s="38"/>
      <c r="P247" s="38"/>
      <c r="Q247" s="38"/>
      <c r="R247" s="38"/>
    </row>
    <row r="248" spans="2:18" x14ac:dyDescent="0.2">
      <c r="B248"/>
      <c r="C248" s="38"/>
      <c r="D248" s="38"/>
      <c r="E248" s="38"/>
      <c r="N248"/>
      <c r="O248" s="38"/>
      <c r="P248" s="38"/>
      <c r="Q248" s="38"/>
      <c r="R248" s="38"/>
    </row>
    <row r="249" spans="2:18" x14ac:dyDescent="0.2">
      <c r="B249"/>
      <c r="C249" s="38"/>
      <c r="D249" s="38"/>
      <c r="E249" s="38"/>
      <c r="N249"/>
      <c r="O249" s="38"/>
      <c r="P249" s="38"/>
      <c r="Q249" s="38"/>
      <c r="R249" s="38"/>
    </row>
    <row r="250" spans="2:18" x14ac:dyDescent="0.2">
      <c r="B250"/>
      <c r="C250" s="38"/>
      <c r="D250" s="38"/>
      <c r="E250" s="38"/>
      <c r="N250"/>
      <c r="O250" s="38"/>
      <c r="P250" s="38"/>
      <c r="Q250" s="38"/>
      <c r="R250" s="38"/>
    </row>
    <row r="251" spans="2:18" x14ac:dyDescent="0.2">
      <c r="B251"/>
      <c r="C251" s="38"/>
      <c r="D251" s="38"/>
      <c r="E251" s="38"/>
      <c r="N251"/>
      <c r="O251" s="38"/>
      <c r="P251" s="38"/>
      <c r="Q251" s="38"/>
      <c r="R251" s="38"/>
    </row>
    <row r="252" spans="2:18" x14ac:dyDescent="0.2">
      <c r="B252"/>
      <c r="C252" s="38"/>
      <c r="D252" s="38"/>
      <c r="E252" s="38"/>
      <c r="N252"/>
      <c r="O252" s="38"/>
      <c r="P252" s="38"/>
      <c r="Q252" s="38"/>
      <c r="R252" s="38"/>
    </row>
    <row r="253" spans="2:18" x14ac:dyDescent="0.2">
      <c r="B253"/>
      <c r="C253" s="38"/>
      <c r="D253" s="38"/>
      <c r="E253" s="38"/>
      <c r="N253"/>
      <c r="O253" s="38"/>
      <c r="P253" s="38"/>
      <c r="Q253" s="38"/>
      <c r="R253" s="38"/>
    </row>
    <row r="254" spans="2:18" x14ac:dyDescent="0.2">
      <c r="B254"/>
      <c r="C254" s="38"/>
      <c r="D254" s="38"/>
      <c r="E254" s="38"/>
      <c r="N254"/>
      <c r="O254" s="38"/>
      <c r="P254" s="38"/>
      <c r="Q254" s="38"/>
      <c r="R254" s="38"/>
    </row>
    <row r="255" spans="2:18" x14ac:dyDescent="0.2">
      <c r="B255"/>
      <c r="C255" s="38"/>
      <c r="D255" s="38"/>
      <c r="E255" s="38"/>
      <c r="N255"/>
      <c r="O255" s="38"/>
      <c r="P255" s="38"/>
      <c r="Q255" s="38"/>
      <c r="R255" s="38"/>
    </row>
    <row r="256" spans="2:18" x14ac:dyDescent="0.2">
      <c r="B256"/>
      <c r="C256" s="38"/>
      <c r="D256" s="38"/>
      <c r="E256" s="38"/>
      <c r="N256"/>
      <c r="O256" s="38"/>
      <c r="P256" s="38"/>
      <c r="Q256" s="38"/>
      <c r="R256" s="38"/>
    </row>
    <row r="257" spans="2:18" x14ac:dyDescent="0.2">
      <c r="B257"/>
      <c r="C257" s="38"/>
      <c r="D257" s="38"/>
      <c r="E257" s="38"/>
      <c r="N257"/>
      <c r="O257" s="38"/>
      <c r="P257" s="38"/>
      <c r="Q257" s="38"/>
      <c r="R257" s="38"/>
    </row>
    <row r="258" spans="2:18" x14ac:dyDescent="0.2">
      <c r="B258"/>
      <c r="C258" s="38"/>
      <c r="D258" s="38"/>
      <c r="E258" s="38"/>
      <c r="N258"/>
      <c r="O258" s="38"/>
      <c r="P258" s="38"/>
      <c r="Q258" s="38"/>
      <c r="R258" s="38"/>
    </row>
    <row r="259" spans="2:18" x14ac:dyDescent="0.2">
      <c r="B259"/>
      <c r="C259" s="38"/>
      <c r="D259" s="38"/>
      <c r="E259" s="38"/>
      <c r="N259"/>
      <c r="O259" s="38"/>
      <c r="P259" s="38"/>
      <c r="Q259" s="38"/>
      <c r="R259" s="38"/>
    </row>
    <row r="260" spans="2:18" x14ac:dyDescent="0.2">
      <c r="B260"/>
      <c r="C260" s="38"/>
      <c r="D260" s="38"/>
      <c r="E260" s="38"/>
      <c r="N260"/>
      <c r="O260" s="38"/>
      <c r="P260" s="38"/>
      <c r="Q260" s="38"/>
      <c r="R260" s="38"/>
    </row>
    <row r="261" spans="2:18" x14ac:dyDescent="0.2">
      <c r="B261"/>
      <c r="C261" s="38"/>
      <c r="D261" s="38"/>
      <c r="E261" s="38"/>
      <c r="N261"/>
      <c r="O261" s="38"/>
      <c r="P261" s="38"/>
      <c r="Q261" s="38"/>
      <c r="R261" s="38"/>
    </row>
    <row r="262" spans="2:18" x14ac:dyDescent="0.2">
      <c r="B262"/>
      <c r="C262" s="38"/>
      <c r="D262" s="38"/>
      <c r="E262" s="38"/>
      <c r="N262"/>
      <c r="O262" s="38"/>
      <c r="P262" s="38"/>
      <c r="Q262" s="38"/>
      <c r="R262" s="38"/>
    </row>
    <row r="263" spans="2:18" x14ac:dyDescent="0.2">
      <c r="B263"/>
      <c r="C263" s="38"/>
      <c r="D263" s="38"/>
      <c r="E263" s="38"/>
      <c r="N263"/>
      <c r="O263" s="38"/>
      <c r="P263" s="38"/>
      <c r="Q263" s="38"/>
      <c r="R263" s="38"/>
    </row>
    <row r="264" spans="2:18" x14ac:dyDescent="0.2">
      <c r="B264"/>
      <c r="C264" s="38"/>
      <c r="D264" s="38"/>
      <c r="E264" s="38"/>
      <c r="N264"/>
      <c r="O264" s="38"/>
      <c r="P264" s="38"/>
      <c r="Q264" s="38"/>
      <c r="R264" s="38"/>
    </row>
    <row r="265" spans="2:18" x14ac:dyDescent="0.2">
      <c r="B265"/>
      <c r="C265" s="38"/>
      <c r="D265" s="38"/>
      <c r="E265" s="38"/>
      <c r="N265"/>
      <c r="O265" s="38"/>
      <c r="P265" s="38"/>
      <c r="Q265" s="38"/>
      <c r="R265" s="38"/>
    </row>
    <row r="266" spans="2:18" x14ac:dyDescent="0.2">
      <c r="B266"/>
      <c r="C266" s="38"/>
      <c r="D266" s="38"/>
      <c r="E266" s="38"/>
      <c r="N266"/>
      <c r="O266" s="38"/>
      <c r="P266" s="38"/>
      <c r="Q266" s="38"/>
      <c r="R266" s="38"/>
    </row>
    <row r="267" spans="2:18" x14ac:dyDescent="0.2">
      <c r="B267"/>
      <c r="C267" s="38"/>
      <c r="D267" s="38"/>
      <c r="E267" s="38"/>
      <c r="N267"/>
      <c r="O267" s="38"/>
      <c r="P267" s="38"/>
      <c r="Q267" s="38"/>
      <c r="R267" s="38"/>
    </row>
    <row r="268" spans="2:18" x14ac:dyDescent="0.2">
      <c r="B268"/>
      <c r="C268" s="38"/>
      <c r="D268" s="38"/>
      <c r="E268" s="38"/>
      <c r="N268"/>
      <c r="O268" s="38"/>
      <c r="P268" s="38"/>
      <c r="Q268" s="38"/>
      <c r="R268" s="38"/>
    </row>
    <row r="269" spans="2:18" x14ac:dyDescent="0.2">
      <c r="B269"/>
      <c r="C269" s="38"/>
      <c r="D269" s="38"/>
      <c r="E269" s="38"/>
      <c r="N269"/>
      <c r="O269" s="38"/>
      <c r="P269" s="38"/>
      <c r="Q269" s="38"/>
      <c r="R269" s="38"/>
    </row>
    <row r="270" spans="2:18" x14ac:dyDescent="0.2">
      <c r="B270"/>
      <c r="C270" s="38"/>
      <c r="D270" s="38"/>
      <c r="E270" s="38"/>
      <c r="N270"/>
      <c r="O270" s="38"/>
      <c r="P270" s="38"/>
      <c r="Q270" s="38"/>
      <c r="R270" s="38"/>
    </row>
    <row r="271" spans="2:18" x14ac:dyDescent="0.2">
      <c r="B271"/>
      <c r="C271" s="38"/>
      <c r="D271" s="38"/>
      <c r="E271" s="38"/>
      <c r="N271"/>
      <c r="O271" s="38"/>
      <c r="P271" s="38"/>
      <c r="Q271" s="38"/>
      <c r="R271" s="38"/>
    </row>
    <row r="272" spans="2:18" x14ac:dyDescent="0.2">
      <c r="B272"/>
      <c r="C272" s="38"/>
      <c r="D272" s="38"/>
      <c r="E272" s="38"/>
      <c r="N272"/>
      <c r="O272" s="38"/>
      <c r="P272" s="38"/>
      <c r="Q272" s="38"/>
      <c r="R272" s="38"/>
    </row>
    <row r="273" spans="2:18" x14ac:dyDescent="0.2">
      <c r="B273"/>
      <c r="C273" s="38"/>
      <c r="D273" s="38"/>
      <c r="E273" s="38"/>
      <c r="N273"/>
      <c r="O273" s="38"/>
      <c r="P273" s="38"/>
      <c r="Q273" s="38"/>
      <c r="R273" s="38"/>
    </row>
    <row r="274" spans="2:18" x14ac:dyDescent="0.2">
      <c r="B274"/>
      <c r="C274" s="38"/>
      <c r="D274" s="38"/>
      <c r="E274" s="38"/>
      <c r="N274"/>
      <c r="O274" s="38"/>
      <c r="P274" s="38"/>
      <c r="Q274" s="38"/>
      <c r="R274" s="38"/>
    </row>
    <row r="275" spans="2:18" x14ac:dyDescent="0.2">
      <c r="B275"/>
      <c r="C275" s="38"/>
      <c r="D275" s="38"/>
      <c r="E275" s="38"/>
      <c r="N275"/>
      <c r="O275" s="38"/>
      <c r="P275" s="38"/>
      <c r="Q275" s="38"/>
      <c r="R275" s="38"/>
    </row>
    <row r="276" spans="2:18" x14ac:dyDescent="0.2">
      <c r="B276"/>
      <c r="C276" s="38"/>
      <c r="D276" s="38"/>
      <c r="E276" s="38"/>
      <c r="N276"/>
      <c r="O276" s="38"/>
      <c r="P276" s="38"/>
      <c r="Q276" s="38"/>
      <c r="R276" s="38"/>
    </row>
    <row r="277" spans="2:18" x14ac:dyDescent="0.2">
      <c r="B277"/>
      <c r="C277" s="38"/>
      <c r="D277" s="38"/>
      <c r="E277" s="38"/>
      <c r="N277"/>
      <c r="O277" s="38"/>
      <c r="P277" s="38"/>
      <c r="Q277" s="38"/>
      <c r="R277" s="38"/>
    </row>
    <row r="278" spans="2:18" x14ac:dyDescent="0.2">
      <c r="B278"/>
      <c r="C278" s="38"/>
      <c r="D278" s="38"/>
      <c r="E278" s="38"/>
      <c r="N278"/>
      <c r="O278" s="38"/>
      <c r="P278" s="38"/>
      <c r="Q278" s="38"/>
      <c r="R278" s="38"/>
    </row>
    <row r="279" spans="2:18" x14ac:dyDescent="0.2">
      <c r="B279"/>
      <c r="C279" s="38"/>
      <c r="D279" s="38"/>
      <c r="E279" s="38"/>
      <c r="N279"/>
      <c r="O279" s="38"/>
      <c r="P279" s="38"/>
      <c r="Q279" s="38"/>
      <c r="R279" s="38"/>
    </row>
    <row r="280" spans="2:18" x14ac:dyDescent="0.2">
      <c r="B280"/>
      <c r="C280" s="38"/>
      <c r="D280" s="38"/>
      <c r="E280" s="38"/>
      <c r="N280"/>
      <c r="O280" s="38"/>
      <c r="P280" s="38"/>
      <c r="Q280" s="38"/>
      <c r="R280" s="38"/>
    </row>
    <row r="281" spans="2:18" x14ac:dyDescent="0.2">
      <c r="B281"/>
      <c r="C281" s="38"/>
      <c r="D281" s="38"/>
      <c r="E281" s="38"/>
      <c r="N281"/>
      <c r="O281" s="38"/>
      <c r="P281" s="38"/>
      <c r="Q281" s="38"/>
      <c r="R281" s="38"/>
    </row>
    <row r="282" spans="2:18" x14ac:dyDescent="0.2">
      <c r="B282"/>
      <c r="C282" s="38"/>
      <c r="D282" s="38"/>
      <c r="E282" s="38"/>
      <c r="N282"/>
      <c r="O282" s="38"/>
      <c r="P282" s="38"/>
      <c r="Q282" s="38"/>
      <c r="R282" s="38"/>
    </row>
    <row r="283" spans="2:18" x14ac:dyDescent="0.2">
      <c r="B283"/>
      <c r="C283" s="38"/>
      <c r="D283" s="38"/>
      <c r="E283" s="38"/>
      <c r="N283"/>
      <c r="O283" s="38"/>
      <c r="P283" s="38"/>
      <c r="Q283" s="38"/>
      <c r="R283" s="38"/>
    </row>
    <row r="284" spans="2:18" x14ac:dyDescent="0.2">
      <c r="B284"/>
      <c r="C284" s="38"/>
      <c r="D284" s="38"/>
      <c r="E284" s="38"/>
      <c r="N284"/>
      <c r="O284" s="38"/>
      <c r="P284" s="38"/>
      <c r="Q284" s="38"/>
      <c r="R284" s="38"/>
    </row>
    <row r="285" spans="2:18" x14ac:dyDescent="0.2">
      <c r="B285"/>
      <c r="C285" s="38"/>
      <c r="D285" s="38"/>
      <c r="E285" s="38"/>
      <c r="N285"/>
      <c r="O285" s="38"/>
      <c r="P285" s="38"/>
      <c r="Q285" s="38"/>
      <c r="R285" s="38"/>
    </row>
    <row r="286" spans="2:18" x14ac:dyDescent="0.2">
      <c r="B286"/>
      <c r="C286" s="38"/>
      <c r="D286" s="38"/>
      <c r="E286" s="38"/>
      <c r="N286"/>
      <c r="O286" s="38"/>
      <c r="P286" s="38"/>
      <c r="Q286" s="38"/>
      <c r="R286" s="38"/>
    </row>
    <row r="287" spans="2:18" x14ac:dyDescent="0.2">
      <c r="B287"/>
      <c r="C287" s="38"/>
      <c r="D287" s="38"/>
      <c r="E287" s="38"/>
      <c r="N287"/>
      <c r="O287" s="38"/>
      <c r="P287" s="38"/>
      <c r="Q287" s="38"/>
      <c r="R287" s="38"/>
    </row>
    <row r="288" spans="2:18" x14ac:dyDescent="0.2">
      <c r="B288"/>
      <c r="C288" s="38"/>
      <c r="D288" s="38"/>
      <c r="E288" s="38"/>
      <c r="N288"/>
      <c r="O288" s="38"/>
      <c r="P288" s="38"/>
      <c r="Q288" s="38"/>
      <c r="R288" s="38"/>
    </row>
    <row r="289" spans="2:18" x14ac:dyDescent="0.2">
      <c r="B289"/>
      <c r="C289" s="38"/>
      <c r="D289" s="38"/>
      <c r="E289" s="38"/>
      <c r="N289"/>
      <c r="O289" s="38"/>
      <c r="P289" s="38"/>
      <c r="Q289" s="38"/>
      <c r="R289" s="38"/>
    </row>
    <row r="290" spans="2:18" x14ac:dyDescent="0.2">
      <c r="B290"/>
      <c r="C290" s="38"/>
      <c r="D290" s="38"/>
      <c r="E290" s="38"/>
      <c r="N290"/>
      <c r="O290" s="38"/>
      <c r="P290" s="38"/>
      <c r="Q290" s="38"/>
      <c r="R290" s="38"/>
    </row>
    <row r="291" spans="2:18" x14ac:dyDescent="0.2">
      <c r="B291"/>
      <c r="C291" s="38"/>
      <c r="D291" s="38"/>
      <c r="E291" s="38"/>
      <c r="N291"/>
      <c r="O291" s="38"/>
      <c r="P291" s="38"/>
      <c r="Q291" s="38"/>
      <c r="R291" s="38"/>
    </row>
    <row r="292" spans="2:18" x14ac:dyDescent="0.2">
      <c r="B292"/>
      <c r="C292" s="38"/>
      <c r="D292" s="38"/>
      <c r="E292" s="38"/>
      <c r="N292"/>
      <c r="O292" s="38"/>
      <c r="P292" s="38"/>
      <c r="Q292" s="38"/>
      <c r="R292" s="38"/>
    </row>
    <row r="293" spans="2:18" x14ac:dyDescent="0.2">
      <c r="B293"/>
      <c r="C293" s="38"/>
      <c r="D293" s="38"/>
      <c r="E293" s="38"/>
      <c r="N293"/>
      <c r="O293" s="38"/>
      <c r="P293" s="38"/>
      <c r="Q293" s="38"/>
      <c r="R293" s="38"/>
    </row>
    <row r="294" spans="2:18" x14ac:dyDescent="0.2">
      <c r="B294"/>
      <c r="C294" s="38"/>
      <c r="D294" s="38"/>
      <c r="E294" s="38"/>
      <c r="N294"/>
      <c r="O294" s="38"/>
      <c r="P294" s="38"/>
      <c r="Q294" s="38"/>
      <c r="R294" s="38"/>
    </row>
    <row r="295" spans="2:18" x14ac:dyDescent="0.2">
      <c r="B295"/>
      <c r="C295" s="38"/>
      <c r="D295" s="38"/>
      <c r="E295" s="38"/>
      <c r="N295"/>
      <c r="O295" s="38"/>
      <c r="P295" s="38"/>
      <c r="Q295" s="38"/>
      <c r="R295" s="38"/>
    </row>
    <row r="296" spans="2:18" x14ac:dyDescent="0.2">
      <c r="B296"/>
      <c r="C296" s="38"/>
      <c r="D296" s="38"/>
      <c r="E296" s="38"/>
      <c r="N296"/>
      <c r="O296" s="38"/>
      <c r="P296" s="38"/>
      <c r="Q296" s="38"/>
      <c r="R296" s="38"/>
    </row>
    <row r="297" spans="2:18" x14ac:dyDescent="0.2">
      <c r="B297"/>
      <c r="C297" s="38"/>
      <c r="D297" s="38"/>
      <c r="E297" s="38"/>
      <c r="N297"/>
      <c r="O297" s="38"/>
      <c r="P297" s="38"/>
      <c r="Q297" s="38"/>
      <c r="R297" s="38"/>
    </row>
    <row r="298" spans="2:18" x14ac:dyDescent="0.2">
      <c r="B298"/>
      <c r="C298" s="38"/>
      <c r="D298" s="38"/>
      <c r="E298" s="38"/>
      <c r="N298"/>
      <c r="O298" s="38"/>
      <c r="P298" s="38"/>
      <c r="Q298" s="38"/>
      <c r="R298" s="38"/>
    </row>
    <row r="299" spans="2:18" x14ac:dyDescent="0.2">
      <c r="B299"/>
      <c r="C299" s="38"/>
      <c r="D299" s="38"/>
      <c r="E299" s="38"/>
      <c r="N299"/>
      <c r="O299" s="38"/>
      <c r="P299" s="38"/>
      <c r="Q299" s="38"/>
      <c r="R299" s="38"/>
    </row>
    <row r="300" spans="2:18" x14ac:dyDescent="0.2">
      <c r="B300"/>
      <c r="C300" s="38"/>
      <c r="D300" s="38"/>
      <c r="E300" s="38"/>
      <c r="N300"/>
      <c r="O300" s="38"/>
      <c r="P300" s="38"/>
      <c r="Q300" s="38"/>
      <c r="R300" s="38"/>
    </row>
    <row r="301" spans="2:18" x14ac:dyDescent="0.2">
      <c r="B301"/>
      <c r="C301" s="38"/>
      <c r="D301" s="38"/>
      <c r="E301" s="38"/>
      <c r="N301"/>
      <c r="O301" s="38"/>
      <c r="P301" s="38"/>
      <c r="Q301" s="38"/>
      <c r="R301" s="38"/>
    </row>
    <row r="302" spans="2:18" x14ac:dyDescent="0.2">
      <c r="B302"/>
      <c r="C302" s="38"/>
      <c r="D302" s="38"/>
      <c r="E302" s="38"/>
      <c r="N302"/>
      <c r="O302" s="38"/>
      <c r="P302" s="38"/>
      <c r="Q302" s="38"/>
      <c r="R302" s="38"/>
    </row>
    <row r="303" spans="2:18" x14ac:dyDescent="0.2">
      <c r="B303"/>
      <c r="C303" s="38"/>
      <c r="D303" s="38"/>
      <c r="E303" s="38"/>
      <c r="N303"/>
      <c r="O303" s="38"/>
      <c r="P303" s="38"/>
      <c r="Q303" s="38"/>
      <c r="R303" s="38"/>
    </row>
    <row r="304" spans="2:18" x14ac:dyDescent="0.2">
      <c r="B304"/>
      <c r="C304" s="38"/>
      <c r="D304" s="38"/>
      <c r="E304" s="38"/>
      <c r="N304"/>
      <c r="O304" s="38"/>
      <c r="P304" s="38"/>
      <c r="Q304" s="38"/>
      <c r="R304" s="38"/>
    </row>
    <row r="305" spans="2:18" x14ac:dyDescent="0.2">
      <c r="B305"/>
      <c r="C305" s="38"/>
      <c r="D305" s="38"/>
      <c r="E305" s="38"/>
      <c r="N305"/>
      <c r="O305" s="38"/>
      <c r="P305" s="38"/>
      <c r="Q305" s="38"/>
      <c r="R305" s="38"/>
    </row>
    <row r="306" spans="2:18" x14ac:dyDescent="0.2">
      <c r="B306"/>
      <c r="C306" s="38"/>
      <c r="D306" s="38"/>
      <c r="E306" s="38"/>
      <c r="N306"/>
      <c r="O306" s="38"/>
      <c r="P306" s="38"/>
      <c r="Q306" s="38"/>
      <c r="R306" s="38"/>
    </row>
    <row r="307" spans="2:18" x14ac:dyDescent="0.2">
      <c r="B307"/>
      <c r="C307" s="38"/>
      <c r="D307" s="38"/>
      <c r="E307" s="38"/>
      <c r="N307"/>
      <c r="O307" s="38"/>
      <c r="P307" s="38"/>
      <c r="Q307" s="38"/>
      <c r="R307" s="38"/>
    </row>
    <row r="308" spans="2:18" x14ac:dyDescent="0.2">
      <c r="B308"/>
      <c r="C308" s="38"/>
      <c r="D308" s="38"/>
      <c r="E308" s="38"/>
      <c r="N308"/>
      <c r="O308" s="38"/>
      <c r="P308" s="38"/>
      <c r="Q308" s="38"/>
      <c r="R308" s="38"/>
    </row>
    <row r="309" spans="2:18" x14ac:dyDescent="0.2">
      <c r="B309"/>
      <c r="C309" s="38"/>
      <c r="D309" s="38"/>
      <c r="E309" s="38"/>
      <c r="N309"/>
      <c r="O309" s="38"/>
      <c r="P309" s="38"/>
      <c r="Q309" s="38"/>
      <c r="R309" s="38"/>
    </row>
    <row r="310" spans="2:18" x14ac:dyDescent="0.2">
      <c r="B310"/>
      <c r="C310" s="38"/>
      <c r="D310" s="38"/>
      <c r="E310" s="38"/>
      <c r="N310"/>
      <c r="O310" s="38"/>
      <c r="P310" s="38"/>
      <c r="Q310" s="38"/>
      <c r="R310" s="38"/>
    </row>
    <row r="311" spans="2:18" x14ac:dyDescent="0.2">
      <c r="B311"/>
      <c r="C311" s="38"/>
      <c r="D311" s="38"/>
      <c r="E311" s="38"/>
      <c r="N311"/>
      <c r="O311" s="38"/>
      <c r="P311" s="38"/>
      <c r="Q311" s="38"/>
      <c r="R311" s="38"/>
    </row>
    <row r="312" spans="2:18" x14ac:dyDescent="0.2">
      <c r="B312"/>
      <c r="C312" s="38"/>
      <c r="D312" s="38"/>
      <c r="E312" s="38"/>
      <c r="N312"/>
      <c r="O312" s="38"/>
      <c r="P312" s="38"/>
      <c r="Q312" s="38"/>
      <c r="R312" s="38"/>
    </row>
    <row r="313" spans="2:18" x14ac:dyDescent="0.2">
      <c r="B313"/>
      <c r="C313" s="38"/>
      <c r="D313" s="38"/>
      <c r="E313" s="38"/>
      <c r="N313"/>
      <c r="O313" s="38"/>
      <c r="P313" s="38"/>
      <c r="Q313" s="38"/>
      <c r="R313" s="38"/>
    </row>
    <row r="314" spans="2:18" x14ac:dyDescent="0.2">
      <c r="B314"/>
      <c r="C314" s="38"/>
      <c r="D314" s="38"/>
      <c r="E314" s="38"/>
      <c r="N314"/>
      <c r="O314" s="38"/>
      <c r="P314" s="38"/>
      <c r="Q314" s="38"/>
      <c r="R314" s="38"/>
    </row>
    <row r="315" spans="2:18" x14ac:dyDescent="0.2">
      <c r="B315"/>
      <c r="C315" s="38"/>
      <c r="D315" s="38"/>
      <c r="E315" s="38"/>
      <c r="N315"/>
      <c r="O315" s="38"/>
      <c r="P315" s="38"/>
      <c r="Q315" s="38"/>
      <c r="R315" s="38"/>
    </row>
    <row r="316" spans="2:18" x14ac:dyDescent="0.2">
      <c r="B316"/>
      <c r="C316" s="38"/>
      <c r="D316" s="38"/>
      <c r="E316" s="38"/>
      <c r="N316"/>
      <c r="O316" s="38"/>
      <c r="P316" s="38"/>
      <c r="Q316" s="38"/>
      <c r="R316" s="38"/>
    </row>
    <row r="317" spans="2:18" x14ac:dyDescent="0.2">
      <c r="B317"/>
      <c r="C317" s="38"/>
      <c r="D317" s="38"/>
      <c r="E317" s="38"/>
      <c r="N317"/>
      <c r="O317" s="38"/>
      <c r="P317" s="38"/>
      <c r="Q317" s="38"/>
      <c r="R317" s="38"/>
    </row>
    <row r="318" spans="2:18" x14ac:dyDescent="0.2">
      <c r="B318"/>
      <c r="C318" s="38"/>
      <c r="D318" s="38"/>
      <c r="E318" s="38"/>
      <c r="N318"/>
      <c r="O318" s="38"/>
      <c r="P318" s="38"/>
      <c r="Q318" s="38"/>
      <c r="R318" s="38"/>
    </row>
    <row r="319" spans="2:18" x14ac:dyDescent="0.2">
      <c r="B319"/>
      <c r="C319" s="38"/>
      <c r="D319" s="38"/>
      <c r="E319" s="38"/>
      <c r="N319"/>
      <c r="O319" s="38"/>
      <c r="P319" s="38"/>
      <c r="Q319" s="38"/>
      <c r="R319" s="38"/>
    </row>
    <row r="320" spans="2:18" x14ac:dyDescent="0.2">
      <c r="B320"/>
      <c r="C320" s="38"/>
      <c r="D320" s="38"/>
      <c r="E320" s="38"/>
      <c r="N320"/>
      <c r="O320" s="38"/>
      <c r="P320" s="38"/>
      <c r="Q320" s="38"/>
      <c r="R320" s="38"/>
    </row>
    <row r="321" spans="2:18" x14ac:dyDescent="0.2">
      <c r="B321"/>
      <c r="C321" s="38"/>
      <c r="D321" s="38"/>
      <c r="E321" s="38"/>
      <c r="N321"/>
      <c r="O321" s="38"/>
      <c r="P321" s="38"/>
      <c r="Q321" s="38"/>
      <c r="R321" s="38"/>
    </row>
    <row r="322" spans="2:18" x14ac:dyDescent="0.2">
      <c r="B322"/>
      <c r="C322" s="38"/>
      <c r="D322" s="38"/>
      <c r="E322" s="38"/>
      <c r="N322"/>
      <c r="O322" s="38"/>
      <c r="P322" s="38"/>
      <c r="Q322" s="38"/>
      <c r="R322" s="38"/>
    </row>
    <row r="323" spans="2:18" x14ac:dyDescent="0.2">
      <c r="B323"/>
      <c r="C323" s="38"/>
      <c r="D323" s="38"/>
      <c r="E323" s="38"/>
      <c r="N323"/>
      <c r="O323" s="38"/>
      <c r="P323" s="38"/>
      <c r="Q323" s="38"/>
      <c r="R323" s="38"/>
    </row>
    <row r="324" spans="2:18" x14ac:dyDescent="0.2">
      <c r="B324"/>
      <c r="C324" s="38"/>
      <c r="D324" s="38"/>
      <c r="E324" s="38"/>
      <c r="N324"/>
      <c r="O324" s="38"/>
      <c r="P324" s="38"/>
      <c r="Q324" s="38"/>
      <c r="R324" s="38"/>
    </row>
    <row r="325" spans="2:18" x14ac:dyDescent="0.2">
      <c r="B325"/>
      <c r="C325" s="38"/>
      <c r="D325" s="38"/>
      <c r="E325" s="38"/>
      <c r="N325"/>
      <c r="O325" s="38"/>
      <c r="P325" s="38"/>
      <c r="Q325" s="38"/>
      <c r="R325" s="38"/>
    </row>
    <row r="326" spans="2:18" x14ac:dyDescent="0.2">
      <c r="B326"/>
      <c r="C326" s="38"/>
      <c r="D326" s="38"/>
      <c r="E326" s="38"/>
      <c r="N326"/>
      <c r="O326" s="38"/>
      <c r="P326" s="38"/>
      <c r="Q326" s="38"/>
      <c r="R326" s="38"/>
    </row>
    <row r="327" spans="2:18" x14ac:dyDescent="0.2">
      <c r="B327"/>
      <c r="C327" s="38"/>
      <c r="D327" s="38"/>
      <c r="E327" s="38"/>
      <c r="N327"/>
      <c r="O327" s="38"/>
      <c r="P327" s="38"/>
      <c r="Q327" s="38"/>
      <c r="R327" s="38"/>
    </row>
    <row r="328" spans="2:18" x14ac:dyDescent="0.2">
      <c r="B328"/>
      <c r="C328" s="38"/>
      <c r="D328" s="38"/>
      <c r="E328" s="38"/>
      <c r="N328"/>
      <c r="O328" s="38"/>
      <c r="P328" s="38"/>
      <c r="Q328" s="38"/>
      <c r="R328" s="38"/>
    </row>
    <row r="329" spans="2:18" x14ac:dyDescent="0.2">
      <c r="B329"/>
      <c r="C329" s="38"/>
      <c r="D329" s="38"/>
      <c r="E329" s="38"/>
      <c r="N329"/>
      <c r="O329" s="38"/>
      <c r="P329" s="38"/>
      <c r="Q329" s="38"/>
      <c r="R329" s="38"/>
    </row>
    <row r="330" spans="2:18" x14ac:dyDescent="0.2">
      <c r="B330"/>
      <c r="C330" s="38"/>
      <c r="D330" s="38"/>
      <c r="E330" s="38"/>
      <c r="N330"/>
      <c r="O330" s="38"/>
      <c r="P330" s="38"/>
      <c r="Q330" s="38"/>
      <c r="R330" s="38"/>
    </row>
    <row r="331" spans="2:18" x14ac:dyDescent="0.2">
      <c r="B331"/>
      <c r="C331" s="38"/>
      <c r="D331" s="38"/>
      <c r="E331" s="38"/>
      <c r="N331"/>
      <c r="O331" s="38"/>
      <c r="P331" s="38"/>
      <c r="Q331" s="38"/>
      <c r="R331" s="38"/>
    </row>
    <row r="332" spans="2:18" x14ac:dyDescent="0.2">
      <c r="B332"/>
      <c r="C332" s="38"/>
      <c r="D332" s="38"/>
      <c r="E332" s="38"/>
      <c r="N332"/>
      <c r="O332" s="38"/>
      <c r="P332" s="38"/>
      <c r="Q332" s="38"/>
      <c r="R332" s="38"/>
    </row>
    <row r="333" spans="2:18" x14ac:dyDescent="0.2">
      <c r="B333"/>
      <c r="C333" s="38"/>
      <c r="D333" s="38"/>
      <c r="E333" s="38"/>
      <c r="N333"/>
      <c r="O333" s="38"/>
      <c r="P333" s="38"/>
      <c r="Q333" s="38"/>
      <c r="R333" s="38"/>
    </row>
    <row r="334" spans="2:18" x14ac:dyDescent="0.2">
      <c r="B334"/>
      <c r="C334" s="38"/>
      <c r="D334" s="38"/>
      <c r="E334" s="38"/>
      <c r="N334"/>
      <c r="O334" s="38"/>
      <c r="P334" s="38"/>
      <c r="Q334" s="38"/>
      <c r="R334" s="38"/>
    </row>
    <row r="335" spans="2:18" x14ac:dyDescent="0.2">
      <c r="B335"/>
      <c r="C335" s="38"/>
      <c r="D335" s="38"/>
      <c r="E335" s="38"/>
      <c r="N335"/>
      <c r="O335" s="38"/>
      <c r="P335" s="38"/>
      <c r="Q335" s="38"/>
      <c r="R335" s="38"/>
    </row>
    <row r="336" spans="2:18" x14ac:dyDescent="0.2">
      <c r="B336"/>
      <c r="C336" s="38"/>
      <c r="D336" s="38"/>
      <c r="E336" s="38"/>
      <c r="N336"/>
      <c r="O336" s="38"/>
      <c r="P336" s="38"/>
      <c r="Q336" s="38"/>
      <c r="R336" s="38"/>
    </row>
    <row r="337" spans="2:18" x14ac:dyDescent="0.2">
      <c r="B337"/>
      <c r="C337" s="38"/>
      <c r="D337" s="38"/>
      <c r="E337" s="38"/>
      <c r="N337"/>
      <c r="O337" s="38"/>
      <c r="P337" s="38"/>
      <c r="Q337" s="38"/>
      <c r="R337" s="38"/>
    </row>
    <row r="338" spans="2:18" x14ac:dyDescent="0.2">
      <c r="B338"/>
      <c r="C338" s="38"/>
      <c r="D338" s="38"/>
      <c r="E338" s="38"/>
      <c r="N338"/>
      <c r="O338" s="38"/>
      <c r="P338" s="38"/>
      <c r="Q338" s="38"/>
      <c r="R338" s="38"/>
    </row>
    <row r="339" spans="2:18" x14ac:dyDescent="0.2">
      <c r="B339"/>
      <c r="C339" s="38"/>
      <c r="D339" s="38"/>
      <c r="E339" s="38"/>
      <c r="N339"/>
      <c r="O339" s="38"/>
      <c r="P339" s="38"/>
      <c r="Q339" s="38"/>
      <c r="R339" s="38"/>
    </row>
    <row r="340" spans="2:18" x14ac:dyDescent="0.2">
      <c r="B340"/>
      <c r="C340" s="38"/>
      <c r="D340" s="38"/>
      <c r="E340" s="38"/>
      <c r="N340"/>
      <c r="O340" s="38"/>
      <c r="P340" s="38"/>
      <c r="Q340" s="38"/>
      <c r="R340" s="38"/>
    </row>
    <row r="341" spans="2:18" x14ac:dyDescent="0.2">
      <c r="B341"/>
      <c r="C341" s="38"/>
      <c r="D341" s="38"/>
      <c r="E341" s="38"/>
      <c r="N341"/>
      <c r="O341" s="38"/>
      <c r="P341" s="38"/>
      <c r="Q341" s="38"/>
      <c r="R341" s="38"/>
    </row>
    <row r="342" spans="2:18" x14ac:dyDescent="0.2">
      <c r="B342"/>
      <c r="C342" s="38"/>
      <c r="D342" s="38"/>
      <c r="E342" s="38"/>
      <c r="N342"/>
      <c r="O342" s="38"/>
      <c r="P342" s="38"/>
      <c r="Q342" s="38"/>
      <c r="R342" s="38"/>
    </row>
    <row r="343" spans="2:18" x14ac:dyDescent="0.2">
      <c r="B343"/>
      <c r="C343" s="38"/>
      <c r="D343" s="38"/>
      <c r="E343" s="38"/>
      <c r="N343"/>
      <c r="O343" s="38"/>
      <c r="P343" s="38"/>
      <c r="Q343" s="38"/>
      <c r="R343" s="38"/>
    </row>
    <row r="344" spans="2:18" x14ac:dyDescent="0.2">
      <c r="B344"/>
      <c r="C344" s="38"/>
      <c r="D344" s="38"/>
      <c r="E344" s="38"/>
      <c r="N344"/>
      <c r="O344" s="38"/>
      <c r="P344" s="38"/>
      <c r="Q344" s="38"/>
      <c r="R344" s="38"/>
    </row>
    <row r="345" spans="2:18" x14ac:dyDescent="0.2">
      <c r="B345"/>
      <c r="C345" s="38"/>
      <c r="D345" s="38"/>
      <c r="E345" s="38"/>
      <c r="N345"/>
      <c r="O345" s="38"/>
      <c r="P345" s="38"/>
      <c r="Q345" s="38"/>
      <c r="R345" s="38"/>
    </row>
    <row r="346" spans="2:18" x14ac:dyDescent="0.2">
      <c r="B346"/>
      <c r="C346" s="38"/>
      <c r="D346" s="38"/>
      <c r="E346" s="38"/>
      <c r="N346"/>
      <c r="O346" s="38"/>
      <c r="P346" s="38"/>
      <c r="Q346" s="38"/>
      <c r="R346" s="38"/>
    </row>
    <row r="347" spans="2:18" x14ac:dyDescent="0.2">
      <c r="B347"/>
      <c r="C347" s="38"/>
      <c r="D347" s="38"/>
      <c r="E347" s="38"/>
      <c r="N347"/>
      <c r="O347" s="38"/>
      <c r="P347" s="38"/>
      <c r="Q347" s="38"/>
      <c r="R347" s="38"/>
    </row>
    <row r="348" spans="2:18" x14ac:dyDescent="0.2">
      <c r="B348"/>
      <c r="C348" s="38"/>
      <c r="D348" s="38"/>
      <c r="E348" s="38"/>
      <c r="N348"/>
      <c r="O348" s="38"/>
      <c r="P348" s="38"/>
      <c r="Q348" s="38"/>
      <c r="R348" s="38"/>
    </row>
    <row r="349" spans="2:18" x14ac:dyDescent="0.2">
      <c r="B349"/>
      <c r="C349" s="38"/>
      <c r="D349" s="38"/>
      <c r="E349" s="38"/>
      <c r="N349"/>
      <c r="O349" s="38"/>
      <c r="P349" s="38"/>
      <c r="Q349" s="38"/>
      <c r="R349" s="38"/>
    </row>
    <row r="350" spans="2:18" x14ac:dyDescent="0.2">
      <c r="B350"/>
      <c r="C350" s="38"/>
      <c r="D350" s="38"/>
      <c r="E350" s="38"/>
      <c r="N350"/>
      <c r="O350" s="38"/>
      <c r="P350" s="38"/>
      <c r="Q350" s="38"/>
      <c r="R350" s="38"/>
    </row>
    <row r="351" spans="2:18" x14ac:dyDescent="0.2">
      <c r="B351"/>
      <c r="C351" s="38"/>
      <c r="D351" s="38"/>
      <c r="E351" s="38"/>
      <c r="N351"/>
      <c r="O351" s="38"/>
      <c r="P351" s="38"/>
      <c r="Q351" s="38"/>
      <c r="R351" s="38"/>
    </row>
    <row r="352" spans="2:18" x14ac:dyDescent="0.2">
      <c r="B352"/>
      <c r="C352" s="38"/>
      <c r="D352" s="38"/>
      <c r="E352" s="38"/>
      <c r="N352"/>
      <c r="O352" s="38"/>
      <c r="P352" s="38"/>
      <c r="Q352" s="38"/>
      <c r="R352" s="38"/>
    </row>
    <row r="353" spans="2:18" x14ac:dyDescent="0.2">
      <c r="B353"/>
      <c r="C353" s="38"/>
      <c r="D353" s="38"/>
      <c r="E353" s="38"/>
      <c r="N353"/>
      <c r="O353" s="38"/>
      <c r="P353" s="38"/>
      <c r="Q353" s="38"/>
      <c r="R353" s="38"/>
    </row>
    <row r="354" spans="2:18" x14ac:dyDescent="0.2">
      <c r="B354"/>
      <c r="C354" s="38"/>
      <c r="D354" s="38"/>
      <c r="E354" s="38"/>
      <c r="N354"/>
      <c r="O354" s="38"/>
      <c r="P354" s="38"/>
      <c r="Q354" s="38"/>
      <c r="R354" s="38"/>
    </row>
    <row r="355" spans="2:18" x14ac:dyDescent="0.2">
      <c r="B355"/>
      <c r="C355" s="38"/>
      <c r="D355" s="38"/>
      <c r="E355" s="38"/>
      <c r="N355"/>
      <c r="O355" s="38"/>
      <c r="P355" s="38"/>
      <c r="Q355" s="38"/>
      <c r="R355" s="38"/>
    </row>
    <row r="356" spans="2:18" x14ac:dyDescent="0.2">
      <c r="B356"/>
      <c r="C356" s="38"/>
      <c r="D356" s="38"/>
      <c r="E356" s="38"/>
      <c r="N356"/>
      <c r="O356" s="38"/>
      <c r="P356" s="38"/>
      <c r="Q356" s="38"/>
      <c r="R356" s="38"/>
    </row>
    <row r="357" spans="2:18" x14ac:dyDescent="0.2">
      <c r="B357"/>
      <c r="C357" s="38"/>
      <c r="D357" s="38"/>
      <c r="E357" s="38"/>
      <c r="N357"/>
      <c r="O357" s="38"/>
      <c r="P357" s="38"/>
      <c r="Q357" s="38"/>
      <c r="R357" s="38"/>
    </row>
    <row r="358" spans="2:18" x14ac:dyDescent="0.2">
      <c r="B358"/>
      <c r="C358" s="38"/>
      <c r="D358" s="38"/>
      <c r="E358" s="38"/>
      <c r="N358"/>
      <c r="O358" s="38"/>
      <c r="P358" s="38"/>
      <c r="Q358" s="38"/>
      <c r="R358" s="38"/>
    </row>
    <row r="359" spans="2:18" x14ac:dyDescent="0.2">
      <c r="B359"/>
      <c r="C359" s="38"/>
      <c r="D359" s="38"/>
      <c r="E359" s="38"/>
      <c r="N359"/>
      <c r="O359" s="38"/>
      <c r="P359" s="38"/>
      <c r="Q359" s="38"/>
      <c r="R359" s="38"/>
    </row>
    <row r="360" spans="2:18" x14ac:dyDescent="0.2">
      <c r="B360"/>
      <c r="C360" s="38"/>
      <c r="D360" s="38"/>
      <c r="E360" s="38"/>
      <c r="N360"/>
      <c r="O360" s="38"/>
      <c r="P360" s="38"/>
      <c r="Q360" s="38"/>
      <c r="R360" s="38"/>
    </row>
    <row r="361" spans="2:18" x14ac:dyDescent="0.2">
      <c r="B361"/>
      <c r="C361" s="38"/>
      <c r="D361" s="38"/>
      <c r="E361" s="38"/>
      <c r="N361"/>
      <c r="O361" s="38"/>
      <c r="P361" s="38"/>
      <c r="Q361" s="38"/>
      <c r="R361" s="38"/>
    </row>
    <row r="362" spans="2:18" x14ac:dyDescent="0.2">
      <c r="B362"/>
      <c r="C362" s="38"/>
      <c r="D362" s="38"/>
      <c r="E362" s="38"/>
      <c r="N362"/>
      <c r="O362" s="38"/>
      <c r="P362" s="38"/>
      <c r="Q362" s="38"/>
      <c r="R362" s="38"/>
    </row>
    <row r="363" spans="2:18" x14ac:dyDescent="0.2">
      <c r="B363"/>
      <c r="C363" s="38"/>
      <c r="D363" s="38"/>
      <c r="E363" s="38"/>
      <c r="N363"/>
      <c r="O363" s="38"/>
      <c r="P363" s="38"/>
      <c r="Q363" s="38"/>
      <c r="R363" s="38"/>
    </row>
    <row r="364" spans="2:18" x14ac:dyDescent="0.2">
      <c r="B364"/>
      <c r="C364" s="38"/>
      <c r="D364" s="38"/>
      <c r="E364" s="38"/>
      <c r="N364"/>
      <c r="O364" s="38"/>
      <c r="P364" s="38"/>
      <c r="Q364" s="38"/>
      <c r="R364" s="38"/>
    </row>
    <row r="365" spans="2:18" x14ac:dyDescent="0.2">
      <c r="B365"/>
      <c r="C365" s="38"/>
      <c r="D365" s="38"/>
      <c r="E365" s="38"/>
      <c r="N365"/>
      <c r="O365" s="38"/>
      <c r="P365" s="38"/>
      <c r="Q365" s="38"/>
      <c r="R365" s="38"/>
    </row>
    <row r="366" spans="2:18" x14ac:dyDescent="0.2">
      <c r="B366"/>
      <c r="C366" s="38"/>
      <c r="D366" s="38"/>
      <c r="E366" s="38"/>
      <c r="N366"/>
      <c r="O366" s="38"/>
      <c r="P366" s="38"/>
      <c r="Q366" s="38"/>
      <c r="R366" s="38"/>
    </row>
    <row r="367" spans="2:18" x14ac:dyDescent="0.2">
      <c r="B367"/>
      <c r="C367" s="38"/>
      <c r="D367" s="38"/>
      <c r="E367" s="38"/>
      <c r="N367"/>
      <c r="O367" s="38"/>
      <c r="P367" s="38"/>
      <c r="Q367" s="38"/>
      <c r="R367" s="38"/>
    </row>
    <row r="368" spans="2:18" x14ac:dyDescent="0.2">
      <c r="B368"/>
      <c r="C368" s="38"/>
      <c r="D368" s="38"/>
      <c r="E368" s="38"/>
      <c r="N368"/>
      <c r="O368" s="38"/>
      <c r="P368" s="38"/>
      <c r="Q368" s="38"/>
      <c r="R368" s="38"/>
    </row>
    <row r="369" spans="2:18" x14ac:dyDescent="0.2">
      <c r="B369"/>
      <c r="C369" s="38"/>
      <c r="D369" s="38"/>
      <c r="E369" s="38"/>
      <c r="N369"/>
      <c r="O369" s="38"/>
      <c r="P369" s="38"/>
      <c r="Q369" s="38"/>
      <c r="R369" s="38"/>
    </row>
    <row r="370" spans="2:18" x14ac:dyDescent="0.2">
      <c r="B370"/>
      <c r="C370" s="38"/>
      <c r="D370" s="38"/>
      <c r="E370" s="38"/>
      <c r="N370"/>
      <c r="O370" s="38"/>
      <c r="P370" s="38"/>
      <c r="Q370" s="38"/>
      <c r="R370" s="38"/>
    </row>
    <row r="371" spans="2:18" x14ac:dyDescent="0.2">
      <c r="B371"/>
      <c r="C371" s="38"/>
      <c r="D371" s="38"/>
      <c r="E371" s="38"/>
      <c r="N371"/>
      <c r="O371" s="38"/>
      <c r="P371" s="38"/>
      <c r="Q371" s="38"/>
      <c r="R371" s="38"/>
    </row>
    <row r="372" spans="2:18" x14ac:dyDescent="0.2">
      <c r="B372"/>
      <c r="C372" s="38"/>
      <c r="D372" s="38"/>
      <c r="E372" s="38"/>
      <c r="N372"/>
      <c r="O372" s="38"/>
      <c r="P372" s="38"/>
      <c r="Q372" s="38"/>
      <c r="R372" s="38"/>
    </row>
    <row r="373" spans="2:18" x14ac:dyDescent="0.2">
      <c r="B373"/>
      <c r="C373" s="38"/>
      <c r="D373" s="38"/>
      <c r="E373" s="38"/>
      <c r="N373"/>
      <c r="O373" s="38"/>
      <c r="P373" s="38"/>
      <c r="Q373" s="38"/>
      <c r="R373" s="38"/>
    </row>
    <row r="374" spans="2:18" x14ac:dyDescent="0.2">
      <c r="B374"/>
      <c r="C374" s="38"/>
      <c r="D374" s="38"/>
      <c r="E374" s="38"/>
      <c r="N374"/>
      <c r="O374" s="38"/>
      <c r="P374" s="38"/>
      <c r="Q374" s="38"/>
      <c r="R374" s="38"/>
    </row>
    <row r="375" spans="2:18" x14ac:dyDescent="0.2">
      <c r="B375"/>
      <c r="C375" s="38"/>
      <c r="D375" s="38"/>
      <c r="E375" s="38"/>
      <c r="N375"/>
      <c r="O375" s="38"/>
      <c r="P375" s="38"/>
      <c r="Q375" s="38"/>
      <c r="R375" s="38"/>
    </row>
    <row r="376" spans="2:18" x14ac:dyDescent="0.2">
      <c r="B376"/>
      <c r="C376" s="38"/>
      <c r="D376" s="38"/>
      <c r="E376" s="38"/>
      <c r="N376"/>
      <c r="O376" s="38"/>
      <c r="P376" s="38"/>
      <c r="Q376" s="38"/>
      <c r="R376" s="38"/>
    </row>
    <row r="377" spans="2:18" x14ac:dyDescent="0.2">
      <c r="B377"/>
      <c r="C377" s="38"/>
      <c r="D377" s="38"/>
      <c r="E377" s="38"/>
      <c r="N377"/>
      <c r="O377" s="38"/>
      <c r="P377" s="38"/>
      <c r="Q377" s="38"/>
      <c r="R377" s="38"/>
    </row>
    <row r="378" spans="2:18" x14ac:dyDescent="0.2">
      <c r="B378"/>
      <c r="C378" s="38"/>
      <c r="D378" s="38"/>
      <c r="E378" s="38"/>
      <c r="N378"/>
      <c r="O378" s="38"/>
      <c r="P378" s="38"/>
      <c r="Q378" s="38"/>
      <c r="R378" s="38"/>
    </row>
    <row r="379" spans="2:18" x14ac:dyDescent="0.2">
      <c r="B379"/>
      <c r="C379" s="38"/>
      <c r="D379" s="38"/>
      <c r="E379" s="38"/>
      <c r="N379"/>
      <c r="O379" s="38"/>
      <c r="P379" s="38"/>
      <c r="Q379" s="38"/>
      <c r="R379" s="38"/>
    </row>
    <row r="380" spans="2:18" x14ac:dyDescent="0.2">
      <c r="B380"/>
      <c r="C380" s="38"/>
      <c r="D380" s="38"/>
      <c r="E380" s="38"/>
      <c r="N380"/>
      <c r="O380" s="38"/>
      <c r="P380" s="38"/>
      <c r="Q380" s="38"/>
      <c r="R380" s="38"/>
    </row>
    <row r="381" spans="2:18" x14ac:dyDescent="0.2">
      <c r="B381"/>
      <c r="C381" s="38"/>
      <c r="D381" s="38"/>
      <c r="E381" s="38"/>
      <c r="N381"/>
      <c r="O381" s="38"/>
      <c r="P381" s="38"/>
      <c r="Q381" s="38"/>
      <c r="R381" s="38"/>
    </row>
    <row r="382" spans="2:18" x14ac:dyDescent="0.2">
      <c r="B382"/>
      <c r="C382" s="38"/>
      <c r="D382" s="38"/>
      <c r="E382" s="38"/>
      <c r="N382"/>
      <c r="O382" s="38"/>
      <c r="P382" s="38"/>
      <c r="Q382" s="38"/>
      <c r="R382" s="38"/>
    </row>
    <row r="383" spans="2:18" x14ac:dyDescent="0.2">
      <c r="B383"/>
      <c r="C383" s="38"/>
      <c r="D383" s="38"/>
      <c r="E383" s="38"/>
      <c r="N383"/>
      <c r="O383" s="38"/>
      <c r="P383" s="38"/>
      <c r="Q383" s="38"/>
      <c r="R383" s="38"/>
    </row>
    <row r="384" spans="2:18" x14ac:dyDescent="0.2">
      <c r="B384"/>
      <c r="C384" s="38"/>
      <c r="D384" s="38"/>
      <c r="E384" s="38"/>
      <c r="N384"/>
      <c r="O384" s="38"/>
      <c r="P384" s="38"/>
      <c r="Q384" s="38"/>
      <c r="R384" s="38"/>
    </row>
    <row r="385" spans="2:18" x14ac:dyDescent="0.2">
      <c r="B385"/>
      <c r="C385" s="38"/>
      <c r="D385" s="38"/>
      <c r="E385" s="38"/>
      <c r="N385"/>
      <c r="O385" s="38"/>
      <c r="P385" s="38"/>
      <c r="Q385" s="38"/>
      <c r="R385" s="38"/>
    </row>
    <row r="386" spans="2:18" x14ac:dyDescent="0.2">
      <c r="B386"/>
      <c r="C386" s="38"/>
      <c r="D386" s="38"/>
      <c r="E386" s="38"/>
      <c r="N386"/>
      <c r="O386" s="38"/>
      <c r="P386" s="38"/>
      <c r="Q386" s="38"/>
      <c r="R386" s="38"/>
    </row>
    <row r="387" spans="2:18" x14ac:dyDescent="0.2">
      <c r="B387"/>
      <c r="C387" s="38"/>
      <c r="D387" s="38"/>
      <c r="E387" s="38"/>
      <c r="N387"/>
      <c r="O387" s="38"/>
      <c r="P387" s="38"/>
      <c r="Q387" s="38"/>
      <c r="R387" s="38"/>
    </row>
    <row r="388" spans="2:18" x14ac:dyDescent="0.2">
      <c r="B388"/>
      <c r="C388" s="38"/>
      <c r="D388" s="38"/>
      <c r="E388" s="38"/>
      <c r="N388"/>
      <c r="O388" s="38"/>
      <c r="P388" s="38"/>
      <c r="Q388" s="38"/>
      <c r="R388" s="38"/>
    </row>
    <row r="389" spans="2:18" x14ac:dyDescent="0.2">
      <c r="B389"/>
      <c r="C389" s="38"/>
      <c r="D389" s="38"/>
      <c r="E389" s="38"/>
      <c r="N389"/>
      <c r="O389" s="38"/>
      <c r="P389" s="38"/>
      <c r="Q389" s="38"/>
      <c r="R389" s="38"/>
    </row>
    <row r="390" spans="2:18" x14ac:dyDescent="0.2">
      <c r="B390"/>
      <c r="C390" s="38"/>
      <c r="D390" s="38"/>
      <c r="E390" s="38"/>
      <c r="N390"/>
      <c r="O390" s="38"/>
      <c r="P390" s="38"/>
      <c r="Q390" s="38"/>
      <c r="R390" s="38"/>
    </row>
    <row r="391" spans="2:18" x14ac:dyDescent="0.2">
      <c r="B391"/>
      <c r="C391" s="38"/>
      <c r="D391" s="38"/>
      <c r="E391" s="38"/>
      <c r="N391"/>
      <c r="O391" s="38"/>
      <c r="P391" s="38"/>
      <c r="Q391" s="38"/>
      <c r="R391" s="38"/>
    </row>
    <row r="392" spans="2:18" x14ac:dyDescent="0.2">
      <c r="B392"/>
      <c r="C392" s="38"/>
      <c r="D392" s="38"/>
      <c r="E392" s="38"/>
      <c r="N392"/>
      <c r="O392" s="38"/>
      <c r="P392" s="38"/>
      <c r="Q392" s="38"/>
      <c r="R392" s="38"/>
    </row>
    <row r="393" spans="2:18" x14ac:dyDescent="0.2">
      <c r="B393"/>
      <c r="C393" s="38"/>
      <c r="D393" s="38"/>
      <c r="E393" s="38"/>
      <c r="N393"/>
      <c r="O393" s="38"/>
      <c r="P393" s="38"/>
      <c r="Q393" s="38"/>
      <c r="R393" s="38"/>
    </row>
    <row r="394" spans="2:18" x14ac:dyDescent="0.2">
      <c r="B394"/>
      <c r="C394" s="38"/>
      <c r="D394" s="38"/>
      <c r="E394" s="38"/>
      <c r="N394"/>
      <c r="O394" s="38"/>
      <c r="P394" s="38"/>
      <c r="Q394" s="38"/>
      <c r="R394" s="38"/>
    </row>
    <row r="395" spans="2:18" x14ac:dyDescent="0.2">
      <c r="B395"/>
      <c r="C395" s="38"/>
      <c r="D395" s="38"/>
      <c r="E395" s="38"/>
      <c r="N395"/>
      <c r="O395" s="38"/>
      <c r="P395" s="38"/>
      <c r="Q395" s="38"/>
      <c r="R395" s="38"/>
    </row>
    <row r="396" spans="2:18" x14ac:dyDescent="0.2">
      <c r="B396"/>
      <c r="C396" s="38"/>
      <c r="D396" s="38"/>
      <c r="E396" s="38"/>
      <c r="N396"/>
      <c r="O396" s="38"/>
      <c r="P396" s="38"/>
      <c r="Q396" s="38"/>
      <c r="R396" s="38"/>
    </row>
    <row r="397" spans="2:18" x14ac:dyDescent="0.2">
      <c r="B397"/>
      <c r="C397" s="38"/>
      <c r="D397" s="38"/>
      <c r="E397" s="38"/>
      <c r="N397"/>
      <c r="O397" s="38"/>
      <c r="P397" s="38"/>
      <c r="Q397" s="38"/>
      <c r="R397" s="38"/>
    </row>
    <row r="398" spans="2:18" x14ac:dyDescent="0.2">
      <c r="B398"/>
      <c r="C398" s="38"/>
      <c r="D398" s="38"/>
      <c r="E398" s="38"/>
      <c r="N398"/>
      <c r="O398" s="38"/>
      <c r="P398" s="38"/>
      <c r="Q398" s="38"/>
      <c r="R398" s="38"/>
    </row>
    <row r="399" spans="2:18" x14ac:dyDescent="0.2">
      <c r="B399"/>
      <c r="C399" s="38"/>
      <c r="D399" s="38"/>
      <c r="E399" s="38"/>
      <c r="N399"/>
      <c r="O399" s="38"/>
      <c r="P399" s="38"/>
      <c r="Q399" s="38"/>
      <c r="R399" s="38"/>
    </row>
    <row r="400" spans="2:18" x14ac:dyDescent="0.2">
      <c r="B400"/>
      <c r="C400" s="38"/>
      <c r="D400" s="38"/>
      <c r="E400" s="38"/>
      <c r="N400"/>
      <c r="O400" s="38"/>
      <c r="P400" s="38"/>
      <c r="Q400" s="38"/>
      <c r="R400" s="38"/>
    </row>
    <row r="401" spans="2:18" x14ac:dyDescent="0.2">
      <c r="B401"/>
      <c r="C401" s="38"/>
      <c r="D401" s="38"/>
      <c r="E401" s="38"/>
      <c r="N401"/>
      <c r="O401" s="38"/>
      <c r="P401" s="38"/>
      <c r="Q401" s="38"/>
      <c r="R401" s="38"/>
    </row>
    <row r="402" spans="2:18" x14ac:dyDescent="0.2">
      <c r="B402"/>
      <c r="C402" s="38"/>
      <c r="D402" s="38"/>
      <c r="E402" s="38"/>
      <c r="N402"/>
      <c r="O402" s="38"/>
      <c r="P402" s="38"/>
      <c r="Q402" s="38"/>
      <c r="R402" s="38"/>
    </row>
    <row r="403" spans="2:18" x14ac:dyDescent="0.2">
      <c r="B403"/>
      <c r="C403" s="38"/>
      <c r="D403" s="38"/>
      <c r="E403" s="38"/>
      <c r="N403"/>
      <c r="O403" s="38"/>
      <c r="P403" s="38"/>
      <c r="Q403" s="38"/>
      <c r="R403" s="38"/>
    </row>
    <row r="404" spans="2:18" x14ac:dyDescent="0.2">
      <c r="B404"/>
      <c r="C404" s="38"/>
      <c r="D404" s="38"/>
      <c r="E404" s="38"/>
      <c r="N404"/>
      <c r="O404" s="38"/>
      <c r="P404" s="38"/>
      <c r="Q404" s="38"/>
      <c r="R404" s="38"/>
    </row>
    <row r="405" spans="2:18" x14ac:dyDescent="0.2">
      <c r="B405"/>
      <c r="C405" s="38"/>
      <c r="D405" s="38"/>
      <c r="E405" s="38"/>
      <c r="N405"/>
      <c r="O405" s="38"/>
      <c r="P405" s="38"/>
      <c r="Q405" s="38"/>
      <c r="R405" s="38"/>
    </row>
    <row r="406" spans="2:18" x14ac:dyDescent="0.2">
      <c r="B406"/>
      <c r="C406" s="38"/>
      <c r="D406" s="38"/>
      <c r="E406" s="38"/>
      <c r="N406"/>
      <c r="O406" s="38"/>
      <c r="P406" s="38"/>
      <c r="Q406" s="38"/>
      <c r="R406" s="38"/>
    </row>
    <row r="407" spans="2:18" x14ac:dyDescent="0.2">
      <c r="B407"/>
      <c r="C407" s="38"/>
      <c r="D407" s="38"/>
      <c r="E407" s="38"/>
      <c r="N407"/>
      <c r="O407" s="38"/>
      <c r="P407" s="38"/>
      <c r="Q407" s="38"/>
      <c r="R407" s="38"/>
    </row>
    <row r="408" spans="2:18" x14ac:dyDescent="0.2">
      <c r="B408"/>
      <c r="C408" s="38"/>
      <c r="D408" s="38"/>
      <c r="E408" s="38"/>
      <c r="N408"/>
      <c r="O408" s="38"/>
      <c r="P408" s="38"/>
      <c r="Q408" s="38"/>
      <c r="R408" s="38"/>
    </row>
    <row r="409" spans="2:18" x14ac:dyDescent="0.2">
      <c r="B409"/>
      <c r="C409" s="38"/>
      <c r="D409" s="38"/>
      <c r="E409" s="38"/>
      <c r="N409"/>
      <c r="O409" s="38"/>
      <c r="P409" s="38"/>
      <c r="Q409" s="38"/>
      <c r="R409" s="38"/>
    </row>
    <row r="410" spans="2:18" x14ac:dyDescent="0.2">
      <c r="B410"/>
      <c r="C410" s="38"/>
      <c r="D410" s="38"/>
      <c r="E410" s="38"/>
      <c r="N410"/>
      <c r="O410" s="38"/>
      <c r="P410" s="38"/>
      <c r="Q410" s="38"/>
      <c r="R410" s="38"/>
    </row>
    <row r="411" spans="2:18" x14ac:dyDescent="0.2">
      <c r="B411"/>
      <c r="C411" s="38"/>
      <c r="D411" s="38"/>
      <c r="E411" s="38"/>
      <c r="N411"/>
      <c r="O411" s="38"/>
      <c r="P411" s="38"/>
      <c r="Q411" s="38"/>
      <c r="R411" s="38"/>
    </row>
    <row r="412" spans="2:18" x14ac:dyDescent="0.2">
      <c r="B412"/>
      <c r="C412" s="38"/>
      <c r="D412" s="38"/>
      <c r="E412" s="38"/>
      <c r="N412"/>
      <c r="O412" s="38"/>
      <c r="P412" s="38"/>
      <c r="Q412" s="38"/>
      <c r="R412" s="38"/>
    </row>
    <row r="413" spans="2:18" x14ac:dyDescent="0.2">
      <c r="B413"/>
      <c r="C413" s="38"/>
      <c r="D413" s="38"/>
      <c r="E413" s="38"/>
      <c r="N413"/>
      <c r="O413" s="38"/>
      <c r="P413" s="38"/>
      <c r="Q413" s="38"/>
      <c r="R413" s="38"/>
    </row>
    <row r="414" spans="2:18" x14ac:dyDescent="0.2">
      <c r="B414"/>
      <c r="C414" s="38"/>
      <c r="D414" s="38"/>
      <c r="E414" s="38"/>
      <c r="N414"/>
      <c r="O414" s="38"/>
      <c r="P414" s="38"/>
      <c r="Q414" s="38"/>
      <c r="R414" s="38"/>
    </row>
    <row r="415" spans="2:18" x14ac:dyDescent="0.2">
      <c r="B415"/>
      <c r="C415" s="38"/>
      <c r="D415" s="38"/>
      <c r="E415" s="38"/>
      <c r="N415"/>
      <c r="O415" s="38"/>
      <c r="P415" s="38"/>
      <c r="Q415" s="38"/>
      <c r="R415" s="38"/>
    </row>
    <row r="416" spans="2:18" x14ac:dyDescent="0.2">
      <c r="B416"/>
      <c r="C416" s="38"/>
      <c r="D416" s="38"/>
      <c r="E416" s="38"/>
      <c r="N416"/>
      <c r="O416" s="38"/>
      <c r="P416" s="38"/>
      <c r="Q416" s="38"/>
      <c r="R416" s="38"/>
    </row>
    <row r="417" spans="2:18" x14ac:dyDescent="0.2">
      <c r="B417"/>
      <c r="C417" s="38"/>
      <c r="D417" s="38"/>
      <c r="E417" s="38"/>
      <c r="N417"/>
      <c r="O417" s="38"/>
      <c r="P417" s="38"/>
      <c r="Q417" s="38"/>
      <c r="R417" s="38"/>
    </row>
    <row r="418" spans="2:18" x14ac:dyDescent="0.2">
      <c r="B418"/>
      <c r="C418" s="38"/>
      <c r="D418" s="38"/>
      <c r="E418" s="38"/>
      <c r="N418"/>
      <c r="O418" s="38"/>
      <c r="P418" s="38"/>
      <c r="Q418" s="38"/>
      <c r="R418" s="38"/>
    </row>
    <row r="419" spans="2:18" x14ac:dyDescent="0.2">
      <c r="B419"/>
      <c r="C419" s="38"/>
      <c r="D419" s="38"/>
      <c r="E419" s="38"/>
      <c r="N419"/>
      <c r="O419" s="38"/>
      <c r="P419" s="38"/>
      <c r="Q419" s="38"/>
      <c r="R419" s="38"/>
    </row>
    <row r="420" spans="2:18" x14ac:dyDescent="0.2">
      <c r="B420"/>
      <c r="C420" s="38"/>
      <c r="D420" s="38"/>
      <c r="E420" s="38"/>
      <c r="N420"/>
      <c r="O420" s="38"/>
      <c r="P420" s="38"/>
      <c r="Q420" s="38"/>
      <c r="R420" s="38"/>
    </row>
    <row r="421" spans="2:18" x14ac:dyDescent="0.2">
      <c r="B421"/>
      <c r="C421" s="38"/>
      <c r="D421" s="38"/>
      <c r="E421" s="38"/>
      <c r="N421"/>
      <c r="O421" s="38"/>
      <c r="P421" s="38"/>
      <c r="Q421" s="38"/>
      <c r="R421" s="38"/>
    </row>
    <row r="422" spans="2:18" x14ac:dyDescent="0.2">
      <c r="B422"/>
      <c r="C422" s="38"/>
      <c r="D422" s="38"/>
      <c r="E422" s="38"/>
      <c r="N422"/>
      <c r="O422" s="38"/>
      <c r="P422" s="38"/>
      <c r="Q422" s="38"/>
      <c r="R422" s="38"/>
    </row>
    <row r="423" spans="2:18" x14ac:dyDescent="0.2">
      <c r="B423"/>
      <c r="C423" s="38"/>
      <c r="D423" s="38"/>
      <c r="E423" s="38"/>
      <c r="N423"/>
      <c r="O423" s="38"/>
      <c r="P423" s="38"/>
      <c r="Q423" s="38"/>
      <c r="R423" s="38"/>
    </row>
    <row r="424" spans="2:18" x14ac:dyDescent="0.2">
      <c r="B424"/>
      <c r="C424" s="38"/>
      <c r="D424" s="38"/>
      <c r="E424" s="38"/>
      <c r="N424"/>
      <c r="O424" s="38"/>
      <c r="P424" s="38"/>
      <c r="Q424" s="38"/>
      <c r="R424" s="38"/>
    </row>
    <row r="425" spans="2:18" x14ac:dyDescent="0.2">
      <c r="B425"/>
      <c r="C425" s="38"/>
      <c r="D425" s="38"/>
      <c r="E425" s="38"/>
      <c r="N425"/>
      <c r="O425" s="38"/>
      <c r="P425" s="38"/>
      <c r="Q425" s="38"/>
      <c r="R425" s="38"/>
    </row>
    <row r="426" spans="2:18" x14ac:dyDescent="0.2">
      <c r="B426"/>
      <c r="C426" s="38"/>
      <c r="D426" s="38"/>
      <c r="E426" s="38"/>
      <c r="N426"/>
      <c r="O426" s="38"/>
      <c r="P426" s="38"/>
      <c r="Q426" s="38"/>
      <c r="R426" s="38"/>
    </row>
    <row r="427" spans="2:18" x14ac:dyDescent="0.2">
      <c r="B427"/>
      <c r="C427" s="38"/>
      <c r="D427" s="38"/>
      <c r="E427" s="38"/>
      <c r="N427"/>
      <c r="O427" s="38"/>
      <c r="P427" s="38"/>
      <c r="Q427" s="38"/>
      <c r="R427" s="38"/>
    </row>
    <row r="428" spans="2:18" x14ac:dyDescent="0.2">
      <c r="B428"/>
      <c r="C428" s="38"/>
      <c r="D428" s="38"/>
      <c r="E428" s="38"/>
      <c r="N428"/>
      <c r="O428" s="38"/>
      <c r="P428" s="38"/>
      <c r="Q428" s="38"/>
      <c r="R428" s="38"/>
    </row>
    <row r="429" spans="2:18" x14ac:dyDescent="0.2">
      <c r="B429"/>
      <c r="C429" s="38"/>
      <c r="D429" s="38"/>
      <c r="E429" s="38"/>
      <c r="N429"/>
      <c r="O429" s="38"/>
      <c r="P429" s="38"/>
      <c r="Q429" s="38"/>
      <c r="R429" s="38"/>
    </row>
    <row r="430" spans="2:18" x14ac:dyDescent="0.2">
      <c r="B430"/>
      <c r="C430" s="38"/>
      <c r="D430" s="38"/>
      <c r="E430" s="38"/>
      <c r="N430"/>
      <c r="O430" s="38"/>
      <c r="P430" s="38"/>
      <c r="Q430" s="38"/>
      <c r="R430" s="38"/>
    </row>
    <row r="431" spans="2:18" x14ac:dyDescent="0.2">
      <c r="B431"/>
      <c r="C431" s="38"/>
      <c r="D431" s="38"/>
      <c r="E431" s="38"/>
      <c r="N431"/>
      <c r="O431" s="38"/>
      <c r="P431" s="38"/>
      <c r="Q431" s="38"/>
      <c r="R431" s="38"/>
    </row>
    <row r="432" spans="2:18" x14ac:dyDescent="0.2">
      <c r="B432"/>
      <c r="C432" s="38"/>
      <c r="D432" s="38"/>
      <c r="E432" s="38"/>
      <c r="N432"/>
      <c r="O432" s="38"/>
      <c r="P432" s="38"/>
      <c r="Q432" s="38"/>
      <c r="R432" s="38"/>
    </row>
    <row r="433" spans="2:18" x14ac:dyDescent="0.2">
      <c r="B433"/>
      <c r="C433" s="38"/>
      <c r="D433" s="38"/>
      <c r="E433" s="38"/>
      <c r="N433"/>
      <c r="O433" s="38"/>
      <c r="P433" s="38"/>
      <c r="Q433" s="38"/>
      <c r="R433" s="38"/>
    </row>
    <row r="434" spans="2:18" x14ac:dyDescent="0.2">
      <c r="B434"/>
      <c r="C434" s="38"/>
      <c r="D434" s="38"/>
      <c r="E434" s="38"/>
      <c r="N434"/>
      <c r="O434" s="38"/>
      <c r="P434" s="38"/>
      <c r="Q434" s="38"/>
      <c r="R434" s="38"/>
    </row>
    <row r="435" spans="2:18" x14ac:dyDescent="0.2">
      <c r="B435"/>
      <c r="C435" s="38"/>
      <c r="D435" s="38"/>
      <c r="E435" s="38"/>
      <c r="N435"/>
      <c r="O435" s="38"/>
      <c r="P435" s="38"/>
      <c r="Q435" s="38"/>
      <c r="R435" s="38"/>
    </row>
    <row r="436" spans="2:18" x14ac:dyDescent="0.2">
      <c r="B436"/>
      <c r="C436" s="38"/>
      <c r="D436" s="38"/>
      <c r="E436" s="38"/>
      <c r="N436"/>
      <c r="O436" s="38"/>
      <c r="P436" s="38"/>
      <c r="Q436" s="38"/>
      <c r="R436" s="38"/>
    </row>
    <row r="437" spans="2:18" x14ac:dyDescent="0.2">
      <c r="B437"/>
      <c r="C437" s="38"/>
      <c r="D437" s="38"/>
      <c r="E437" s="38"/>
      <c r="N437"/>
      <c r="O437" s="38"/>
      <c r="P437" s="38"/>
      <c r="Q437" s="38"/>
      <c r="R437" s="38"/>
    </row>
    <row r="438" spans="2:18" x14ac:dyDescent="0.2">
      <c r="B438"/>
      <c r="C438" s="38"/>
      <c r="D438" s="38"/>
      <c r="E438" s="38"/>
      <c r="N438"/>
      <c r="O438" s="38"/>
      <c r="P438" s="38"/>
      <c r="Q438" s="38"/>
      <c r="R438" s="38"/>
    </row>
    <row r="439" spans="2:18" x14ac:dyDescent="0.2">
      <c r="B439"/>
      <c r="C439" s="38"/>
      <c r="D439" s="38"/>
      <c r="E439" s="38"/>
      <c r="N439"/>
      <c r="O439" s="38"/>
      <c r="P439" s="38"/>
      <c r="Q439" s="38"/>
      <c r="R439" s="38"/>
    </row>
    <row r="440" spans="2:18" x14ac:dyDescent="0.2">
      <c r="B440"/>
      <c r="C440" s="38"/>
      <c r="D440" s="38"/>
      <c r="E440" s="38"/>
      <c r="N440"/>
      <c r="O440" s="38"/>
      <c r="P440" s="38"/>
      <c r="Q440" s="38"/>
      <c r="R440" s="38"/>
    </row>
    <row r="441" spans="2:18" x14ac:dyDescent="0.2">
      <c r="B441"/>
      <c r="C441" s="38"/>
      <c r="D441" s="38"/>
      <c r="E441" s="38"/>
      <c r="N441"/>
      <c r="O441" s="38"/>
      <c r="P441" s="38"/>
      <c r="Q441" s="38"/>
      <c r="R441" s="38"/>
    </row>
    <row r="442" spans="2:18" x14ac:dyDescent="0.2">
      <c r="B442"/>
      <c r="C442" s="38"/>
      <c r="D442" s="38"/>
      <c r="E442" s="38"/>
      <c r="N442"/>
      <c r="O442" s="38"/>
      <c r="P442" s="38"/>
      <c r="Q442" s="38"/>
      <c r="R442" s="38"/>
    </row>
    <row r="443" spans="2:18" x14ac:dyDescent="0.2">
      <c r="B443"/>
      <c r="C443" s="38"/>
      <c r="D443" s="38"/>
      <c r="E443" s="38"/>
      <c r="N443"/>
      <c r="O443" s="38"/>
      <c r="P443" s="38"/>
      <c r="Q443" s="38"/>
      <c r="R443" s="38"/>
    </row>
    <row r="444" spans="2:18" x14ac:dyDescent="0.2">
      <c r="B444"/>
      <c r="C444" s="38"/>
      <c r="D444" s="38"/>
      <c r="E444" s="38"/>
      <c r="N444"/>
      <c r="O444" s="38"/>
      <c r="P444" s="38"/>
      <c r="Q444" s="38"/>
      <c r="R444" s="38"/>
    </row>
    <row r="445" spans="2:18" x14ac:dyDescent="0.2">
      <c r="B445"/>
      <c r="C445" s="38"/>
      <c r="D445" s="38"/>
      <c r="E445" s="38"/>
      <c r="N445"/>
      <c r="O445" s="38"/>
      <c r="P445" s="38"/>
      <c r="Q445" s="38"/>
      <c r="R445" s="38"/>
    </row>
    <row r="446" spans="2:18" x14ac:dyDescent="0.2">
      <c r="B446"/>
      <c r="C446" s="38"/>
      <c r="D446" s="38"/>
      <c r="E446" s="38"/>
      <c r="N446"/>
      <c r="O446" s="38"/>
      <c r="P446" s="38"/>
      <c r="Q446" s="38"/>
      <c r="R446" s="38"/>
    </row>
    <row r="447" spans="2:18" x14ac:dyDescent="0.2">
      <c r="B447"/>
      <c r="C447" s="38"/>
      <c r="D447" s="38"/>
      <c r="E447" s="38"/>
      <c r="N447"/>
      <c r="O447" s="38"/>
      <c r="P447" s="38"/>
      <c r="Q447" s="38"/>
      <c r="R447" s="38"/>
    </row>
    <row r="448" spans="2:18" x14ac:dyDescent="0.2">
      <c r="B448"/>
      <c r="C448" s="38"/>
      <c r="D448" s="38"/>
      <c r="E448" s="38"/>
      <c r="N448"/>
      <c r="O448" s="38"/>
      <c r="P448" s="38"/>
      <c r="Q448" s="38"/>
      <c r="R448" s="38"/>
    </row>
    <row r="449" spans="2:18" x14ac:dyDescent="0.2">
      <c r="B449"/>
      <c r="C449" s="38"/>
      <c r="D449" s="38"/>
      <c r="E449" s="38"/>
      <c r="N449"/>
      <c r="O449" s="38"/>
      <c r="P449" s="38"/>
      <c r="Q449" s="38"/>
      <c r="R449" s="38"/>
    </row>
    <row r="450" spans="2:18" x14ac:dyDescent="0.2">
      <c r="B450"/>
      <c r="C450" s="38"/>
      <c r="D450" s="38"/>
      <c r="E450" s="38"/>
      <c r="N450"/>
      <c r="O450" s="38"/>
      <c r="P450" s="38"/>
      <c r="Q450" s="38"/>
      <c r="R450" s="38"/>
    </row>
    <row r="451" spans="2:18" x14ac:dyDescent="0.2">
      <c r="B451"/>
      <c r="C451" s="38"/>
      <c r="D451" s="38"/>
      <c r="E451" s="38"/>
      <c r="N451"/>
      <c r="O451" s="38"/>
      <c r="P451" s="38"/>
      <c r="Q451" s="38"/>
      <c r="R451" s="38"/>
    </row>
    <row r="452" spans="2:18" x14ac:dyDescent="0.2">
      <c r="B452"/>
      <c r="C452" s="38"/>
      <c r="D452" s="38"/>
      <c r="E452" s="38"/>
      <c r="N452"/>
      <c r="O452" s="38"/>
      <c r="P452" s="38"/>
      <c r="Q452" s="38"/>
      <c r="R452" s="38"/>
    </row>
    <row r="453" spans="2:18" x14ac:dyDescent="0.2">
      <c r="B453"/>
      <c r="C453" s="38"/>
      <c r="D453" s="38"/>
      <c r="E453" s="38"/>
      <c r="N453"/>
      <c r="O453" s="38"/>
      <c r="P453" s="38"/>
      <c r="Q453" s="38"/>
      <c r="R453" s="38"/>
    </row>
    <row r="454" spans="2:18" x14ac:dyDescent="0.2">
      <c r="B454"/>
      <c r="C454" s="38"/>
      <c r="D454" s="38"/>
      <c r="E454" s="38"/>
      <c r="N454"/>
      <c r="O454" s="38"/>
      <c r="P454" s="38"/>
      <c r="Q454" s="38"/>
      <c r="R454" s="38"/>
    </row>
    <row r="455" spans="2:18" x14ac:dyDescent="0.2">
      <c r="B455"/>
      <c r="C455" s="38"/>
      <c r="D455" s="38"/>
      <c r="E455" s="38"/>
      <c r="N455"/>
      <c r="O455" s="38"/>
      <c r="P455" s="38"/>
      <c r="Q455" s="38"/>
      <c r="R455" s="38"/>
    </row>
    <row r="456" spans="2:18" x14ac:dyDescent="0.2">
      <c r="B456"/>
      <c r="C456" s="38"/>
      <c r="D456" s="38"/>
      <c r="E456" s="38"/>
      <c r="N456"/>
      <c r="O456" s="38"/>
      <c r="P456" s="38"/>
      <c r="Q456" s="38"/>
      <c r="R456" s="38"/>
    </row>
    <row r="457" spans="2:18" x14ac:dyDescent="0.2">
      <c r="B457"/>
      <c r="C457" s="38"/>
      <c r="D457" s="38"/>
      <c r="E457" s="38"/>
      <c r="N457"/>
      <c r="O457" s="38"/>
      <c r="P457" s="38"/>
      <c r="Q457" s="38"/>
      <c r="R457" s="38"/>
    </row>
    <row r="458" spans="2:18" x14ac:dyDescent="0.2">
      <c r="B458"/>
      <c r="C458" s="38"/>
      <c r="D458" s="38"/>
      <c r="E458" s="38"/>
      <c r="N458"/>
      <c r="O458" s="38"/>
      <c r="P458" s="38"/>
      <c r="Q458" s="38"/>
      <c r="R458" s="38"/>
    </row>
    <row r="459" spans="2:18" x14ac:dyDescent="0.2">
      <c r="B459"/>
      <c r="C459" s="38"/>
      <c r="D459" s="38"/>
      <c r="E459" s="38"/>
      <c r="N459"/>
      <c r="O459" s="38"/>
      <c r="P459" s="38"/>
      <c r="Q459" s="38"/>
      <c r="R459" s="38"/>
    </row>
    <row r="460" spans="2:18" x14ac:dyDescent="0.2">
      <c r="B460"/>
      <c r="C460" s="38"/>
      <c r="D460" s="38"/>
      <c r="E460" s="38"/>
      <c r="N460"/>
      <c r="O460" s="38"/>
      <c r="P460" s="38"/>
      <c r="Q460" s="38"/>
      <c r="R460" s="38"/>
    </row>
    <row r="461" spans="2:18" x14ac:dyDescent="0.2">
      <c r="B461"/>
      <c r="C461" s="38"/>
      <c r="D461" s="38"/>
      <c r="E461" s="38"/>
      <c r="N461"/>
      <c r="O461" s="38"/>
      <c r="P461" s="38"/>
      <c r="Q461" s="38"/>
      <c r="R461" s="38"/>
    </row>
    <row r="462" spans="2:18" x14ac:dyDescent="0.2">
      <c r="B462"/>
      <c r="C462" s="38"/>
      <c r="D462" s="38"/>
      <c r="E462" s="38"/>
      <c r="N462"/>
      <c r="O462" s="38"/>
      <c r="P462" s="38"/>
      <c r="Q462" s="38"/>
      <c r="R462" s="38"/>
    </row>
    <row r="463" spans="2:18" x14ac:dyDescent="0.2">
      <c r="B463"/>
      <c r="C463" s="38"/>
      <c r="D463" s="38"/>
      <c r="E463" s="38"/>
      <c r="N463"/>
      <c r="O463" s="38"/>
      <c r="P463" s="38"/>
      <c r="Q463" s="38"/>
      <c r="R463" s="38"/>
    </row>
    <row r="464" spans="2:18" x14ac:dyDescent="0.2">
      <c r="B464"/>
      <c r="C464" s="38"/>
      <c r="D464" s="38"/>
      <c r="E464" s="38"/>
      <c r="N464"/>
      <c r="O464" s="38"/>
      <c r="P464" s="38"/>
      <c r="Q464" s="38"/>
      <c r="R464" s="38"/>
    </row>
    <row r="465" spans="2:18" x14ac:dyDescent="0.2">
      <c r="B465"/>
      <c r="C465" s="38"/>
      <c r="D465" s="38"/>
      <c r="E465" s="38"/>
      <c r="N465"/>
      <c r="O465" s="38"/>
      <c r="P465" s="38"/>
      <c r="Q465" s="38"/>
      <c r="R465" s="38"/>
    </row>
    <row r="466" spans="2:18" x14ac:dyDescent="0.2">
      <c r="B466"/>
      <c r="C466" s="38"/>
      <c r="D466" s="38"/>
      <c r="E466" s="38"/>
      <c r="N466"/>
      <c r="O466" s="38"/>
      <c r="P466" s="38"/>
      <c r="Q466" s="38"/>
      <c r="R466" s="38"/>
    </row>
    <row r="467" spans="2:18" x14ac:dyDescent="0.2">
      <c r="B467"/>
      <c r="C467" s="38"/>
      <c r="D467" s="38"/>
      <c r="E467" s="38"/>
      <c r="N467"/>
      <c r="O467" s="38"/>
      <c r="P467" s="38"/>
      <c r="Q467" s="38"/>
      <c r="R467" s="38"/>
    </row>
    <row r="468" spans="2:18" x14ac:dyDescent="0.2">
      <c r="B468"/>
      <c r="C468" s="38"/>
      <c r="D468" s="38"/>
      <c r="E468" s="38"/>
      <c r="N468"/>
      <c r="O468" s="38"/>
      <c r="P468" s="38"/>
      <c r="Q468" s="38"/>
      <c r="R468" s="38"/>
    </row>
    <row r="469" spans="2:18" x14ac:dyDescent="0.2">
      <c r="B469"/>
      <c r="C469" s="38"/>
      <c r="D469" s="38"/>
      <c r="E469" s="38"/>
      <c r="N469"/>
      <c r="O469" s="38"/>
      <c r="P469" s="38"/>
      <c r="Q469" s="38"/>
      <c r="R469" s="38"/>
    </row>
    <row r="470" spans="2:18" x14ac:dyDescent="0.2">
      <c r="B470"/>
      <c r="C470" s="38"/>
      <c r="D470" s="38"/>
      <c r="E470" s="38"/>
      <c r="N470"/>
      <c r="O470" s="38"/>
      <c r="P470" s="38"/>
      <c r="Q470" s="38"/>
      <c r="R470" s="38"/>
    </row>
    <row r="471" spans="2:18" x14ac:dyDescent="0.2">
      <c r="B471"/>
      <c r="C471" s="38"/>
      <c r="D471" s="38"/>
      <c r="E471" s="38"/>
      <c r="N471"/>
      <c r="O471" s="38"/>
      <c r="P471" s="38"/>
      <c r="Q471" s="38"/>
      <c r="R471" s="38"/>
    </row>
    <row r="472" spans="2:18" x14ac:dyDescent="0.2">
      <c r="B472"/>
      <c r="C472" s="38"/>
      <c r="D472" s="38"/>
      <c r="E472" s="38"/>
      <c r="N472"/>
      <c r="O472" s="38"/>
      <c r="P472" s="38"/>
      <c r="Q472" s="38"/>
      <c r="R472" s="38"/>
    </row>
    <row r="473" spans="2:18" x14ac:dyDescent="0.2">
      <c r="B473"/>
      <c r="C473" s="38"/>
      <c r="D473" s="38"/>
      <c r="E473" s="38"/>
      <c r="N473"/>
      <c r="O473" s="38"/>
      <c r="P473" s="38"/>
      <c r="Q473" s="38"/>
      <c r="R473" s="38"/>
    </row>
    <row r="474" spans="2:18" x14ac:dyDescent="0.2">
      <c r="B474"/>
      <c r="C474" s="38"/>
      <c r="D474" s="38"/>
      <c r="E474" s="38"/>
      <c r="N474"/>
      <c r="O474" s="38"/>
      <c r="P474" s="38"/>
      <c r="Q474" s="38"/>
      <c r="R474" s="38"/>
    </row>
    <row r="475" spans="2:18" x14ac:dyDescent="0.2">
      <c r="B475"/>
      <c r="C475" s="38"/>
      <c r="D475" s="38"/>
      <c r="E475" s="38"/>
      <c r="N475"/>
      <c r="O475" s="38"/>
      <c r="P475" s="38"/>
      <c r="Q475" s="38"/>
      <c r="R475" s="38"/>
    </row>
    <row r="476" spans="2:18" x14ac:dyDescent="0.2">
      <c r="B476"/>
      <c r="C476" s="38"/>
      <c r="D476" s="38"/>
      <c r="E476" s="38"/>
      <c r="N476"/>
      <c r="O476" s="38"/>
      <c r="P476" s="38"/>
      <c r="Q476" s="38"/>
      <c r="R476" s="38"/>
    </row>
    <row r="477" spans="2:18" x14ac:dyDescent="0.2">
      <c r="B477"/>
      <c r="C477" s="38"/>
      <c r="D477" s="38"/>
      <c r="E477" s="38"/>
      <c r="N477"/>
      <c r="O477" s="38"/>
      <c r="P477" s="38"/>
      <c r="Q477" s="38"/>
      <c r="R477" s="38"/>
    </row>
    <row r="478" spans="2:18" x14ac:dyDescent="0.2">
      <c r="B478"/>
      <c r="C478" s="38"/>
      <c r="D478" s="38"/>
      <c r="E478" s="38"/>
      <c r="N478"/>
      <c r="O478" s="38"/>
      <c r="P478" s="38"/>
      <c r="Q478" s="38"/>
      <c r="R478" s="38"/>
    </row>
    <row r="479" spans="2:18" x14ac:dyDescent="0.2">
      <c r="B479"/>
      <c r="C479" s="38"/>
      <c r="D479" s="38"/>
      <c r="E479" s="38"/>
      <c r="N479"/>
      <c r="O479" s="38"/>
      <c r="P479" s="38"/>
      <c r="Q479" s="38"/>
      <c r="R479" s="38"/>
    </row>
    <row r="480" spans="2:18" x14ac:dyDescent="0.2">
      <c r="B480"/>
      <c r="C480" s="38"/>
      <c r="D480" s="38"/>
      <c r="E480" s="38"/>
      <c r="N480"/>
      <c r="O480" s="38"/>
      <c r="P480" s="38"/>
      <c r="Q480" s="38"/>
      <c r="R480" s="38"/>
    </row>
    <row r="481" spans="2:18" x14ac:dyDescent="0.2">
      <c r="B481"/>
      <c r="C481" s="38"/>
      <c r="D481" s="38"/>
      <c r="E481" s="38"/>
      <c r="N481"/>
      <c r="O481" s="38"/>
      <c r="P481" s="38"/>
      <c r="Q481" s="38"/>
      <c r="R481" s="38"/>
    </row>
    <row r="482" spans="2:18" x14ac:dyDescent="0.2">
      <c r="B482"/>
      <c r="C482" s="38"/>
      <c r="D482" s="38"/>
      <c r="E482" s="38"/>
      <c r="N482"/>
      <c r="O482" s="38"/>
      <c r="P482" s="38"/>
      <c r="Q482" s="38"/>
      <c r="R482" s="38"/>
    </row>
    <row r="483" spans="2:18" x14ac:dyDescent="0.2">
      <c r="B483"/>
      <c r="C483" s="38"/>
      <c r="D483" s="38"/>
      <c r="E483" s="38"/>
      <c r="N483"/>
      <c r="O483" s="38"/>
      <c r="P483" s="38"/>
      <c r="Q483" s="38"/>
      <c r="R483" s="38"/>
    </row>
    <row r="484" spans="2:18" x14ac:dyDescent="0.2">
      <c r="B484"/>
      <c r="C484" s="38"/>
      <c r="D484" s="38"/>
      <c r="E484" s="38"/>
      <c r="N484"/>
      <c r="O484" s="38"/>
      <c r="P484" s="38"/>
      <c r="Q484" s="38"/>
      <c r="R484" s="38"/>
    </row>
    <row r="485" spans="2:18" x14ac:dyDescent="0.2">
      <c r="B485"/>
      <c r="C485" s="38"/>
      <c r="D485" s="38"/>
      <c r="E485" s="38"/>
      <c r="N485"/>
      <c r="O485" s="38"/>
      <c r="P485" s="38"/>
      <c r="Q485" s="38"/>
      <c r="R485" s="38"/>
    </row>
    <row r="486" spans="2:18" x14ac:dyDescent="0.2">
      <c r="B486"/>
      <c r="C486" s="38"/>
      <c r="D486" s="38"/>
      <c r="E486" s="38"/>
      <c r="N486"/>
      <c r="O486" s="38"/>
      <c r="P486" s="38"/>
      <c r="Q486" s="38"/>
      <c r="R486" s="38"/>
    </row>
    <row r="487" spans="2:18" x14ac:dyDescent="0.2">
      <c r="B487"/>
      <c r="C487" s="38"/>
      <c r="D487" s="38"/>
      <c r="E487" s="38"/>
      <c r="N487"/>
      <c r="O487" s="38"/>
      <c r="P487" s="38"/>
      <c r="Q487" s="38"/>
      <c r="R487" s="38"/>
    </row>
    <row r="488" spans="2:18" x14ac:dyDescent="0.2">
      <c r="B488"/>
      <c r="C488" s="38"/>
      <c r="D488" s="38"/>
      <c r="E488" s="38"/>
      <c r="N488"/>
      <c r="O488" s="38"/>
      <c r="P488" s="38"/>
      <c r="Q488" s="38"/>
      <c r="R488" s="38"/>
    </row>
    <row r="489" spans="2:18" x14ac:dyDescent="0.2">
      <c r="B489"/>
      <c r="C489" s="38"/>
      <c r="D489" s="38"/>
      <c r="E489" s="38"/>
      <c r="N489"/>
      <c r="O489" s="38"/>
      <c r="P489" s="38"/>
      <c r="Q489" s="38"/>
      <c r="R489" s="38"/>
    </row>
    <row r="490" spans="2:18" x14ac:dyDescent="0.2">
      <c r="B490"/>
      <c r="C490" s="38"/>
      <c r="D490" s="38"/>
      <c r="E490" s="38"/>
      <c r="N490"/>
      <c r="O490" s="38"/>
      <c r="P490" s="38"/>
      <c r="Q490" s="38"/>
      <c r="R490" s="38"/>
    </row>
    <row r="491" spans="2:18" x14ac:dyDescent="0.2">
      <c r="B491"/>
      <c r="C491" s="38"/>
      <c r="D491" s="38"/>
      <c r="E491" s="38"/>
      <c r="N491"/>
      <c r="O491" s="38"/>
      <c r="P491" s="38"/>
      <c r="Q491" s="38"/>
      <c r="R491" s="38"/>
    </row>
    <row r="492" spans="2:18" x14ac:dyDescent="0.2">
      <c r="B492"/>
      <c r="C492" s="38"/>
      <c r="D492" s="38"/>
      <c r="E492" s="38"/>
      <c r="N492"/>
      <c r="O492" s="38"/>
      <c r="P492" s="38"/>
      <c r="Q492" s="38"/>
      <c r="R492" s="38"/>
    </row>
    <row r="493" spans="2:18" x14ac:dyDescent="0.2">
      <c r="B493"/>
      <c r="C493" s="38"/>
      <c r="D493" s="38"/>
      <c r="E493" s="38"/>
      <c r="N493"/>
      <c r="O493" s="38"/>
      <c r="P493" s="38"/>
      <c r="Q493" s="38"/>
      <c r="R493" s="38"/>
    </row>
    <row r="494" spans="2:18" x14ac:dyDescent="0.2">
      <c r="B494"/>
      <c r="C494" s="38"/>
      <c r="D494" s="38"/>
      <c r="E494" s="38"/>
      <c r="N494"/>
      <c r="O494" s="38"/>
      <c r="P494" s="38"/>
      <c r="Q494" s="38"/>
      <c r="R494" s="38"/>
    </row>
    <row r="495" spans="2:18" x14ac:dyDescent="0.2">
      <c r="B495"/>
      <c r="C495" s="38"/>
      <c r="D495" s="38"/>
      <c r="E495" s="38"/>
      <c r="N495"/>
      <c r="O495" s="38"/>
      <c r="P495" s="38"/>
      <c r="Q495" s="38"/>
      <c r="R495" s="38"/>
    </row>
    <row r="496" spans="2:18" x14ac:dyDescent="0.2">
      <c r="B496"/>
      <c r="C496" s="38"/>
      <c r="D496" s="38"/>
      <c r="E496" s="38"/>
      <c r="N496"/>
      <c r="O496" s="38"/>
      <c r="P496" s="38"/>
      <c r="Q496" s="38"/>
      <c r="R496" s="38"/>
    </row>
    <row r="497" spans="2:18" x14ac:dyDescent="0.2">
      <c r="B497"/>
      <c r="C497" s="38"/>
      <c r="D497" s="38"/>
      <c r="E497" s="38"/>
      <c r="N497"/>
      <c r="O497" s="38"/>
      <c r="P497" s="38"/>
      <c r="Q497" s="38"/>
      <c r="R497" s="38"/>
    </row>
    <row r="498" spans="2:18" x14ac:dyDescent="0.2">
      <c r="B498"/>
      <c r="C498" s="38"/>
      <c r="D498" s="38"/>
      <c r="E498" s="38"/>
      <c r="N498"/>
      <c r="O498" s="38"/>
      <c r="P498" s="38"/>
      <c r="Q498" s="38"/>
      <c r="R498" s="38"/>
    </row>
    <row r="499" spans="2:18" x14ac:dyDescent="0.2">
      <c r="B499"/>
      <c r="C499" s="38"/>
      <c r="D499" s="38"/>
      <c r="E499" s="38"/>
      <c r="N499"/>
      <c r="O499" s="38"/>
      <c r="P499" s="38"/>
      <c r="Q499" s="38"/>
      <c r="R499" s="38"/>
    </row>
    <row r="500" spans="2:18" x14ac:dyDescent="0.2">
      <c r="B500"/>
      <c r="C500" s="38"/>
      <c r="D500" s="38"/>
      <c r="E500" s="38"/>
      <c r="N500"/>
      <c r="O500" s="38"/>
      <c r="P500" s="38"/>
      <c r="Q500" s="38"/>
      <c r="R500" s="38"/>
    </row>
    <row r="501" spans="2:18" x14ac:dyDescent="0.2">
      <c r="B501"/>
      <c r="C501" s="38"/>
      <c r="D501" s="38"/>
      <c r="E501" s="38"/>
      <c r="N501"/>
      <c r="O501" s="38"/>
      <c r="P501" s="38"/>
      <c r="Q501" s="38"/>
      <c r="R501" s="38"/>
    </row>
    <row r="502" spans="2:18" x14ac:dyDescent="0.2">
      <c r="B502"/>
      <c r="C502" s="38"/>
      <c r="D502" s="38"/>
      <c r="E502" s="38"/>
      <c r="N502"/>
      <c r="O502" s="38"/>
      <c r="P502" s="38"/>
      <c r="Q502" s="38"/>
      <c r="R502" s="38"/>
    </row>
    <row r="503" spans="2:18" x14ac:dyDescent="0.2">
      <c r="B503"/>
      <c r="C503" s="38"/>
      <c r="D503" s="38"/>
      <c r="E503" s="38"/>
      <c r="N503"/>
      <c r="O503" s="38"/>
      <c r="P503" s="38"/>
      <c r="Q503" s="38"/>
      <c r="R503" s="38"/>
    </row>
    <row r="504" spans="2:18" x14ac:dyDescent="0.2">
      <c r="B504"/>
      <c r="C504" s="38"/>
      <c r="D504" s="38"/>
      <c r="E504" s="38"/>
      <c r="N504"/>
      <c r="O504" s="38"/>
      <c r="P504" s="38"/>
      <c r="Q504" s="38"/>
      <c r="R504" s="38"/>
    </row>
    <row r="505" spans="2:18" x14ac:dyDescent="0.2">
      <c r="B505"/>
      <c r="C505" s="38"/>
      <c r="D505" s="38"/>
      <c r="E505" s="38"/>
      <c r="N505"/>
      <c r="O505" s="38"/>
      <c r="P505" s="38"/>
      <c r="Q505" s="38"/>
      <c r="R505" s="38"/>
    </row>
    <row r="506" spans="2:18" x14ac:dyDescent="0.2">
      <c r="B506"/>
      <c r="C506" s="38"/>
      <c r="D506" s="38"/>
      <c r="E506" s="38"/>
      <c r="N506"/>
      <c r="O506" s="38"/>
      <c r="P506" s="38"/>
      <c r="Q506" s="38"/>
      <c r="R506" s="38"/>
    </row>
    <row r="507" spans="2:18" x14ac:dyDescent="0.2">
      <c r="B507"/>
      <c r="C507" s="38"/>
      <c r="D507" s="38"/>
      <c r="E507" s="38"/>
      <c r="N507"/>
      <c r="O507" s="38"/>
      <c r="P507" s="38"/>
      <c r="Q507" s="38"/>
      <c r="R507" s="38"/>
    </row>
    <row r="508" spans="2:18" x14ac:dyDescent="0.2">
      <c r="B508"/>
      <c r="C508" s="38"/>
      <c r="D508" s="38"/>
      <c r="E508" s="38"/>
      <c r="N508"/>
      <c r="O508" s="38"/>
      <c r="P508" s="38"/>
      <c r="Q508" s="38"/>
      <c r="R508" s="38"/>
    </row>
    <row r="509" spans="2:18" x14ac:dyDescent="0.2">
      <c r="B509"/>
      <c r="C509" s="38"/>
      <c r="D509" s="38"/>
      <c r="E509" s="38"/>
      <c r="N509"/>
      <c r="O509" s="38"/>
      <c r="P509" s="38"/>
      <c r="Q509" s="38"/>
      <c r="R509" s="38"/>
    </row>
    <row r="510" spans="2:18" x14ac:dyDescent="0.2">
      <c r="B510"/>
      <c r="C510" s="38"/>
      <c r="D510" s="38"/>
      <c r="E510" s="38"/>
      <c r="N510"/>
      <c r="O510" s="38"/>
      <c r="P510" s="38"/>
      <c r="Q510" s="38"/>
      <c r="R510" s="38"/>
    </row>
    <row r="511" spans="2:18" x14ac:dyDescent="0.2">
      <c r="B511"/>
      <c r="C511" s="38"/>
      <c r="D511" s="38"/>
      <c r="E511" s="38"/>
      <c r="N511"/>
      <c r="O511" s="38"/>
      <c r="P511" s="38"/>
      <c r="Q511" s="38"/>
      <c r="R511" s="38"/>
    </row>
    <row r="512" spans="2:18" x14ac:dyDescent="0.2">
      <c r="B512"/>
      <c r="C512" s="38"/>
      <c r="D512" s="38"/>
      <c r="E512" s="38"/>
      <c r="N512"/>
      <c r="O512" s="38"/>
      <c r="P512" s="38"/>
      <c r="Q512" s="38"/>
      <c r="R512" s="38"/>
    </row>
    <row r="513" spans="2:18" x14ac:dyDescent="0.2">
      <c r="B513"/>
      <c r="C513" s="38"/>
      <c r="D513" s="38"/>
      <c r="E513" s="38"/>
      <c r="N513"/>
      <c r="O513" s="38"/>
      <c r="P513" s="38"/>
      <c r="Q513" s="38"/>
      <c r="R513" s="38"/>
    </row>
    <row r="514" spans="2:18" x14ac:dyDescent="0.2">
      <c r="B514"/>
      <c r="C514" s="38"/>
      <c r="D514" s="38"/>
      <c r="E514" s="38"/>
      <c r="N514"/>
      <c r="O514" s="38"/>
      <c r="P514" s="38"/>
      <c r="Q514" s="38"/>
      <c r="R514" s="38"/>
    </row>
    <row r="515" spans="2:18" x14ac:dyDescent="0.2">
      <c r="B515"/>
      <c r="C515" s="38"/>
      <c r="D515" s="38"/>
      <c r="E515" s="38"/>
      <c r="N515"/>
      <c r="O515" s="38"/>
      <c r="P515" s="38"/>
      <c r="Q515" s="38"/>
      <c r="R515" s="38"/>
    </row>
    <row r="516" spans="2:18" x14ac:dyDescent="0.2">
      <c r="B516"/>
      <c r="C516" s="38"/>
      <c r="D516" s="38"/>
      <c r="E516" s="38"/>
      <c r="N516"/>
      <c r="O516" s="38"/>
      <c r="P516" s="38"/>
      <c r="Q516" s="38"/>
      <c r="R516" s="38"/>
    </row>
    <row r="517" spans="2:18" x14ac:dyDescent="0.2">
      <c r="B517"/>
      <c r="C517" s="38"/>
      <c r="D517" s="38"/>
      <c r="E517" s="38"/>
      <c r="N517"/>
      <c r="O517" s="38"/>
      <c r="P517" s="38"/>
      <c r="Q517" s="38"/>
      <c r="R517" s="38"/>
    </row>
    <row r="518" spans="2:18" x14ac:dyDescent="0.2">
      <c r="B518"/>
      <c r="C518" s="38"/>
      <c r="D518" s="38"/>
      <c r="E518" s="38"/>
      <c r="N518"/>
      <c r="O518" s="38"/>
      <c r="P518" s="38"/>
      <c r="Q518" s="38"/>
      <c r="R518" s="38"/>
    </row>
    <row r="519" spans="2:18" x14ac:dyDescent="0.2">
      <c r="B519"/>
      <c r="C519" s="38"/>
      <c r="D519" s="38"/>
      <c r="E519" s="38"/>
      <c r="N519"/>
      <c r="O519" s="38"/>
      <c r="P519" s="38"/>
      <c r="Q519" s="38"/>
      <c r="R519" s="38"/>
    </row>
    <row r="520" spans="2:18" x14ac:dyDescent="0.2">
      <c r="B520"/>
      <c r="C520" s="38"/>
      <c r="D520" s="38"/>
      <c r="E520" s="38"/>
      <c r="N520"/>
      <c r="O520" s="38"/>
      <c r="P520" s="38"/>
      <c r="Q520" s="38"/>
      <c r="R520" s="38"/>
    </row>
    <row r="521" spans="2:18" x14ac:dyDescent="0.2">
      <c r="B521"/>
      <c r="C521" s="38"/>
      <c r="D521" s="38"/>
      <c r="E521" s="38"/>
      <c r="N521"/>
      <c r="O521" s="38"/>
      <c r="P521" s="38"/>
      <c r="Q521" s="38"/>
      <c r="R521" s="38"/>
    </row>
    <row r="522" spans="2:18" x14ac:dyDescent="0.2">
      <c r="B522"/>
      <c r="C522" s="38"/>
      <c r="D522" s="38"/>
      <c r="E522" s="38"/>
      <c r="N522"/>
      <c r="O522" s="38"/>
      <c r="P522" s="38"/>
      <c r="Q522" s="38"/>
      <c r="R522" s="38"/>
    </row>
    <row r="523" spans="2:18" x14ac:dyDescent="0.2">
      <c r="B523"/>
      <c r="C523" s="38"/>
      <c r="D523" s="38"/>
      <c r="E523" s="38"/>
      <c r="N523"/>
      <c r="O523" s="38"/>
      <c r="P523" s="38"/>
      <c r="Q523" s="38"/>
      <c r="R523" s="38"/>
    </row>
    <row r="524" spans="2:18" x14ac:dyDescent="0.2">
      <c r="B524"/>
      <c r="C524" s="38"/>
      <c r="D524" s="38"/>
      <c r="E524" s="38"/>
      <c r="N524"/>
      <c r="O524" s="38"/>
      <c r="P524" s="38"/>
      <c r="Q524" s="38"/>
      <c r="R524" s="38"/>
    </row>
    <row r="525" spans="2:18" x14ac:dyDescent="0.2">
      <c r="B525"/>
      <c r="C525" s="38"/>
      <c r="D525" s="38"/>
      <c r="E525" s="38"/>
      <c r="N525"/>
      <c r="O525" s="38"/>
      <c r="P525" s="38"/>
      <c r="Q525" s="38"/>
      <c r="R525" s="38"/>
    </row>
    <row r="526" spans="2:18" x14ac:dyDescent="0.2">
      <c r="B526"/>
      <c r="C526" s="38"/>
      <c r="D526" s="38"/>
      <c r="E526" s="38"/>
      <c r="N526"/>
      <c r="O526" s="38"/>
      <c r="P526" s="38"/>
      <c r="Q526" s="38"/>
      <c r="R526" s="38"/>
    </row>
    <row r="527" spans="2:18" x14ac:dyDescent="0.2">
      <c r="B527"/>
      <c r="C527" s="38"/>
      <c r="D527" s="38"/>
      <c r="E527" s="38"/>
      <c r="N527"/>
      <c r="O527" s="38"/>
      <c r="P527" s="38"/>
      <c r="Q527" s="38"/>
      <c r="R527" s="38"/>
    </row>
    <row r="528" spans="2:18" x14ac:dyDescent="0.2">
      <c r="B528"/>
      <c r="C528" s="38"/>
      <c r="D528" s="38"/>
      <c r="E528" s="38"/>
      <c r="N528"/>
      <c r="O528" s="38"/>
      <c r="P528" s="38"/>
      <c r="Q528" s="38"/>
      <c r="R528" s="38"/>
    </row>
    <row r="529" spans="2:18" x14ac:dyDescent="0.2">
      <c r="B529"/>
      <c r="C529" s="38"/>
      <c r="D529" s="38"/>
      <c r="E529" s="38"/>
      <c r="N529"/>
      <c r="O529" s="38"/>
      <c r="P529" s="38"/>
      <c r="Q529" s="38"/>
      <c r="R529" s="38"/>
    </row>
    <row r="530" spans="2:18" x14ac:dyDescent="0.2">
      <c r="B530"/>
      <c r="C530" s="38"/>
      <c r="D530" s="38"/>
      <c r="E530" s="38"/>
      <c r="N530"/>
      <c r="O530" s="38"/>
      <c r="P530" s="38"/>
      <c r="Q530" s="38"/>
      <c r="R530" s="38"/>
    </row>
    <row r="531" spans="2:18" x14ac:dyDescent="0.2">
      <c r="B531"/>
      <c r="C531" s="38"/>
      <c r="D531" s="38"/>
      <c r="E531" s="38"/>
      <c r="N531"/>
      <c r="O531" s="38"/>
      <c r="P531" s="38"/>
      <c r="Q531" s="38"/>
      <c r="R531" s="38"/>
    </row>
    <row r="532" spans="2:18" x14ac:dyDescent="0.2">
      <c r="B532"/>
      <c r="C532" s="38"/>
      <c r="D532" s="38"/>
      <c r="E532" s="38"/>
      <c r="N532"/>
      <c r="O532" s="38"/>
      <c r="P532" s="38"/>
      <c r="Q532" s="38"/>
      <c r="R532" s="38"/>
    </row>
    <row r="533" spans="2:18" x14ac:dyDescent="0.2">
      <c r="B533"/>
      <c r="C533" s="38"/>
      <c r="D533" s="38"/>
      <c r="E533" s="38"/>
      <c r="N533"/>
      <c r="O533" s="38"/>
      <c r="P533" s="38"/>
      <c r="Q533" s="38"/>
      <c r="R533" s="38"/>
    </row>
    <row r="534" spans="2:18" x14ac:dyDescent="0.2">
      <c r="B534"/>
      <c r="C534" s="38"/>
      <c r="D534" s="38"/>
      <c r="E534" s="38"/>
      <c r="N534"/>
      <c r="O534" s="38"/>
      <c r="P534" s="38"/>
      <c r="Q534" s="38"/>
      <c r="R534" s="38"/>
    </row>
    <row r="535" spans="2:18" x14ac:dyDescent="0.2">
      <c r="B535"/>
      <c r="C535" s="38"/>
      <c r="D535" s="38"/>
      <c r="E535" s="38"/>
      <c r="N535"/>
      <c r="O535" s="38"/>
      <c r="P535" s="38"/>
      <c r="Q535" s="38"/>
      <c r="R535" s="38"/>
    </row>
    <row r="536" spans="2:18" x14ac:dyDescent="0.2">
      <c r="B536"/>
      <c r="C536" s="38"/>
      <c r="D536" s="38"/>
      <c r="E536" s="38"/>
      <c r="N536"/>
      <c r="O536" s="38"/>
      <c r="P536" s="38"/>
      <c r="Q536" s="38"/>
      <c r="R536" s="38"/>
    </row>
    <row r="537" spans="2:18" x14ac:dyDescent="0.2">
      <c r="B537"/>
      <c r="C537" s="38"/>
      <c r="D537" s="38"/>
      <c r="E537" s="38"/>
      <c r="N537"/>
      <c r="O537" s="38"/>
      <c r="P537" s="38"/>
      <c r="Q537" s="38"/>
      <c r="R537" s="38"/>
    </row>
    <row r="538" spans="2:18" x14ac:dyDescent="0.2">
      <c r="B538"/>
      <c r="C538" s="38"/>
      <c r="D538" s="38"/>
      <c r="E538" s="38"/>
      <c r="N538"/>
      <c r="O538" s="38"/>
      <c r="P538" s="38"/>
      <c r="Q538" s="38"/>
      <c r="R538" s="38"/>
    </row>
    <row r="539" spans="2:18" x14ac:dyDescent="0.2">
      <c r="B539"/>
      <c r="C539" s="38"/>
      <c r="D539" s="38"/>
      <c r="E539" s="38"/>
      <c r="N539"/>
      <c r="O539" s="38"/>
      <c r="P539" s="38"/>
      <c r="Q539" s="38"/>
      <c r="R539" s="38"/>
    </row>
    <row r="540" spans="2:18" x14ac:dyDescent="0.2">
      <c r="B540"/>
      <c r="C540" s="38"/>
      <c r="D540" s="38"/>
      <c r="E540" s="38"/>
      <c r="N540"/>
      <c r="O540" s="38"/>
      <c r="P540" s="38"/>
      <c r="Q540" s="38"/>
      <c r="R540" s="38"/>
    </row>
    <row r="541" spans="2:18" x14ac:dyDescent="0.2">
      <c r="B541"/>
      <c r="C541" s="38"/>
      <c r="D541" s="38"/>
      <c r="E541" s="38"/>
      <c r="N541"/>
      <c r="O541" s="38"/>
      <c r="P541" s="38"/>
      <c r="Q541" s="38"/>
      <c r="R541" s="38"/>
    </row>
    <row r="542" spans="2:18" x14ac:dyDescent="0.2">
      <c r="B542"/>
      <c r="C542" s="38"/>
      <c r="D542" s="38"/>
      <c r="E542" s="38"/>
      <c r="N542"/>
      <c r="O542" s="38"/>
      <c r="P542" s="38"/>
      <c r="Q542" s="38"/>
      <c r="R542" s="38"/>
    </row>
    <row r="543" spans="2:18" x14ac:dyDescent="0.2">
      <c r="B543"/>
      <c r="C543" s="38"/>
      <c r="D543" s="38"/>
      <c r="E543" s="38"/>
      <c r="N543"/>
      <c r="O543" s="38"/>
      <c r="P543" s="38"/>
      <c r="Q543" s="38"/>
      <c r="R543" s="38"/>
    </row>
    <row r="544" spans="2:18" x14ac:dyDescent="0.2">
      <c r="B544"/>
      <c r="C544" s="38"/>
      <c r="D544" s="38"/>
      <c r="E544" s="38"/>
      <c r="N544"/>
      <c r="O544" s="38"/>
      <c r="P544" s="38"/>
      <c r="Q544" s="38"/>
      <c r="R544" s="38"/>
    </row>
    <row r="545" spans="2:18" x14ac:dyDescent="0.2">
      <c r="B545"/>
      <c r="C545" s="38"/>
      <c r="D545" s="38"/>
      <c r="E545" s="38"/>
      <c r="N545"/>
      <c r="O545" s="38"/>
      <c r="P545" s="38"/>
      <c r="Q545" s="38"/>
      <c r="R545" s="38"/>
    </row>
    <row r="546" spans="2:18" x14ac:dyDescent="0.2">
      <c r="B546"/>
      <c r="C546" s="38"/>
      <c r="D546" s="38"/>
      <c r="E546" s="38"/>
      <c r="N546"/>
      <c r="O546" s="38"/>
      <c r="P546" s="38"/>
      <c r="Q546" s="38"/>
      <c r="R546" s="38"/>
    </row>
    <row r="547" spans="2:18" x14ac:dyDescent="0.2">
      <c r="B547"/>
      <c r="C547" s="38"/>
      <c r="D547" s="38"/>
      <c r="E547" s="38"/>
      <c r="N547"/>
      <c r="O547" s="38"/>
      <c r="P547" s="38"/>
      <c r="Q547" s="38"/>
      <c r="R547" s="38"/>
    </row>
    <row r="548" spans="2:18" x14ac:dyDescent="0.2">
      <c r="B548"/>
      <c r="C548" s="38"/>
      <c r="D548" s="38"/>
      <c r="E548" s="38"/>
      <c r="N548"/>
      <c r="O548" s="38"/>
      <c r="P548" s="38"/>
      <c r="Q548" s="38"/>
      <c r="R548" s="38"/>
    </row>
    <row r="549" spans="2:18" x14ac:dyDescent="0.2">
      <c r="B549"/>
      <c r="C549" s="38"/>
      <c r="D549" s="38"/>
      <c r="E549" s="38"/>
      <c r="N549"/>
      <c r="O549" s="38"/>
      <c r="P549" s="38"/>
      <c r="Q549" s="38"/>
      <c r="R549" s="38"/>
    </row>
    <row r="550" spans="2:18" x14ac:dyDescent="0.2">
      <c r="B550"/>
      <c r="C550" s="38"/>
      <c r="D550" s="38"/>
      <c r="E550" s="38"/>
      <c r="N550"/>
      <c r="O550" s="38"/>
      <c r="P550" s="38"/>
      <c r="Q550" s="38"/>
      <c r="R550" s="38"/>
    </row>
    <row r="551" spans="2:18" x14ac:dyDescent="0.2">
      <c r="B551"/>
      <c r="C551" s="38"/>
      <c r="D551" s="38"/>
      <c r="E551" s="38"/>
      <c r="N551"/>
      <c r="O551" s="38"/>
      <c r="P551" s="38"/>
      <c r="Q551" s="38"/>
      <c r="R551" s="38"/>
    </row>
    <row r="552" spans="2:18" x14ac:dyDescent="0.2">
      <c r="B552"/>
      <c r="C552" s="38"/>
      <c r="D552" s="38"/>
      <c r="E552" s="38"/>
      <c r="N552"/>
      <c r="O552" s="38"/>
      <c r="P552" s="38"/>
      <c r="Q552" s="38"/>
      <c r="R552" s="38"/>
    </row>
    <row r="553" spans="2:18" x14ac:dyDescent="0.2">
      <c r="B553"/>
      <c r="C553" s="38"/>
      <c r="D553" s="38"/>
      <c r="E553" s="38"/>
      <c r="N553"/>
      <c r="O553" s="38"/>
      <c r="P553" s="38"/>
      <c r="Q553" s="38"/>
      <c r="R553" s="38"/>
    </row>
    <row r="554" spans="2:18" x14ac:dyDescent="0.2">
      <c r="B554"/>
      <c r="C554" s="38"/>
      <c r="D554" s="38"/>
      <c r="E554" s="38"/>
      <c r="N554"/>
      <c r="O554" s="38"/>
      <c r="P554" s="38"/>
      <c r="Q554" s="38"/>
      <c r="R554" s="38"/>
    </row>
    <row r="555" spans="2:18" x14ac:dyDescent="0.2">
      <c r="B555"/>
      <c r="C555" s="38"/>
      <c r="D555" s="38"/>
      <c r="E555" s="38"/>
      <c r="N555"/>
      <c r="O555" s="38"/>
      <c r="P555" s="38"/>
      <c r="Q555" s="38"/>
      <c r="R555" s="38"/>
    </row>
    <row r="556" spans="2:18" x14ac:dyDescent="0.2">
      <c r="B556"/>
      <c r="C556" s="38"/>
      <c r="D556" s="38"/>
      <c r="E556" s="38"/>
      <c r="N556"/>
      <c r="O556" s="38"/>
      <c r="P556" s="38"/>
      <c r="Q556" s="38"/>
      <c r="R556" s="38"/>
    </row>
    <row r="557" spans="2:18" x14ac:dyDescent="0.2">
      <c r="B557"/>
      <c r="C557" s="38"/>
      <c r="D557" s="38"/>
      <c r="E557" s="38"/>
      <c r="N557"/>
      <c r="O557" s="38"/>
      <c r="P557" s="38"/>
      <c r="Q557" s="38"/>
      <c r="R557" s="38"/>
    </row>
    <row r="558" spans="2:18" x14ac:dyDescent="0.2">
      <c r="B558"/>
      <c r="C558" s="38"/>
      <c r="D558" s="38"/>
      <c r="E558" s="38"/>
      <c r="N558"/>
      <c r="O558" s="38"/>
      <c r="P558" s="38"/>
      <c r="Q558" s="38"/>
      <c r="R558" s="38"/>
    </row>
    <row r="559" spans="2:18" x14ac:dyDescent="0.2">
      <c r="B559"/>
      <c r="C559" s="38"/>
      <c r="D559" s="38"/>
      <c r="E559" s="38"/>
      <c r="N559"/>
      <c r="O559" s="38"/>
      <c r="P559" s="38"/>
      <c r="Q559" s="38"/>
      <c r="R559" s="38"/>
    </row>
    <row r="560" spans="2:18" x14ac:dyDescent="0.2">
      <c r="B560"/>
      <c r="C560" s="38"/>
      <c r="D560" s="38"/>
      <c r="E560" s="38"/>
      <c r="N560"/>
      <c r="O560" s="38"/>
      <c r="P560" s="38"/>
      <c r="Q560" s="38"/>
      <c r="R560" s="38"/>
    </row>
    <row r="561" spans="2:18" x14ac:dyDescent="0.2">
      <c r="B561"/>
      <c r="C561" s="38"/>
      <c r="D561" s="38"/>
      <c r="E561" s="38"/>
      <c r="N561"/>
      <c r="O561" s="38"/>
      <c r="P561" s="38"/>
      <c r="Q561" s="38"/>
      <c r="R561" s="38"/>
    </row>
    <row r="562" spans="2:18" x14ac:dyDescent="0.2">
      <c r="B562"/>
      <c r="C562" s="38"/>
      <c r="D562" s="38"/>
      <c r="E562" s="38"/>
      <c r="N562"/>
      <c r="O562" s="38"/>
      <c r="P562" s="38"/>
      <c r="Q562" s="38"/>
      <c r="R562" s="38"/>
    </row>
    <row r="563" spans="2:18" x14ac:dyDescent="0.2">
      <c r="B563"/>
      <c r="C563" s="38"/>
      <c r="D563" s="38"/>
      <c r="E563" s="38"/>
      <c r="N563"/>
      <c r="O563" s="38"/>
      <c r="P563" s="38"/>
      <c r="Q563" s="38"/>
      <c r="R563" s="38"/>
    </row>
    <row r="564" spans="2:18" x14ac:dyDescent="0.2">
      <c r="B564"/>
      <c r="C564" s="38"/>
      <c r="D564" s="38"/>
      <c r="E564" s="38"/>
      <c r="N564"/>
      <c r="O564" s="38"/>
      <c r="P564" s="38"/>
      <c r="Q564" s="38"/>
      <c r="R564" s="38"/>
    </row>
    <row r="565" spans="2:18" x14ac:dyDescent="0.2">
      <c r="B565"/>
      <c r="C565" s="38"/>
      <c r="D565" s="38"/>
      <c r="E565" s="38"/>
      <c r="N565"/>
      <c r="O565" s="38"/>
      <c r="P565" s="38"/>
      <c r="Q565" s="38"/>
      <c r="R565" s="38"/>
    </row>
    <row r="566" spans="2:18" x14ac:dyDescent="0.2">
      <c r="B566"/>
      <c r="C566" s="38"/>
      <c r="D566" s="38"/>
      <c r="E566" s="38"/>
      <c r="N566"/>
      <c r="O566" s="38"/>
      <c r="P566" s="38"/>
      <c r="Q566" s="38"/>
      <c r="R566" s="38"/>
    </row>
    <row r="567" spans="2:18" x14ac:dyDescent="0.2">
      <c r="B567"/>
      <c r="C567" s="38"/>
      <c r="D567" s="38"/>
      <c r="E567" s="38"/>
      <c r="N567"/>
      <c r="O567" s="38"/>
      <c r="P567" s="38"/>
      <c r="Q567" s="38"/>
      <c r="R567" s="38"/>
    </row>
    <row r="568" spans="2:18" x14ac:dyDescent="0.2">
      <c r="B568"/>
      <c r="C568" s="38"/>
      <c r="D568" s="38"/>
      <c r="E568" s="38"/>
      <c r="N568"/>
      <c r="O568" s="38"/>
      <c r="P568" s="38"/>
      <c r="Q568" s="38"/>
      <c r="R568" s="38"/>
    </row>
    <row r="569" spans="2:18" x14ac:dyDescent="0.2">
      <c r="B569"/>
      <c r="C569" s="38"/>
      <c r="D569" s="38"/>
      <c r="E569" s="38"/>
      <c r="N569"/>
      <c r="O569" s="38"/>
      <c r="P569" s="38"/>
      <c r="Q569" s="38"/>
      <c r="R569" s="38"/>
    </row>
    <row r="570" spans="2:18" x14ac:dyDescent="0.2">
      <c r="B570"/>
      <c r="C570" s="38"/>
      <c r="D570" s="38"/>
      <c r="E570" s="38"/>
      <c r="N570"/>
      <c r="O570" s="38"/>
      <c r="P570" s="38"/>
      <c r="Q570" s="38"/>
      <c r="R570" s="38"/>
    </row>
    <row r="571" spans="2:18" x14ac:dyDescent="0.2">
      <c r="B571"/>
      <c r="C571" s="38"/>
      <c r="D571" s="38"/>
      <c r="E571" s="38"/>
      <c r="N571"/>
      <c r="O571" s="38"/>
      <c r="P571" s="38"/>
      <c r="Q571" s="38"/>
      <c r="R571" s="38"/>
    </row>
    <row r="572" spans="2:18" x14ac:dyDescent="0.2">
      <c r="B572"/>
      <c r="C572" s="38"/>
      <c r="D572" s="38"/>
      <c r="E572" s="38"/>
      <c r="N572"/>
      <c r="O572" s="38"/>
      <c r="P572" s="38"/>
      <c r="Q572" s="38"/>
      <c r="R572" s="38"/>
    </row>
    <row r="573" spans="2:18" x14ac:dyDescent="0.2">
      <c r="B573"/>
      <c r="C573" s="38"/>
      <c r="D573" s="38"/>
      <c r="E573" s="38"/>
      <c r="N573"/>
      <c r="O573" s="38"/>
      <c r="P573" s="38"/>
      <c r="Q573" s="38"/>
      <c r="R573" s="38"/>
    </row>
    <row r="574" spans="2:18" x14ac:dyDescent="0.2">
      <c r="B574"/>
      <c r="C574" s="38"/>
      <c r="D574" s="38"/>
      <c r="E574" s="38"/>
      <c r="N574"/>
      <c r="O574" s="38"/>
      <c r="P574" s="38"/>
      <c r="Q574" s="38"/>
      <c r="R574" s="38"/>
    </row>
    <row r="575" spans="2:18" x14ac:dyDescent="0.2">
      <c r="B575"/>
      <c r="C575" s="38"/>
      <c r="D575" s="38"/>
      <c r="E575" s="38"/>
      <c r="N575"/>
      <c r="O575" s="38"/>
      <c r="P575" s="38"/>
      <c r="Q575" s="38"/>
      <c r="R575" s="38"/>
    </row>
    <row r="576" spans="2:18" x14ac:dyDescent="0.2">
      <c r="B576"/>
      <c r="C576" s="38"/>
      <c r="D576" s="38"/>
      <c r="E576" s="38"/>
      <c r="N576"/>
      <c r="O576" s="38"/>
      <c r="P576" s="38"/>
      <c r="Q576" s="38"/>
      <c r="R576" s="38"/>
    </row>
    <row r="577" spans="2:18" x14ac:dyDescent="0.2">
      <c r="B577"/>
      <c r="C577" s="38"/>
      <c r="D577" s="38"/>
      <c r="E577" s="38"/>
      <c r="N577"/>
      <c r="O577" s="38"/>
      <c r="P577" s="38"/>
      <c r="Q577" s="38"/>
      <c r="R577" s="38"/>
    </row>
    <row r="578" spans="2:18" x14ac:dyDescent="0.2">
      <c r="B578"/>
      <c r="C578" s="38"/>
      <c r="D578" s="38"/>
      <c r="E578" s="38"/>
      <c r="N578"/>
      <c r="O578" s="38"/>
      <c r="P578" s="38"/>
      <c r="Q578" s="38"/>
      <c r="R578" s="38"/>
    </row>
    <row r="579" spans="2:18" x14ac:dyDescent="0.2">
      <c r="B579"/>
      <c r="C579" s="38"/>
      <c r="D579" s="38"/>
      <c r="E579" s="38"/>
      <c r="N579"/>
      <c r="O579" s="38"/>
      <c r="P579" s="38"/>
      <c r="Q579" s="38"/>
      <c r="R579" s="38"/>
    </row>
    <row r="580" spans="2:18" x14ac:dyDescent="0.2">
      <c r="B580"/>
      <c r="C580" s="38"/>
      <c r="D580" s="38"/>
      <c r="E580" s="38"/>
      <c r="N580"/>
      <c r="O580" s="38"/>
      <c r="P580" s="38"/>
      <c r="Q580" s="38"/>
      <c r="R580" s="38"/>
    </row>
    <row r="581" spans="2:18" x14ac:dyDescent="0.2">
      <c r="B581"/>
      <c r="C581" s="38"/>
      <c r="D581" s="38"/>
      <c r="E581" s="38"/>
      <c r="N581"/>
      <c r="O581" s="38"/>
      <c r="P581" s="38"/>
      <c r="Q581" s="38"/>
      <c r="R581" s="38"/>
    </row>
    <row r="582" spans="2:18" x14ac:dyDescent="0.2">
      <c r="B582"/>
      <c r="C582" s="38"/>
      <c r="D582" s="38"/>
      <c r="E582" s="38"/>
      <c r="N582"/>
      <c r="O582" s="38"/>
      <c r="P582" s="38"/>
      <c r="Q582" s="38"/>
      <c r="R582" s="38"/>
    </row>
    <row r="583" spans="2:18" x14ac:dyDescent="0.2">
      <c r="B583"/>
      <c r="C583" s="38"/>
      <c r="D583" s="38"/>
      <c r="E583" s="38"/>
      <c r="N583"/>
      <c r="O583" s="38"/>
      <c r="P583" s="38"/>
      <c r="Q583" s="38"/>
      <c r="R583" s="38"/>
    </row>
    <row r="584" spans="2:18" x14ac:dyDescent="0.2">
      <c r="B584"/>
      <c r="C584" s="38"/>
      <c r="D584" s="38"/>
      <c r="E584" s="38"/>
      <c r="N584"/>
      <c r="O584" s="38"/>
      <c r="P584" s="38"/>
      <c r="Q584" s="38"/>
      <c r="R584" s="38"/>
    </row>
    <row r="585" spans="2:18" x14ac:dyDescent="0.2">
      <c r="B585"/>
      <c r="C585" s="38"/>
      <c r="D585" s="38"/>
      <c r="E585" s="38"/>
      <c r="N585"/>
      <c r="O585" s="38"/>
      <c r="P585" s="38"/>
      <c r="Q585" s="38"/>
      <c r="R585" s="38"/>
    </row>
    <row r="586" spans="2:18" x14ac:dyDescent="0.2">
      <c r="B586"/>
      <c r="C586" s="38"/>
      <c r="D586" s="38"/>
      <c r="E586" s="38"/>
      <c r="N586"/>
      <c r="O586" s="38"/>
      <c r="P586" s="38"/>
      <c r="Q586" s="38"/>
      <c r="R586" s="38"/>
    </row>
    <row r="587" spans="2:18" x14ac:dyDescent="0.2">
      <c r="B587"/>
      <c r="C587" s="38"/>
      <c r="D587" s="38"/>
      <c r="E587" s="38"/>
      <c r="N587"/>
      <c r="O587" s="38"/>
      <c r="P587" s="38"/>
      <c r="Q587" s="38"/>
      <c r="R587" s="38"/>
    </row>
    <row r="588" spans="2:18" x14ac:dyDescent="0.2">
      <c r="B588"/>
      <c r="C588" s="38"/>
      <c r="D588" s="38"/>
      <c r="E588" s="38"/>
      <c r="N588"/>
      <c r="O588" s="38"/>
      <c r="P588" s="38"/>
      <c r="Q588" s="38"/>
      <c r="R588" s="38"/>
    </row>
    <row r="589" spans="2:18" x14ac:dyDescent="0.2">
      <c r="B589"/>
      <c r="C589" s="38"/>
      <c r="D589" s="38"/>
      <c r="E589" s="38"/>
      <c r="N589"/>
      <c r="O589" s="38"/>
      <c r="P589" s="38"/>
      <c r="Q589" s="38"/>
      <c r="R589" s="38"/>
    </row>
    <row r="590" spans="2:18" x14ac:dyDescent="0.2">
      <c r="B590"/>
      <c r="C590" s="38"/>
      <c r="D590" s="38"/>
      <c r="E590" s="38"/>
      <c r="N590"/>
      <c r="O590" s="38"/>
      <c r="P590" s="38"/>
      <c r="Q590" s="38"/>
      <c r="R590" s="38"/>
    </row>
    <row r="591" spans="2:18" x14ac:dyDescent="0.2">
      <c r="B591"/>
      <c r="C591" s="38"/>
      <c r="D591" s="38"/>
      <c r="E591" s="38"/>
      <c r="N591"/>
      <c r="O591" s="38"/>
      <c r="P591" s="38"/>
      <c r="Q591" s="38"/>
      <c r="R591" s="38"/>
    </row>
    <row r="592" spans="2:18" x14ac:dyDescent="0.2">
      <c r="B592"/>
      <c r="C592" s="38"/>
      <c r="D592" s="38"/>
      <c r="E592" s="38"/>
      <c r="N592"/>
      <c r="O592" s="38"/>
      <c r="P592" s="38"/>
      <c r="Q592" s="38"/>
      <c r="R592" s="38"/>
    </row>
    <row r="593" spans="2:18" x14ac:dyDescent="0.2">
      <c r="B593"/>
      <c r="C593" s="38"/>
      <c r="D593" s="38"/>
      <c r="E593" s="38"/>
      <c r="N593"/>
      <c r="O593" s="38"/>
      <c r="P593" s="38"/>
      <c r="Q593" s="38"/>
      <c r="R593" s="38"/>
    </row>
    <row r="594" spans="2:18" x14ac:dyDescent="0.2">
      <c r="B594"/>
      <c r="C594" s="38"/>
      <c r="D594" s="38"/>
      <c r="E594" s="38"/>
      <c r="N594"/>
      <c r="O594" s="38"/>
      <c r="P594" s="38"/>
      <c r="Q594" s="38"/>
      <c r="R594" s="38"/>
    </row>
    <row r="595" spans="2:18" x14ac:dyDescent="0.2">
      <c r="B595"/>
      <c r="C595" s="38"/>
      <c r="D595" s="38"/>
      <c r="E595" s="38"/>
      <c r="N595"/>
      <c r="O595" s="38"/>
      <c r="P595" s="38"/>
      <c r="Q595" s="38"/>
      <c r="R595" s="38"/>
    </row>
    <row r="596" spans="2:18" x14ac:dyDescent="0.2">
      <c r="B596"/>
      <c r="C596" s="38"/>
      <c r="D596" s="38"/>
      <c r="E596" s="38"/>
      <c r="N596"/>
      <c r="O596" s="38"/>
      <c r="P596" s="38"/>
      <c r="Q596" s="38"/>
      <c r="R596" s="38"/>
    </row>
    <row r="597" spans="2:18" x14ac:dyDescent="0.2">
      <c r="B597"/>
      <c r="C597" s="38"/>
      <c r="D597" s="38"/>
      <c r="E597" s="38"/>
      <c r="N597"/>
      <c r="O597" s="38"/>
      <c r="P597" s="38"/>
      <c r="Q597" s="38"/>
      <c r="R597" s="38"/>
    </row>
    <row r="598" spans="2:18" x14ac:dyDescent="0.2">
      <c r="B598"/>
      <c r="C598" s="38"/>
      <c r="D598" s="38"/>
      <c r="E598" s="38"/>
      <c r="N598"/>
      <c r="O598" s="38"/>
      <c r="P598" s="38"/>
      <c r="Q598" s="38"/>
      <c r="R598" s="38"/>
    </row>
    <row r="599" spans="2:18" x14ac:dyDescent="0.2">
      <c r="B599"/>
      <c r="C599" s="38"/>
      <c r="D599" s="38"/>
      <c r="E599" s="38"/>
      <c r="N599"/>
      <c r="O599" s="38"/>
      <c r="P599" s="38"/>
      <c r="Q599" s="38"/>
      <c r="R599" s="38"/>
    </row>
    <row r="600" spans="2:18" x14ac:dyDescent="0.2">
      <c r="B600"/>
      <c r="C600" s="38"/>
      <c r="D600" s="38"/>
      <c r="E600" s="38"/>
      <c r="N600"/>
      <c r="O600" s="38"/>
      <c r="P600" s="38"/>
      <c r="Q600" s="38"/>
      <c r="R600" s="38"/>
    </row>
    <row r="601" spans="2:18" x14ac:dyDescent="0.2">
      <c r="B601"/>
      <c r="C601" s="38"/>
      <c r="D601" s="38"/>
      <c r="E601" s="38"/>
      <c r="N601"/>
      <c r="O601" s="38"/>
      <c r="P601" s="38"/>
      <c r="Q601" s="38"/>
      <c r="R601" s="38"/>
    </row>
    <row r="602" spans="2:18" x14ac:dyDescent="0.2">
      <c r="B602"/>
      <c r="C602" s="38"/>
      <c r="D602" s="38"/>
      <c r="E602" s="38"/>
      <c r="N602"/>
      <c r="O602" s="38"/>
      <c r="P602" s="38"/>
      <c r="Q602" s="38"/>
      <c r="R602" s="38"/>
    </row>
    <row r="603" spans="2:18" x14ac:dyDescent="0.2">
      <c r="B603"/>
      <c r="C603" s="38"/>
      <c r="D603" s="38"/>
      <c r="E603" s="38"/>
      <c r="N603"/>
      <c r="O603" s="38"/>
      <c r="P603" s="38"/>
      <c r="Q603" s="38"/>
      <c r="R603" s="38"/>
    </row>
    <row r="604" spans="2:18" x14ac:dyDescent="0.2">
      <c r="B604"/>
      <c r="C604" s="38"/>
      <c r="D604" s="38"/>
      <c r="E604" s="38"/>
      <c r="N604"/>
      <c r="O604" s="38"/>
      <c r="P604" s="38"/>
      <c r="Q604" s="38"/>
      <c r="R604" s="38"/>
    </row>
    <row r="605" spans="2:18" x14ac:dyDescent="0.2">
      <c r="B605"/>
      <c r="C605" s="38"/>
      <c r="D605" s="38"/>
      <c r="E605" s="38"/>
      <c r="N605"/>
      <c r="O605" s="38"/>
      <c r="P605" s="38"/>
      <c r="Q605" s="38"/>
      <c r="R605" s="38"/>
    </row>
    <row r="606" spans="2:18" x14ac:dyDescent="0.2">
      <c r="B606"/>
      <c r="C606" s="38"/>
      <c r="D606" s="38"/>
      <c r="E606" s="38"/>
      <c r="N606"/>
      <c r="O606" s="38"/>
      <c r="P606" s="38"/>
      <c r="Q606" s="38"/>
      <c r="R606" s="38"/>
    </row>
    <row r="607" spans="2:18" x14ac:dyDescent="0.2">
      <c r="B607"/>
      <c r="C607" s="38"/>
      <c r="D607" s="38"/>
      <c r="E607" s="38"/>
      <c r="N607"/>
      <c r="O607" s="38"/>
      <c r="P607" s="38"/>
      <c r="Q607" s="38"/>
      <c r="R607" s="38"/>
    </row>
    <row r="608" spans="2:18" x14ac:dyDescent="0.2">
      <c r="B608"/>
      <c r="C608" s="38"/>
      <c r="D608" s="38"/>
      <c r="E608" s="38"/>
      <c r="N608"/>
      <c r="O608" s="38"/>
      <c r="P608" s="38"/>
      <c r="Q608" s="38"/>
      <c r="R608" s="38"/>
    </row>
    <row r="609" spans="2:18" x14ac:dyDescent="0.2">
      <c r="B609"/>
      <c r="C609" s="38"/>
      <c r="D609" s="38"/>
      <c r="E609" s="38"/>
      <c r="N609"/>
      <c r="O609" s="38"/>
      <c r="P609" s="38"/>
      <c r="Q609" s="38"/>
      <c r="R609" s="38"/>
    </row>
    <row r="610" spans="2:18" x14ac:dyDescent="0.2">
      <c r="B610"/>
      <c r="C610" s="38"/>
      <c r="D610" s="38"/>
      <c r="E610" s="38"/>
      <c r="N610"/>
      <c r="O610" s="38"/>
      <c r="P610" s="38"/>
      <c r="Q610" s="38"/>
      <c r="R610" s="38"/>
    </row>
    <row r="611" spans="2:18" x14ac:dyDescent="0.2">
      <c r="B611"/>
      <c r="C611" s="38"/>
      <c r="D611" s="38"/>
      <c r="E611" s="38"/>
      <c r="N611"/>
      <c r="O611" s="38"/>
      <c r="P611" s="38"/>
      <c r="Q611" s="38"/>
      <c r="R611" s="38"/>
    </row>
    <row r="612" spans="2:18" x14ac:dyDescent="0.2">
      <c r="B612"/>
      <c r="C612" s="38"/>
      <c r="D612" s="38"/>
      <c r="E612" s="38"/>
      <c r="N612"/>
      <c r="O612" s="38"/>
      <c r="P612" s="38"/>
      <c r="Q612" s="38"/>
      <c r="R612" s="38"/>
    </row>
    <row r="613" spans="2:18" x14ac:dyDescent="0.2">
      <c r="B613"/>
      <c r="C613" s="38"/>
      <c r="D613" s="38"/>
      <c r="E613" s="38"/>
      <c r="N613"/>
      <c r="O613" s="38"/>
      <c r="P613" s="38"/>
      <c r="Q613" s="38"/>
      <c r="R613" s="38"/>
    </row>
    <row r="614" spans="2:18" x14ac:dyDescent="0.2">
      <c r="B614"/>
      <c r="C614" s="38"/>
      <c r="D614" s="38"/>
      <c r="E614" s="38"/>
      <c r="N614"/>
      <c r="O614" s="38"/>
      <c r="P614" s="38"/>
      <c r="Q614" s="38"/>
      <c r="R614" s="38"/>
    </row>
    <row r="615" spans="2:18" x14ac:dyDescent="0.2">
      <c r="B615"/>
      <c r="C615" s="38"/>
      <c r="D615" s="38"/>
      <c r="E615" s="38"/>
      <c r="N615"/>
      <c r="O615" s="38"/>
      <c r="P615" s="38"/>
      <c r="Q615" s="38"/>
      <c r="R615" s="38"/>
    </row>
    <row r="616" spans="2:18" x14ac:dyDescent="0.2">
      <c r="B616"/>
      <c r="C616" s="38"/>
      <c r="D616" s="38"/>
      <c r="E616" s="38"/>
      <c r="N616"/>
      <c r="O616" s="38"/>
      <c r="P616" s="38"/>
      <c r="Q616" s="38"/>
      <c r="R616" s="38"/>
    </row>
    <row r="617" spans="2:18" x14ac:dyDescent="0.2">
      <c r="B617"/>
      <c r="C617" s="38"/>
      <c r="D617" s="38"/>
      <c r="E617" s="38"/>
      <c r="N617"/>
      <c r="O617" s="38"/>
      <c r="P617" s="38"/>
      <c r="Q617" s="38"/>
      <c r="R617" s="38"/>
    </row>
    <row r="618" spans="2:18" x14ac:dyDescent="0.2">
      <c r="B618"/>
      <c r="C618" s="38"/>
      <c r="D618" s="38"/>
      <c r="E618" s="38"/>
      <c r="N618"/>
      <c r="O618" s="38"/>
      <c r="P618" s="38"/>
      <c r="Q618" s="38"/>
      <c r="R618" s="38"/>
    </row>
    <row r="619" spans="2:18" x14ac:dyDescent="0.2">
      <c r="B619"/>
      <c r="C619" s="38"/>
      <c r="D619" s="38"/>
      <c r="E619" s="38"/>
      <c r="N619"/>
      <c r="O619" s="38"/>
      <c r="P619" s="38"/>
      <c r="Q619" s="38"/>
      <c r="R619" s="38"/>
    </row>
    <row r="620" spans="2:18" x14ac:dyDescent="0.2">
      <c r="B620"/>
      <c r="C620" s="38"/>
      <c r="D620" s="38"/>
      <c r="E620" s="38"/>
      <c r="N620"/>
      <c r="O620" s="38"/>
      <c r="P620" s="38"/>
      <c r="Q620" s="38"/>
      <c r="R620" s="38"/>
    </row>
    <row r="621" spans="2:18" x14ac:dyDescent="0.2">
      <c r="B621"/>
      <c r="C621" s="38"/>
      <c r="D621" s="38"/>
      <c r="E621" s="38"/>
      <c r="N621"/>
      <c r="O621" s="38"/>
      <c r="P621" s="38"/>
      <c r="Q621" s="38"/>
      <c r="R621" s="38"/>
    </row>
    <row r="622" spans="2:18" x14ac:dyDescent="0.2">
      <c r="B622"/>
      <c r="C622" s="38"/>
      <c r="D622" s="38"/>
      <c r="E622" s="38"/>
      <c r="N622"/>
      <c r="O622" s="38"/>
      <c r="P622" s="38"/>
      <c r="Q622" s="38"/>
      <c r="R622" s="38"/>
    </row>
    <row r="623" spans="2:18" x14ac:dyDescent="0.2">
      <c r="B623"/>
      <c r="C623" s="38"/>
      <c r="D623" s="38"/>
      <c r="E623" s="38"/>
      <c r="N623"/>
      <c r="O623" s="38"/>
      <c r="P623" s="38"/>
      <c r="Q623" s="38"/>
      <c r="R623" s="38"/>
    </row>
    <row r="624" spans="2:18" x14ac:dyDescent="0.2">
      <c r="B624"/>
      <c r="C624" s="38"/>
      <c r="D624" s="38"/>
      <c r="E624" s="38"/>
      <c r="N624"/>
      <c r="O624" s="38"/>
      <c r="P624" s="38"/>
      <c r="Q624" s="38"/>
      <c r="R624" s="38"/>
    </row>
    <row r="625" spans="2:18" x14ac:dyDescent="0.2">
      <c r="B625"/>
      <c r="C625" s="38"/>
      <c r="D625" s="38"/>
      <c r="E625" s="38"/>
      <c r="N625"/>
      <c r="O625" s="38"/>
      <c r="P625" s="38"/>
      <c r="Q625" s="38"/>
      <c r="R625" s="38"/>
    </row>
    <row r="626" spans="2:18" x14ac:dyDescent="0.2">
      <c r="B626"/>
      <c r="C626" s="38"/>
      <c r="D626" s="38"/>
      <c r="E626" s="38"/>
      <c r="N626"/>
      <c r="O626" s="38"/>
      <c r="P626" s="38"/>
      <c r="Q626" s="38"/>
      <c r="R626" s="38"/>
    </row>
    <row r="627" spans="2:18" x14ac:dyDescent="0.2">
      <c r="B627"/>
      <c r="C627" s="38"/>
      <c r="D627" s="38"/>
      <c r="E627" s="38"/>
      <c r="N627"/>
      <c r="O627" s="38"/>
      <c r="P627" s="38"/>
      <c r="Q627" s="38"/>
      <c r="R627" s="38"/>
    </row>
    <row r="628" spans="2:18" x14ac:dyDescent="0.2">
      <c r="B628"/>
      <c r="C628" s="38"/>
      <c r="D628" s="38"/>
      <c r="E628" s="38"/>
      <c r="N628"/>
      <c r="O628" s="38"/>
      <c r="P628" s="38"/>
      <c r="Q628" s="38"/>
      <c r="R628" s="38"/>
    </row>
    <row r="629" spans="2:18" x14ac:dyDescent="0.2">
      <c r="B629"/>
      <c r="C629" s="38"/>
      <c r="D629" s="38"/>
      <c r="E629" s="38"/>
      <c r="N629"/>
      <c r="O629" s="38"/>
      <c r="P629" s="38"/>
      <c r="Q629" s="38"/>
      <c r="R629" s="38"/>
    </row>
    <row r="630" spans="2:18" x14ac:dyDescent="0.2">
      <c r="B630"/>
      <c r="C630" s="38"/>
      <c r="D630" s="38"/>
      <c r="E630" s="38"/>
      <c r="N630"/>
      <c r="O630" s="38"/>
      <c r="P630" s="38"/>
      <c r="Q630" s="38"/>
      <c r="R630" s="38"/>
    </row>
    <row r="631" spans="2:18" x14ac:dyDescent="0.2">
      <c r="B631"/>
      <c r="C631" s="38"/>
      <c r="D631" s="38"/>
      <c r="E631" s="38"/>
      <c r="N631"/>
      <c r="O631" s="38"/>
      <c r="P631" s="38"/>
      <c r="Q631" s="38"/>
      <c r="R631" s="38"/>
    </row>
    <row r="632" spans="2:18" x14ac:dyDescent="0.2">
      <c r="B632"/>
      <c r="C632" s="38"/>
      <c r="D632" s="38"/>
      <c r="E632" s="38"/>
      <c r="N632"/>
      <c r="O632" s="38"/>
      <c r="P632" s="38"/>
      <c r="Q632" s="38"/>
      <c r="R632" s="38"/>
    </row>
    <row r="633" spans="2:18" x14ac:dyDescent="0.2">
      <c r="B633"/>
      <c r="C633" s="38"/>
      <c r="D633" s="38"/>
      <c r="E633" s="38"/>
      <c r="N633"/>
      <c r="O633" s="38"/>
      <c r="P633" s="38"/>
      <c r="Q633" s="38"/>
      <c r="R633" s="38"/>
    </row>
    <row r="634" spans="2:18" x14ac:dyDescent="0.2">
      <c r="B634"/>
      <c r="C634" s="38"/>
      <c r="D634" s="38"/>
      <c r="E634" s="38"/>
      <c r="N634"/>
      <c r="O634" s="38"/>
      <c r="P634" s="38"/>
      <c r="Q634" s="38"/>
      <c r="R634" s="38"/>
    </row>
    <row r="635" spans="2:18" x14ac:dyDescent="0.2">
      <c r="B635"/>
      <c r="C635" s="38"/>
      <c r="D635" s="38"/>
      <c r="E635" s="38"/>
      <c r="N635"/>
      <c r="O635" s="38"/>
      <c r="P635" s="38"/>
      <c r="Q635" s="38"/>
      <c r="R635" s="38"/>
    </row>
    <row r="636" spans="2:18" x14ac:dyDescent="0.2">
      <c r="B636"/>
      <c r="C636" s="38"/>
      <c r="D636" s="38"/>
      <c r="E636" s="38"/>
      <c r="N636"/>
      <c r="O636" s="38"/>
      <c r="P636" s="38"/>
      <c r="Q636" s="38"/>
      <c r="R636" s="38"/>
    </row>
    <row r="637" spans="2:18" x14ac:dyDescent="0.2">
      <c r="B637"/>
      <c r="C637" s="38"/>
      <c r="D637" s="38"/>
      <c r="E637" s="38"/>
      <c r="N637"/>
      <c r="O637" s="38"/>
      <c r="P637" s="38"/>
      <c r="Q637" s="38"/>
      <c r="R637" s="38"/>
    </row>
    <row r="638" spans="2:18" x14ac:dyDescent="0.2">
      <c r="B638"/>
      <c r="C638" s="38"/>
      <c r="D638" s="38"/>
      <c r="E638" s="38"/>
      <c r="N638"/>
      <c r="O638" s="38"/>
      <c r="P638" s="38"/>
      <c r="Q638" s="38"/>
      <c r="R638" s="38"/>
    </row>
    <row r="639" spans="2:18" x14ac:dyDescent="0.2">
      <c r="B639"/>
      <c r="C639" s="38"/>
      <c r="D639" s="38"/>
      <c r="E639" s="38"/>
      <c r="N639"/>
      <c r="O639" s="38"/>
      <c r="P639" s="38"/>
      <c r="Q639" s="38"/>
      <c r="R639" s="38"/>
    </row>
    <row r="640" spans="2:18" x14ac:dyDescent="0.2">
      <c r="B640"/>
      <c r="C640" s="38"/>
      <c r="D640" s="38"/>
      <c r="E640" s="38"/>
      <c r="N640"/>
      <c r="O640" s="38"/>
      <c r="P640" s="38"/>
      <c r="Q640" s="38"/>
      <c r="R640" s="38"/>
    </row>
    <row r="641" spans="2:18" x14ac:dyDescent="0.2">
      <c r="B641"/>
      <c r="C641" s="38"/>
      <c r="D641" s="38"/>
      <c r="E641" s="38"/>
      <c r="N641"/>
      <c r="O641" s="38"/>
      <c r="P641" s="38"/>
      <c r="Q641" s="38"/>
      <c r="R641" s="38"/>
    </row>
    <row r="642" spans="2:18" x14ac:dyDescent="0.2">
      <c r="B642"/>
      <c r="C642" s="38"/>
      <c r="D642" s="38"/>
      <c r="E642" s="38"/>
      <c r="N642"/>
      <c r="O642" s="38"/>
      <c r="P642" s="38"/>
      <c r="Q642" s="38"/>
      <c r="R642" s="38"/>
    </row>
    <row r="643" spans="2:18" x14ac:dyDescent="0.2">
      <c r="B643"/>
      <c r="C643" s="38"/>
      <c r="D643" s="38"/>
      <c r="E643" s="38"/>
      <c r="N643"/>
      <c r="O643" s="38"/>
      <c r="P643" s="38"/>
      <c r="Q643" s="38"/>
      <c r="R643" s="38"/>
    </row>
    <row r="644" spans="2:18" x14ac:dyDescent="0.2">
      <c r="B644"/>
      <c r="C644" s="38"/>
      <c r="D644" s="38"/>
      <c r="E644" s="38"/>
      <c r="N644"/>
      <c r="O644" s="38"/>
      <c r="P644" s="38"/>
      <c r="Q644" s="38"/>
      <c r="R644" s="38"/>
    </row>
    <row r="645" spans="2:18" x14ac:dyDescent="0.2">
      <c r="B645"/>
      <c r="C645" s="38"/>
      <c r="D645" s="38"/>
      <c r="E645" s="38"/>
      <c r="N645"/>
      <c r="O645" s="38"/>
      <c r="P645" s="38"/>
      <c r="Q645" s="38"/>
      <c r="R645" s="38"/>
    </row>
    <row r="646" spans="2:18" x14ac:dyDescent="0.2">
      <c r="B646"/>
      <c r="C646" s="38"/>
      <c r="D646" s="38"/>
      <c r="E646" s="38"/>
      <c r="N646"/>
      <c r="O646" s="38"/>
      <c r="P646" s="38"/>
      <c r="Q646" s="38"/>
      <c r="R646" s="38"/>
    </row>
    <row r="647" spans="2:18" x14ac:dyDescent="0.2">
      <c r="B647"/>
      <c r="C647" s="38"/>
      <c r="D647" s="38"/>
      <c r="E647" s="38"/>
      <c r="N647"/>
      <c r="O647" s="38"/>
      <c r="P647" s="38"/>
      <c r="Q647" s="38"/>
      <c r="R647" s="38"/>
    </row>
    <row r="648" spans="2:18" x14ac:dyDescent="0.2">
      <c r="B648"/>
      <c r="C648" s="38"/>
      <c r="D648" s="38"/>
      <c r="E648" s="38"/>
      <c r="N648"/>
      <c r="O648" s="38"/>
      <c r="P648" s="38"/>
      <c r="Q648" s="38"/>
      <c r="R648" s="38"/>
    </row>
    <row r="649" spans="2:18" x14ac:dyDescent="0.2">
      <c r="B649"/>
      <c r="C649" s="38"/>
      <c r="D649" s="38"/>
      <c r="E649" s="38"/>
      <c r="N649"/>
      <c r="O649" s="38"/>
      <c r="P649" s="38"/>
      <c r="Q649" s="38"/>
      <c r="R649" s="38"/>
    </row>
    <row r="650" spans="2:18" x14ac:dyDescent="0.2">
      <c r="B650"/>
      <c r="C650" s="38"/>
      <c r="D650" s="38"/>
      <c r="E650" s="38"/>
      <c r="N650"/>
      <c r="O650" s="38"/>
      <c r="P650" s="38"/>
      <c r="Q650" s="38"/>
      <c r="R650" s="38"/>
    </row>
    <row r="651" spans="2:18" x14ac:dyDescent="0.2">
      <c r="B651"/>
      <c r="C651" s="38"/>
      <c r="D651" s="38"/>
      <c r="E651" s="38"/>
      <c r="N651"/>
      <c r="O651" s="38"/>
      <c r="P651" s="38"/>
      <c r="Q651" s="38"/>
      <c r="R651" s="38"/>
    </row>
    <row r="652" spans="2:18" x14ac:dyDescent="0.2">
      <c r="B652"/>
      <c r="C652" s="38"/>
      <c r="D652" s="38"/>
      <c r="E652" s="38"/>
      <c r="N652"/>
      <c r="O652" s="38"/>
      <c r="P652" s="38"/>
      <c r="Q652" s="38"/>
      <c r="R652" s="38"/>
    </row>
    <row r="653" spans="2:18" x14ac:dyDescent="0.2">
      <c r="B653"/>
      <c r="C653" s="38"/>
      <c r="D653" s="38"/>
      <c r="E653" s="38"/>
      <c r="N653"/>
      <c r="O653" s="38"/>
      <c r="P653" s="38"/>
      <c r="Q653" s="38"/>
      <c r="R653" s="38"/>
    </row>
    <row r="654" spans="2:18" x14ac:dyDescent="0.2">
      <c r="B654"/>
      <c r="C654" s="38"/>
      <c r="D654" s="38"/>
      <c r="E654" s="38"/>
      <c r="N654"/>
      <c r="O654" s="38"/>
      <c r="P654" s="38"/>
      <c r="Q654" s="38"/>
      <c r="R654" s="38"/>
    </row>
    <row r="655" spans="2:18" x14ac:dyDescent="0.2">
      <c r="B655"/>
      <c r="C655" s="38"/>
      <c r="D655" s="38"/>
      <c r="E655" s="38"/>
      <c r="N655"/>
      <c r="O655" s="38"/>
      <c r="P655" s="38"/>
      <c r="Q655" s="38"/>
      <c r="R655" s="38"/>
    </row>
    <row r="656" spans="2:18" x14ac:dyDescent="0.2">
      <c r="B656"/>
      <c r="C656" s="38"/>
      <c r="D656" s="38"/>
      <c r="E656" s="38"/>
      <c r="N656"/>
      <c r="O656" s="38"/>
      <c r="P656" s="38"/>
      <c r="Q656" s="38"/>
      <c r="R656" s="38"/>
    </row>
    <row r="657" spans="2:18" x14ac:dyDescent="0.2">
      <c r="B657"/>
      <c r="C657" s="38"/>
      <c r="D657" s="38"/>
      <c r="E657" s="38"/>
      <c r="N657"/>
      <c r="O657" s="38"/>
      <c r="P657" s="38"/>
      <c r="Q657" s="38"/>
      <c r="R657" s="38"/>
    </row>
    <row r="658" spans="2:18" x14ac:dyDescent="0.2">
      <c r="B658"/>
      <c r="C658" s="38"/>
      <c r="D658" s="38"/>
      <c r="E658" s="38"/>
      <c r="N658"/>
      <c r="O658" s="38"/>
      <c r="P658" s="38"/>
      <c r="Q658" s="38"/>
      <c r="R658" s="38"/>
    </row>
    <row r="659" spans="2:18" x14ac:dyDescent="0.2">
      <c r="B659"/>
      <c r="C659" s="38"/>
      <c r="D659" s="38"/>
      <c r="E659" s="38"/>
      <c r="N659"/>
      <c r="O659" s="38"/>
      <c r="P659" s="38"/>
      <c r="Q659" s="38"/>
      <c r="R659" s="38"/>
    </row>
    <row r="660" spans="2:18" x14ac:dyDescent="0.2">
      <c r="B660"/>
      <c r="C660" s="38"/>
      <c r="D660" s="38"/>
      <c r="E660" s="38"/>
      <c r="N660"/>
      <c r="O660" s="38"/>
      <c r="P660" s="38"/>
      <c r="Q660" s="38"/>
      <c r="R660" s="38"/>
    </row>
    <row r="661" spans="2:18" x14ac:dyDescent="0.2">
      <c r="B661"/>
      <c r="C661" s="38"/>
      <c r="D661" s="38"/>
      <c r="E661" s="38"/>
      <c r="N661"/>
      <c r="O661" s="38"/>
      <c r="P661" s="38"/>
      <c r="Q661" s="38"/>
      <c r="R661" s="38"/>
    </row>
    <row r="662" spans="2:18" x14ac:dyDescent="0.2">
      <c r="B662"/>
      <c r="C662" s="38"/>
      <c r="D662" s="38"/>
      <c r="E662" s="38"/>
      <c r="N662"/>
      <c r="O662" s="38"/>
      <c r="P662" s="38"/>
      <c r="Q662" s="38"/>
      <c r="R662" s="38"/>
    </row>
    <row r="663" spans="2:18" x14ac:dyDescent="0.2">
      <c r="B663"/>
      <c r="C663" s="38"/>
      <c r="D663" s="38"/>
      <c r="E663" s="38"/>
      <c r="N663"/>
      <c r="O663" s="38"/>
      <c r="P663" s="38"/>
      <c r="Q663" s="38"/>
      <c r="R663" s="38"/>
    </row>
    <row r="664" spans="2:18" x14ac:dyDescent="0.2">
      <c r="B664"/>
      <c r="C664" s="38"/>
      <c r="D664" s="38"/>
      <c r="E664" s="38"/>
      <c r="N664"/>
      <c r="O664" s="38"/>
      <c r="P664" s="38"/>
      <c r="Q664" s="38"/>
      <c r="R664" s="38"/>
    </row>
    <row r="665" spans="2:18" x14ac:dyDescent="0.2">
      <c r="B665"/>
      <c r="C665" s="38"/>
      <c r="D665" s="38"/>
      <c r="E665" s="38"/>
      <c r="N665"/>
      <c r="O665" s="38"/>
      <c r="P665" s="38"/>
      <c r="Q665" s="38"/>
      <c r="R665" s="38"/>
    </row>
    <row r="666" spans="2:18" x14ac:dyDescent="0.2">
      <c r="B666"/>
      <c r="C666" s="38"/>
      <c r="D666" s="38"/>
      <c r="E666" s="38"/>
      <c r="N666"/>
      <c r="O666" s="38"/>
      <c r="P666" s="38"/>
      <c r="Q666" s="38"/>
      <c r="R666" s="38"/>
    </row>
    <row r="667" spans="2:18" x14ac:dyDescent="0.2">
      <c r="B667"/>
      <c r="C667" s="38"/>
      <c r="D667" s="38"/>
      <c r="E667" s="38"/>
      <c r="N667"/>
      <c r="O667" s="38"/>
      <c r="P667" s="38"/>
      <c r="Q667" s="38"/>
      <c r="R667" s="38"/>
    </row>
    <row r="668" spans="2:18" x14ac:dyDescent="0.2">
      <c r="B668"/>
      <c r="C668" s="38"/>
      <c r="D668" s="38"/>
      <c r="E668" s="38"/>
      <c r="N668"/>
      <c r="O668" s="38"/>
      <c r="P668" s="38"/>
      <c r="Q668" s="38"/>
      <c r="R668" s="38"/>
    </row>
    <row r="669" spans="2:18" x14ac:dyDescent="0.2">
      <c r="B669"/>
      <c r="C669" s="38"/>
      <c r="D669" s="38"/>
      <c r="E669" s="38"/>
      <c r="N669"/>
      <c r="O669" s="38"/>
      <c r="P669" s="38"/>
      <c r="Q669" s="38"/>
      <c r="R669" s="38"/>
    </row>
    <row r="670" spans="2:18" x14ac:dyDescent="0.2">
      <c r="B670"/>
      <c r="C670" s="38"/>
      <c r="D670" s="38"/>
      <c r="E670" s="38"/>
      <c r="N670"/>
      <c r="O670" s="38"/>
      <c r="P670" s="38"/>
      <c r="Q670" s="38"/>
      <c r="R670" s="38"/>
    </row>
    <row r="671" spans="2:18" x14ac:dyDescent="0.2">
      <c r="B671"/>
      <c r="C671" s="38"/>
      <c r="D671" s="38"/>
      <c r="E671" s="38"/>
      <c r="N671"/>
      <c r="O671" s="38"/>
      <c r="P671" s="38"/>
      <c r="Q671" s="38"/>
      <c r="R671" s="38"/>
    </row>
    <row r="672" spans="2:18" x14ac:dyDescent="0.2">
      <c r="B672"/>
      <c r="C672" s="38"/>
      <c r="D672" s="38"/>
      <c r="E672" s="38"/>
      <c r="N672"/>
      <c r="O672" s="38"/>
      <c r="P672" s="38"/>
      <c r="Q672" s="38"/>
      <c r="R672" s="38"/>
    </row>
    <row r="673" spans="2:18" x14ac:dyDescent="0.2">
      <c r="B673"/>
      <c r="C673" s="38"/>
      <c r="D673" s="38"/>
      <c r="E673" s="38"/>
      <c r="N673"/>
      <c r="O673" s="38"/>
      <c r="P673" s="38"/>
      <c r="Q673" s="38"/>
      <c r="R673" s="38"/>
    </row>
    <row r="674" spans="2:18" x14ac:dyDescent="0.2">
      <c r="B674"/>
      <c r="C674" s="38"/>
      <c r="D674" s="38"/>
      <c r="E674" s="38"/>
      <c r="N674"/>
      <c r="O674" s="38"/>
      <c r="P674" s="38"/>
      <c r="Q674" s="38"/>
      <c r="R674" s="38"/>
    </row>
    <row r="675" spans="2:18" x14ac:dyDescent="0.2">
      <c r="B675"/>
      <c r="C675" s="38"/>
      <c r="D675" s="38"/>
      <c r="E675" s="38"/>
      <c r="N675"/>
      <c r="O675" s="38"/>
      <c r="P675" s="38"/>
      <c r="Q675" s="38"/>
      <c r="R675" s="38"/>
    </row>
    <row r="676" spans="2:18" x14ac:dyDescent="0.2">
      <c r="B676"/>
      <c r="C676" s="38"/>
      <c r="D676" s="38"/>
      <c r="E676" s="38"/>
      <c r="N676"/>
      <c r="O676" s="38"/>
      <c r="P676" s="38"/>
      <c r="Q676" s="38"/>
      <c r="R676" s="38"/>
    </row>
    <row r="677" spans="2:18" x14ac:dyDescent="0.2">
      <c r="B677"/>
      <c r="C677" s="38"/>
      <c r="D677" s="38"/>
      <c r="E677" s="38"/>
      <c r="N677"/>
      <c r="O677" s="38"/>
      <c r="P677" s="38"/>
      <c r="Q677" s="38"/>
      <c r="R677" s="38"/>
    </row>
    <row r="678" spans="2:18" x14ac:dyDescent="0.2">
      <c r="B678"/>
      <c r="C678" s="38"/>
      <c r="D678" s="38"/>
      <c r="E678" s="38"/>
      <c r="N678"/>
      <c r="O678" s="38"/>
      <c r="P678" s="38"/>
      <c r="Q678" s="38"/>
      <c r="R678" s="38"/>
    </row>
    <row r="679" spans="2:18" x14ac:dyDescent="0.2">
      <c r="B679"/>
      <c r="C679" s="38"/>
      <c r="D679" s="38"/>
      <c r="E679" s="38"/>
      <c r="N679"/>
      <c r="O679" s="38"/>
      <c r="P679" s="38"/>
      <c r="Q679" s="38"/>
      <c r="R679" s="38"/>
    </row>
    <row r="680" spans="2:18" x14ac:dyDescent="0.2">
      <c r="B680"/>
      <c r="C680" s="38"/>
      <c r="D680" s="38"/>
      <c r="E680" s="38"/>
      <c r="N680"/>
      <c r="O680" s="38"/>
      <c r="P680" s="38"/>
      <c r="Q680" s="38"/>
      <c r="R680" s="38"/>
    </row>
    <row r="681" spans="2:18" x14ac:dyDescent="0.2">
      <c r="B681"/>
      <c r="C681" s="38"/>
      <c r="D681" s="38"/>
      <c r="E681" s="38"/>
      <c r="N681"/>
      <c r="O681" s="38"/>
      <c r="P681" s="38"/>
      <c r="Q681" s="38"/>
      <c r="R681" s="38"/>
    </row>
    <row r="682" spans="2:18" x14ac:dyDescent="0.2">
      <c r="B682"/>
      <c r="C682" s="38"/>
      <c r="D682" s="38"/>
      <c r="E682" s="38"/>
      <c r="N682"/>
      <c r="O682" s="38"/>
      <c r="P682" s="38"/>
      <c r="Q682" s="38"/>
      <c r="R682" s="38"/>
    </row>
    <row r="683" spans="2:18" x14ac:dyDescent="0.2">
      <c r="B683"/>
      <c r="C683" s="38"/>
      <c r="D683" s="38"/>
      <c r="E683" s="38"/>
      <c r="N683"/>
      <c r="O683" s="38"/>
      <c r="P683" s="38"/>
      <c r="Q683" s="38"/>
      <c r="R683" s="38"/>
    </row>
    <row r="684" spans="2:18" x14ac:dyDescent="0.2">
      <c r="B684"/>
      <c r="C684" s="38"/>
      <c r="D684" s="38"/>
      <c r="E684" s="38"/>
      <c r="N684"/>
      <c r="O684" s="38"/>
      <c r="P684" s="38"/>
      <c r="Q684" s="38"/>
      <c r="R684" s="38"/>
    </row>
    <row r="685" spans="2:18" x14ac:dyDescent="0.2">
      <c r="B685"/>
      <c r="C685" s="38"/>
      <c r="D685" s="38"/>
      <c r="E685" s="38"/>
      <c r="N685"/>
      <c r="O685" s="38"/>
      <c r="P685" s="38"/>
      <c r="Q685" s="38"/>
      <c r="R685" s="38"/>
    </row>
    <row r="686" spans="2:18" x14ac:dyDescent="0.2">
      <c r="B686"/>
      <c r="C686" s="38"/>
      <c r="D686" s="38"/>
      <c r="E686" s="38"/>
      <c r="N686"/>
      <c r="O686" s="38"/>
      <c r="P686" s="38"/>
      <c r="Q686" s="38"/>
      <c r="R686" s="38"/>
    </row>
    <row r="687" spans="2:18" x14ac:dyDescent="0.2">
      <c r="B687"/>
      <c r="C687" s="38"/>
      <c r="D687" s="38"/>
      <c r="E687" s="38"/>
      <c r="N687"/>
      <c r="O687" s="38"/>
      <c r="P687" s="38"/>
      <c r="Q687" s="38"/>
      <c r="R687" s="38"/>
    </row>
    <row r="688" spans="2:18" x14ac:dyDescent="0.2">
      <c r="B688"/>
      <c r="C688" s="38"/>
      <c r="D688" s="38"/>
      <c r="E688" s="38"/>
      <c r="N688"/>
      <c r="O688" s="38"/>
      <c r="P688" s="38"/>
      <c r="Q688" s="38"/>
      <c r="R688" s="38"/>
    </row>
    <row r="689" spans="2:18" x14ac:dyDescent="0.2">
      <c r="B689"/>
      <c r="C689" s="38"/>
      <c r="D689" s="38"/>
      <c r="E689" s="38"/>
      <c r="N689"/>
      <c r="O689" s="38"/>
      <c r="P689" s="38"/>
      <c r="Q689" s="38"/>
      <c r="R689" s="38"/>
    </row>
    <row r="690" spans="2:18" x14ac:dyDescent="0.2">
      <c r="B690"/>
      <c r="C690" s="38"/>
      <c r="D690" s="38"/>
      <c r="E690" s="38"/>
      <c r="N690"/>
      <c r="O690" s="38"/>
      <c r="P690" s="38"/>
      <c r="Q690" s="38"/>
      <c r="R690" s="38"/>
    </row>
    <row r="691" spans="2:18" x14ac:dyDescent="0.2">
      <c r="B691"/>
      <c r="C691" s="38"/>
      <c r="D691" s="38"/>
      <c r="E691" s="38"/>
      <c r="N691"/>
      <c r="O691" s="38"/>
      <c r="P691" s="38"/>
      <c r="Q691" s="38"/>
      <c r="R691" s="38"/>
    </row>
    <row r="692" spans="2:18" x14ac:dyDescent="0.2">
      <c r="B692"/>
      <c r="C692" s="38"/>
      <c r="D692" s="38"/>
      <c r="E692" s="38"/>
      <c r="N692"/>
      <c r="O692" s="38"/>
      <c r="P692" s="38"/>
      <c r="Q692" s="38"/>
      <c r="R692" s="38"/>
    </row>
    <row r="693" spans="2:18" x14ac:dyDescent="0.2">
      <c r="B693"/>
      <c r="C693" s="38"/>
      <c r="D693" s="38"/>
      <c r="E693" s="38"/>
      <c r="N693"/>
      <c r="O693" s="38"/>
      <c r="P693" s="38"/>
      <c r="Q693" s="38"/>
      <c r="R693" s="38"/>
    </row>
    <row r="694" spans="2:18" x14ac:dyDescent="0.2">
      <c r="B694"/>
      <c r="C694" s="38"/>
      <c r="D694" s="38"/>
      <c r="E694" s="38"/>
      <c r="N694"/>
      <c r="O694" s="38"/>
      <c r="P694" s="38"/>
      <c r="Q694" s="38"/>
      <c r="R694" s="38"/>
    </row>
    <row r="695" spans="2:18" x14ac:dyDescent="0.2">
      <c r="B695"/>
      <c r="C695" s="38"/>
      <c r="D695" s="38"/>
      <c r="E695" s="38"/>
      <c r="N695"/>
      <c r="O695" s="38"/>
      <c r="P695" s="38"/>
      <c r="Q695" s="38"/>
      <c r="R695" s="38"/>
    </row>
    <row r="696" spans="2:18" x14ac:dyDescent="0.2">
      <c r="B696"/>
      <c r="C696" s="38"/>
      <c r="D696" s="38"/>
      <c r="E696" s="38"/>
      <c r="N696"/>
      <c r="O696" s="38"/>
      <c r="P696" s="38"/>
      <c r="Q696" s="38"/>
      <c r="R696" s="38"/>
    </row>
    <row r="697" spans="2:18" x14ac:dyDescent="0.2">
      <c r="B697"/>
      <c r="C697" s="38"/>
      <c r="D697" s="38"/>
      <c r="E697" s="38"/>
      <c r="N697"/>
      <c r="O697" s="38"/>
      <c r="P697" s="38"/>
      <c r="Q697" s="38"/>
      <c r="R697" s="38"/>
    </row>
    <row r="698" spans="2:18" x14ac:dyDescent="0.2">
      <c r="B698"/>
      <c r="C698" s="38"/>
      <c r="D698" s="38"/>
      <c r="E698" s="38"/>
      <c r="N698"/>
      <c r="O698" s="38"/>
      <c r="P698" s="38"/>
      <c r="Q698" s="38"/>
      <c r="R698" s="38"/>
    </row>
    <row r="699" spans="2:18" x14ac:dyDescent="0.2">
      <c r="B699"/>
      <c r="C699" s="38"/>
      <c r="D699" s="38"/>
      <c r="E699" s="38"/>
      <c r="N699"/>
      <c r="O699" s="38"/>
      <c r="P699" s="38"/>
      <c r="Q699" s="38"/>
      <c r="R699" s="38"/>
    </row>
    <row r="700" spans="2:18" x14ac:dyDescent="0.2">
      <c r="B700"/>
      <c r="C700" s="38"/>
      <c r="D700" s="38"/>
      <c r="E700" s="38"/>
      <c r="N700"/>
      <c r="O700" s="38"/>
      <c r="P700" s="38"/>
      <c r="Q700" s="38"/>
      <c r="R700" s="38"/>
    </row>
    <row r="701" spans="2:18" x14ac:dyDescent="0.2">
      <c r="B701"/>
      <c r="C701" s="38"/>
      <c r="D701" s="38"/>
      <c r="E701" s="38"/>
      <c r="N701"/>
      <c r="O701" s="38"/>
      <c r="P701" s="38"/>
      <c r="Q701" s="38"/>
      <c r="R701" s="38"/>
    </row>
    <row r="702" spans="2:18" x14ac:dyDescent="0.2">
      <c r="B702"/>
      <c r="C702" s="38"/>
      <c r="D702" s="38"/>
      <c r="E702" s="38"/>
      <c r="N702"/>
      <c r="O702" s="38"/>
      <c r="P702" s="38"/>
      <c r="Q702" s="38"/>
      <c r="R702" s="38"/>
    </row>
    <row r="703" spans="2:18" x14ac:dyDescent="0.2">
      <c r="B703"/>
      <c r="C703" s="38"/>
      <c r="D703" s="38"/>
      <c r="E703" s="38"/>
      <c r="N703"/>
      <c r="O703" s="38"/>
      <c r="P703" s="38"/>
      <c r="Q703" s="38"/>
      <c r="R703" s="38"/>
    </row>
    <row r="704" spans="2:18" x14ac:dyDescent="0.2">
      <c r="B704"/>
      <c r="C704" s="38"/>
      <c r="D704" s="38"/>
      <c r="E704" s="38"/>
      <c r="N704"/>
      <c r="O704" s="38"/>
      <c r="P704" s="38"/>
      <c r="Q704" s="38"/>
      <c r="R704" s="38"/>
    </row>
    <row r="705" spans="2:18" x14ac:dyDescent="0.2">
      <c r="B705"/>
      <c r="C705" s="38"/>
      <c r="D705" s="38"/>
      <c r="E705" s="38"/>
      <c r="N705"/>
      <c r="O705" s="38"/>
      <c r="P705" s="38"/>
      <c r="Q705" s="38"/>
      <c r="R705" s="38"/>
    </row>
    <row r="706" spans="2:18" x14ac:dyDescent="0.2">
      <c r="B706"/>
      <c r="C706" s="38"/>
      <c r="D706" s="38"/>
      <c r="E706" s="38"/>
      <c r="N706"/>
      <c r="O706" s="38"/>
      <c r="P706" s="38"/>
      <c r="Q706" s="38"/>
      <c r="R706" s="38"/>
    </row>
    <row r="707" spans="2:18" x14ac:dyDescent="0.2">
      <c r="B707"/>
      <c r="C707" s="38"/>
      <c r="D707" s="38"/>
      <c r="E707" s="38"/>
      <c r="N707"/>
      <c r="O707" s="38"/>
      <c r="P707" s="38"/>
      <c r="Q707" s="38"/>
      <c r="R707" s="38"/>
    </row>
    <row r="708" spans="2:18" x14ac:dyDescent="0.2">
      <c r="B708"/>
      <c r="C708" s="38"/>
      <c r="D708" s="38"/>
      <c r="E708" s="38"/>
      <c r="N708"/>
      <c r="O708" s="38"/>
      <c r="P708" s="38"/>
      <c r="Q708" s="38"/>
      <c r="R708" s="38"/>
    </row>
    <row r="709" spans="2:18" x14ac:dyDescent="0.2">
      <c r="B709"/>
      <c r="C709" s="38"/>
      <c r="D709" s="38"/>
      <c r="E709" s="38"/>
      <c r="N709"/>
      <c r="O709" s="38"/>
      <c r="P709" s="38"/>
      <c r="Q709" s="38"/>
      <c r="R709" s="38"/>
    </row>
    <row r="710" spans="2:18" x14ac:dyDescent="0.2">
      <c r="B710"/>
      <c r="C710" s="38"/>
      <c r="D710" s="38"/>
      <c r="E710" s="38"/>
      <c r="N710"/>
      <c r="O710" s="38"/>
      <c r="P710" s="38"/>
      <c r="Q710" s="38"/>
      <c r="R710" s="38"/>
    </row>
    <row r="711" spans="2:18" x14ac:dyDescent="0.2">
      <c r="B711"/>
      <c r="C711" s="38"/>
      <c r="D711" s="38"/>
      <c r="E711" s="38"/>
      <c r="N711"/>
      <c r="O711" s="38"/>
      <c r="P711" s="38"/>
      <c r="Q711" s="38"/>
      <c r="R711" s="38"/>
    </row>
    <row r="712" spans="2:18" x14ac:dyDescent="0.2">
      <c r="B712"/>
      <c r="C712" s="38"/>
      <c r="D712" s="38"/>
      <c r="E712" s="38"/>
      <c r="N712"/>
      <c r="O712" s="38"/>
      <c r="P712" s="38"/>
      <c r="Q712" s="38"/>
      <c r="R712" s="38"/>
    </row>
    <row r="713" spans="2:18" x14ac:dyDescent="0.2">
      <c r="B713"/>
      <c r="C713" s="38"/>
      <c r="D713" s="38"/>
      <c r="E713" s="38"/>
      <c r="N713"/>
      <c r="O713" s="38"/>
      <c r="P713" s="38"/>
      <c r="Q713" s="38"/>
      <c r="R713" s="38"/>
    </row>
    <row r="714" spans="2:18" x14ac:dyDescent="0.2">
      <c r="B714"/>
      <c r="C714" s="38"/>
      <c r="D714" s="38"/>
      <c r="E714" s="38"/>
      <c r="N714"/>
      <c r="O714" s="38"/>
      <c r="P714" s="38"/>
      <c r="Q714" s="38"/>
      <c r="R714" s="38"/>
    </row>
    <row r="715" spans="2:18" x14ac:dyDescent="0.2">
      <c r="B715"/>
      <c r="C715" s="38"/>
      <c r="D715" s="38"/>
      <c r="E715" s="38"/>
      <c r="N715"/>
      <c r="O715" s="38"/>
      <c r="P715" s="38"/>
      <c r="Q715" s="38"/>
      <c r="R715" s="38"/>
    </row>
    <row r="716" spans="2:18" x14ac:dyDescent="0.2">
      <c r="B716"/>
      <c r="C716" s="38"/>
      <c r="D716" s="38"/>
      <c r="E716" s="38"/>
      <c r="N716"/>
      <c r="O716" s="38"/>
      <c r="P716" s="38"/>
      <c r="Q716" s="38"/>
      <c r="R716" s="38"/>
    </row>
    <row r="717" spans="2:18" x14ac:dyDescent="0.2">
      <c r="B717"/>
      <c r="C717" s="38"/>
      <c r="D717" s="38"/>
      <c r="E717" s="38"/>
      <c r="N717"/>
      <c r="O717" s="38"/>
      <c r="P717" s="38"/>
      <c r="Q717" s="38"/>
      <c r="R717" s="38"/>
    </row>
    <row r="718" spans="2:18" x14ac:dyDescent="0.2">
      <c r="B718"/>
      <c r="C718" s="38"/>
      <c r="D718" s="38"/>
      <c r="E718" s="38"/>
      <c r="N718"/>
      <c r="O718" s="38"/>
      <c r="P718" s="38"/>
      <c r="Q718" s="38"/>
      <c r="R718" s="38"/>
    </row>
    <row r="719" spans="2:18" x14ac:dyDescent="0.2">
      <c r="B719"/>
      <c r="C719" s="38"/>
      <c r="D719" s="38"/>
      <c r="E719" s="38"/>
      <c r="N719"/>
      <c r="O719" s="38"/>
      <c r="P719" s="38"/>
      <c r="Q719" s="38"/>
      <c r="R719" s="38"/>
    </row>
    <row r="720" spans="2:18" x14ac:dyDescent="0.2">
      <c r="B720"/>
      <c r="C720" s="38"/>
      <c r="D720" s="38"/>
      <c r="E720" s="38"/>
      <c r="N720"/>
      <c r="O720" s="38"/>
      <c r="P720" s="38"/>
      <c r="Q720" s="38"/>
      <c r="R720" s="38"/>
    </row>
    <row r="721" spans="2:18" x14ac:dyDescent="0.2">
      <c r="B721"/>
      <c r="C721" s="38"/>
      <c r="D721" s="38"/>
      <c r="E721" s="38"/>
      <c r="N721"/>
      <c r="O721" s="38"/>
      <c r="P721" s="38"/>
      <c r="Q721" s="38"/>
      <c r="R721" s="38"/>
    </row>
    <row r="722" spans="2:18" x14ac:dyDescent="0.2">
      <c r="B722"/>
      <c r="C722" s="38"/>
      <c r="D722" s="38"/>
      <c r="E722" s="38"/>
      <c r="N722"/>
      <c r="O722" s="38"/>
      <c r="P722" s="38"/>
      <c r="Q722" s="38"/>
      <c r="R722" s="38"/>
    </row>
    <row r="723" spans="2:18" x14ac:dyDescent="0.2">
      <c r="B723"/>
      <c r="C723" s="38"/>
      <c r="D723" s="38"/>
      <c r="E723" s="38"/>
      <c r="N723"/>
      <c r="O723" s="38"/>
      <c r="P723" s="38"/>
      <c r="Q723" s="38"/>
      <c r="R723" s="38"/>
    </row>
    <row r="724" spans="2:18" x14ac:dyDescent="0.2">
      <c r="B724"/>
      <c r="C724" s="38"/>
      <c r="D724" s="38"/>
      <c r="E724" s="38"/>
      <c r="N724"/>
      <c r="O724" s="38"/>
      <c r="P724" s="38"/>
      <c r="Q724" s="38"/>
      <c r="R724" s="38"/>
    </row>
    <row r="725" spans="2:18" x14ac:dyDescent="0.2">
      <c r="B725"/>
      <c r="C725" s="38"/>
      <c r="D725" s="38"/>
      <c r="E725" s="38"/>
      <c r="N725"/>
      <c r="O725" s="38"/>
      <c r="P725" s="38"/>
      <c r="Q725" s="38"/>
      <c r="R725" s="38"/>
    </row>
    <row r="726" spans="2:18" x14ac:dyDescent="0.2">
      <c r="B726"/>
      <c r="C726" s="38"/>
      <c r="D726" s="38"/>
      <c r="E726" s="38"/>
      <c r="N726"/>
      <c r="O726" s="38"/>
      <c r="P726" s="38"/>
      <c r="Q726" s="38"/>
      <c r="R726" s="38"/>
    </row>
    <row r="727" spans="2:18" x14ac:dyDescent="0.2">
      <c r="B727"/>
      <c r="C727" s="38"/>
      <c r="D727" s="38"/>
      <c r="E727" s="38"/>
      <c r="N727"/>
      <c r="O727" s="38"/>
      <c r="P727" s="38"/>
      <c r="Q727" s="38"/>
      <c r="R727" s="38"/>
    </row>
    <row r="728" spans="2:18" x14ac:dyDescent="0.2">
      <c r="B728"/>
      <c r="C728" s="38"/>
      <c r="D728" s="38"/>
      <c r="E728" s="38"/>
      <c r="N728"/>
      <c r="O728" s="38"/>
      <c r="P728" s="38"/>
      <c r="Q728" s="38"/>
      <c r="R728" s="38"/>
    </row>
    <row r="729" spans="2:18" x14ac:dyDescent="0.2">
      <c r="B729"/>
      <c r="C729" s="38"/>
      <c r="D729" s="38"/>
      <c r="E729" s="38"/>
      <c r="N729"/>
      <c r="O729" s="38"/>
      <c r="P729" s="38"/>
      <c r="Q729" s="38"/>
      <c r="R729" s="38"/>
    </row>
    <row r="730" spans="2:18" x14ac:dyDescent="0.2">
      <c r="B730"/>
      <c r="C730" s="38"/>
      <c r="D730" s="38"/>
      <c r="E730" s="38"/>
      <c r="N730"/>
      <c r="O730" s="38"/>
      <c r="P730" s="38"/>
      <c r="Q730" s="38"/>
      <c r="R730" s="38"/>
    </row>
    <row r="731" spans="2:18" x14ac:dyDescent="0.2">
      <c r="B731"/>
      <c r="C731" s="38"/>
      <c r="D731" s="38"/>
      <c r="E731" s="38"/>
      <c r="N731"/>
      <c r="O731" s="38"/>
      <c r="P731" s="38"/>
      <c r="Q731" s="38"/>
      <c r="R731" s="38"/>
    </row>
    <row r="732" spans="2:18" x14ac:dyDescent="0.2">
      <c r="B732"/>
      <c r="C732" s="38"/>
      <c r="D732" s="38"/>
      <c r="E732" s="38"/>
      <c r="N732"/>
      <c r="O732" s="38"/>
      <c r="P732" s="38"/>
      <c r="Q732" s="38"/>
      <c r="R732" s="38"/>
    </row>
    <row r="733" spans="2:18" x14ac:dyDescent="0.2">
      <c r="B733"/>
      <c r="C733" s="38"/>
      <c r="D733" s="38"/>
      <c r="E733" s="38"/>
      <c r="N733"/>
      <c r="O733" s="38"/>
      <c r="P733" s="38"/>
      <c r="Q733" s="38"/>
      <c r="R733" s="38"/>
    </row>
    <row r="734" spans="2:18" x14ac:dyDescent="0.2">
      <c r="B734"/>
      <c r="C734" s="38"/>
      <c r="D734" s="38"/>
      <c r="E734" s="38"/>
      <c r="N734"/>
      <c r="O734" s="38"/>
      <c r="P734" s="38"/>
      <c r="Q734" s="38"/>
      <c r="R734" s="38"/>
    </row>
    <row r="735" spans="2:18" x14ac:dyDescent="0.2">
      <c r="B735"/>
      <c r="C735" s="38"/>
      <c r="D735" s="38"/>
      <c r="E735" s="38"/>
      <c r="N735"/>
      <c r="O735" s="38"/>
      <c r="P735" s="38"/>
      <c r="Q735" s="38"/>
      <c r="R735" s="38"/>
    </row>
    <row r="736" spans="2:18" x14ac:dyDescent="0.2">
      <c r="B736"/>
      <c r="C736" s="38"/>
      <c r="D736" s="38"/>
      <c r="E736" s="38"/>
      <c r="N736"/>
      <c r="O736" s="38"/>
      <c r="P736" s="38"/>
      <c r="Q736" s="38"/>
      <c r="R736" s="38"/>
    </row>
    <row r="737" spans="2:18" x14ac:dyDescent="0.2">
      <c r="B737"/>
      <c r="C737" s="38"/>
      <c r="D737" s="38"/>
      <c r="E737" s="38"/>
      <c r="N737"/>
      <c r="O737" s="38"/>
      <c r="P737" s="38"/>
      <c r="Q737" s="38"/>
      <c r="R737" s="38"/>
    </row>
    <row r="738" spans="2:18" x14ac:dyDescent="0.2">
      <c r="B738"/>
      <c r="C738" s="38"/>
      <c r="D738" s="38"/>
      <c r="E738" s="38"/>
      <c r="N738"/>
      <c r="O738" s="38"/>
      <c r="P738" s="38"/>
      <c r="Q738" s="38"/>
      <c r="R738" s="38"/>
    </row>
    <row r="739" spans="2:18" x14ac:dyDescent="0.2">
      <c r="B739"/>
      <c r="C739" s="38"/>
      <c r="D739" s="38"/>
      <c r="E739" s="38"/>
      <c r="N739"/>
      <c r="O739" s="38"/>
      <c r="P739" s="38"/>
      <c r="Q739" s="38"/>
      <c r="R739" s="38"/>
    </row>
    <row r="740" spans="2:18" x14ac:dyDescent="0.2">
      <c r="B740"/>
      <c r="C740" s="38"/>
      <c r="D740" s="38"/>
      <c r="E740" s="38"/>
      <c r="N740"/>
      <c r="O740" s="38"/>
      <c r="P740" s="38"/>
      <c r="Q740" s="38"/>
      <c r="R740" s="38"/>
    </row>
    <row r="741" spans="2:18" x14ac:dyDescent="0.2">
      <c r="B741"/>
      <c r="C741" s="38"/>
      <c r="D741" s="38"/>
      <c r="E741" s="38"/>
      <c r="N741"/>
      <c r="O741" s="38"/>
      <c r="P741" s="38"/>
      <c r="Q741" s="38"/>
      <c r="R741" s="38"/>
    </row>
    <row r="742" spans="2:18" x14ac:dyDescent="0.2">
      <c r="B742"/>
      <c r="C742" s="38"/>
      <c r="D742" s="38"/>
      <c r="E742" s="38"/>
      <c r="N742"/>
      <c r="O742" s="38"/>
      <c r="P742" s="38"/>
      <c r="Q742" s="38"/>
      <c r="R742" s="38"/>
    </row>
    <row r="743" spans="2:18" x14ac:dyDescent="0.2">
      <c r="N743"/>
      <c r="O743" s="38"/>
      <c r="P743" s="38"/>
      <c r="Q743" s="38"/>
      <c r="R743" s="38"/>
    </row>
    <row r="744" spans="2:18" x14ac:dyDescent="0.2">
      <c r="N744"/>
      <c r="O744" s="38"/>
      <c r="P744" s="38"/>
      <c r="Q744" s="38"/>
      <c r="R744" s="38"/>
    </row>
    <row r="745" spans="2:18" x14ac:dyDescent="0.2">
      <c r="N745"/>
      <c r="O745" s="38"/>
      <c r="P745" s="38"/>
      <c r="Q745" s="38"/>
      <c r="R745" s="38"/>
    </row>
    <row r="746" spans="2:18" x14ac:dyDescent="0.2">
      <c r="N746"/>
      <c r="O746" s="38"/>
      <c r="P746" s="38"/>
      <c r="Q746" s="38"/>
      <c r="R746" s="38"/>
    </row>
    <row r="747" spans="2:18" x14ac:dyDescent="0.2">
      <c r="N747"/>
      <c r="O747" s="38"/>
      <c r="P747" s="38"/>
      <c r="Q747" s="38"/>
      <c r="R747" s="38"/>
    </row>
    <row r="748" spans="2:18" x14ac:dyDescent="0.2">
      <c r="N748"/>
      <c r="O748" s="38"/>
      <c r="P748" s="38"/>
      <c r="Q748" s="38"/>
      <c r="R748" s="38"/>
    </row>
    <row r="749" spans="2:18" x14ac:dyDescent="0.2">
      <c r="N749"/>
      <c r="O749" s="38"/>
      <c r="P749" s="38"/>
      <c r="Q749" s="38"/>
      <c r="R749" s="38"/>
    </row>
    <row r="750" spans="2:18" x14ac:dyDescent="0.2">
      <c r="N750"/>
      <c r="O750" s="38"/>
      <c r="P750" s="38"/>
      <c r="Q750" s="38"/>
      <c r="R750" s="38"/>
    </row>
    <row r="751" spans="2:18" x14ac:dyDescent="0.2">
      <c r="N751"/>
      <c r="O751" s="38"/>
      <c r="P751" s="38"/>
      <c r="Q751" s="38"/>
      <c r="R751" s="38"/>
    </row>
    <row r="752" spans="2:18" x14ac:dyDescent="0.2">
      <c r="N752"/>
      <c r="O752" s="38"/>
      <c r="P752" s="38"/>
      <c r="Q752" s="38"/>
      <c r="R752" s="38"/>
    </row>
    <row r="753" spans="14:18" x14ac:dyDescent="0.2">
      <c r="N753"/>
      <c r="O753" s="38"/>
      <c r="P753" s="38"/>
      <c r="Q753" s="38"/>
      <c r="R753" s="38"/>
    </row>
    <row r="754" spans="14:18" x14ac:dyDescent="0.2">
      <c r="N754"/>
      <c r="O754" s="38"/>
      <c r="P754" s="38"/>
      <c r="Q754" s="38"/>
      <c r="R754" s="38"/>
    </row>
    <row r="755" spans="14:18" x14ac:dyDescent="0.2">
      <c r="N755"/>
      <c r="O755" s="38"/>
      <c r="P755" s="38"/>
      <c r="Q755" s="38"/>
      <c r="R755" s="38"/>
    </row>
    <row r="756" spans="14:18" x14ac:dyDescent="0.2">
      <c r="N756"/>
      <c r="O756" s="38"/>
      <c r="P756" s="38"/>
      <c r="Q756" s="38"/>
      <c r="R756" s="38"/>
    </row>
    <row r="757" spans="14:18" x14ac:dyDescent="0.2">
      <c r="N757"/>
      <c r="O757" s="38"/>
      <c r="P757" s="38"/>
      <c r="Q757" s="38"/>
      <c r="R757" s="38"/>
    </row>
    <row r="758" spans="14:18" x14ac:dyDescent="0.2">
      <c r="N758"/>
      <c r="O758" s="38"/>
      <c r="P758" s="38"/>
      <c r="Q758" s="38"/>
      <c r="R758" s="38"/>
    </row>
    <row r="759" spans="14:18" x14ac:dyDescent="0.2">
      <c r="N759"/>
      <c r="O759" s="38"/>
      <c r="P759" s="38"/>
      <c r="Q759" s="38"/>
      <c r="R759" s="38"/>
    </row>
    <row r="760" spans="14:18" x14ac:dyDescent="0.2">
      <c r="N760"/>
      <c r="O760" s="38"/>
      <c r="P760" s="38"/>
      <c r="Q760" s="38"/>
      <c r="R760" s="38"/>
    </row>
    <row r="761" spans="14:18" x14ac:dyDescent="0.2">
      <c r="N761"/>
      <c r="O761" s="38"/>
      <c r="P761" s="38"/>
      <c r="Q761" s="38"/>
      <c r="R761" s="38"/>
    </row>
    <row r="762" spans="14:18" x14ac:dyDescent="0.2">
      <c r="N762"/>
      <c r="O762" s="38"/>
      <c r="P762" s="38"/>
      <c r="Q762" s="38"/>
      <c r="R762" s="38"/>
    </row>
    <row r="763" spans="14:18" x14ac:dyDescent="0.2">
      <c r="N763"/>
      <c r="O763" s="38"/>
      <c r="P763" s="38"/>
      <c r="Q763" s="38"/>
      <c r="R763" s="38"/>
    </row>
    <row r="764" spans="14:18" x14ac:dyDescent="0.2">
      <c r="N764"/>
      <c r="O764" s="38"/>
      <c r="P764" s="38"/>
      <c r="Q764" s="38"/>
      <c r="R764" s="38"/>
    </row>
    <row r="765" spans="14:18" x14ac:dyDescent="0.2">
      <c r="N765"/>
      <c r="O765" s="38"/>
      <c r="P765" s="38"/>
      <c r="Q765" s="38"/>
      <c r="R765" s="38"/>
    </row>
    <row r="766" spans="14:18" x14ac:dyDescent="0.2">
      <c r="N766"/>
      <c r="O766" s="38"/>
      <c r="P766" s="38"/>
      <c r="Q766" s="38"/>
      <c r="R766" s="38"/>
    </row>
    <row r="767" spans="14:18" x14ac:dyDescent="0.2">
      <c r="N767"/>
      <c r="O767" s="38"/>
      <c r="P767" s="38"/>
      <c r="Q767" s="38"/>
      <c r="R767" s="38"/>
    </row>
    <row r="768" spans="14:18" x14ac:dyDescent="0.2">
      <c r="N768"/>
      <c r="O768" s="38"/>
      <c r="P768" s="38"/>
      <c r="Q768" s="38"/>
      <c r="R768" s="38"/>
    </row>
    <row r="769" spans="14:18" x14ac:dyDescent="0.2">
      <c r="N769"/>
      <c r="O769" s="38"/>
      <c r="P769" s="38"/>
      <c r="Q769" s="38"/>
      <c r="R769" s="38"/>
    </row>
    <row r="770" spans="14:18" x14ac:dyDescent="0.2">
      <c r="N770"/>
      <c r="O770" s="38"/>
      <c r="P770" s="38"/>
      <c r="Q770" s="38"/>
      <c r="R770" s="38"/>
    </row>
    <row r="771" spans="14:18" x14ac:dyDescent="0.2">
      <c r="N771"/>
      <c r="O771" s="38"/>
      <c r="P771" s="38"/>
      <c r="Q771" s="38"/>
      <c r="R771" s="38"/>
    </row>
    <row r="772" spans="14:18" x14ac:dyDescent="0.2">
      <c r="N772"/>
      <c r="O772" s="38"/>
      <c r="P772" s="38"/>
      <c r="Q772" s="38"/>
      <c r="R772" s="38"/>
    </row>
    <row r="773" spans="14:18" x14ac:dyDescent="0.2">
      <c r="N773"/>
      <c r="O773" s="38"/>
      <c r="P773" s="38"/>
      <c r="Q773" s="38"/>
      <c r="R773" s="38"/>
    </row>
    <row r="774" spans="14:18" x14ac:dyDescent="0.2">
      <c r="N774"/>
      <c r="O774" s="38"/>
      <c r="P774" s="38"/>
      <c r="Q774" s="38"/>
      <c r="R774" s="38"/>
    </row>
    <row r="775" spans="14:18" x14ac:dyDescent="0.2">
      <c r="N775"/>
      <c r="O775" s="38"/>
      <c r="P775" s="38"/>
      <c r="Q775" s="38"/>
      <c r="R775" s="38"/>
    </row>
    <row r="776" spans="14:18" x14ac:dyDescent="0.2">
      <c r="N776"/>
      <c r="O776" s="38"/>
      <c r="P776" s="38"/>
      <c r="Q776" s="38"/>
      <c r="R776" s="38"/>
    </row>
    <row r="777" spans="14:18" x14ac:dyDescent="0.2">
      <c r="N777"/>
      <c r="O777" s="38"/>
      <c r="P777" s="38"/>
      <c r="Q777" s="38"/>
      <c r="R777" s="38"/>
    </row>
    <row r="778" spans="14:18" x14ac:dyDescent="0.2">
      <c r="N778"/>
      <c r="O778" s="38"/>
      <c r="P778" s="38"/>
      <c r="Q778" s="38"/>
      <c r="R778" s="38"/>
    </row>
    <row r="779" spans="14:18" x14ac:dyDescent="0.2">
      <c r="N779"/>
      <c r="O779" s="38"/>
      <c r="P779" s="38"/>
      <c r="Q779" s="38"/>
      <c r="R779" s="38"/>
    </row>
    <row r="780" spans="14:18" x14ac:dyDescent="0.2">
      <c r="N780"/>
      <c r="O780" s="38"/>
      <c r="P780" s="38"/>
      <c r="Q780" s="38"/>
      <c r="R780" s="38"/>
    </row>
    <row r="781" spans="14:18" x14ac:dyDescent="0.2">
      <c r="N781"/>
      <c r="O781" s="38"/>
      <c r="P781" s="38"/>
      <c r="Q781" s="38"/>
      <c r="R781" s="38"/>
    </row>
    <row r="782" spans="14:18" x14ac:dyDescent="0.2">
      <c r="N782"/>
      <c r="O782" s="38"/>
      <c r="P782" s="38"/>
      <c r="Q782" s="38"/>
      <c r="R782" s="38"/>
    </row>
    <row r="783" spans="14:18" x14ac:dyDescent="0.2">
      <c r="N783"/>
      <c r="O783" s="38"/>
      <c r="P783" s="38"/>
      <c r="Q783" s="38"/>
      <c r="R783" s="38"/>
    </row>
    <row r="784" spans="14:18" x14ac:dyDescent="0.2">
      <c r="N784"/>
      <c r="O784" s="38"/>
      <c r="P784" s="38"/>
      <c r="Q784" s="38"/>
      <c r="R784" s="38"/>
    </row>
    <row r="785" spans="14:18" x14ac:dyDescent="0.2">
      <c r="N785"/>
      <c r="O785" s="38"/>
      <c r="P785" s="38"/>
      <c r="Q785" s="38"/>
      <c r="R785" s="38"/>
    </row>
    <row r="786" spans="14:18" x14ac:dyDescent="0.2">
      <c r="N786"/>
      <c r="O786" s="38"/>
      <c r="P786" s="38"/>
      <c r="Q786" s="38"/>
      <c r="R786" s="38"/>
    </row>
    <row r="787" spans="14:18" x14ac:dyDescent="0.2">
      <c r="N787"/>
      <c r="O787" s="38"/>
      <c r="P787" s="38"/>
      <c r="Q787" s="38"/>
      <c r="R787" s="38"/>
    </row>
    <row r="788" spans="14:18" x14ac:dyDescent="0.2">
      <c r="N788"/>
      <c r="O788" s="38"/>
      <c r="P788" s="38"/>
      <c r="Q788" s="38"/>
      <c r="R788" s="38"/>
    </row>
    <row r="789" spans="14:18" x14ac:dyDescent="0.2">
      <c r="N789"/>
      <c r="O789" s="38"/>
      <c r="P789" s="38"/>
      <c r="Q789" s="38"/>
      <c r="R789" s="38"/>
    </row>
    <row r="790" spans="14:18" x14ac:dyDescent="0.2">
      <c r="N790"/>
      <c r="O790" s="38"/>
      <c r="P790" s="38"/>
      <c r="Q790" s="38"/>
      <c r="R790" s="38"/>
    </row>
    <row r="791" spans="14:18" x14ac:dyDescent="0.2">
      <c r="N791"/>
      <c r="O791" s="38"/>
      <c r="P791" s="38"/>
      <c r="Q791" s="38"/>
      <c r="R791" s="38"/>
    </row>
    <row r="792" spans="14:18" x14ac:dyDescent="0.2">
      <c r="N792"/>
      <c r="O792" s="38"/>
      <c r="P792" s="38"/>
      <c r="Q792" s="38"/>
      <c r="R792" s="38"/>
    </row>
    <row r="793" spans="14:18" x14ac:dyDescent="0.2">
      <c r="N793"/>
      <c r="O793" s="38"/>
      <c r="P793" s="38"/>
      <c r="Q793" s="38"/>
      <c r="R793" s="38"/>
    </row>
    <row r="794" spans="14:18" x14ac:dyDescent="0.2">
      <c r="N794"/>
      <c r="O794" s="38"/>
      <c r="P794" s="38"/>
      <c r="Q794" s="38"/>
      <c r="R794" s="38"/>
    </row>
    <row r="795" spans="14:18" x14ac:dyDescent="0.2">
      <c r="N795"/>
      <c r="O795" s="38"/>
      <c r="P795" s="38"/>
      <c r="Q795" s="38"/>
      <c r="R795" s="38"/>
    </row>
    <row r="796" spans="14:18" x14ac:dyDescent="0.2">
      <c r="N796"/>
      <c r="O796" s="38"/>
      <c r="P796" s="38"/>
      <c r="Q796" s="38"/>
      <c r="R796" s="38"/>
    </row>
    <row r="797" spans="14:18" x14ac:dyDescent="0.2">
      <c r="N797"/>
      <c r="O797" s="38"/>
      <c r="P797" s="38"/>
      <c r="Q797" s="38"/>
      <c r="R797" s="38"/>
    </row>
    <row r="798" spans="14:18" x14ac:dyDescent="0.2">
      <c r="N798"/>
      <c r="O798" s="38"/>
      <c r="P798" s="38"/>
      <c r="Q798" s="38"/>
      <c r="R798" s="38"/>
    </row>
    <row r="799" spans="14:18" x14ac:dyDescent="0.2">
      <c r="N799"/>
      <c r="O799" s="38"/>
      <c r="P799" s="38"/>
      <c r="Q799" s="38"/>
      <c r="R799" s="38"/>
    </row>
    <row r="800" spans="14:18" x14ac:dyDescent="0.2">
      <c r="N800"/>
      <c r="O800" s="38"/>
      <c r="P800" s="38"/>
      <c r="Q800" s="38"/>
      <c r="R800" s="38"/>
    </row>
    <row r="801" spans="14:18" x14ac:dyDescent="0.2">
      <c r="N801"/>
      <c r="O801" s="38"/>
      <c r="P801" s="38"/>
      <c r="Q801" s="38"/>
      <c r="R801" s="38"/>
    </row>
    <row r="802" spans="14:18" x14ac:dyDescent="0.2">
      <c r="N802"/>
      <c r="O802" s="38"/>
      <c r="P802" s="38"/>
      <c r="Q802" s="38"/>
      <c r="R802" s="38"/>
    </row>
    <row r="803" spans="14:18" x14ac:dyDescent="0.2">
      <c r="N803"/>
      <c r="O803" s="38"/>
      <c r="P803" s="38"/>
      <c r="Q803" s="38"/>
      <c r="R803" s="38"/>
    </row>
    <row r="804" spans="14:18" x14ac:dyDescent="0.2">
      <c r="N804"/>
      <c r="O804" s="38"/>
      <c r="P804" s="38"/>
      <c r="Q804" s="38"/>
      <c r="R804" s="38"/>
    </row>
    <row r="805" spans="14:18" x14ac:dyDescent="0.2">
      <c r="N805"/>
      <c r="O805" s="38"/>
      <c r="P805" s="38"/>
      <c r="Q805" s="38"/>
      <c r="R805" s="38"/>
    </row>
    <row r="806" spans="14:18" x14ac:dyDescent="0.2">
      <c r="N806"/>
      <c r="O806" s="38"/>
      <c r="P806" s="38"/>
      <c r="Q806" s="38"/>
      <c r="R806" s="38"/>
    </row>
    <row r="807" spans="14:18" x14ac:dyDescent="0.2">
      <c r="N807"/>
      <c r="O807" s="38"/>
      <c r="P807" s="38"/>
      <c r="Q807" s="38"/>
      <c r="R807" s="38"/>
    </row>
    <row r="808" spans="14:18" x14ac:dyDescent="0.2">
      <c r="N808"/>
      <c r="O808" s="38"/>
      <c r="P808" s="38"/>
      <c r="Q808" s="38"/>
      <c r="R808" s="38"/>
    </row>
    <row r="809" spans="14:18" x14ac:dyDescent="0.2">
      <c r="N809"/>
      <c r="O809" s="38"/>
      <c r="P809" s="38"/>
      <c r="Q809" s="38"/>
      <c r="R809" s="38"/>
    </row>
    <row r="810" spans="14:18" x14ac:dyDescent="0.2">
      <c r="N810"/>
      <c r="O810" s="38"/>
      <c r="P810" s="38"/>
      <c r="Q810" s="38"/>
      <c r="R810" s="38"/>
    </row>
    <row r="811" spans="14:18" x14ac:dyDescent="0.2">
      <c r="N811"/>
      <c r="O811" s="38"/>
      <c r="P811" s="38"/>
      <c r="Q811" s="38"/>
      <c r="R811" s="38"/>
    </row>
    <row r="812" spans="14:18" x14ac:dyDescent="0.2">
      <c r="N812"/>
      <c r="O812" s="38"/>
      <c r="P812" s="38"/>
      <c r="Q812" s="38"/>
      <c r="R812" s="38"/>
    </row>
    <row r="813" spans="14:18" x14ac:dyDescent="0.2">
      <c r="N813"/>
      <c r="O813" s="38"/>
      <c r="P813" s="38"/>
      <c r="Q813" s="38"/>
      <c r="R813" s="38"/>
    </row>
    <row r="814" spans="14:18" x14ac:dyDescent="0.2">
      <c r="N814"/>
      <c r="O814" s="38"/>
      <c r="P814" s="38"/>
      <c r="Q814" s="38"/>
      <c r="R814" s="38"/>
    </row>
    <row r="815" spans="14:18" x14ac:dyDescent="0.2">
      <c r="N815"/>
      <c r="O815" s="38"/>
      <c r="P815" s="38"/>
      <c r="Q815" s="38"/>
      <c r="R815" s="38"/>
    </row>
    <row r="816" spans="14:18" x14ac:dyDescent="0.2">
      <c r="N816"/>
      <c r="O816" s="38"/>
      <c r="P816" s="38"/>
      <c r="Q816" s="38"/>
      <c r="R816" s="38"/>
    </row>
    <row r="817" spans="14:18" x14ac:dyDescent="0.2">
      <c r="N817"/>
      <c r="O817" s="38"/>
      <c r="P817" s="38"/>
      <c r="Q817" s="38"/>
      <c r="R817" s="38"/>
    </row>
    <row r="818" spans="14:18" x14ac:dyDescent="0.2">
      <c r="N818"/>
      <c r="O818" s="38"/>
      <c r="P818" s="38"/>
      <c r="Q818" s="38"/>
      <c r="R818" s="38"/>
    </row>
    <row r="819" spans="14:18" x14ac:dyDescent="0.2">
      <c r="N819"/>
      <c r="O819" s="38"/>
      <c r="P819" s="38"/>
      <c r="Q819" s="38"/>
      <c r="R819" s="38"/>
    </row>
    <row r="820" spans="14:18" x14ac:dyDescent="0.2">
      <c r="N820"/>
      <c r="O820" s="38"/>
      <c r="P820" s="38"/>
      <c r="Q820" s="38"/>
      <c r="R820" s="38"/>
    </row>
    <row r="821" spans="14:18" x14ac:dyDescent="0.2">
      <c r="N821"/>
      <c r="O821" s="38"/>
      <c r="P821" s="38"/>
      <c r="Q821" s="38"/>
      <c r="R821" s="38"/>
    </row>
    <row r="822" spans="14:18" x14ac:dyDescent="0.2">
      <c r="N822"/>
      <c r="O822" s="38"/>
      <c r="P822" s="38"/>
      <c r="Q822" s="38"/>
      <c r="R822" s="38"/>
    </row>
    <row r="823" spans="14:18" x14ac:dyDescent="0.2">
      <c r="N823"/>
      <c r="O823" s="38"/>
      <c r="P823" s="38"/>
      <c r="Q823" s="38"/>
      <c r="R823" s="38"/>
    </row>
    <row r="824" spans="14:18" x14ac:dyDescent="0.2">
      <c r="N824"/>
      <c r="O824" s="38"/>
      <c r="P824" s="38"/>
      <c r="Q824" s="38"/>
      <c r="R824" s="38"/>
    </row>
    <row r="825" spans="14:18" x14ac:dyDescent="0.2">
      <c r="N825"/>
      <c r="O825" s="38"/>
      <c r="P825" s="38"/>
      <c r="Q825" s="38"/>
      <c r="R825" s="38"/>
    </row>
    <row r="826" spans="14:18" x14ac:dyDescent="0.2">
      <c r="N826"/>
      <c r="O826" s="38"/>
      <c r="P826" s="38"/>
      <c r="Q826" s="38"/>
      <c r="R826" s="38"/>
    </row>
    <row r="827" spans="14:18" x14ac:dyDescent="0.2">
      <c r="N827"/>
      <c r="O827" s="38"/>
      <c r="P827" s="38"/>
      <c r="Q827" s="38"/>
      <c r="R827" s="38"/>
    </row>
    <row r="828" spans="14:18" x14ac:dyDescent="0.2">
      <c r="N828"/>
      <c r="O828" s="38"/>
      <c r="P828" s="38"/>
      <c r="Q828" s="38"/>
      <c r="R828" s="38"/>
    </row>
    <row r="829" spans="14:18" x14ac:dyDescent="0.2">
      <c r="N829"/>
      <c r="O829" s="38"/>
      <c r="P829" s="38"/>
      <c r="Q829" s="38"/>
      <c r="R829" s="38"/>
    </row>
    <row r="830" spans="14:18" x14ac:dyDescent="0.2">
      <c r="N830"/>
      <c r="O830" s="38"/>
      <c r="P830" s="38"/>
      <c r="Q830" s="38"/>
      <c r="R830" s="38"/>
    </row>
    <row r="831" spans="14:18" x14ac:dyDescent="0.2">
      <c r="N831"/>
      <c r="O831" s="38"/>
      <c r="P831" s="38"/>
      <c r="Q831" s="38"/>
      <c r="R831" s="38"/>
    </row>
    <row r="832" spans="14:18" x14ac:dyDescent="0.2">
      <c r="N832"/>
      <c r="O832" s="38"/>
      <c r="P832" s="38"/>
      <c r="Q832" s="38"/>
      <c r="R832" s="38"/>
    </row>
    <row r="833" spans="14:18" x14ac:dyDescent="0.2">
      <c r="N833"/>
      <c r="O833" s="38"/>
      <c r="P833" s="38"/>
      <c r="Q833" s="38"/>
      <c r="R833" s="38"/>
    </row>
    <row r="834" spans="14:18" x14ac:dyDescent="0.2">
      <c r="N834"/>
      <c r="O834" s="38"/>
      <c r="P834" s="38"/>
      <c r="Q834" s="38"/>
      <c r="R834" s="38"/>
    </row>
    <row r="835" spans="14:18" x14ac:dyDescent="0.2">
      <c r="N835"/>
      <c r="O835" s="38"/>
      <c r="P835" s="38"/>
      <c r="Q835" s="38"/>
      <c r="R835" s="38"/>
    </row>
    <row r="836" spans="14:18" x14ac:dyDescent="0.2">
      <c r="N836"/>
      <c r="O836" s="38"/>
      <c r="P836" s="38"/>
      <c r="Q836" s="38"/>
      <c r="R836" s="38"/>
    </row>
    <row r="837" spans="14:18" x14ac:dyDescent="0.2">
      <c r="N837"/>
      <c r="O837" s="38"/>
      <c r="P837" s="38"/>
      <c r="Q837" s="38"/>
      <c r="R837" s="38"/>
    </row>
    <row r="838" spans="14:18" x14ac:dyDescent="0.2">
      <c r="N838"/>
      <c r="O838" s="38"/>
      <c r="P838" s="38"/>
      <c r="Q838" s="38"/>
      <c r="R838" s="38"/>
    </row>
    <row r="839" spans="14:18" x14ac:dyDescent="0.2">
      <c r="N839"/>
      <c r="O839" s="38"/>
      <c r="P839" s="38"/>
      <c r="Q839" s="38"/>
      <c r="R839" s="38"/>
    </row>
    <row r="840" spans="14:18" x14ac:dyDescent="0.2">
      <c r="N840"/>
      <c r="O840" s="38"/>
      <c r="P840" s="38"/>
      <c r="Q840" s="38"/>
      <c r="R840" s="38"/>
    </row>
    <row r="841" spans="14:18" x14ac:dyDescent="0.2">
      <c r="N841"/>
      <c r="O841" s="38"/>
      <c r="P841" s="38"/>
      <c r="Q841" s="38"/>
      <c r="R841" s="38"/>
    </row>
    <row r="842" spans="14:18" x14ac:dyDescent="0.2">
      <c r="N842"/>
      <c r="O842" s="38"/>
      <c r="P842" s="38"/>
      <c r="Q842" s="38"/>
      <c r="R842" s="38"/>
    </row>
    <row r="843" spans="14:18" x14ac:dyDescent="0.2">
      <c r="N843"/>
      <c r="O843" s="38"/>
      <c r="P843" s="38"/>
      <c r="Q843" s="38"/>
      <c r="R843" s="38"/>
    </row>
    <row r="844" spans="14:18" x14ac:dyDescent="0.2">
      <c r="N844"/>
      <c r="O844" s="38"/>
      <c r="P844" s="38"/>
      <c r="Q844" s="38"/>
      <c r="R844" s="38"/>
    </row>
    <row r="845" spans="14:18" x14ac:dyDescent="0.2">
      <c r="N845"/>
      <c r="O845" s="38"/>
      <c r="P845" s="38"/>
      <c r="Q845" s="38"/>
      <c r="R845" s="38"/>
    </row>
    <row r="846" spans="14:18" x14ac:dyDescent="0.2">
      <c r="N846"/>
      <c r="O846" s="38"/>
      <c r="P846" s="38"/>
      <c r="Q846" s="38"/>
      <c r="R846" s="38"/>
    </row>
    <row r="847" spans="14:18" x14ac:dyDescent="0.2">
      <c r="N847"/>
      <c r="O847" s="38"/>
      <c r="P847" s="38"/>
      <c r="Q847" s="38"/>
      <c r="R847" s="38"/>
    </row>
    <row r="848" spans="14:18" x14ac:dyDescent="0.2">
      <c r="N848"/>
      <c r="O848" s="38"/>
      <c r="P848" s="38"/>
      <c r="Q848" s="38"/>
      <c r="R848" s="38"/>
    </row>
    <row r="849" spans="14:18" x14ac:dyDescent="0.2">
      <c r="N849"/>
      <c r="O849" s="38"/>
      <c r="P849" s="38"/>
      <c r="Q849" s="38"/>
      <c r="R849" s="38"/>
    </row>
    <row r="850" spans="14:18" x14ac:dyDescent="0.2">
      <c r="N850"/>
      <c r="O850" s="38"/>
      <c r="P850" s="38"/>
      <c r="Q850" s="38"/>
      <c r="R850" s="38"/>
    </row>
    <row r="851" spans="14:18" x14ac:dyDescent="0.2">
      <c r="N851"/>
      <c r="O851" s="38"/>
      <c r="P851" s="38"/>
      <c r="Q851" s="38"/>
      <c r="R851" s="38"/>
    </row>
    <row r="852" spans="14:18" x14ac:dyDescent="0.2">
      <c r="N852"/>
      <c r="O852" s="38"/>
      <c r="P852" s="38"/>
      <c r="Q852" s="38"/>
      <c r="R852" s="38"/>
    </row>
    <row r="853" spans="14:18" x14ac:dyDescent="0.2">
      <c r="N853"/>
      <c r="O853" s="38"/>
      <c r="P853" s="38"/>
      <c r="Q853" s="38"/>
      <c r="R853" s="38"/>
    </row>
  </sheetData>
  <phoneticPr fontId="3" type="noConversion"/>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E803A-4E4B-4D08-99AD-FA75A5322116}">
  <dimension ref="B3:D11"/>
  <sheetViews>
    <sheetView showGridLines="0" zoomScale="140" zoomScaleNormal="140" workbookViewId="0">
      <selection activeCell="D25" sqref="D25"/>
    </sheetView>
  </sheetViews>
  <sheetFormatPr defaultRowHeight="12.75" x14ac:dyDescent="0.2"/>
  <cols>
    <col min="2" max="2" width="19.42578125" customWidth="1"/>
    <col min="3" max="4" width="12.7109375" customWidth="1"/>
  </cols>
  <sheetData>
    <row r="3" spans="2:4" ht="15.75" x14ac:dyDescent="0.25">
      <c r="B3" s="28" t="s">
        <v>77</v>
      </c>
      <c r="C3" s="29" t="s">
        <v>78</v>
      </c>
      <c r="D3" s="30" t="s">
        <v>74</v>
      </c>
    </row>
    <row r="4" spans="2:4" ht="15" x14ac:dyDescent="0.2">
      <c r="B4" s="31" t="s">
        <v>79</v>
      </c>
      <c r="C4" s="31"/>
      <c r="D4" s="32">
        <f>((Statements!I17/Statements!C17)^(1/7))-1</f>
        <v>4.920349504002286E-2</v>
      </c>
    </row>
    <row r="5" spans="2:4" ht="15" x14ac:dyDescent="0.2">
      <c r="B5" s="31" t="s">
        <v>80</v>
      </c>
      <c r="C5" s="31"/>
      <c r="D5" s="32">
        <f>Statements!I42/Statements!I17</f>
        <v>0.3701836164970882</v>
      </c>
    </row>
    <row r="6" spans="2:4" ht="15" x14ac:dyDescent="0.2">
      <c r="B6" s="31" t="s">
        <v>81</v>
      </c>
      <c r="C6" s="31"/>
      <c r="D6" s="32">
        <f>Statements!I34/Statements!U52</f>
        <v>7.5572316963182701E-2</v>
      </c>
    </row>
    <row r="7" spans="2:4" ht="15" x14ac:dyDescent="0.2">
      <c r="B7" s="31" t="s">
        <v>82</v>
      </c>
      <c r="C7" s="31"/>
      <c r="D7" s="32">
        <f>Statements!I34/Statements!U59</f>
        <v>2.8084798885982278E-2</v>
      </c>
    </row>
    <row r="8" spans="2:4" ht="15" x14ac:dyDescent="0.2">
      <c r="B8" s="31" t="s">
        <v>83</v>
      </c>
      <c r="C8" s="31"/>
      <c r="D8" s="33">
        <f>Statements!U54/Statements!I42</f>
        <v>4.3330731354208609</v>
      </c>
    </row>
    <row r="9" spans="2:4" ht="15" x14ac:dyDescent="0.2">
      <c r="B9" s="31" t="s">
        <v>84</v>
      </c>
      <c r="C9" s="31"/>
      <c r="D9" s="34">
        <f>_xlfn.STDEV.S(Statements!C37:I37)</f>
        <v>0.79501835477960936</v>
      </c>
    </row>
    <row r="10" spans="2:4" ht="15" x14ac:dyDescent="0.2">
      <c r="B10" s="31" t="s">
        <v>85</v>
      </c>
      <c r="C10" s="31"/>
      <c r="D10" s="34">
        <f>Statements!U58</f>
        <v>11.160363826908073</v>
      </c>
    </row>
    <row r="11" spans="2:4" ht="15" x14ac:dyDescent="0.2">
      <c r="B11" s="31" t="s">
        <v>86</v>
      </c>
      <c r="C11" s="31"/>
      <c r="D11" s="35" t="s">
        <v>100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AB2EA0-5C5D-4357-9FEE-161934062D2C}">
  <ds:schemaRefs>
    <ds:schemaRef ds:uri="http://schemas.microsoft.com/sharepoint/v3/contenttype/forms"/>
  </ds:schemaRefs>
</ds:datastoreItem>
</file>

<file path=customXml/itemProps2.xml><?xml version="1.0" encoding="utf-8"?>
<ds:datastoreItem xmlns:ds="http://schemas.openxmlformats.org/officeDocument/2006/customXml" ds:itemID="{7B943A18-FEFE-4A27-89A7-AAB2152020B6}">
  <ds:schemaRef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http://purl.org/dc/dcmitype/"/>
    <ds:schemaRef ds:uri="http://schemas.microsoft.com/office/infopath/2007/PartnerControls"/>
    <ds:schemaRef ds:uri="36567613-e428-4167-ab55-a4f66cede826"/>
    <ds:schemaRef ds:uri="http://purl.org/dc/elements/1.1/"/>
  </ds:schemaRefs>
</ds:datastoreItem>
</file>

<file path=customXml/itemProps3.xml><?xml version="1.0" encoding="utf-8"?>
<ds:datastoreItem xmlns:ds="http://schemas.openxmlformats.org/officeDocument/2006/customXml" ds:itemID="{3841C50F-675B-4AEC-9DA1-DF5A31B760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Statements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dcterms:created xsi:type="dcterms:W3CDTF">2025-02-27T21:19:12Z</dcterms:created>
  <dcterms:modified xsi:type="dcterms:W3CDTF">2026-06-29T21:52:53Z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2026-05-29T20:26:34Z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beda96c8-1161-43c0-ac3b-7a8a13b85637</vt:lpwstr>
  </property>
  <property fmtid="{D5CDD505-2E9C-101B-9397-08002B2CF9AE}" pid="9" name="MSIP_Label_bc50c7b0-9e53-455f-9b3f-deab1aa8a41e_ContentBits">
    <vt:lpwstr>0</vt:lpwstr>
  </property>
  <property fmtid="{D5CDD505-2E9C-101B-9397-08002B2CF9AE}" pid="10" name="MSIP_Label_bc50c7b0-9e53-455f-9b3f-deab1aa8a41e_Tag">
    <vt:lpwstr>10, 3, 0, 1</vt:lpwstr>
  </property>
</Properties>
</file>