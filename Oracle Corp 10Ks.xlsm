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jeccd-my.sharepoint.com/personal/abgo6476_stu_evc_edu/Documents/Earnings Models/"/>
    </mc:Choice>
  </mc:AlternateContent>
  <xr:revisionPtr revIDLastSave="467" documentId="8_{8898AD25-D671-4FF2-8878-45A704689EF7}" xr6:coauthVersionLast="47" xr6:coauthVersionMax="47" xr10:uidLastSave="{F2A45BF4-8219-4715-A21F-5F33D9F35E68}"/>
  <bookViews>
    <workbookView xWindow="2340" yWindow="2340" windowWidth="20775" windowHeight="11790" xr2:uid="{CD218907-FF69-440B-8102-4E26B44E461B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9" i="1" l="1"/>
  <c r="H71" i="1"/>
  <c r="H70" i="1"/>
  <c r="H69" i="1"/>
  <c r="H68" i="1"/>
  <c r="H67" i="1"/>
  <c r="H66" i="1"/>
  <c r="H65" i="1"/>
  <c r="H64" i="1"/>
  <c r="H63" i="1"/>
  <c r="H61" i="1"/>
  <c r="H60" i="1"/>
  <c r="H59" i="1"/>
  <c r="H58" i="1"/>
  <c r="H57" i="1"/>
  <c r="H56" i="1"/>
  <c r="H55" i="1"/>
  <c r="H54" i="1"/>
  <c r="H53" i="1"/>
  <c r="H52" i="1"/>
  <c r="H51" i="1"/>
  <c r="H47" i="1"/>
  <c r="H46" i="1"/>
  <c r="H45" i="1"/>
  <c r="H44" i="1"/>
  <c r="H43" i="1"/>
  <c r="H42" i="1"/>
  <c r="H41" i="1"/>
  <c r="H40" i="1"/>
  <c r="H39" i="1"/>
  <c r="H38" i="1"/>
  <c r="H37" i="1"/>
  <c r="H33" i="1"/>
  <c r="H32" i="1"/>
  <c r="H31" i="1"/>
  <c r="H30" i="1"/>
  <c r="H29" i="1"/>
  <c r="H28" i="1"/>
  <c r="H26" i="1"/>
  <c r="H25" i="1"/>
  <c r="H24" i="1"/>
  <c r="H23" i="1"/>
  <c r="H22" i="1"/>
  <c r="H21" i="1"/>
  <c r="H20" i="1"/>
  <c r="H19" i="1"/>
  <c r="H18" i="1"/>
  <c r="H17" i="1"/>
  <c r="H14" i="1"/>
  <c r="H13" i="1"/>
  <c r="H12" i="1"/>
  <c r="H11" i="1"/>
  <c r="H10" i="1"/>
  <c r="H7" i="1"/>
  <c r="H6" i="1"/>
  <c r="H5" i="1"/>
  <c r="H4" i="1"/>
  <c r="H3" i="1"/>
  <c r="B14" i="1"/>
  <c r="B70" i="1" s="1"/>
  <c r="B56" i="1"/>
  <c r="B61" i="1" s="1"/>
  <c r="B41" i="1"/>
  <c r="B26" i="1"/>
  <c r="B7" i="1"/>
  <c r="B6" i="1"/>
  <c r="B5" i="1"/>
  <c r="D56" i="1"/>
  <c r="D61" i="1" s="1"/>
  <c r="D41" i="1"/>
  <c r="D47" i="1" s="1"/>
  <c r="D26" i="1"/>
  <c r="D28" i="1" s="1"/>
  <c r="D67" i="1" s="1"/>
  <c r="D14" i="1"/>
  <c r="D7" i="1"/>
  <c r="D6" i="1"/>
  <c r="D5" i="1"/>
  <c r="C56" i="1"/>
  <c r="C61" i="1" s="1"/>
  <c r="C41" i="1"/>
  <c r="C26" i="1"/>
  <c r="C14" i="1"/>
  <c r="C70" i="1" s="1"/>
  <c r="C7" i="1"/>
  <c r="C6" i="1"/>
  <c r="C5" i="1"/>
  <c r="F56" i="1"/>
  <c r="E56" i="1"/>
  <c r="E61" i="1" s="1"/>
  <c r="E41" i="1"/>
  <c r="E7" i="1"/>
  <c r="E6" i="1"/>
  <c r="E5" i="1"/>
  <c r="E26" i="1"/>
  <c r="E14" i="1"/>
  <c r="B64" i="1" l="1"/>
  <c r="B71" i="1"/>
  <c r="C71" i="1"/>
  <c r="B47" i="1"/>
  <c r="B63" i="1" s="1"/>
  <c r="B28" i="1"/>
  <c r="B31" i="1" s="1"/>
  <c r="B33" i="1" s="1"/>
  <c r="B65" i="1" s="1"/>
  <c r="B66" i="1" s="1"/>
  <c r="C28" i="1"/>
  <c r="C67" i="1" s="1"/>
  <c r="D64" i="1"/>
  <c r="D70" i="1"/>
  <c r="C64" i="1"/>
  <c r="D71" i="1"/>
  <c r="D63" i="1"/>
  <c r="E71" i="1"/>
  <c r="E28" i="1"/>
  <c r="E31" i="1" s="1"/>
  <c r="E33" i="1" s="1"/>
  <c r="E68" i="1" s="1"/>
  <c r="E70" i="1"/>
  <c r="D31" i="1"/>
  <c r="D33" i="1" s="1"/>
  <c r="C47" i="1"/>
  <c r="C63" i="1" s="1"/>
  <c r="C31" i="1"/>
  <c r="C33" i="1" s="1"/>
  <c r="E47" i="1"/>
  <c r="E63" i="1" s="1"/>
  <c r="E64" i="1"/>
  <c r="J61" i="1"/>
  <c r="I61" i="1"/>
  <c r="J56" i="1"/>
  <c r="I56" i="1"/>
  <c r="F61" i="1"/>
  <c r="J47" i="1"/>
  <c r="J41" i="1"/>
  <c r="J71" i="1" s="1"/>
  <c r="I41" i="1"/>
  <c r="I71" i="1" s="1"/>
  <c r="F41" i="1"/>
  <c r="J26" i="1"/>
  <c r="J28" i="1" s="1"/>
  <c r="I26" i="1"/>
  <c r="I28" i="1" s="1"/>
  <c r="F26" i="1"/>
  <c r="J14" i="1"/>
  <c r="I14" i="1"/>
  <c r="F14" i="1"/>
  <c r="J7" i="1"/>
  <c r="I7" i="1"/>
  <c r="J6" i="1"/>
  <c r="I6" i="1"/>
  <c r="J5" i="1"/>
  <c r="J64" i="1" s="1"/>
  <c r="I5" i="1"/>
  <c r="I64" i="1" s="1"/>
  <c r="F7" i="1"/>
  <c r="F6" i="1"/>
  <c r="F5" i="1"/>
  <c r="G7" i="1"/>
  <c r="G6" i="1"/>
  <c r="G64" i="1" s="1"/>
  <c r="G56" i="1"/>
  <c r="G61" i="1" s="1"/>
  <c r="G41" i="1"/>
  <c r="G71" i="1" s="1"/>
  <c r="G5" i="1"/>
  <c r="G26" i="1"/>
  <c r="B67" i="1" l="1"/>
  <c r="B68" i="1"/>
  <c r="B69" i="1"/>
  <c r="I67" i="1"/>
  <c r="I31" i="1"/>
  <c r="I33" i="1" s="1"/>
  <c r="J67" i="1"/>
  <c r="J31" i="1"/>
  <c r="J33" i="1" s="1"/>
  <c r="I47" i="1"/>
  <c r="I63" i="1" s="1"/>
  <c r="I69" i="1" s="1"/>
  <c r="G47" i="1"/>
  <c r="G63" i="1" s="1"/>
  <c r="J70" i="1"/>
  <c r="J63" i="1"/>
  <c r="J69" i="1" s="1"/>
  <c r="I70" i="1"/>
  <c r="E67" i="1"/>
  <c r="E65" i="1"/>
  <c r="E66" i="1" s="1"/>
  <c r="E69" i="1"/>
  <c r="D69" i="1"/>
  <c r="D68" i="1"/>
  <c r="D65" i="1"/>
  <c r="D66" i="1" s="1"/>
  <c r="C68" i="1"/>
  <c r="C69" i="1"/>
  <c r="C65" i="1"/>
  <c r="C66" i="1" s="1"/>
  <c r="F71" i="1"/>
  <c r="F47" i="1"/>
  <c r="F63" i="1" s="1"/>
  <c r="F28" i="1"/>
  <c r="F67" i="1" s="1"/>
  <c r="F70" i="1"/>
  <c r="F64" i="1"/>
  <c r="G14" i="1"/>
  <c r="F1" i="1"/>
  <c r="E1" i="1" s="1"/>
  <c r="D1" i="1" s="1"/>
  <c r="C1" i="1" s="1"/>
  <c r="B1" i="1" s="1"/>
  <c r="G70" i="1" l="1"/>
  <c r="G28" i="1"/>
  <c r="J65" i="1"/>
  <c r="J66" i="1" s="1"/>
  <c r="J68" i="1"/>
  <c r="I65" i="1"/>
  <c r="I66" i="1" s="1"/>
  <c r="I68" i="1"/>
  <c r="F31" i="1"/>
  <c r="F33" i="1" s="1"/>
  <c r="F68" i="1" s="1"/>
  <c r="G31" i="1" l="1"/>
  <c r="G33" i="1" s="1"/>
  <c r="G67" i="1"/>
  <c r="F69" i="1"/>
  <c r="F65" i="1"/>
  <c r="F66" i="1" s="1"/>
  <c r="G65" i="1" l="1"/>
  <c r="G66" i="1" s="1"/>
  <c r="G68" i="1"/>
</calcChain>
</file>

<file path=xl/sharedStrings.xml><?xml version="1.0" encoding="utf-8"?>
<sst xmlns="http://schemas.openxmlformats.org/spreadsheetml/2006/main" count="67" uniqueCount="60">
  <si>
    <t>Reported Date</t>
  </si>
  <si>
    <t>Year</t>
  </si>
  <si>
    <t>Price</t>
  </si>
  <si>
    <t>Shares outstanding</t>
  </si>
  <si>
    <t>Market cap</t>
  </si>
  <si>
    <t>Cash</t>
  </si>
  <si>
    <t>Debt</t>
  </si>
  <si>
    <t>Revenues</t>
  </si>
  <si>
    <t>Cloud services &amp; license support</t>
  </si>
  <si>
    <t>Cloud license &amp; on-premise license</t>
  </si>
  <si>
    <t>Hardware</t>
  </si>
  <si>
    <t>Services</t>
  </si>
  <si>
    <t>Total revenues</t>
  </si>
  <si>
    <t>Operating expenses</t>
  </si>
  <si>
    <t>Sales &amp; marketing</t>
  </si>
  <si>
    <t>Research &amp; development</t>
  </si>
  <si>
    <t>General &amp; administrative</t>
  </si>
  <si>
    <t>Amortization of intagible assets</t>
  </si>
  <si>
    <t>Acquisition related &amp; other</t>
  </si>
  <si>
    <t>Restructuring</t>
  </si>
  <si>
    <t>Total operating expenses</t>
  </si>
  <si>
    <t>Income from operations</t>
  </si>
  <si>
    <t>Interest expense</t>
  </si>
  <si>
    <t>Non-operating (expenses) income</t>
  </si>
  <si>
    <t>Income before income taxes</t>
  </si>
  <si>
    <t>Provision (benefit) for income taxes</t>
  </si>
  <si>
    <t>Net income</t>
  </si>
  <si>
    <t>Assets</t>
  </si>
  <si>
    <t>Current assets</t>
  </si>
  <si>
    <t>Marketable securities</t>
  </si>
  <si>
    <t>Trade receivables</t>
  </si>
  <si>
    <t>Prepaid expenses &amp; other</t>
  </si>
  <si>
    <t>Total current assets</t>
  </si>
  <si>
    <t>Property, plan &amp; equipment, net</t>
  </si>
  <si>
    <t>Intangible assets</t>
  </si>
  <si>
    <t>Goodwill</t>
  </si>
  <si>
    <t>Deferred tax assets</t>
  </si>
  <si>
    <t>Other</t>
  </si>
  <si>
    <t>Total assets</t>
  </si>
  <si>
    <t>Liabilities</t>
  </si>
  <si>
    <t>Current liabilities</t>
  </si>
  <si>
    <t>Notes payable &amp; other borrowings</t>
  </si>
  <si>
    <t>Accounts payable</t>
  </si>
  <si>
    <t>Accrued compensation &amp; related benefits</t>
  </si>
  <si>
    <t>Deferred revenues</t>
  </si>
  <si>
    <t>Total current liabilities</t>
  </si>
  <si>
    <t>Income taxes payable</t>
  </si>
  <si>
    <t>Deferred tax liabilities</t>
  </si>
  <si>
    <t>Total liabilities</t>
  </si>
  <si>
    <t>Equity</t>
  </si>
  <si>
    <t>Enterprise value</t>
  </si>
  <si>
    <t>EPS</t>
  </si>
  <si>
    <t>PE ratio</t>
  </si>
  <si>
    <t>Operating profit margin</t>
  </si>
  <si>
    <t>Net profit margin</t>
  </si>
  <si>
    <t>Revenue to Mkt Cap</t>
  </si>
  <si>
    <t>Current ratio</t>
  </si>
  <si>
    <t>Return on Equity*</t>
  </si>
  <si>
    <t>% Change</t>
  </si>
  <si>
    <t>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</si>
</sst>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_(* #,##0.000_);_(* \(#,##0.000\);_(* &quot;-&quot;??_);_(@_)"/>
  </numFmts>
  <fonts count="9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u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29">
    <xf numFmtId="0" fontId="0" fillId="0" borderId="0" xfId="0"/>
    <xf numFmtId="14" fontId="4" fillId="2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164" fontId="5" fillId="0" borderId="0" xfId="1" applyNumberFormat="1" applyFont="1"/>
    <xf numFmtId="0" fontId="4" fillId="2" borderId="0" xfId="0" applyFont="1" applyFill="1" applyAlignment="1">
      <alignment horizontal="center"/>
    </xf>
    <xf numFmtId="164" fontId="7" fillId="0" borderId="0" xfId="1" applyNumberFormat="1" applyFont="1"/>
    <xf numFmtId="164" fontId="2" fillId="0" borderId="0" xfId="1" applyNumberFormat="1" applyFont="1"/>
    <xf numFmtId="0" fontId="2" fillId="0" borderId="0" xfId="0" applyFont="1"/>
    <xf numFmtId="164" fontId="1" fillId="0" borderId="0" xfId="1" applyNumberFormat="1" applyFont="1"/>
    <xf numFmtId="44" fontId="2" fillId="0" borderId="0" xfId="2" applyFont="1"/>
    <xf numFmtId="44" fontId="3" fillId="0" borderId="0" xfId="2" applyFont="1"/>
    <xf numFmtId="164" fontId="1" fillId="0" borderId="0" xfId="1" applyNumberFormat="1" applyFont="1" applyAlignment="1">
      <alignment horizontal="left" indent="1"/>
    </xf>
    <xf numFmtId="164" fontId="7" fillId="0" borderId="0" xfId="1" applyNumberFormat="1" applyFont="1" applyAlignment="1">
      <alignment horizontal="left" indent="2"/>
    </xf>
    <xf numFmtId="0" fontId="1" fillId="0" borderId="0" xfId="0" applyFont="1"/>
    <xf numFmtId="0" fontId="7" fillId="0" borderId="0" xfId="0" applyFont="1"/>
    <xf numFmtId="0" fontId="7" fillId="0" borderId="0" xfId="0" applyFont="1" applyAlignment="1">
      <alignment horizontal="left" indent="1"/>
    </xf>
    <xf numFmtId="0" fontId="1" fillId="0" borderId="0" xfId="0" applyFont="1" applyAlignment="1">
      <alignment horizontal="left" indent="1"/>
    </xf>
    <xf numFmtId="0" fontId="7" fillId="0" borderId="0" xfId="0" applyFont="1" applyAlignment="1">
      <alignment horizontal="left" indent="2"/>
    </xf>
    <xf numFmtId="0" fontId="1" fillId="0" borderId="0" xfId="0" applyFont="1" applyAlignment="1">
      <alignment horizontal="left" indent="2"/>
    </xf>
    <xf numFmtId="0" fontId="7" fillId="0" borderId="0" xfId="0" applyFont="1" applyAlignment="1">
      <alignment horizontal="left" indent="3"/>
    </xf>
    <xf numFmtId="44" fontId="5" fillId="0" borderId="0" xfId="2" applyFont="1"/>
    <xf numFmtId="0" fontId="1" fillId="3" borderId="0" xfId="0" applyFont="1" applyFill="1"/>
    <xf numFmtId="43" fontId="5" fillId="0" borderId="0" xfId="1" applyFont="1"/>
    <xf numFmtId="165" fontId="5" fillId="0" borderId="0" xfId="3" applyNumberFormat="1" applyFont="1"/>
    <xf numFmtId="166" fontId="5" fillId="0" borderId="0" xfId="1" applyNumberFormat="1" applyFont="1"/>
    <xf numFmtId="165" fontId="5" fillId="3" borderId="0" xfId="3" applyNumberFormat="1" applyFont="1" applyFill="1"/>
    <xf numFmtId="165" fontId="8" fillId="0" borderId="0" xfId="3" applyNumberFormat="1" applyFont="1" applyAlignment="1">
      <alignment horizontal="center"/>
    </xf>
    <xf numFmtId="165" fontId="8" fillId="3" borderId="0" xfId="3" applyNumberFormat="1" applyFont="1" applyFill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0667A-8B3A-43F8-9127-2CCF9535A020}">
  <dimension ref="A1:AI71"/>
  <sheetViews>
    <sheetView tabSelected="1" topLeftCell="A12" zoomScale="120" zoomScaleNormal="120" workbookViewId="0">
      <pane xSplit="1" topLeftCell="F1" activePane="topRight" state="frozen"/>
      <selection pane="topRight" activeCell="G69" sqref="G69"/>
    </sheetView>
  </sheetViews>
  <sheetFormatPr defaultColWidth="12.7109375" defaultRowHeight="12.75" x14ac:dyDescent="0.2"/>
  <cols>
    <col min="1" max="1" width="38.5703125" style="8" customWidth="1"/>
    <col min="2" max="7" width="12.7109375" style="4" customWidth="1"/>
    <col min="8" max="8" width="10.7109375" style="4" customWidth="1"/>
    <col min="9" max="22" width="12.7109375" style="4" customWidth="1"/>
    <col min="23" max="16384" width="12.7109375" style="4"/>
  </cols>
  <sheetData>
    <row r="1" spans="1:35" s="5" customFormat="1" ht="15" customHeight="1" x14ac:dyDescent="0.2">
      <c r="A1" s="3" t="s">
        <v>0</v>
      </c>
      <c r="B1" s="1">
        <f>C1-365</f>
        <v>43252</v>
      </c>
      <c r="C1" s="1">
        <f>D1-365</f>
        <v>43617</v>
      </c>
      <c r="D1" s="1">
        <f>E1-365</f>
        <v>43982</v>
      </c>
      <c r="E1" s="1">
        <f>F1-365</f>
        <v>44347</v>
      </c>
      <c r="F1" s="1">
        <f>G1-365</f>
        <v>44712</v>
      </c>
      <c r="G1" s="1">
        <v>45077</v>
      </c>
      <c r="H1" s="1" t="s">
        <v>58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2"/>
      <c r="AC1" s="2"/>
      <c r="AD1" s="2"/>
      <c r="AE1" s="2"/>
      <c r="AF1" s="2"/>
      <c r="AG1" s="2"/>
      <c r="AH1" s="2"/>
      <c r="AI1" s="2"/>
    </row>
    <row r="2" spans="1:35" s="5" customFormat="1" ht="15" customHeight="1" x14ac:dyDescent="0.2">
      <c r="A2" s="3" t="s">
        <v>1</v>
      </c>
      <c r="B2" s="2">
        <v>2018</v>
      </c>
      <c r="C2" s="2">
        <v>2019</v>
      </c>
      <c r="D2" s="2">
        <v>2020</v>
      </c>
      <c r="E2" s="2">
        <v>2021</v>
      </c>
      <c r="F2" s="2">
        <v>2022</v>
      </c>
      <c r="G2" s="2">
        <v>2023</v>
      </c>
      <c r="H2" s="2" t="s">
        <v>59</v>
      </c>
      <c r="I2" s="2">
        <v>2024</v>
      </c>
      <c r="J2" s="2">
        <v>2025</v>
      </c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3" spans="1:35" s="11" customFormat="1" x14ac:dyDescent="0.2">
      <c r="A3" s="9" t="s">
        <v>2</v>
      </c>
      <c r="B3" s="10">
        <v>47.34</v>
      </c>
      <c r="C3" s="10">
        <v>50.62</v>
      </c>
      <c r="D3" s="10">
        <v>53.74</v>
      </c>
      <c r="E3" s="10">
        <v>78.72</v>
      </c>
      <c r="F3" s="10">
        <v>71.86</v>
      </c>
      <c r="G3" s="10">
        <v>105.81</v>
      </c>
      <c r="H3" s="27">
        <f>(G3-F3)/F3</f>
        <v>0.47244642360144729</v>
      </c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</row>
    <row r="4" spans="1:35" s="9" customFormat="1" x14ac:dyDescent="0.2">
      <c r="A4" s="9" t="s">
        <v>3</v>
      </c>
      <c r="B4" s="9">
        <v>4238</v>
      </c>
      <c r="C4" s="9">
        <v>3732</v>
      </c>
      <c r="D4" s="9">
        <v>3294</v>
      </c>
      <c r="E4" s="9">
        <v>3022</v>
      </c>
      <c r="F4" s="9">
        <v>2786</v>
      </c>
      <c r="G4" s="9">
        <v>2766</v>
      </c>
      <c r="H4" s="27">
        <f t="shared" ref="H4:H67" si="0">(G4-F4)/F4</f>
        <v>-7.1787508973438618E-3</v>
      </c>
    </row>
    <row r="5" spans="1:35" s="9" customFormat="1" x14ac:dyDescent="0.2">
      <c r="A5" s="9" t="s">
        <v>4</v>
      </c>
      <c r="B5" s="9">
        <f t="shared" ref="B5" si="1">B3*B4</f>
        <v>200626.92</v>
      </c>
      <c r="C5" s="9">
        <f t="shared" ref="C5" si="2">C3*C4</f>
        <v>188913.84</v>
      </c>
      <c r="D5" s="9">
        <f t="shared" ref="D5" si="3">D3*D4</f>
        <v>177019.56</v>
      </c>
      <c r="E5" s="9">
        <f t="shared" ref="E5" si="4">E3*E4</f>
        <v>237891.84</v>
      </c>
      <c r="F5" s="9">
        <f t="shared" ref="F5" si="5">F3*F4</f>
        <v>200201.96</v>
      </c>
      <c r="G5" s="9">
        <f>G3*G4</f>
        <v>292670.46000000002</v>
      </c>
      <c r="H5" s="27">
        <f t="shared" si="0"/>
        <v>0.46187609751672776</v>
      </c>
      <c r="I5" s="9">
        <f t="shared" ref="I5:J5" si="6">I3*I4</f>
        <v>0</v>
      </c>
      <c r="J5" s="9">
        <f t="shared" si="6"/>
        <v>0</v>
      </c>
    </row>
    <row r="6" spans="1:35" s="9" customFormat="1" x14ac:dyDescent="0.2">
      <c r="A6" s="9" t="s">
        <v>5</v>
      </c>
      <c r="B6" s="9">
        <f t="shared" ref="B6" si="7">B37+B38</f>
        <v>67261</v>
      </c>
      <c r="C6" s="9">
        <f t="shared" ref="C6:D6" si="8">C37+C38</f>
        <v>37827</v>
      </c>
      <c r="D6" s="9">
        <f t="shared" si="8"/>
        <v>43057</v>
      </c>
      <c r="E6" s="9">
        <f t="shared" ref="E6" si="9">E37+E38</f>
        <v>46554</v>
      </c>
      <c r="F6" s="9">
        <f t="shared" ref="F6" si="10">F37+F38</f>
        <v>21902</v>
      </c>
      <c r="G6" s="9">
        <f>G37+G38</f>
        <v>10187</v>
      </c>
      <c r="H6" s="27">
        <f t="shared" si="0"/>
        <v>-0.53488265911788879</v>
      </c>
      <c r="I6" s="9">
        <f t="shared" ref="I6:J6" si="11">I37+I38</f>
        <v>0</v>
      </c>
      <c r="J6" s="9">
        <f t="shared" si="11"/>
        <v>0</v>
      </c>
    </row>
    <row r="7" spans="1:35" s="9" customFormat="1" x14ac:dyDescent="0.2">
      <c r="A7" s="9" t="s">
        <v>6</v>
      </c>
      <c r="B7" s="9">
        <f t="shared" ref="B7" si="12">B51+B57</f>
        <v>60619</v>
      </c>
      <c r="C7" s="9">
        <f t="shared" ref="C7:D7" si="13">C51+C57</f>
        <v>56167</v>
      </c>
      <c r="D7" s="9">
        <f t="shared" si="13"/>
        <v>71597</v>
      </c>
      <c r="E7" s="9">
        <f t="shared" ref="E7" si="14">E51+E57</f>
        <v>84245</v>
      </c>
      <c r="F7" s="9">
        <f t="shared" ref="F7" si="15">F51+F57</f>
        <v>75859</v>
      </c>
      <c r="G7" s="9">
        <f>G51+G57</f>
        <v>90481</v>
      </c>
      <c r="H7" s="27">
        <f t="shared" si="0"/>
        <v>0.19275234316297341</v>
      </c>
      <c r="I7" s="9">
        <f t="shared" ref="I7:J7" si="16">I51+I57</f>
        <v>0</v>
      </c>
      <c r="J7" s="9">
        <f t="shared" si="16"/>
        <v>0</v>
      </c>
    </row>
    <row r="8" spans="1:35" x14ac:dyDescent="0.2">
      <c r="A8" s="7"/>
      <c r="B8" s="7"/>
      <c r="C8" s="7"/>
      <c r="D8" s="7"/>
      <c r="E8" s="7"/>
      <c r="F8" s="7"/>
      <c r="G8" s="7"/>
      <c r="H8" s="2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</row>
    <row r="9" spans="1:35" x14ac:dyDescent="0.2">
      <c r="A9" s="6" t="s">
        <v>7</v>
      </c>
      <c r="B9" s="7"/>
      <c r="C9" s="7"/>
      <c r="D9" s="7"/>
      <c r="E9" s="7"/>
      <c r="F9" s="7"/>
      <c r="G9" s="7"/>
      <c r="H9" s="2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</row>
    <row r="10" spans="1:35" x14ac:dyDescent="0.2">
      <c r="A10" s="12" t="s">
        <v>8</v>
      </c>
      <c r="B10" s="7">
        <v>26222</v>
      </c>
      <c r="C10" s="7">
        <v>26707</v>
      </c>
      <c r="D10" s="7">
        <v>27392</v>
      </c>
      <c r="E10" s="7">
        <v>28700</v>
      </c>
      <c r="F10" s="7">
        <v>30174</v>
      </c>
      <c r="G10" s="7">
        <v>35307</v>
      </c>
      <c r="H10" s="27">
        <f t="shared" si="0"/>
        <v>0.1701133426128455</v>
      </c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</row>
    <row r="11" spans="1:35" x14ac:dyDescent="0.2">
      <c r="A11" s="12" t="s">
        <v>9</v>
      </c>
      <c r="B11" s="7">
        <v>5772</v>
      </c>
      <c r="C11" s="7">
        <v>5855</v>
      </c>
      <c r="D11" s="7">
        <v>5127</v>
      </c>
      <c r="E11" s="7">
        <v>5399</v>
      </c>
      <c r="F11" s="7">
        <v>5878</v>
      </c>
      <c r="G11" s="7">
        <v>5779</v>
      </c>
      <c r="H11" s="27">
        <f t="shared" si="0"/>
        <v>-1.6842463422932972E-2</v>
      </c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</row>
    <row r="12" spans="1:35" x14ac:dyDescent="0.2">
      <c r="A12" s="12" t="s">
        <v>10</v>
      </c>
      <c r="B12" s="7">
        <v>3994</v>
      </c>
      <c r="C12" s="7">
        <v>3704</v>
      </c>
      <c r="D12" s="7">
        <v>3443</v>
      </c>
      <c r="E12" s="7">
        <v>3359</v>
      </c>
      <c r="F12" s="7">
        <v>3183</v>
      </c>
      <c r="G12" s="7">
        <v>3274</v>
      </c>
      <c r="H12" s="27">
        <f t="shared" si="0"/>
        <v>2.8589381087024818E-2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</row>
    <row r="13" spans="1:35" x14ac:dyDescent="0.2">
      <c r="A13" s="12" t="s">
        <v>11</v>
      </c>
      <c r="B13" s="7">
        <v>3395</v>
      </c>
      <c r="C13" s="7">
        <v>3240</v>
      </c>
      <c r="D13" s="7">
        <v>3106</v>
      </c>
      <c r="E13" s="7">
        <v>3021</v>
      </c>
      <c r="F13" s="7">
        <v>3205</v>
      </c>
      <c r="G13" s="7">
        <v>5594</v>
      </c>
      <c r="H13" s="27">
        <f t="shared" si="0"/>
        <v>0.74539781591263654</v>
      </c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</row>
    <row r="14" spans="1:35" s="6" customFormat="1" x14ac:dyDescent="0.2">
      <c r="A14" s="13" t="s">
        <v>12</v>
      </c>
      <c r="B14" s="6">
        <f t="shared" ref="B14" si="17">SUM(B10:B13)</f>
        <v>39383</v>
      </c>
      <c r="C14" s="6">
        <f t="shared" ref="C14" si="18">SUM(C10:C13)</f>
        <v>39506</v>
      </c>
      <c r="D14" s="6">
        <f t="shared" ref="D14" si="19">SUM(D10:D13)</f>
        <v>39068</v>
      </c>
      <c r="E14" s="6">
        <f t="shared" ref="E14" si="20">SUM(E10:E13)</f>
        <v>40479</v>
      </c>
      <c r="F14" s="6">
        <f t="shared" ref="F14" si="21">SUM(F10:F13)</f>
        <v>42440</v>
      </c>
      <c r="G14" s="6">
        <f>SUM(G10:G13)</f>
        <v>49954</v>
      </c>
      <c r="H14" s="27">
        <f t="shared" si="0"/>
        <v>0.17704995287464656</v>
      </c>
      <c r="I14" s="6">
        <f t="shared" ref="I14:J14" si="22">SUM(I10:I13)</f>
        <v>0</v>
      </c>
      <c r="J14" s="6">
        <f t="shared" si="22"/>
        <v>0</v>
      </c>
    </row>
    <row r="15" spans="1:35" x14ac:dyDescent="0.2">
      <c r="A15" s="7"/>
      <c r="B15" s="7"/>
      <c r="C15" s="7"/>
      <c r="D15" s="7"/>
      <c r="E15" s="7"/>
      <c r="F15" s="7"/>
      <c r="G15" s="7"/>
      <c r="H15" s="2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</row>
    <row r="16" spans="1:35" x14ac:dyDescent="0.2">
      <c r="A16" s="6" t="s">
        <v>13</v>
      </c>
      <c r="B16" s="7"/>
      <c r="C16" s="7"/>
      <c r="D16" s="7"/>
      <c r="E16" s="7"/>
      <c r="F16" s="7"/>
      <c r="G16" s="7"/>
      <c r="H16" s="2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</row>
    <row r="17" spans="1:10" x14ac:dyDescent="0.2">
      <c r="A17" s="17" t="s">
        <v>8</v>
      </c>
      <c r="B17" s="9">
        <v>3606</v>
      </c>
      <c r="C17" s="4">
        <v>3782</v>
      </c>
      <c r="D17" s="4">
        <v>4006</v>
      </c>
      <c r="E17" s="4">
        <v>4353</v>
      </c>
      <c r="F17" s="4">
        <v>5213</v>
      </c>
      <c r="G17" s="4">
        <v>7763</v>
      </c>
      <c r="H17" s="27">
        <f t="shared" si="0"/>
        <v>0.48916171110684825</v>
      </c>
    </row>
    <row r="18" spans="1:10" x14ac:dyDescent="0.2">
      <c r="A18" s="17" t="s">
        <v>10</v>
      </c>
      <c r="B18" s="4">
        <v>1576</v>
      </c>
      <c r="C18" s="4">
        <v>1360</v>
      </c>
      <c r="D18" s="4">
        <v>1116</v>
      </c>
      <c r="E18" s="4">
        <v>972</v>
      </c>
      <c r="F18" s="4">
        <v>972</v>
      </c>
      <c r="G18" s="4">
        <v>1040</v>
      </c>
      <c r="H18" s="27">
        <f t="shared" si="0"/>
        <v>6.9958847736625515E-2</v>
      </c>
    </row>
    <row r="19" spans="1:10" x14ac:dyDescent="0.2">
      <c r="A19" s="17" t="s">
        <v>11</v>
      </c>
      <c r="B19" s="4">
        <v>2878</v>
      </c>
      <c r="C19" s="4">
        <v>2853</v>
      </c>
      <c r="D19" s="4">
        <v>2816</v>
      </c>
      <c r="E19" s="4">
        <v>2530</v>
      </c>
      <c r="F19" s="4">
        <v>2692</v>
      </c>
      <c r="G19" s="4">
        <v>4761</v>
      </c>
      <c r="H19" s="27">
        <f t="shared" si="0"/>
        <v>0.76857355126300153</v>
      </c>
    </row>
    <row r="20" spans="1:10" x14ac:dyDescent="0.2">
      <c r="A20" s="17" t="s">
        <v>14</v>
      </c>
      <c r="B20" s="4">
        <v>8433</v>
      </c>
      <c r="C20" s="4">
        <v>8509</v>
      </c>
      <c r="D20" s="4">
        <v>8094</v>
      </c>
      <c r="E20" s="4">
        <v>7682</v>
      </c>
      <c r="F20" s="4">
        <v>8047</v>
      </c>
      <c r="G20" s="4">
        <v>8833</v>
      </c>
      <c r="H20" s="27">
        <f t="shared" si="0"/>
        <v>9.7676152603454705E-2</v>
      </c>
    </row>
    <row r="21" spans="1:10" x14ac:dyDescent="0.2">
      <c r="A21" s="17" t="s">
        <v>15</v>
      </c>
      <c r="B21" s="4">
        <v>6084</v>
      </c>
      <c r="C21" s="4">
        <v>6026</v>
      </c>
      <c r="D21" s="4">
        <v>6067</v>
      </c>
      <c r="E21" s="4">
        <v>6527</v>
      </c>
      <c r="F21" s="4">
        <v>7219</v>
      </c>
      <c r="G21" s="4">
        <v>8623</v>
      </c>
      <c r="H21" s="27">
        <f t="shared" si="0"/>
        <v>0.19448677102091702</v>
      </c>
    </row>
    <row r="22" spans="1:10" x14ac:dyDescent="0.2">
      <c r="A22" s="17" t="s">
        <v>16</v>
      </c>
      <c r="B22" s="4">
        <v>1282</v>
      </c>
      <c r="C22" s="4">
        <v>1265</v>
      </c>
      <c r="D22" s="4">
        <v>1181</v>
      </c>
      <c r="E22" s="4">
        <v>1254</v>
      </c>
      <c r="F22" s="4">
        <v>1317</v>
      </c>
      <c r="G22" s="4">
        <v>1579</v>
      </c>
      <c r="H22" s="27">
        <f t="shared" si="0"/>
        <v>0.19893697798025817</v>
      </c>
    </row>
    <row r="23" spans="1:10" x14ac:dyDescent="0.2">
      <c r="A23" s="17" t="s">
        <v>17</v>
      </c>
      <c r="B23" s="4">
        <v>1620</v>
      </c>
      <c r="C23" s="4">
        <v>1689</v>
      </c>
      <c r="D23" s="4">
        <v>1586</v>
      </c>
      <c r="E23" s="4">
        <v>1379</v>
      </c>
      <c r="F23" s="4">
        <v>1150</v>
      </c>
      <c r="G23" s="4">
        <v>3582</v>
      </c>
      <c r="H23" s="27">
        <f t="shared" si="0"/>
        <v>2.114782608695652</v>
      </c>
    </row>
    <row r="24" spans="1:10" x14ac:dyDescent="0.2">
      <c r="A24" s="17" t="s">
        <v>18</v>
      </c>
      <c r="B24" s="4">
        <v>52</v>
      </c>
      <c r="C24" s="4">
        <v>44</v>
      </c>
      <c r="D24" s="4">
        <v>56</v>
      </c>
      <c r="E24" s="4">
        <v>138</v>
      </c>
      <c r="F24" s="4">
        <v>4713</v>
      </c>
      <c r="G24" s="4">
        <v>190</v>
      </c>
      <c r="H24" s="27">
        <f t="shared" si="0"/>
        <v>-0.95968597496286867</v>
      </c>
    </row>
    <row r="25" spans="1:10" x14ac:dyDescent="0.2">
      <c r="A25" s="17" t="s">
        <v>19</v>
      </c>
      <c r="B25" s="4">
        <v>588</v>
      </c>
      <c r="C25" s="4">
        <v>443</v>
      </c>
      <c r="D25" s="4">
        <v>250</v>
      </c>
      <c r="E25" s="4">
        <v>431</v>
      </c>
      <c r="F25" s="4">
        <v>191</v>
      </c>
      <c r="G25" s="4">
        <v>490</v>
      </c>
      <c r="H25" s="27">
        <f t="shared" si="0"/>
        <v>1.5654450261780104</v>
      </c>
    </row>
    <row r="26" spans="1:10" s="6" customFormat="1" x14ac:dyDescent="0.2">
      <c r="A26" s="18" t="s">
        <v>20</v>
      </c>
      <c r="B26" s="6">
        <f t="shared" ref="B26" si="23">SUM(B17:B25)</f>
        <v>26119</v>
      </c>
      <c r="C26" s="6">
        <f t="shared" ref="C26" si="24">SUM(C17:C25)</f>
        <v>25971</v>
      </c>
      <c r="D26" s="6">
        <f t="shared" ref="D26" si="25">SUM(D17:D25)</f>
        <v>25172</v>
      </c>
      <c r="E26" s="6">
        <f t="shared" ref="E26" si="26">SUM(E17:E25)</f>
        <v>25266</v>
      </c>
      <c r="F26" s="6">
        <f t="shared" ref="F26" si="27">SUM(F17:F25)</f>
        <v>31514</v>
      </c>
      <c r="G26" s="6">
        <f>SUM(G17:G25)</f>
        <v>36861</v>
      </c>
      <c r="H26" s="27">
        <f t="shared" si="0"/>
        <v>0.16967062258044044</v>
      </c>
      <c r="I26" s="6">
        <f t="shared" ref="I26:J26" si="28">SUM(I17:I25)</f>
        <v>0</v>
      </c>
      <c r="J26" s="6">
        <f t="shared" si="28"/>
        <v>0</v>
      </c>
    </row>
    <row r="27" spans="1:10" x14ac:dyDescent="0.2">
      <c r="H27" s="27"/>
    </row>
    <row r="28" spans="1:10" x14ac:dyDescent="0.2">
      <c r="A28" s="14" t="s">
        <v>21</v>
      </c>
      <c r="B28" s="4">
        <f t="shared" ref="B28:D28" si="29">B14-B26</f>
        <v>13264</v>
      </c>
      <c r="C28" s="4">
        <f t="shared" si="29"/>
        <v>13535</v>
      </c>
      <c r="D28" s="4">
        <f t="shared" si="29"/>
        <v>13896</v>
      </c>
      <c r="E28" s="4">
        <f t="shared" ref="E28:F28" si="30">E14-E26</f>
        <v>15213</v>
      </c>
      <c r="F28" s="4">
        <f t="shared" si="30"/>
        <v>10926</v>
      </c>
      <c r="G28" s="4">
        <f>G14-G26</f>
        <v>13093</v>
      </c>
      <c r="H28" s="27">
        <f t="shared" si="0"/>
        <v>0.19833424858136556</v>
      </c>
      <c r="I28" s="4">
        <f t="shared" ref="I28:J28" si="31">I14-I26</f>
        <v>0</v>
      </c>
      <c r="J28" s="4">
        <f t="shared" si="31"/>
        <v>0</v>
      </c>
    </row>
    <row r="29" spans="1:10" x14ac:dyDescent="0.2">
      <c r="A29" s="14" t="s">
        <v>22</v>
      </c>
      <c r="B29" s="4">
        <v>-2025</v>
      </c>
      <c r="C29" s="4">
        <v>-2082</v>
      </c>
      <c r="D29" s="4">
        <v>-1995</v>
      </c>
      <c r="E29" s="4">
        <v>-2496</v>
      </c>
      <c r="F29" s="4">
        <v>-2755</v>
      </c>
      <c r="G29" s="4">
        <v>-3505</v>
      </c>
      <c r="H29" s="27">
        <f t="shared" si="0"/>
        <v>0.27223230490018147</v>
      </c>
    </row>
    <row r="30" spans="1:10" x14ac:dyDescent="0.2">
      <c r="A30" s="14" t="s">
        <v>23</v>
      </c>
      <c r="B30" s="4">
        <v>1185</v>
      </c>
      <c r="C30" s="4">
        <v>815</v>
      </c>
      <c r="D30" s="4">
        <v>162</v>
      </c>
      <c r="E30" s="4">
        <v>282</v>
      </c>
      <c r="F30" s="4">
        <v>-522</v>
      </c>
      <c r="G30" s="4">
        <v>-462</v>
      </c>
      <c r="H30" s="27">
        <f t="shared" si="0"/>
        <v>-0.11494252873563218</v>
      </c>
    </row>
    <row r="31" spans="1:10" x14ac:dyDescent="0.2">
      <c r="A31" s="17" t="s">
        <v>24</v>
      </c>
      <c r="B31" s="4">
        <f t="shared" ref="B31" si="32">SUM(B28:B30)</f>
        <v>12424</v>
      </c>
      <c r="C31" s="4">
        <f t="shared" ref="C31" si="33">SUM(C28:C30)</f>
        <v>12268</v>
      </c>
      <c r="D31" s="4">
        <f t="shared" ref="D31" si="34">SUM(D28:D30)</f>
        <v>12063</v>
      </c>
      <c r="E31" s="4">
        <f t="shared" ref="E31" si="35">SUM(E28:E30)</f>
        <v>12999</v>
      </c>
      <c r="F31" s="4">
        <f t="shared" ref="F31" si="36">SUM(F28:F30)</f>
        <v>7649</v>
      </c>
      <c r="G31" s="4">
        <f>SUM(G28:G30)</f>
        <v>9126</v>
      </c>
      <c r="H31" s="27">
        <f t="shared" si="0"/>
        <v>0.19309713688063798</v>
      </c>
      <c r="I31" s="4">
        <f t="shared" ref="I31:J31" si="37">SUM(I28:I30)</f>
        <v>0</v>
      </c>
      <c r="J31" s="4">
        <f t="shared" si="37"/>
        <v>0</v>
      </c>
    </row>
    <row r="32" spans="1:10" x14ac:dyDescent="0.2">
      <c r="A32" s="17" t="s">
        <v>25</v>
      </c>
      <c r="B32" s="4">
        <v>-8837</v>
      </c>
      <c r="C32" s="4">
        <v>-1185</v>
      </c>
      <c r="D32" s="4">
        <v>-1928</v>
      </c>
      <c r="E32" s="4">
        <v>747</v>
      </c>
      <c r="F32" s="4">
        <v>-932</v>
      </c>
      <c r="G32" s="4">
        <v>-623</v>
      </c>
      <c r="H32" s="27">
        <f t="shared" si="0"/>
        <v>-0.33154506437768239</v>
      </c>
    </row>
    <row r="33" spans="1:10" s="6" customFormat="1" x14ac:dyDescent="0.2">
      <c r="A33" s="18" t="s">
        <v>26</v>
      </c>
      <c r="B33" s="6">
        <f t="shared" ref="B33" si="38">SUM(B31:B32)</f>
        <v>3587</v>
      </c>
      <c r="C33" s="6">
        <f t="shared" ref="C33" si="39">SUM(C31:C32)</f>
        <v>11083</v>
      </c>
      <c r="D33" s="6">
        <f t="shared" ref="D33" si="40">SUM(D31:D32)</f>
        <v>10135</v>
      </c>
      <c r="E33" s="6">
        <f t="shared" ref="E33" si="41">SUM(E31:E32)</f>
        <v>13746</v>
      </c>
      <c r="F33" s="6">
        <f t="shared" ref="F33" si="42">SUM(F31:F32)</f>
        <v>6717</v>
      </c>
      <c r="G33" s="6">
        <f>SUM(G31:G32)</f>
        <v>8503</v>
      </c>
      <c r="H33" s="27">
        <f t="shared" si="0"/>
        <v>0.26589251153788895</v>
      </c>
      <c r="I33" s="6">
        <f t="shared" ref="I33:J33" si="43">SUM(I31:I32)</f>
        <v>0</v>
      </c>
      <c r="J33" s="6">
        <f t="shared" si="43"/>
        <v>0</v>
      </c>
    </row>
    <row r="34" spans="1:10" x14ac:dyDescent="0.2">
      <c r="H34" s="27"/>
    </row>
    <row r="35" spans="1:10" x14ac:dyDescent="0.2">
      <c r="A35" s="15" t="s">
        <v>27</v>
      </c>
      <c r="H35" s="27"/>
    </row>
    <row r="36" spans="1:10" x14ac:dyDescent="0.2">
      <c r="A36" s="16" t="s">
        <v>28</v>
      </c>
      <c r="H36" s="27"/>
    </row>
    <row r="37" spans="1:10" x14ac:dyDescent="0.2">
      <c r="A37" s="19" t="s">
        <v>5</v>
      </c>
      <c r="B37" s="4">
        <v>21620</v>
      </c>
      <c r="C37" s="4">
        <v>20514</v>
      </c>
      <c r="D37" s="4">
        <v>37239</v>
      </c>
      <c r="E37" s="4">
        <v>30098</v>
      </c>
      <c r="F37" s="4">
        <v>21383</v>
      </c>
      <c r="G37" s="4">
        <v>9765</v>
      </c>
      <c r="H37" s="27">
        <f t="shared" si="0"/>
        <v>-0.54332881260814669</v>
      </c>
    </row>
    <row r="38" spans="1:10" x14ac:dyDescent="0.2">
      <c r="A38" s="19" t="s">
        <v>29</v>
      </c>
      <c r="B38" s="4">
        <v>45641</v>
      </c>
      <c r="C38" s="4">
        <v>17313</v>
      </c>
      <c r="D38" s="4">
        <v>5818</v>
      </c>
      <c r="E38" s="4">
        <v>16456</v>
      </c>
      <c r="F38" s="4">
        <v>519</v>
      </c>
      <c r="G38" s="4">
        <v>422</v>
      </c>
      <c r="H38" s="27">
        <f t="shared" si="0"/>
        <v>-0.18689788053949905</v>
      </c>
    </row>
    <row r="39" spans="1:10" x14ac:dyDescent="0.2">
      <c r="A39" s="19" t="s">
        <v>30</v>
      </c>
      <c r="B39" s="4">
        <v>5136</v>
      </c>
      <c r="C39" s="4">
        <v>5134</v>
      </c>
      <c r="D39" s="4">
        <v>5551</v>
      </c>
      <c r="E39" s="4">
        <v>5409</v>
      </c>
      <c r="F39" s="4">
        <v>5953</v>
      </c>
      <c r="G39" s="4">
        <v>6915</v>
      </c>
      <c r="H39" s="27">
        <f t="shared" si="0"/>
        <v>0.16159919368385689</v>
      </c>
    </row>
    <row r="40" spans="1:10" x14ac:dyDescent="0.2">
      <c r="A40" s="19" t="s">
        <v>31</v>
      </c>
      <c r="B40" s="4">
        <v>3762</v>
      </c>
      <c r="C40" s="4">
        <v>3425</v>
      </c>
      <c r="D40" s="4">
        <v>3532</v>
      </c>
      <c r="E40" s="4">
        <v>3604</v>
      </c>
      <c r="F40" s="4">
        <v>3778</v>
      </c>
      <c r="G40" s="4">
        <v>3902</v>
      </c>
      <c r="H40" s="27">
        <f t="shared" si="0"/>
        <v>3.2821598729486499E-2</v>
      </c>
    </row>
    <row r="41" spans="1:10" s="6" customFormat="1" x14ac:dyDescent="0.2">
      <c r="A41" s="20" t="s">
        <v>32</v>
      </c>
      <c r="B41" s="6">
        <f t="shared" ref="B41" si="44">SUM(B37:B40)</f>
        <v>76159</v>
      </c>
      <c r="C41" s="6">
        <f t="shared" ref="C41" si="45">SUM(C37:C40)</f>
        <v>46386</v>
      </c>
      <c r="D41" s="6">
        <f t="shared" ref="D41" si="46">SUM(D37:D40)</f>
        <v>52140</v>
      </c>
      <c r="E41" s="6">
        <f t="shared" ref="E41" si="47">SUM(E37:E40)</f>
        <v>55567</v>
      </c>
      <c r="F41" s="6">
        <f t="shared" ref="F41" si="48">SUM(F37:F40)</f>
        <v>31633</v>
      </c>
      <c r="G41" s="6">
        <f>SUM(G37:G40)</f>
        <v>21004</v>
      </c>
      <c r="H41" s="27">
        <f t="shared" si="0"/>
        <v>-0.33600986311763031</v>
      </c>
      <c r="I41" s="6">
        <f t="shared" ref="I41:J41" si="49">SUM(I37:I40)</f>
        <v>0</v>
      </c>
      <c r="J41" s="6">
        <f t="shared" si="49"/>
        <v>0</v>
      </c>
    </row>
    <row r="42" spans="1:10" x14ac:dyDescent="0.2">
      <c r="A42" s="17" t="s">
        <v>33</v>
      </c>
      <c r="B42" s="4">
        <v>5897</v>
      </c>
      <c r="C42" s="4">
        <v>6252</v>
      </c>
      <c r="D42" s="4">
        <v>6244</v>
      </c>
      <c r="E42" s="4">
        <v>7049</v>
      </c>
      <c r="F42" s="4">
        <v>9716</v>
      </c>
      <c r="G42" s="4">
        <v>17069</v>
      </c>
      <c r="H42" s="27">
        <f t="shared" si="0"/>
        <v>0.75679291889666533</v>
      </c>
    </row>
    <row r="43" spans="1:10" x14ac:dyDescent="0.2">
      <c r="A43" s="17" t="s">
        <v>34</v>
      </c>
      <c r="B43" s="4">
        <v>6670</v>
      </c>
      <c r="C43" s="4">
        <v>5279</v>
      </c>
      <c r="D43" s="4">
        <v>3738</v>
      </c>
      <c r="E43" s="4">
        <v>2430</v>
      </c>
      <c r="F43" s="4">
        <v>1440</v>
      </c>
      <c r="G43" s="4">
        <v>9837</v>
      </c>
      <c r="H43" s="27">
        <f t="shared" si="0"/>
        <v>5.8312499999999998</v>
      </c>
    </row>
    <row r="44" spans="1:10" x14ac:dyDescent="0.2">
      <c r="A44" s="17" t="s">
        <v>35</v>
      </c>
      <c r="B44" s="4">
        <v>43755</v>
      </c>
      <c r="C44" s="4">
        <v>43779</v>
      </c>
      <c r="D44" s="4">
        <v>43769</v>
      </c>
      <c r="E44" s="4">
        <v>43935</v>
      </c>
      <c r="F44" s="4">
        <v>43811</v>
      </c>
      <c r="G44" s="4">
        <v>62261</v>
      </c>
      <c r="H44" s="27">
        <f t="shared" si="0"/>
        <v>0.42112711419506516</v>
      </c>
    </row>
    <row r="45" spans="1:10" x14ac:dyDescent="0.2">
      <c r="A45" s="17" t="s">
        <v>36</v>
      </c>
      <c r="B45" s="4">
        <v>1395</v>
      </c>
      <c r="C45" s="4">
        <v>2696</v>
      </c>
      <c r="D45" s="4">
        <v>3252</v>
      </c>
      <c r="E45" s="4">
        <v>13636</v>
      </c>
      <c r="F45" s="4">
        <v>12782</v>
      </c>
      <c r="G45" s="4">
        <v>12226</v>
      </c>
      <c r="H45" s="27">
        <f t="shared" si="0"/>
        <v>-4.3498670004694102E-2</v>
      </c>
    </row>
    <row r="46" spans="1:10" x14ac:dyDescent="0.2">
      <c r="A46" s="17" t="s">
        <v>37</v>
      </c>
      <c r="B46" s="4">
        <v>3975</v>
      </c>
      <c r="C46" s="4">
        <v>4317</v>
      </c>
      <c r="D46" s="4">
        <v>6295</v>
      </c>
      <c r="E46" s="4">
        <v>8490</v>
      </c>
      <c r="F46" s="4">
        <v>9915</v>
      </c>
      <c r="G46" s="4">
        <v>11987</v>
      </c>
      <c r="H46" s="27">
        <f t="shared" si="0"/>
        <v>0.20897629853756933</v>
      </c>
    </row>
    <row r="47" spans="1:10" s="6" customFormat="1" x14ac:dyDescent="0.2">
      <c r="A47" s="20" t="s">
        <v>38</v>
      </c>
      <c r="B47" s="6">
        <f t="shared" ref="B47" si="50">SUM(B41:B46)</f>
        <v>137851</v>
      </c>
      <c r="C47" s="6">
        <f t="shared" ref="C47" si="51">SUM(C41:C46)</f>
        <v>108709</v>
      </c>
      <c r="D47" s="6">
        <f t="shared" ref="D47" si="52">SUM(D41:D46)</f>
        <v>115438</v>
      </c>
      <c r="E47" s="6">
        <f t="shared" ref="E47" si="53">SUM(E41:E46)</f>
        <v>131107</v>
      </c>
      <c r="F47" s="6">
        <f t="shared" ref="F47" si="54">SUM(F41:F46)</f>
        <v>109297</v>
      </c>
      <c r="G47" s="6">
        <f>SUM(G41:G46)</f>
        <v>134384</v>
      </c>
      <c r="H47" s="27">
        <f t="shared" si="0"/>
        <v>0.22953054521167096</v>
      </c>
      <c r="I47" s="6">
        <f t="shared" ref="I47:J47" si="55">SUM(I41:I46)</f>
        <v>0</v>
      </c>
      <c r="J47" s="6">
        <f t="shared" si="55"/>
        <v>0</v>
      </c>
    </row>
    <row r="48" spans="1:10" x14ac:dyDescent="0.2">
      <c r="H48" s="27"/>
    </row>
    <row r="49" spans="1:10" x14ac:dyDescent="0.2">
      <c r="A49" s="15" t="s">
        <v>39</v>
      </c>
      <c r="H49" s="27"/>
    </row>
    <row r="50" spans="1:10" x14ac:dyDescent="0.2">
      <c r="A50" s="16" t="s">
        <v>40</v>
      </c>
      <c r="H50" s="27"/>
    </row>
    <row r="51" spans="1:10" x14ac:dyDescent="0.2">
      <c r="A51" s="19" t="s">
        <v>41</v>
      </c>
      <c r="B51" s="4">
        <v>4491</v>
      </c>
      <c r="C51" s="4">
        <v>4494</v>
      </c>
      <c r="D51" s="4">
        <v>2371</v>
      </c>
      <c r="E51" s="4">
        <v>8250</v>
      </c>
      <c r="F51" s="4">
        <v>3749</v>
      </c>
      <c r="G51" s="4">
        <v>4061</v>
      </c>
      <c r="H51" s="27">
        <f t="shared" si="0"/>
        <v>8.3222192584689256E-2</v>
      </c>
    </row>
    <row r="52" spans="1:10" x14ac:dyDescent="0.2">
      <c r="A52" s="19" t="s">
        <v>42</v>
      </c>
      <c r="B52" s="4">
        <v>529</v>
      </c>
      <c r="C52" s="4">
        <v>580</v>
      </c>
      <c r="D52" s="4">
        <v>637</v>
      </c>
      <c r="E52" s="4">
        <v>745</v>
      </c>
      <c r="F52" s="4">
        <v>1317</v>
      </c>
      <c r="G52" s="4">
        <v>1204</v>
      </c>
      <c r="H52" s="27">
        <f t="shared" si="0"/>
        <v>-8.5801063022019744E-2</v>
      </c>
    </row>
    <row r="53" spans="1:10" x14ac:dyDescent="0.2">
      <c r="A53" s="19" t="s">
        <v>43</v>
      </c>
      <c r="B53" s="4">
        <v>1806</v>
      </c>
      <c r="C53" s="4">
        <v>1628</v>
      </c>
      <c r="D53" s="4">
        <v>1453</v>
      </c>
      <c r="E53" s="4">
        <v>2017</v>
      </c>
      <c r="F53" s="4">
        <v>1944</v>
      </c>
      <c r="G53" s="4">
        <v>2053</v>
      </c>
      <c r="H53" s="27">
        <f t="shared" si="0"/>
        <v>5.6069958847736627E-2</v>
      </c>
    </row>
    <row r="54" spans="1:10" x14ac:dyDescent="0.2">
      <c r="A54" s="19" t="s">
        <v>44</v>
      </c>
      <c r="B54" s="4">
        <v>8341</v>
      </c>
      <c r="C54" s="4">
        <v>8374</v>
      </c>
      <c r="D54" s="4">
        <v>8002</v>
      </c>
      <c r="E54" s="4">
        <v>8775</v>
      </c>
      <c r="F54" s="4">
        <v>8357</v>
      </c>
      <c r="G54" s="4">
        <v>8970</v>
      </c>
      <c r="H54" s="27">
        <f t="shared" si="0"/>
        <v>7.3351681225320098E-2</v>
      </c>
    </row>
    <row r="55" spans="1:10" x14ac:dyDescent="0.2">
      <c r="A55" s="19" t="s">
        <v>37</v>
      </c>
      <c r="B55" s="4">
        <v>3957</v>
      </c>
      <c r="C55" s="4">
        <v>3554</v>
      </c>
      <c r="D55" s="4">
        <v>4737</v>
      </c>
      <c r="E55" s="4">
        <v>4377</v>
      </c>
      <c r="F55" s="4">
        <v>4144</v>
      </c>
      <c r="G55" s="4">
        <v>6802</v>
      </c>
      <c r="H55" s="27">
        <f t="shared" si="0"/>
        <v>0.64140926640926643</v>
      </c>
    </row>
    <row r="56" spans="1:10" s="6" customFormat="1" x14ac:dyDescent="0.2">
      <c r="A56" s="20" t="s">
        <v>45</v>
      </c>
      <c r="B56" s="6">
        <f t="shared" ref="B56" si="56">SUM(B51:B55)</f>
        <v>19124</v>
      </c>
      <c r="C56" s="6">
        <f t="shared" ref="C56" si="57">SUM(C51:C55)</f>
        <v>18630</v>
      </c>
      <c r="D56" s="6">
        <f t="shared" ref="D56" si="58">SUM(D51:D55)</f>
        <v>17200</v>
      </c>
      <c r="E56" s="6">
        <f t="shared" ref="E56:F56" si="59">SUM(E51:E55)</f>
        <v>24164</v>
      </c>
      <c r="F56" s="6">
        <f t="shared" si="59"/>
        <v>19511</v>
      </c>
      <c r="G56" s="6">
        <f>SUM(G51:G55)</f>
        <v>23090</v>
      </c>
      <c r="H56" s="27">
        <f t="shared" si="0"/>
        <v>0.1834349853928553</v>
      </c>
      <c r="I56" s="6">
        <f t="shared" ref="I56:J56" si="60">SUM(I51:I55)</f>
        <v>0</v>
      </c>
      <c r="J56" s="6">
        <f t="shared" si="60"/>
        <v>0</v>
      </c>
    </row>
    <row r="57" spans="1:10" x14ac:dyDescent="0.2">
      <c r="A57" s="17" t="s">
        <v>41</v>
      </c>
      <c r="B57" s="4">
        <v>56128</v>
      </c>
      <c r="C57" s="4">
        <v>51673</v>
      </c>
      <c r="D57" s="4">
        <v>69226</v>
      </c>
      <c r="E57" s="4">
        <v>75995</v>
      </c>
      <c r="F57" s="4">
        <v>72110</v>
      </c>
      <c r="G57" s="4">
        <v>86420</v>
      </c>
      <c r="H57" s="27">
        <f t="shared" si="0"/>
        <v>0.19844681736236305</v>
      </c>
    </row>
    <row r="58" spans="1:10" x14ac:dyDescent="0.2">
      <c r="A58" s="17" t="s">
        <v>46</v>
      </c>
      <c r="B58" s="4">
        <v>13429</v>
      </c>
      <c r="C58" s="4">
        <v>13295</v>
      </c>
      <c r="D58" s="4">
        <v>12463</v>
      </c>
      <c r="E58" s="4">
        <v>12345</v>
      </c>
      <c r="F58" s="4">
        <v>12210</v>
      </c>
      <c r="G58" s="4">
        <v>11077</v>
      </c>
      <c r="H58" s="27">
        <f t="shared" si="0"/>
        <v>-9.2792792792792789E-2</v>
      </c>
    </row>
    <row r="59" spans="1:10" x14ac:dyDescent="0.2">
      <c r="A59" s="17" t="s">
        <v>47</v>
      </c>
      <c r="B59" s="4">
        <v>0</v>
      </c>
      <c r="C59" s="4">
        <v>0</v>
      </c>
      <c r="D59" s="4">
        <v>41</v>
      </c>
      <c r="E59" s="4">
        <v>7864</v>
      </c>
      <c r="F59" s="4">
        <v>6031</v>
      </c>
      <c r="G59" s="4">
        <v>5772</v>
      </c>
      <c r="H59" s="27">
        <f t="shared" si="0"/>
        <v>-4.2944785276073622E-2</v>
      </c>
    </row>
    <row r="60" spans="1:10" x14ac:dyDescent="0.2">
      <c r="A60" s="17" t="s">
        <v>37</v>
      </c>
      <c r="B60" s="4">
        <v>2297</v>
      </c>
      <c r="C60" s="4">
        <v>2748</v>
      </c>
      <c r="D60" s="4">
        <v>3791</v>
      </c>
      <c r="E60" s="4">
        <v>4787</v>
      </c>
      <c r="F60" s="4">
        <v>5203</v>
      </c>
      <c r="G60" s="4">
        <v>6469</v>
      </c>
      <c r="H60" s="27">
        <f t="shared" si="0"/>
        <v>0.24332116086872957</v>
      </c>
    </row>
    <row r="61" spans="1:10" s="6" customFormat="1" x14ac:dyDescent="0.2">
      <c r="A61" s="20" t="s">
        <v>48</v>
      </c>
      <c r="B61" s="6">
        <f t="shared" ref="B61" si="61">SUM(B56:B60)</f>
        <v>90978</v>
      </c>
      <c r="C61" s="6">
        <f t="shared" ref="C61" si="62">SUM(C56:C60)</f>
        <v>86346</v>
      </c>
      <c r="D61" s="6">
        <f t="shared" ref="D61" si="63">SUM(D56:D60)</f>
        <v>102721</v>
      </c>
      <c r="E61" s="6">
        <f t="shared" ref="E61" si="64">SUM(E56:E60)</f>
        <v>125155</v>
      </c>
      <c r="F61" s="6">
        <f t="shared" ref="F61" si="65">SUM(F56:F60)</f>
        <v>115065</v>
      </c>
      <c r="G61" s="6">
        <f>SUM(G56:G60)</f>
        <v>132828</v>
      </c>
      <c r="H61" s="27">
        <f t="shared" si="0"/>
        <v>0.15437361491330986</v>
      </c>
      <c r="I61" s="6">
        <f t="shared" ref="I61:J61" si="66">SUM(I56:I60)</f>
        <v>0</v>
      </c>
      <c r="J61" s="6">
        <f t="shared" si="66"/>
        <v>0</v>
      </c>
    </row>
    <row r="62" spans="1:10" x14ac:dyDescent="0.2">
      <c r="H62" s="27"/>
    </row>
    <row r="63" spans="1:10" x14ac:dyDescent="0.2">
      <c r="A63" s="14" t="s">
        <v>49</v>
      </c>
      <c r="B63" s="4">
        <f t="shared" ref="B63" si="67">B47-B61</f>
        <v>46873</v>
      </c>
      <c r="C63" s="4">
        <f t="shared" ref="C63:D63" si="68">C47-C61</f>
        <v>22363</v>
      </c>
      <c r="D63" s="4">
        <f t="shared" si="68"/>
        <v>12717</v>
      </c>
      <c r="E63" s="4">
        <f t="shared" ref="E63" si="69">E47-E61</f>
        <v>5952</v>
      </c>
      <c r="F63" s="4">
        <f t="shared" ref="F63" si="70">F47-F61</f>
        <v>-5768</v>
      </c>
      <c r="G63" s="4">
        <f>G47-G61</f>
        <v>1556</v>
      </c>
      <c r="H63" s="27">
        <f t="shared" si="0"/>
        <v>-1.2697642163661582</v>
      </c>
      <c r="I63" s="4">
        <f t="shared" ref="I63:J63" si="71">I47-I61</f>
        <v>0</v>
      </c>
      <c r="J63" s="4">
        <f t="shared" si="71"/>
        <v>0</v>
      </c>
    </row>
    <row r="64" spans="1:10" x14ac:dyDescent="0.2">
      <c r="A64" s="14" t="s">
        <v>50</v>
      </c>
      <c r="B64" s="4">
        <f t="shared" ref="B64" si="72">B5-B6+B7</f>
        <v>193984.92</v>
      </c>
      <c r="C64" s="4">
        <f t="shared" ref="C64:D64" si="73">C5-C6+C7</f>
        <v>207253.84</v>
      </c>
      <c r="D64" s="4">
        <f t="shared" si="73"/>
        <v>205559.56</v>
      </c>
      <c r="E64" s="4">
        <f t="shared" ref="E64" si="74">E5-E6+E7</f>
        <v>275582.83999999997</v>
      </c>
      <c r="F64" s="4">
        <f t="shared" ref="F64" si="75">F5-F6+F7</f>
        <v>254158.96</v>
      </c>
      <c r="G64" s="4">
        <f>G5-G6+G7</f>
        <v>372964.46</v>
      </c>
      <c r="H64" s="27">
        <f t="shared" si="0"/>
        <v>0.46744564897495661</v>
      </c>
      <c r="I64" s="4">
        <f t="shared" ref="I64:J64" si="76">I5-I6+I7</f>
        <v>0</v>
      </c>
      <c r="J64" s="4">
        <f t="shared" si="76"/>
        <v>0</v>
      </c>
    </row>
    <row r="65" spans="1:10" x14ac:dyDescent="0.2">
      <c r="A65" s="14" t="s">
        <v>51</v>
      </c>
      <c r="B65" s="21">
        <f t="shared" ref="B65" si="77">B33/B4</f>
        <v>0.84638980651250595</v>
      </c>
      <c r="C65" s="21">
        <f t="shared" ref="C65:D65" si="78">C33/C4</f>
        <v>2.969721329046088</v>
      </c>
      <c r="D65" s="21">
        <f t="shared" si="78"/>
        <v>3.0768063145112325</v>
      </c>
      <c r="E65" s="21">
        <f t="shared" ref="E65" si="79">E33/E4</f>
        <v>4.5486432825943082</v>
      </c>
      <c r="F65" s="21">
        <f t="shared" ref="F65" si="80">F33/F4</f>
        <v>2.4109834888729362</v>
      </c>
      <c r="G65" s="21">
        <f>G33/G4</f>
        <v>3.0741142443962399</v>
      </c>
      <c r="H65" s="27">
        <f t="shared" si="0"/>
        <v>0.27504574734076581</v>
      </c>
      <c r="I65" s="21" t="e">
        <f t="shared" ref="I65:J65" si="81">I33/I4</f>
        <v>#DIV/0!</v>
      </c>
      <c r="J65" s="21" t="e">
        <f t="shared" si="81"/>
        <v>#DIV/0!</v>
      </c>
    </row>
    <row r="66" spans="1:10" x14ac:dyDescent="0.2">
      <c r="A66" s="14" t="s">
        <v>52</v>
      </c>
      <c r="B66" s="23">
        <f t="shared" ref="B66" si="82">B3/B65</f>
        <v>55.931675494842487</v>
      </c>
      <c r="C66" s="23">
        <f t="shared" ref="C66" si="83">C3/C65</f>
        <v>17.045370387079309</v>
      </c>
      <c r="D66" s="23">
        <f t="shared" ref="D66" si="84">D3/D65</f>
        <v>17.466162802170697</v>
      </c>
      <c r="E66" s="23">
        <f t="shared" ref="E66" si="85">E3/E65</f>
        <v>17.306259275425578</v>
      </c>
      <c r="F66" s="23">
        <f t="shared" ref="F66" si="86">F3/F65</f>
        <v>29.805264254875688</v>
      </c>
      <c r="G66" s="23">
        <f>G3/G65</f>
        <v>34.419670704457253</v>
      </c>
      <c r="H66" s="27">
        <f t="shared" si="0"/>
        <v>0.15481850488296606</v>
      </c>
      <c r="I66" s="23" t="e">
        <f t="shared" ref="I66:J66" si="87">I3/I65</f>
        <v>#DIV/0!</v>
      </c>
      <c r="J66" s="23" t="e">
        <f t="shared" si="87"/>
        <v>#DIV/0!</v>
      </c>
    </row>
    <row r="67" spans="1:10" x14ac:dyDescent="0.2">
      <c r="A67" s="14" t="s">
        <v>53</v>
      </c>
      <c r="B67" s="24">
        <f t="shared" ref="B67" si="88">B28/B14</f>
        <v>0.33679506386004116</v>
      </c>
      <c r="C67" s="24">
        <f t="shared" ref="C67:D67" si="89">C28/C14</f>
        <v>0.34260618640206553</v>
      </c>
      <c r="D67" s="24">
        <f t="shared" si="89"/>
        <v>0.35568751919729702</v>
      </c>
      <c r="E67" s="24">
        <f t="shared" ref="E67" si="90">E28/E14</f>
        <v>0.37582450159341879</v>
      </c>
      <c r="F67" s="24">
        <f t="shared" ref="F67" si="91">F28/F14</f>
        <v>0.25744580584354382</v>
      </c>
      <c r="G67" s="24">
        <f>G28/G14</f>
        <v>0.26210113304239901</v>
      </c>
      <c r="H67" s="27">
        <f t="shared" si="0"/>
        <v>1.8082746322479824E-2</v>
      </c>
      <c r="I67" s="24" t="e">
        <f t="shared" ref="I67:J67" si="92">I28/I14</f>
        <v>#DIV/0!</v>
      </c>
      <c r="J67" s="24" t="e">
        <f t="shared" si="92"/>
        <v>#DIV/0!</v>
      </c>
    </row>
    <row r="68" spans="1:10" x14ac:dyDescent="0.2">
      <c r="A68" s="14" t="s">
        <v>54</v>
      </c>
      <c r="B68" s="24">
        <f t="shared" ref="B68" si="93">B33/B14</f>
        <v>9.107990757433411E-2</v>
      </c>
      <c r="C68" s="24">
        <f t="shared" ref="C68:D68" si="94">C33/C14</f>
        <v>0.28053966486103377</v>
      </c>
      <c r="D68" s="24">
        <f t="shared" si="94"/>
        <v>0.25941947373809765</v>
      </c>
      <c r="E68" s="24">
        <f t="shared" ref="E68" si="95">E33/E14</f>
        <v>0.3395834877343808</v>
      </c>
      <c r="F68" s="24">
        <f t="shared" ref="F68" si="96">F33/F14</f>
        <v>0.15827049952874647</v>
      </c>
      <c r="G68" s="24">
        <f>G33/G14</f>
        <v>0.17021659927132962</v>
      </c>
      <c r="H68" s="27">
        <f t="shared" ref="H68:H71" si="97">(G68-F68)/F68</f>
        <v>7.5479004477479364E-2</v>
      </c>
      <c r="I68" s="24" t="e">
        <f t="shared" ref="I68:J68" si="98">I33/I14</f>
        <v>#DIV/0!</v>
      </c>
      <c r="J68" s="24" t="e">
        <f t="shared" si="98"/>
        <v>#DIV/0!</v>
      </c>
    </row>
    <row r="69" spans="1:10" x14ac:dyDescent="0.2">
      <c r="A69" s="14" t="s">
        <v>57</v>
      </c>
      <c r="B69" s="24">
        <f t="shared" ref="B69" si="99">B33/B63</f>
        <v>7.6525931773088987E-2</v>
      </c>
      <c r="C69" s="24">
        <f t="shared" ref="C69:D69" si="100">C33/C63</f>
        <v>0.49559540312122702</v>
      </c>
      <c r="D69" s="24">
        <f t="shared" si="100"/>
        <v>0.7969646929307227</v>
      </c>
      <c r="E69" s="24">
        <f t="shared" ref="E69" si="101">E33/E63</f>
        <v>2.309475806451613</v>
      </c>
      <c r="F69" s="24">
        <f t="shared" ref="F69" si="102">F33/F63</f>
        <v>-1.1645284327323162</v>
      </c>
      <c r="G69" s="24">
        <f>G33/G63</f>
        <v>5.4646529562982007</v>
      </c>
      <c r="H69" s="27">
        <f t="shared" si="97"/>
        <v>-5.6925886931558765</v>
      </c>
      <c r="I69" s="24" t="e">
        <f t="shared" ref="I69:J69" si="103">I33/I63</f>
        <v>#DIV/0!</v>
      </c>
      <c r="J69" s="24" t="e">
        <f t="shared" si="103"/>
        <v>#DIV/0!</v>
      </c>
    </row>
    <row r="70" spans="1:10" x14ac:dyDescent="0.2">
      <c r="A70" s="22" t="s">
        <v>55</v>
      </c>
      <c r="B70" s="26">
        <f t="shared" ref="B70" si="104">B14/B5</f>
        <v>0.19629967902612469</v>
      </c>
      <c r="C70" s="26">
        <f t="shared" ref="C70:D70" si="105">C14/C5</f>
        <v>0.20912178800663839</v>
      </c>
      <c r="D70" s="26">
        <f t="shared" si="105"/>
        <v>0.22069877475686867</v>
      </c>
      <c r="E70" s="26">
        <f t="shared" ref="E70" si="106">E14/E5</f>
        <v>0.17015716049781279</v>
      </c>
      <c r="F70" s="26">
        <f t="shared" ref="F70" si="107">F14/F5</f>
        <v>0.21198593660122009</v>
      </c>
      <c r="G70" s="26">
        <f>G14/G5</f>
        <v>0.17068343692766258</v>
      </c>
      <c r="H70" s="28">
        <f t="shared" si="97"/>
        <v>-0.19483603646431605</v>
      </c>
      <c r="I70" s="26" t="e">
        <f t="shared" ref="I70:J70" si="108">I14/I5</f>
        <v>#DIV/0!</v>
      </c>
      <c r="J70" s="26" t="e">
        <f t="shared" si="108"/>
        <v>#DIV/0!</v>
      </c>
    </row>
    <row r="71" spans="1:10" x14ac:dyDescent="0.2">
      <c r="A71" s="14" t="s">
        <v>56</v>
      </c>
      <c r="B71" s="25">
        <f t="shared" ref="B71" si="109">B41/B56</f>
        <v>3.9823781635641078</v>
      </c>
      <c r="C71" s="25">
        <f t="shared" ref="C71:D71" si="110">C41/C56</f>
        <v>2.4898550724637682</v>
      </c>
      <c r="D71" s="25">
        <f t="shared" si="110"/>
        <v>3.0313953488372092</v>
      </c>
      <c r="E71" s="25">
        <f t="shared" ref="E71" si="111">E41/E56</f>
        <v>2.299577884456216</v>
      </c>
      <c r="F71" s="25">
        <f t="shared" ref="F71" si="112">F41/F56</f>
        <v>1.6212905540464353</v>
      </c>
      <c r="G71" s="25">
        <f>G41/G56</f>
        <v>0.90965786054569076</v>
      </c>
      <c r="H71" s="27">
        <f t="shared" si="97"/>
        <v>-0.43892977216492357</v>
      </c>
      <c r="I71" s="25" t="e">
        <f t="shared" ref="I71:J71" si="113">I41/I56</f>
        <v>#DIV/0!</v>
      </c>
      <c r="J71" s="25" t="e">
        <f t="shared" si="113"/>
        <v>#DIV/0!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6567613-e428-4167-ab55-a4f66cede82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600919C5D1CD245AE9967B74E8175F3" ma:contentTypeVersion="5" ma:contentTypeDescription="Create a new document." ma:contentTypeScope="" ma:versionID="261b12fca7bc9c5c5c2d0436e15db421">
  <xsd:schema xmlns:xsd="http://www.w3.org/2001/XMLSchema" xmlns:xs="http://www.w3.org/2001/XMLSchema" xmlns:p="http://schemas.microsoft.com/office/2006/metadata/properties" xmlns:ns3="36567613-e428-4167-ab55-a4f66cede826" targetNamespace="http://schemas.microsoft.com/office/2006/metadata/properties" ma:root="true" ma:fieldsID="bbca712fc0d44d4f9b946949b284e53f" ns3:_="">
    <xsd:import namespace="36567613-e428-4167-ab55-a4f66cede82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6567613-e428-4167-ab55-a4f66cede82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B4B395-A628-4AF2-9AB1-05807B2F72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2AF3359-AA7B-4C3F-BB32-4122371AAA35}">
  <ds:schemaRefs>
    <ds:schemaRef ds:uri="36567613-e428-4167-ab55-a4f66cede826"/>
    <ds:schemaRef ds:uri="http://schemas.microsoft.com/office/2006/metadata/properties"/>
    <ds:schemaRef ds:uri="http://purl.org/dc/dcmitype/"/>
    <ds:schemaRef ds:uri="http://purl.org/dc/terms/"/>
    <ds:schemaRef ds:uri="http://www.w3.org/XML/1998/namespace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A4CB6205-F734-4599-ABFE-7B37A59CA5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6567613-e428-4167-ab55-a4f66cede82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Abraham Gonzalez Herrera</dc:creator>
  <cp:keywords/>
  <dc:description/>
  <cp:lastModifiedBy>Abraham Gonzalez Herrera</cp:lastModifiedBy>
  <cp:revision/>
  <dcterms:created xsi:type="dcterms:W3CDTF">2023-02-21T16:55:27Z</dcterms:created>
  <dcterms:modified xsi:type="dcterms:W3CDTF">2024-02-17T18:13:49Z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0x0101004600919C5D1CD245AE9967B74E8175F3</vt:lpwstr>
  </property>
</Properties>
</file>