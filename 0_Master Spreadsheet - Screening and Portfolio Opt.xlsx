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braham\Downloads\"/>
    </mc:Choice>
  </mc:AlternateContent>
  <xr:revisionPtr revIDLastSave="0" documentId="8_{35C3F241-785D-4C11-BAEC-76BC5DC12600}" xr6:coauthVersionLast="47" xr6:coauthVersionMax="47" xr10:uidLastSave="{00000000-0000-0000-0000-000000000000}"/>
  <bookViews>
    <workbookView xWindow="-120" yWindow="-120" windowWidth="29040" windowHeight="15720" tabRatio="736" activeTab="1" xr2:uid="{17FD80D5-4109-42BE-A342-6C6E7635A6EF}"/>
  </bookViews>
  <sheets>
    <sheet name="Raw Data, Screening" sheetId="7" r:id="rId1"/>
    <sheet name="Dashboard, Screening" sheetId="8" r:id="rId2"/>
    <sheet name="Optimization" sheetId="4" r:id="rId3"/>
    <sheet name="Data &amp; Analysis" sheetId="6" r:id="rId4"/>
    <sheet name="Notes" sheetId="5"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xlnm._FilterDatabase" localSheetId="3" hidden="1">'Data &amp; Analysis'!#REF!</definedName>
    <definedName name="_xlchart.v1.0" hidden="1">Optimization!$C$55:$C$64</definedName>
    <definedName name="_xlchart.v1.1" hidden="1">Optimization!$D$55:$D$64</definedName>
    <definedName name="AXPMKT">#REF!</definedName>
    <definedName name="backuptotal">#REF!</definedName>
    <definedName name="BACMKT">#REF!</definedName>
    <definedName name="DGMKT">#REF!</definedName>
    <definedName name="DIAMKT">#REF!</definedName>
    <definedName name="FTNTMKT">#REF!</definedName>
    <definedName name="GOOGLMKT">#REF!</definedName>
    <definedName name="GSMKT">#REF!</definedName>
    <definedName name="KVUEMKT">#REF!</definedName>
    <definedName name="LTCMKT">#REF!</definedName>
    <definedName name="OMKT">#REF!</definedName>
    <definedName name="PAYCMKT">#REF!</definedName>
    <definedName name="PMKTVALUE">#REF!</definedName>
    <definedName name="QCOMMKT">#REF!</definedName>
    <definedName name="solver_adj" localSheetId="2" hidden="1">Optimization!$U$35:$U$54</definedName>
    <definedName name="solver_cvg" localSheetId="2" hidden="1">0.0001</definedName>
    <definedName name="solver_drv" localSheetId="2" hidden="1">1</definedName>
    <definedName name="solver_eng" localSheetId="2" hidden="1">1</definedName>
    <definedName name="solver_est" localSheetId="2" hidden="1">1</definedName>
    <definedName name="solver_itr" localSheetId="2" hidden="1">2147483647</definedName>
    <definedName name="solver_lhs1" localSheetId="2" hidden="1">Optimization!$U$35:$U$54</definedName>
    <definedName name="solver_lhs10" localSheetId="2" hidden="1">Optimization!$T$55</definedName>
    <definedName name="solver_lhs11" localSheetId="2" hidden="1">Optimization!$T$56</definedName>
    <definedName name="solver_lhs12" localSheetId="2" hidden="1">Optimization!$T$59</definedName>
    <definedName name="solver_lhs13" localSheetId="2" hidden="1">Optimization!$U$61:$U$70</definedName>
    <definedName name="solver_lhs14" localSheetId="2" hidden="1">Optimization!$U$71</definedName>
    <definedName name="solver_lhs15" localSheetId="2" hidden="1">Optimization!$U$71</definedName>
    <definedName name="solver_lhs2" localSheetId="2" hidden="1">Optimization!$U$35:$U$54</definedName>
    <definedName name="solver_lhs3" localSheetId="2" hidden="1">Optimization!$U$55</definedName>
    <definedName name="solver_lhs4" localSheetId="2" hidden="1">Optimization!$U$58</definedName>
    <definedName name="solver_lhs5" localSheetId="2" hidden="1">Optimization!$U$61:$U$70</definedName>
    <definedName name="solver_lhs6" localSheetId="2" hidden="1">Optimization!$U$71</definedName>
    <definedName name="solver_lhs7" localSheetId="2" hidden="1">Optimization!$T$44</definedName>
    <definedName name="solver_lhs8" localSheetId="2" hidden="1">Optimization!$T$47</definedName>
    <definedName name="solver_lhs9" localSheetId="2" hidden="1">Optimization!$T$51</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6</definedName>
    <definedName name="solver_nwt" localSheetId="2" hidden="1">1</definedName>
    <definedName name="solver_opt" localSheetId="2" hidden="1">Optimization!$U$57</definedName>
    <definedName name="solver_pre" localSheetId="2" hidden="1">0.000001</definedName>
    <definedName name="solver_rbv" localSheetId="2" hidden="1">1</definedName>
    <definedName name="solver_rel1" localSheetId="2" hidden="1">1</definedName>
    <definedName name="solver_rel10" localSheetId="2" hidden="1">2</definedName>
    <definedName name="solver_rel11" localSheetId="2" hidden="1">3</definedName>
    <definedName name="solver_rel12" localSheetId="2" hidden="1">1</definedName>
    <definedName name="solver_rel13" localSheetId="2" hidden="1">1</definedName>
    <definedName name="solver_rel14" localSheetId="2" hidden="1">2</definedName>
    <definedName name="solver_rel15" localSheetId="2" hidden="1">2</definedName>
    <definedName name="solver_rel2" localSheetId="2" hidden="1">3</definedName>
    <definedName name="solver_rel3" localSheetId="2" hidden="1">2</definedName>
    <definedName name="solver_rel4" localSheetId="2" hidden="1">2</definedName>
    <definedName name="solver_rel5" localSheetId="2" hidden="1">1</definedName>
    <definedName name="solver_rel6" localSheetId="2" hidden="1">2</definedName>
    <definedName name="solver_rel7" localSheetId="2" hidden="1">2</definedName>
    <definedName name="solver_rel8" localSheetId="2" hidden="1">2</definedName>
    <definedName name="solver_rel9" localSheetId="2" hidden="1">2</definedName>
    <definedName name="solver_rhs1" localSheetId="2" hidden="1">0.12</definedName>
    <definedName name="solver_rhs10" localSheetId="2" hidden="1">1</definedName>
    <definedName name="solver_rhs11" localSheetId="2" hidden="1">0.2</definedName>
    <definedName name="solver_rhs12" localSheetId="2" hidden="1">1.1</definedName>
    <definedName name="solver_rhs13" localSheetId="2" hidden="1">0.2</definedName>
    <definedName name="solver_rhs14" localSheetId="2" hidden="1">1</definedName>
    <definedName name="solver_rhs15" localSheetId="2" hidden="1">1</definedName>
    <definedName name="solver_rhs2" localSheetId="2" hidden="1">0.015</definedName>
    <definedName name="solver_rhs3" localSheetId="2" hidden="1">1</definedName>
    <definedName name="solver_rhs4" localSheetId="2" hidden="1">2</definedName>
    <definedName name="solver_rhs5" localSheetId="2" hidden="1">0.185</definedName>
    <definedName name="solver_rhs6" localSheetId="2" hidden="1">1</definedName>
    <definedName name="solver_rhs7" localSheetId="2" hidden="1">Optimization!$J$44</definedName>
    <definedName name="solver_rhs8" localSheetId="2" hidden="1">Optimization!$J$47</definedName>
    <definedName name="solver_rhs9" localSheetId="2" hidden="1">Optimization!$J$51</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2</definedName>
    <definedName name="solver_val" localSheetId="2" hidden="1">0</definedName>
    <definedName name="solver_ver" localSheetId="2" hidden="1">3</definedName>
    <definedName name="totalexp">#REF!</definedName>
    <definedName name="VOOMKT">#REF!</definedName>
    <definedName name="VZMKT">#REF!</definedName>
    <definedName name="WBAMKT">#REF!</definedName>
  </definedNames>
  <calcPr calcId="191029"/>
  <pivotCaches>
    <pivotCache cacheId="0" r:id="rId2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7" l="1" a="1"/>
  <c r="B13" i="7" a="1"/>
  <c r="E10" i="7"/>
  <c r="B12" i="7" a="1"/>
  <c r="E7" i="7"/>
  <c r="B15" i="7" a="1"/>
  <c r="B17" i="7" a="1"/>
  <c r="B16" i="7" a="1"/>
  <c r="B14" i="7" a="1"/>
  <c r="F26" i="6"/>
  <c r="B11" i="7" a="1"/>
  <c r="E8" i="7"/>
  <c r="E9" i="7"/>
  <c r="I10" i="7"/>
  <c r="H10" i="7"/>
  <c r="G10" i="7"/>
  <c r="F10" i="7"/>
  <c r="D10" i="7"/>
  <c r="C10" i="7"/>
  <c r="B10" i="7"/>
  <c r="I9" i="7"/>
  <c r="H9" i="7"/>
  <c r="G9" i="7"/>
  <c r="F9" i="7"/>
  <c r="D9" i="7"/>
  <c r="C9" i="7"/>
  <c r="B9" i="7"/>
  <c r="I8" i="7"/>
  <c r="H8" i="7"/>
  <c r="G8" i="7"/>
  <c r="F8" i="7"/>
  <c r="D8" i="7"/>
  <c r="C8" i="7"/>
  <c r="B8" i="7"/>
  <c r="I7" i="7"/>
  <c r="H7" i="7"/>
  <c r="G7" i="7"/>
  <c r="F7" i="7"/>
  <c r="D7" i="7"/>
  <c r="C7" i="7"/>
  <c r="B7" i="7"/>
  <c r="I6" i="7"/>
  <c r="H6" i="7"/>
  <c r="G6" i="7"/>
  <c r="F6" i="7"/>
  <c r="E6" i="7"/>
  <c r="D6" i="7"/>
  <c r="C6" i="7"/>
  <c r="B6" i="7"/>
  <c r="I5" i="7" l="1"/>
  <c r="H5" i="7"/>
  <c r="G5" i="7"/>
  <c r="F5" i="7"/>
  <c r="E5" i="7"/>
  <c r="D5" i="7"/>
  <c r="C5" i="7"/>
  <c r="B5" i="7"/>
  <c r="W8" i="7"/>
  <c r="W7" i="7"/>
  <c r="W6" i="7"/>
  <c r="W5" i="7"/>
  <c r="W4" i="7"/>
  <c r="W3" i="7"/>
  <c r="W2" i="7"/>
  <c r="I4" i="7" l="1"/>
  <c r="H4" i="7"/>
  <c r="G4" i="7"/>
  <c r="F4" i="7"/>
  <c r="E4" i="7"/>
  <c r="D4" i="7"/>
  <c r="C4" i="7"/>
  <c r="B4" i="7"/>
  <c r="I3" i="7"/>
  <c r="H3" i="7"/>
  <c r="G3" i="7"/>
  <c r="F3" i="7"/>
  <c r="E3" i="7"/>
  <c r="D3" i="7"/>
  <c r="C3" i="7"/>
  <c r="B3" i="7"/>
  <c r="B2" i="7" l="1"/>
  <c r="I2" i="7"/>
  <c r="H2" i="7"/>
  <c r="G2" i="7"/>
  <c r="F2" i="7"/>
  <c r="E2" i="7"/>
  <c r="D2" i="7"/>
  <c r="C2" i="7"/>
  <c r="AF21" i="6"/>
  <c r="AG20" i="6"/>
  <c r="AM20" i="6" s="1"/>
  <c r="AH16" i="6"/>
  <c r="AM16" i="6" s="1"/>
  <c r="AM6" i="6"/>
  <c r="AM7" i="6"/>
  <c r="AM8" i="6"/>
  <c r="AM9" i="6"/>
  <c r="AM10" i="6"/>
  <c r="AM11" i="6"/>
  <c r="AM12" i="6"/>
  <c r="AM13" i="6"/>
  <c r="AM14" i="6"/>
  <c r="AM15" i="6"/>
  <c r="AM17" i="6"/>
  <c r="AM18" i="6"/>
  <c r="AM19" i="6"/>
  <c r="AM21" i="6"/>
  <c r="AM22" i="6"/>
  <c r="AM23" i="6"/>
  <c r="AM24" i="6"/>
  <c r="AM5" i="6"/>
  <c r="BO131" i="6"/>
  <c r="BQ131" i="6" s="1"/>
  <c r="BN131" i="6"/>
  <c r="BM139" i="6"/>
  <c r="BO139" i="6" s="1"/>
  <c r="BM138" i="6"/>
  <c r="BM137" i="6"/>
  <c r="BL139" i="6"/>
  <c r="BL137" i="6"/>
  <c r="BL138" i="6"/>
  <c r="BM6" i="6"/>
  <c r="BN6" i="6" s="1"/>
  <c r="BM131" i="6" s="1"/>
  <c r="BP131" i="6" s="1"/>
  <c r="BO6" i="6"/>
  <c r="BM7" i="6"/>
  <c r="BO7" i="6" s="1"/>
  <c r="BN7" i="6"/>
  <c r="BM132" i="6" s="1"/>
  <c r="BM8" i="6"/>
  <c r="BL133" i="6" s="1"/>
  <c r="BN8" i="6"/>
  <c r="BM133" i="6" s="1"/>
  <c r="BO8" i="6"/>
  <c r="BM9" i="6"/>
  <c r="BL134" i="6" s="1"/>
  <c r="BN9" i="6"/>
  <c r="BO9" i="6"/>
  <c r="BM10" i="6"/>
  <c r="BM11" i="6"/>
  <c r="BN11" i="6" s="1"/>
  <c r="BM12" i="6"/>
  <c r="BN12" i="6"/>
  <c r="BN137" i="6" s="1"/>
  <c r="BO12" i="6"/>
  <c r="BM13" i="6"/>
  <c r="BN13" i="6"/>
  <c r="BN138" i="6" s="1"/>
  <c r="BO13" i="6"/>
  <c r="BM14" i="6"/>
  <c r="BN14" i="6"/>
  <c r="BN139" i="6" s="1"/>
  <c r="BQ139" i="6" s="1"/>
  <c r="BO14" i="6"/>
  <c r="BM15" i="6"/>
  <c r="BN15" i="6"/>
  <c r="BN140" i="6" s="1"/>
  <c r="BO15" i="6"/>
  <c r="BM16" i="6"/>
  <c r="BM17" i="6"/>
  <c r="BN17" i="6" s="1"/>
  <c r="BO17" i="6"/>
  <c r="BM18" i="6"/>
  <c r="BN18" i="6" s="1"/>
  <c r="BO18" i="6"/>
  <c r="BM19" i="6"/>
  <c r="BN19" i="6"/>
  <c r="BO19" i="6"/>
  <c r="BM20" i="6"/>
  <c r="BN20" i="6"/>
  <c r="BO20" i="6"/>
  <c r="BM21" i="6"/>
  <c r="BN21" i="6"/>
  <c r="BO21" i="6"/>
  <c r="BM22" i="6"/>
  <c r="BO22" i="6" s="1"/>
  <c r="BN22" i="6"/>
  <c r="BM23" i="6"/>
  <c r="BN23" i="6"/>
  <c r="BO23" i="6"/>
  <c r="BM24" i="6"/>
  <c r="BN24" i="6"/>
  <c r="BO24" i="6"/>
  <c r="BM25" i="6"/>
  <c r="BN25" i="6"/>
  <c r="BO25" i="6"/>
  <c r="BM26" i="6"/>
  <c r="BN26" i="6"/>
  <c r="BO26" i="6"/>
  <c r="BM27" i="6"/>
  <c r="BN27" i="6" s="1"/>
  <c r="BM28" i="6"/>
  <c r="BO28" i="6" s="1"/>
  <c r="BN28" i="6"/>
  <c r="BM29" i="6"/>
  <c r="BN29" i="6"/>
  <c r="BO29" i="6"/>
  <c r="BM30" i="6"/>
  <c r="BN30" i="6"/>
  <c r="BO30" i="6"/>
  <c r="BM31" i="6"/>
  <c r="BN31" i="6"/>
  <c r="BO31" i="6"/>
  <c r="BM32" i="6"/>
  <c r="BO32" i="6" s="1"/>
  <c r="BN32" i="6"/>
  <c r="BM33" i="6"/>
  <c r="BN33" i="6" s="1"/>
  <c r="BO33" i="6"/>
  <c r="BM34" i="6"/>
  <c r="BN34" i="6" s="1"/>
  <c r="BO34" i="6"/>
  <c r="BM35" i="6"/>
  <c r="BN35" i="6"/>
  <c r="BO35" i="6"/>
  <c r="BM36" i="6"/>
  <c r="BN36" i="6"/>
  <c r="BO36" i="6"/>
  <c r="BM37" i="6"/>
  <c r="BN37" i="6"/>
  <c r="BO37" i="6"/>
  <c r="BM38" i="6"/>
  <c r="BN38" i="6"/>
  <c r="BO38" i="6"/>
  <c r="BM39" i="6"/>
  <c r="BN39" i="6"/>
  <c r="BO39" i="6"/>
  <c r="BM40" i="6"/>
  <c r="BM41" i="6"/>
  <c r="BN41" i="6"/>
  <c r="BO41" i="6"/>
  <c r="BM42" i="6"/>
  <c r="BN42" i="6"/>
  <c r="BO42" i="6"/>
  <c r="BM43" i="6"/>
  <c r="BN43" i="6" s="1"/>
  <c r="BM44" i="6"/>
  <c r="BN44" i="6"/>
  <c r="BO44" i="6"/>
  <c r="BM45" i="6"/>
  <c r="BN45" i="6"/>
  <c r="BO45" i="6"/>
  <c r="BM46" i="6"/>
  <c r="BM47" i="6"/>
  <c r="BN47" i="6"/>
  <c r="BO47" i="6"/>
  <c r="BM48" i="6"/>
  <c r="BO48" i="6" s="1"/>
  <c r="BN48" i="6"/>
  <c r="BM49" i="6"/>
  <c r="BN49" i="6" s="1"/>
  <c r="BO49" i="6"/>
  <c r="BM50" i="6"/>
  <c r="BN50" i="6" s="1"/>
  <c r="BO50" i="6"/>
  <c r="BM51" i="6"/>
  <c r="BN51" i="6"/>
  <c r="BO51" i="6"/>
  <c r="BM52" i="6"/>
  <c r="BO52" i="6" s="1"/>
  <c r="BN52" i="6"/>
  <c r="BM53" i="6"/>
  <c r="BN53" i="6"/>
  <c r="BO53" i="6"/>
  <c r="BM54" i="6"/>
  <c r="BO54" i="6" s="1"/>
  <c r="BN54" i="6"/>
  <c r="BM55" i="6"/>
  <c r="BN55" i="6"/>
  <c r="BO55" i="6"/>
  <c r="BM56" i="6"/>
  <c r="BN56" i="6"/>
  <c r="BO56" i="6"/>
  <c r="BM57" i="6"/>
  <c r="BN57" i="6"/>
  <c r="BO57" i="6"/>
  <c r="BM58" i="6"/>
  <c r="BM59" i="6"/>
  <c r="BN59" i="6" s="1"/>
  <c r="BM60" i="6"/>
  <c r="BN60" i="6"/>
  <c r="BO60" i="6"/>
  <c r="BM61" i="6"/>
  <c r="BN61" i="6"/>
  <c r="BO61" i="6"/>
  <c r="BM62" i="6"/>
  <c r="BN62" i="6"/>
  <c r="BO62" i="6"/>
  <c r="BM63" i="6"/>
  <c r="BN63" i="6"/>
  <c r="BO63" i="6"/>
  <c r="BM64" i="6"/>
  <c r="BM65" i="6"/>
  <c r="BN65" i="6" s="1"/>
  <c r="BO65" i="6"/>
  <c r="BM66" i="6"/>
  <c r="BN66" i="6" s="1"/>
  <c r="BO66" i="6"/>
  <c r="BM67" i="6"/>
  <c r="BN67" i="6"/>
  <c r="BO67" i="6"/>
  <c r="BM68" i="6"/>
  <c r="BN68" i="6"/>
  <c r="BO68" i="6"/>
  <c r="BM69" i="6"/>
  <c r="BN69" i="6"/>
  <c r="BO69" i="6"/>
  <c r="BM70" i="6"/>
  <c r="BO70" i="6" s="1"/>
  <c r="BN70" i="6"/>
  <c r="BM71" i="6"/>
  <c r="BN71" i="6"/>
  <c r="BO71" i="6"/>
  <c r="BM72" i="6"/>
  <c r="BN72" i="6"/>
  <c r="BO72" i="6"/>
  <c r="BM73" i="6"/>
  <c r="BN73" i="6"/>
  <c r="BO73" i="6"/>
  <c r="BM74" i="6"/>
  <c r="BN74" i="6"/>
  <c r="BO74" i="6"/>
  <c r="BM75" i="6"/>
  <c r="BN75" i="6" s="1"/>
  <c r="BM140" i="6" s="1"/>
  <c r="BM76" i="6"/>
  <c r="BN76" i="6"/>
  <c r="BO76" i="6"/>
  <c r="BM77" i="6"/>
  <c r="BN77" i="6"/>
  <c r="BO77" i="6"/>
  <c r="BM78" i="6"/>
  <c r="BN78" i="6"/>
  <c r="BO78" i="6"/>
  <c r="BM79" i="6"/>
  <c r="BN79" i="6"/>
  <c r="BO79" i="6"/>
  <c r="BM80" i="6"/>
  <c r="BO80" i="6" s="1"/>
  <c r="BN80" i="6"/>
  <c r="BM81" i="6"/>
  <c r="BN81" i="6" s="1"/>
  <c r="BO81" i="6"/>
  <c r="BM82" i="6"/>
  <c r="BN82" i="6" s="1"/>
  <c r="BO82" i="6"/>
  <c r="BM83" i="6"/>
  <c r="BM84" i="6"/>
  <c r="BN84" i="6"/>
  <c r="BO84" i="6"/>
  <c r="BM85" i="6"/>
  <c r="BN85" i="6"/>
  <c r="BO85" i="6"/>
  <c r="BM86" i="6"/>
  <c r="BO86" i="6" s="1"/>
  <c r="BN86" i="6"/>
  <c r="BM87" i="6"/>
  <c r="BN87" i="6"/>
  <c r="BO87" i="6"/>
  <c r="BM88" i="6"/>
  <c r="BO88" i="6" s="1"/>
  <c r="BN88" i="6"/>
  <c r="BM89" i="6"/>
  <c r="BN89" i="6"/>
  <c r="BO89" i="6"/>
  <c r="BM90" i="6"/>
  <c r="BN90" i="6"/>
  <c r="BO90" i="6"/>
  <c r="BM91" i="6"/>
  <c r="BN91" i="6" s="1"/>
  <c r="BM92" i="6"/>
  <c r="BN92" i="6"/>
  <c r="BO92" i="6"/>
  <c r="BM93" i="6"/>
  <c r="BN93" i="6"/>
  <c r="BO93" i="6"/>
  <c r="BM94" i="6"/>
  <c r="BO94" i="6" s="1"/>
  <c r="BN94" i="6"/>
  <c r="BM95" i="6"/>
  <c r="BN95" i="6"/>
  <c r="BO95" i="6"/>
  <c r="BM96" i="6"/>
  <c r="BO96" i="6" s="1"/>
  <c r="BN96" i="6"/>
  <c r="BM97" i="6"/>
  <c r="BN97" i="6" s="1"/>
  <c r="BO97" i="6"/>
  <c r="BM98" i="6"/>
  <c r="BN98" i="6" s="1"/>
  <c r="BO98" i="6"/>
  <c r="BM99" i="6"/>
  <c r="BN99" i="6"/>
  <c r="BO99" i="6"/>
  <c r="BM100" i="6"/>
  <c r="BN100" i="6"/>
  <c r="BO100" i="6"/>
  <c r="BM101" i="6"/>
  <c r="BM102" i="6"/>
  <c r="BO102" i="6" s="1"/>
  <c r="BN102" i="6"/>
  <c r="BM103" i="6"/>
  <c r="BN103" i="6"/>
  <c r="BO103" i="6"/>
  <c r="BM104" i="6"/>
  <c r="BN104" i="6"/>
  <c r="BO104" i="6"/>
  <c r="BM105" i="6"/>
  <c r="BN105" i="6"/>
  <c r="BO105" i="6"/>
  <c r="BM106" i="6"/>
  <c r="BN106" i="6"/>
  <c r="BO106" i="6"/>
  <c r="BM107" i="6"/>
  <c r="BN107" i="6" s="1"/>
  <c r="BM108" i="6"/>
  <c r="BN108" i="6"/>
  <c r="BO108" i="6"/>
  <c r="BM109" i="6"/>
  <c r="BN109" i="6"/>
  <c r="BO109" i="6"/>
  <c r="BM110" i="6"/>
  <c r="BN110" i="6"/>
  <c r="BO110" i="6"/>
  <c r="BM111" i="6"/>
  <c r="BN111" i="6"/>
  <c r="BO111" i="6"/>
  <c r="BM112" i="6"/>
  <c r="BO112" i="6" s="1"/>
  <c r="BN112" i="6"/>
  <c r="BM113" i="6"/>
  <c r="BM114" i="6"/>
  <c r="BN114" i="6" s="1"/>
  <c r="BO114" i="6"/>
  <c r="BM115" i="6"/>
  <c r="BN115" i="6"/>
  <c r="BO115" i="6"/>
  <c r="BM116" i="6"/>
  <c r="BN116" i="6"/>
  <c r="BO116" i="6"/>
  <c r="BM117" i="6"/>
  <c r="BN117" i="6"/>
  <c r="BO117" i="6"/>
  <c r="BM118" i="6"/>
  <c r="BO118" i="6" s="1"/>
  <c r="BN118" i="6"/>
  <c r="BM119" i="6"/>
  <c r="BO119" i="6" s="1"/>
  <c r="BN119" i="6"/>
  <c r="BM120" i="6"/>
  <c r="BN120" i="6"/>
  <c r="BO120" i="6"/>
  <c r="BM121" i="6"/>
  <c r="BN121" i="6"/>
  <c r="BO121" i="6"/>
  <c r="CM21" i="6"/>
  <c r="CL8" i="6"/>
  <c r="CM8" i="6" s="1"/>
  <c r="CL9" i="6"/>
  <c r="CM9" i="6" s="1"/>
  <c r="CL10" i="6"/>
  <c r="CM10" i="6" s="1"/>
  <c r="CL11" i="6"/>
  <c r="CM11" i="6" s="1"/>
  <c r="CL12" i="6"/>
  <c r="CL13" i="6"/>
  <c r="CL14" i="6"/>
  <c r="CM14" i="6" s="1"/>
  <c r="CL15" i="6"/>
  <c r="CM15" i="6" s="1"/>
  <c r="CL16" i="6"/>
  <c r="CM16" i="6" s="1"/>
  <c r="CL17" i="6"/>
  <c r="CM17" i="6" s="1"/>
  <c r="CL18" i="6"/>
  <c r="CM18" i="6" s="1"/>
  <c r="CL19" i="6"/>
  <c r="CM19" i="6" s="1"/>
  <c r="CL20" i="6"/>
  <c r="CM20" i="6" s="1"/>
  <c r="CL21" i="6"/>
  <c r="CL22" i="6"/>
  <c r="CM22" i="6" s="1"/>
  <c r="CL23" i="6"/>
  <c r="CL24" i="6"/>
  <c r="CL25" i="6"/>
  <c r="CL26" i="6"/>
  <c r="CL27" i="6"/>
  <c r="CL28" i="6"/>
  <c r="CL29" i="6"/>
  <c r="CM29" i="6" s="1"/>
  <c r="CL30" i="6"/>
  <c r="CL31" i="6"/>
  <c r="CL32" i="6"/>
  <c r="CL33" i="6"/>
  <c r="CL34" i="6"/>
  <c r="CL35" i="6"/>
  <c r="CL36" i="6"/>
  <c r="CL37" i="6"/>
  <c r="CM37" i="6" s="1"/>
  <c r="CL38" i="6"/>
  <c r="CM38" i="6" s="1"/>
  <c r="CL39" i="6"/>
  <c r="CM39" i="6" s="1"/>
  <c r="CL40" i="6"/>
  <c r="CM40" i="6" s="1"/>
  <c r="CL41" i="6"/>
  <c r="CM41" i="6" s="1"/>
  <c r="CL42" i="6"/>
  <c r="CM42" i="6" s="1"/>
  <c r="CL43" i="6"/>
  <c r="CM43" i="6" s="1"/>
  <c r="CL44" i="6"/>
  <c r="CM44" i="6" s="1"/>
  <c r="CL7" i="6"/>
  <c r="L55" i="4"/>
  <c r="BY13" i="6"/>
  <c r="BY12" i="6"/>
  <c r="BY11" i="6"/>
  <c r="BY10" i="6"/>
  <c r="BY9" i="6"/>
  <c r="BY8" i="6"/>
  <c r="BY7" i="6"/>
  <c r="BY6" i="6"/>
  <c r="BW6" i="6"/>
  <c r="BW7" i="6" s="1"/>
  <c r="BW8" i="6" s="1"/>
  <c r="BW9" i="6" s="1"/>
  <c r="BW10" i="6" s="1"/>
  <c r="BW11" i="6" s="1"/>
  <c r="BW12" i="6" s="1"/>
  <c r="BW13" i="6" s="1"/>
  <c r="BV11" i="6"/>
  <c r="BV10" i="6"/>
  <c r="Y45" i="6"/>
  <c r="X45" i="6"/>
  <c r="W45" i="6"/>
  <c r="V45" i="6"/>
  <c r="U45" i="6"/>
  <c r="T45" i="6"/>
  <c r="S45" i="6"/>
  <c r="R45" i="6"/>
  <c r="Y44" i="6"/>
  <c r="X44" i="6"/>
  <c r="W44" i="6"/>
  <c r="V44" i="6"/>
  <c r="U44" i="6"/>
  <c r="T44" i="6"/>
  <c r="S44" i="6"/>
  <c r="R44" i="6"/>
  <c r="Y43" i="6"/>
  <c r="X43" i="6"/>
  <c r="W43" i="6"/>
  <c r="V43" i="6"/>
  <c r="U43" i="6"/>
  <c r="T43" i="6"/>
  <c r="S43" i="6"/>
  <c r="R43" i="6"/>
  <c r="Y42" i="6"/>
  <c r="X42" i="6"/>
  <c r="W42" i="6"/>
  <c r="V42" i="6"/>
  <c r="U42" i="6"/>
  <c r="T42" i="6"/>
  <c r="S42" i="6"/>
  <c r="R42" i="6"/>
  <c r="Y41" i="6"/>
  <c r="X41" i="6"/>
  <c r="W41" i="6"/>
  <c r="V41" i="6"/>
  <c r="U41" i="6"/>
  <c r="T41" i="6"/>
  <c r="S41" i="6"/>
  <c r="R41" i="6"/>
  <c r="Y40" i="6"/>
  <c r="X40" i="6"/>
  <c r="W40" i="6"/>
  <c r="V40" i="6"/>
  <c r="U40" i="6"/>
  <c r="T40" i="6"/>
  <c r="S40" i="6"/>
  <c r="R40" i="6"/>
  <c r="Y39" i="6"/>
  <c r="X39" i="6"/>
  <c r="W39" i="6"/>
  <c r="V39" i="6"/>
  <c r="U39" i="6"/>
  <c r="T39" i="6"/>
  <c r="S39" i="6"/>
  <c r="R39" i="6"/>
  <c r="Y36" i="6"/>
  <c r="X36" i="6"/>
  <c r="W36" i="6"/>
  <c r="V36" i="6"/>
  <c r="U36" i="6"/>
  <c r="T36" i="6"/>
  <c r="S36" i="6"/>
  <c r="R36" i="6"/>
  <c r="Y32" i="6"/>
  <c r="X32" i="6"/>
  <c r="W32" i="6"/>
  <c r="V32" i="6"/>
  <c r="U32" i="6"/>
  <c r="T32" i="6"/>
  <c r="S32" i="6"/>
  <c r="R32" i="6"/>
  <c r="Y31" i="6"/>
  <c r="X31" i="6"/>
  <c r="W31" i="6"/>
  <c r="V31" i="6"/>
  <c r="U31" i="6"/>
  <c r="T31" i="6"/>
  <c r="S31" i="6"/>
  <c r="R31" i="6"/>
  <c r="Y30" i="6"/>
  <c r="X30" i="6"/>
  <c r="W30" i="6"/>
  <c r="V30" i="6"/>
  <c r="U30" i="6"/>
  <c r="T30" i="6"/>
  <c r="S30" i="6"/>
  <c r="R30" i="6"/>
  <c r="X29" i="6"/>
  <c r="W29" i="6"/>
  <c r="V29" i="6"/>
  <c r="U29" i="6"/>
  <c r="T29" i="6"/>
  <c r="S29" i="6"/>
  <c r="R29" i="6"/>
  <c r="Y27" i="6"/>
  <c r="X27" i="6"/>
  <c r="W27" i="6"/>
  <c r="V27" i="6"/>
  <c r="U27" i="6"/>
  <c r="T27" i="6"/>
  <c r="S27" i="6"/>
  <c r="R27" i="6"/>
  <c r="X26" i="6"/>
  <c r="W26" i="6"/>
  <c r="V26" i="6"/>
  <c r="U26" i="6"/>
  <c r="T26" i="6"/>
  <c r="S26" i="6"/>
  <c r="R26" i="6"/>
  <c r="S25" i="6"/>
  <c r="T25" i="6" s="1"/>
  <c r="U25" i="6" s="1"/>
  <c r="V25" i="6" s="1"/>
  <c r="W25" i="6" s="1"/>
  <c r="X25" i="6" s="1"/>
  <c r="Y25" i="6" s="1"/>
  <c r="N57" i="6" a="1"/>
  <c r="N58" i="6" s="1"/>
  <c r="U24" i="4" a="1"/>
  <c r="U23" i="4" a="1"/>
  <c r="U22" i="4" a="1"/>
  <c r="U21" i="4" a="1"/>
  <c r="U20" i="4" a="1"/>
  <c r="U19" i="4" a="1"/>
  <c r="U18" i="4" a="1"/>
  <c r="U17" i="4" a="1"/>
  <c r="U16" i="4" a="1"/>
  <c r="U15" i="4" a="1"/>
  <c r="U14" i="4" a="1"/>
  <c r="U13" i="4" a="1"/>
  <c r="U12" i="4" a="1"/>
  <c r="U11" i="4" a="1"/>
  <c r="U10" i="4" a="1"/>
  <c r="U9" i="4" a="1"/>
  <c r="U8" i="4" a="1"/>
  <c r="U7" i="4" a="1"/>
  <c r="U6" i="4" a="1"/>
  <c r="U5" i="4" a="1"/>
  <c r="Y53" i="4"/>
  <c r="Z53" i="4"/>
  <c r="AA53" i="4"/>
  <c r="AB53" i="4"/>
  <c r="AC53" i="4"/>
  <c r="AD53" i="4"/>
  <c r="AE53" i="4"/>
  <c r="AF53" i="4"/>
  <c r="AG53" i="4"/>
  <c r="AH53" i="4"/>
  <c r="AI53" i="4"/>
  <c r="AJ53" i="4"/>
  <c r="AK53" i="4"/>
  <c r="AL53" i="4"/>
  <c r="AM53" i="4"/>
  <c r="AN53" i="4"/>
  <c r="AO53" i="4"/>
  <c r="AP53" i="4"/>
  <c r="AQ53" i="4"/>
  <c r="X54" i="4"/>
  <c r="Z54" i="4"/>
  <c r="AA54" i="4"/>
  <c r="AB54" i="4"/>
  <c r="AC54" i="4"/>
  <c r="AD54" i="4"/>
  <c r="AE54" i="4"/>
  <c r="AF54" i="4"/>
  <c r="AG54" i="4"/>
  <c r="AH54" i="4"/>
  <c r="AI54" i="4"/>
  <c r="AJ54" i="4"/>
  <c r="AK54" i="4"/>
  <c r="AL54" i="4"/>
  <c r="AM54" i="4"/>
  <c r="AN54" i="4"/>
  <c r="AO54" i="4"/>
  <c r="AP54" i="4"/>
  <c r="AQ54" i="4"/>
  <c r="X55" i="4"/>
  <c r="Y55" i="4"/>
  <c r="AA55" i="4"/>
  <c r="AB55" i="4"/>
  <c r="AC55" i="4"/>
  <c r="AD55" i="4"/>
  <c r="AE55" i="4"/>
  <c r="AF55" i="4"/>
  <c r="AG55" i="4"/>
  <c r="AH55" i="4"/>
  <c r="AI55" i="4"/>
  <c r="AJ55" i="4"/>
  <c r="AK55" i="4"/>
  <c r="AL55" i="4"/>
  <c r="AM55" i="4"/>
  <c r="AN55" i="4"/>
  <c r="AO55" i="4"/>
  <c r="AP55" i="4"/>
  <c r="AQ55" i="4"/>
  <c r="X56" i="4"/>
  <c r="Y56" i="4"/>
  <c r="Z56" i="4"/>
  <c r="AB56" i="4"/>
  <c r="AC56" i="4"/>
  <c r="AD56" i="4"/>
  <c r="AE56" i="4"/>
  <c r="AF56" i="4"/>
  <c r="AG56" i="4"/>
  <c r="AH56" i="4"/>
  <c r="AI56" i="4"/>
  <c r="AJ56" i="4"/>
  <c r="AK56" i="4"/>
  <c r="AL56" i="4"/>
  <c r="AM56" i="4"/>
  <c r="AN56" i="4"/>
  <c r="AO56" i="4"/>
  <c r="AP56" i="4"/>
  <c r="AQ56" i="4"/>
  <c r="X57" i="4"/>
  <c r="Y57" i="4"/>
  <c r="Z57" i="4"/>
  <c r="AA57" i="4"/>
  <c r="AC57" i="4"/>
  <c r="AD57" i="4"/>
  <c r="AE57" i="4"/>
  <c r="AF57" i="4"/>
  <c r="AG57" i="4"/>
  <c r="AH57" i="4"/>
  <c r="AI57" i="4"/>
  <c r="AJ57" i="4"/>
  <c r="AK57" i="4"/>
  <c r="AL57" i="4"/>
  <c r="AM57" i="4"/>
  <c r="AN57" i="4"/>
  <c r="AO57" i="4"/>
  <c r="AP57" i="4"/>
  <c r="AQ57" i="4"/>
  <c r="X58" i="4"/>
  <c r="Y58" i="4"/>
  <c r="Z58" i="4"/>
  <c r="AA58" i="4"/>
  <c r="AB58" i="4"/>
  <c r="AD58" i="4"/>
  <c r="AE58" i="4"/>
  <c r="AF58" i="4"/>
  <c r="AG58" i="4"/>
  <c r="AH58" i="4"/>
  <c r="AI58" i="4"/>
  <c r="AJ58" i="4"/>
  <c r="AK58" i="4"/>
  <c r="AL58" i="4"/>
  <c r="AM58" i="4"/>
  <c r="AN58" i="4"/>
  <c r="AO58" i="4"/>
  <c r="AP58" i="4"/>
  <c r="AQ58" i="4"/>
  <c r="X59" i="4"/>
  <c r="Y59" i="4"/>
  <c r="Z59" i="4"/>
  <c r="AA59" i="4"/>
  <c r="AB59" i="4"/>
  <c r="AC59" i="4"/>
  <c r="AE59" i="4"/>
  <c r="AF59" i="4"/>
  <c r="AG59" i="4"/>
  <c r="AH59" i="4"/>
  <c r="AI59" i="4"/>
  <c r="AJ59" i="4"/>
  <c r="AK59" i="4"/>
  <c r="AL59" i="4"/>
  <c r="AM59" i="4"/>
  <c r="AN59" i="4"/>
  <c r="AO59" i="4"/>
  <c r="AP59" i="4"/>
  <c r="AQ59" i="4"/>
  <c r="X60" i="4"/>
  <c r="Y60" i="4"/>
  <c r="Z60" i="4"/>
  <c r="AA60" i="4"/>
  <c r="AB60" i="4"/>
  <c r="AC60" i="4"/>
  <c r="AD60" i="4"/>
  <c r="AF60" i="4"/>
  <c r="AG60" i="4"/>
  <c r="AH60" i="4"/>
  <c r="AI60" i="4"/>
  <c r="AJ60" i="4"/>
  <c r="AK60" i="4"/>
  <c r="AL60" i="4"/>
  <c r="AM60" i="4"/>
  <c r="AN60" i="4"/>
  <c r="AO60" i="4"/>
  <c r="AP60" i="4"/>
  <c r="AQ60" i="4"/>
  <c r="X61" i="4"/>
  <c r="Y61" i="4"/>
  <c r="Z61" i="4"/>
  <c r="AA61" i="4"/>
  <c r="AB61" i="4"/>
  <c r="AC61" i="4"/>
  <c r="AD61" i="4"/>
  <c r="AE61" i="4"/>
  <c r="AG61" i="4"/>
  <c r="AH61" i="4"/>
  <c r="AI61" i="4"/>
  <c r="AJ61" i="4"/>
  <c r="AK61" i="4"/>
  <c r="AL61" i="4"/>
  <c r="AM61" i="4"/>
  <c r="AN61" i="4"/>
  <c r="AO61" i="4"/>
  <c r="AP61" i="4"/>
  <c r="AQ61" i="4"/>
  <c r="X62" i="4"/>
  <c r="Y62" i="4"/>
  <c r="Z62" i="4"/>
  <c r="AA62" i="4"/>
  <c r="AB62" i="4"/>
  <c r="AC62" i="4"/>
  <c r="AD62" i="4"/>
  <c r="AE62" i="4"/>
  <c r="AF62" i="4"/>
  <c r="AH62" i="4"/>
  <c r="AI62" i="4"/>
  <c r="AJ62" i="4"/>
  <c r="AK62" i="4"/>
  <c r="AL62" i="4"/>
  <c r="AM62" i="4"/>
  <c r="AN62" i="4"/>
  <c r="AO62" i="4"/>
  <c r="AP62" i="4"/>
  <c r="AQ62" i="4"/>
  <c r="X63" i="4"/>
  <c r="Y63" i="4"/>
  <c r="Z63" i="4"/>
  <c r="AA63" i="4"/>
  <c r="AB63" i="4"/>
  <c r="AC63" i="4"/>
  <c r="AD63" i="4"/>
  <c r="AE63" i="4"/>
  <c r="AF63" i="4"/>
  <c r="AG63" i="4"/>
  <c r="AI63" i="4"/>
  <c r="AJ63" i="4"/>
  <c r="AK63" i="4"/>
  <c r="AL63" i="4"/>
  <c r="AM63" i="4"/>
  <c r="AN63" i="4"/>
  <c r="AO63" i="4"/>
  <c r="AP63" i="4"/>
  <c r="AQ63" i="4"/>
  <c r="X64" i="4"/>
  <c r="Y64" i="4"/>
  <c r="Z64" i="4"/>
  <c r="AA64" i="4"/>
  <c r="AB64" i="4"/>
  <c r="AC64" i="4"/>
  <c r="AD64" i="4"/>
  <c r="AE64" i="4"/>
  <c r="AF64" i="4"/>
  <c r="AG64" i="4"/>
  <c r="AH64" i="4"/>
  <c r="AJ64" i="4"/>
  <c r="AK64" i="4"/>
  <c r="AL64" i="4"/>
  <c r="AM64" i="4"/>
  <c r="AN64" i="4"/>
  <c r="AO64" i="4"/>
  <c r="AP64" i="4"/>
  <c r="AQ64" i="4"/>
  <c r="X65" i="4"/>
  <c r="Y65" i="4"/>
  <c r="Z65" i="4"/>
  <c r="AA65" i="4"/>
  <c r="AB65" i="4"/>
  <c r="AC65" i="4"/>
  <c r="AD65" i="4"/>
  <c r="AE65" i="4"/>
  <c r="AF65" i="4"/>
  <c r="AG65" i="4"/>
  <c r="AH65" i="4"/>
  <c r="AI65" i="4"/>
  <c r="AK65" i="4"/>
  <c r="AL65" i="4"/>
  <c r="AM65" i="4"/>
  <c r="AN65" i="4"/>
  <c r="AO65" i="4"/>
  <c r="AP65" i="4"/>
  <c r="AQ65" i="4"/>
  <c r="X66" i="4"/>
  <c r="Y66" i="4"/>
  <c r="Z66" i="4"/>
  <c r="AA66" i="4"/>
  <c r="AB66" i="4"/>
  <c r="AC66" i="4"/>
  <c r="AD66" i="4"/>
  <c r="AE66" i="4"/>
  <c r="AF66" i="4"/>
  <c r="AG66" i="4"/>
  <c r="AH66" i="4"/>
  <c r="AI66" i="4"/>
  <c r="AJ66" i="4"/>
  <c r="AL66" i="4"/>
  <c r="AM66" i="4"/>
  <c r="AN66" i="4"/>
  <c r="AO66" i="4"/>
  <c r="AP66" i="4"/>
  <c r="AQ66" i="4"/>
  <c r="X67" i="4"/>
  <c r="Y67" i="4"/>
  <c r="Z67" i="4"/>
  <c r="AA67" i="4"/>
  <c r="AB67" i="4"/>
  <c r="AC67" i="4"/>
  <c r="AD67" i="4"/>
  <c r="AE67" i="4"/>
  <c r="AF67" i="4"/>
  <c r="AG67" i="4"/>
  <c r="AH67" i="4"/>
  <c r="AI67" i="4"/>
  <c r="AJ67" i="4"/>
  <c r="AK67" i="4"/>
  <c r="AM67" i="4"/>
  <c r="AN67" i="4"/>
  <c r="AO67" i="4"/>
  <c r="AP67" i="4"/>
  <c r="AQ67" i="4"/>
  <c r="X68" i="4"/>
  <c r="Y68" i="4"/>
  <c r="Z68" i="4"/>
  <c r="AA68" i="4"/>
  <c r="AB68" i="4"/>
  <c r="AC68" i="4"/>
  <c r="AD68" i="4"/>
  <c r="AE68" i="4"/>
  <c r="AF68" i="4"/>
  <c r="AG68" i="4"/>
  <c r="AH68" i="4"/>
  <c r="AI68" i="4"/>
  <c r="AJ68" i="4"/>
  <c r="AK68" i="4"/>
  <c r="AL68" i="4"/>
  <c r="AN68" i="4"/>
  <c r="AO68" i="4"/>
  <c r="AP68" i="4"/>
  <c r="AQ68" i="4"/>
  <c r="X69" i="4"/>
  <c r="Y69" i="4"/>
  <c r="Z69" i="4"/>
  <c r="AA69" i="4"/>
  <c r="AB69" i="4"/>
  <c r="AC69" i="4"/>
  <c r="AD69" i="4"/>
  <c r="AE69" i="4"/>
  <c r="AF69" i="4"/>
  <c r="AG69" i="4"/>
  <c r="AH69" i="4"/>
  <c r="AI69" i="4"/>
  <c r="AJ69" i="4"/>
  <c r="AK69" i="4"/>
  <c r="AL69" i="4"/>
  <c r="AM69" i="4"/>
  <c r="AO69" i="4"/>
  <c r="AP69" i="4"/>
  <c r="AQ69" i="4"/>
  <c r="X70" i="4"/>
  <c r="Y70" i="4"/>
  <c r="Z70" i="4"/>
  <c r="AA70" i="4"/>
  <c r="AB70" i="4"/>
  <c r="AC70" i="4"/>
  <c r="AD70" i="4"/>
  <c r="AE70" i="4"/>
  <c r="AF70" i="4"/>
  <c r="AG70" i="4"/>
  <c r="AH70" i="4"/>
  <c r="AI70" i="4"/>
  <c r="AJ70" i="4"/>
  <c r="AK70" i="4"/>
  <c r="AL70" i="4"/>
  <c r="AM70" i="4"/>
  <c r="AN70" i="4"/>
  <c r="AP70" i="4"/>
  <c r="AQ70" i="4"/>
  <c r="X71" i="4"/>
  <c r="Y71" i="4"/>
  <c r="Z71" i="4"/>
  <c r="AA71" i="4"/>
  <c r="AB71" i="4"/>
  <c r="AC71" i="4"/>
  <c r="AD71" i="4"/>
  <c r="AE71" i="4"/>
  <c r="AF71" i="4"/>
  <c r="AG71" i="4"/>
  <c r="AH71" i="4"/>
  <c r="AI71" i="4"/>
  <c r="AJ71" i="4"/>
  <c r="AK71" i="4"/>
  <c r="AL71" i="4"/>
  <c r="AM71" i="4"/>
  <c r="AN71" i="4"/>
  <c r="AO71" i="4"/>
  <c r="AQ71" i="4"/>
  <c r="X72" i="4"/>
  <c r="Y72" i="4"/>
  <c r="Z72" i="4"/>
  <c r="AA72" i="4"/>
  <c r="AB72" i="4"/>
  <c r="AC72" i="4"/>
  <c r="AD72" i="4"/>
  <c r="AE72" i="4"/>
  <c r="AF72" i="4"/>
  <c r="AG72" i="4"/>
  <c r="AH72" i="4"/>
  <c r="AI72" i="4"/>
  <c r="AJ72" i="4"/>
  <c r="AK72" i="4"/>
  <c r="AL72" i="4"/>
  <c r="AM72" i="4"/>
  <c r="AN72" i="4"/>
  <c r="AO72" i="4"/>
  <c r="AP72" i="4"/>
  <c r="BO140" i="6" l="1"/>
  <c r="BQ140" i="6" s="1"/>
  <c r="BP140" i="6"/>
  <c r="BN10" i="6"/>
  <c r="BO10" i="6"/>
  <c r="BO137" i="6"/>
  <c r="BP137" i="6" s="1"/>
  <c r="BN113" i="6"/>
  <c r="BO113" i="6"/>
  <c r="BO138" i="6"/>
  <c r="BQ138" i="6" s="1"/>
  <c r="BO16" i="6"/>
  <c r="BN16" i="6"/>
  <c r="BL141" i="6"/>
  <c r="BM134" i="6"/>
  <c r="BN134" i="6"/>
  <c r="CM7" i="6"/>
  <c r="CM46" i="6"/>
  <c r="BN40" i="6"/>
  <c r="BO40" i="6"/>
  <c r="BL140" i="6"/>
  <c r="BR140" i="6" s="1"/>
  <c r="BO133" i="6"/>
  <c r="BP133" i="6" s="1"/>
  <c r="BN46" i="6"/>
  <c r="BO46" i="6"/>
  <c r="BO132" i="6"/>
  <c r="BP132" i="6" s="1"/>
  <c r="CM47" i="6"/>
  <c r="BN58" i="6"/>
  <c r="BO58" i="6"/>
  <c r="BL135" i="6"/>
  <c r="BO64" i="6"/>
  <c r="BN64" i="6"/>
  <c r="BR138" i="6"/>
  <c r="BN83" i="6"/>
  <c r="BN136" i="6" s="1"/>
  <c r="BO83" i="6"/>
  <c r="BQ137" i="6"/>
  <c r="BL136" i="6"/>
  <c r="BR137" i="6"/>
  <c r="BP139" i="6"/>
  <c r="BN101" i="6"/>
  <c r="BO101" i="6"/>
  <c r="BL130" i="6"/>
  <c r="BM136" i="6"/>
  <c r="BN124" i="6"/>
  <c r="BN132" i="6"/>
  <c r="BN133" i="6"/>
  <c r="BL131" i="6"/>
  <c r="BR131" i="6" s="1"/>
  <c r="BL132" i="6"/>
  <c r="BR132" i="6" s="1"/>
  <c r="BO107" i="6"/>
  <c r="BO91" i="6"/>
  <c r="BO75" i="6"/>
  <c r="BO59" i="6"/>
  <c r="BO43" i="6"/>
  <c r="BO27" i="6"/>
  <c r="BO11" i="6"/>
  <c r="CM35" i="6"/>
  <c r="CM36" i="6"/>
  <c r="CM30" i="6"/>
  <c r="CM34" i="6"/>
  <c r="CM12" i="6"/>
  <c r="CS17" i="6"/>
  <c r="CM13" i="6"/>
  <c r="CS18" i="6"/>
  <c r="CS19" i="6"/>
  <c r="CS20" i="6"/>
  <c r="CL46" i="6"/>
  <c r="CL47" i="6"/>
  <c r="CM31" i="6"/>
  <c r="CM32" i="6"/>
  <c r="CM33" i="6"/>
  <c r="CM23" i="6"/>
  <c r="CM24" i="6"/>
  <c r="CM25" i="6"/>
  <c r="CM26" i="6"/>
  <c r="CU17" i="6" s="1"/>
  <c r="CM27" i="6"/>
  <c r="CM28" i="6"/>
  <c r="L59" i="4"/>
  <c r="BY15" i="6"/>
  <c r="BY14" i="6"/>
  <c r="Z30" i="6"/>
  <c r="Z32" i="6"/>
  <c r="Z41" i="6"/>
  <c r="Z27" i="6"/>
  <c r="Z39" i="6"/>
  <c r="Z43" i="6"/>
  <c r="Z45" i="6"/>
  <c r="Z40" i="6"/>
  <c r="Z42" i="6"/>
  <c r="Z44" i="6"/>
  <c r="Z31" i="6"/>
  <c r="Z36" i="6"/>
  <c r="T59" i="4"/>
  <c r="U59" i="4"/>
  <c r="S59" i="4"/>
  <c r="R59" i="4"/>
  <c r="M59" i="4"/>
  <c r="Q59" i="4"/>
  <c r="P59" i="4"/>
  <c r="N59" i="4"/>
  <c r="O59" i="4"/>
  <c r="Z24" i="6"/>
  <c r="N24" i="6" a="1"/>
  <c r="N23" i="6" a="1"/>
  <c r="N22" i="6" a="1"/>
  <c r="N21" i="6" a="1"/>
  <c r="N20" i="6" a="1"/>
  <c r="N19" i="6" a="1"/>
  <c r="N18" i="6" a="1"/>
  <c r="N17" i="6" a="1"/>
  <c r="AK17" i="6" s="1"/>
  <c r="N16" i="6" a="1"/>
  <c r="AK16" i="6" s="1"/>
  <c r="N15" i="6" a="1"/>
  <c r="N14" i="6" a="1"/>
  <c r="AK14" i="6" s="1"/>
  <c r="N13" i="6" a="1"/>
  <c r="AK13" i="6" s="1"/>
  <c r="N12" i="6" a="1"/>
  <c r="AK12" i="6" s="1"/>
  <c r="N11" i="6" a="1"/>
  <c r="N10" i="6" a="1"/>
  <c r="N9" i="6" a="1"/>
  <c r="N8" i="6" a="1"/>
  <c r="N7" i="6" a="1"/>
  <c r="AK7" i="6" s="1"/>
  <c r="N6" i="6" a="1"/>
  <c r="N5" i="6" a="1"/>
  <c r="M58" i="6"/>
  <c r="L58" i="6"/>
  <c r="K58" i="6"/>
  <c r="J58" i="6"/>
  <c r="I58" i="6"/>
  <c r="H58" i="6"/>
  <c r="G58" i="6"/>
  <c r="F58" i="6"/>
  <c r="G56" i="6"/>
  <c r="H56" i="6" s="1"/>
  <c r="I56" i="6" s="1"/>
  <c r="J56" i="6" s="1"/>
  <c r="K56" i="6" s="1"/>
  <c r="L56" i="6" s="1"/>
  <c r="M56" i="6" s="1"/>
  <c r="BO134" i="6" l="1"/>
  <c r="BP134" i="6" s="1"/>
  <c r="BO136" i="6"/>
  <c r="BQ136" i="6" s="1"/>
  <c r="BL142" i="6"/>
  <c r="BM141" i="6"/>
  <c r="BN141" i="6"/>
  <c r="CT20" i="6"/>
  <c r="BN130" i="6"/>
  <c r="BM130" i="6"/>
  <c r="BP138" i="6"/>
  <c r="BM135" i="6"/>
  <c r="BN135" i="6"/>
  <c r="BQ133" i="6"/>
  <c r="BQ132" i="6"/>
  <c r="BR134" i="6"/>
  <c r="BN125" i="6"/>
  <c r="BQ134" i="6"/>
  <c r="CU18" i="6"/>
  <c r="CT18" i="6"/>
  <c r="CU19" i="6"/>
  <c r="CT19" i="6"/>
  <c r="CU20" i="6"/>
  <c r="CT32" i="6"/>
  <c r="CT17" i="6"/>
  <c r="CT33" i="6"/>
  <c r="CS33" i="6"/>
  <c r="CS32" i="6"/>
  <c r="BR77" i="6"/>
  <c r="BR78" i="6"/>
  <c r="AK23" i="6"/>
  <c r="R23" i="4" s="1"/>
  <c r="AK19" i="6"/>
  <c r="R19" i="4" s="1"/>
  <c r="AK10" i="6"/>
  <c r="R10" i="4" s="1"/>
  <c r="AK15" i="6"/>
  <c r="R15" i="4" s="1"/>
  <c r="AK18" i="6"/>
  <c r="R18" i="4" s="1"/>
  <c r="AK11" i="6"/>
  <c r="R11" i="4" s="1"/>
  <c r="AK21" i="6"/>
  <c r="R21" i="4" s="1"/>
  <c r="AK22" i="6"/>
  <c r="R22" i="4" s="1"/>
  <c r="AK24" i="6"/>
  <c r="R24" i="4" s="1"/>
  <c r="AK20" i="6"/>
  <c r="R20" i="4" s="1"/>
  <c r="AK6" i="6"/>
  <c r="R6" i="4" s="1"/>
  <c r="AK9" i="6"/>
  <c r="R9" i="4" s="1"/>
  <c r="P58" i="6"/>
  <c r="N28" i="6"/>
  <c r="R7" i="4"/>
  <c r="N44" i="6"/>
  <c r="N29" i="6"/>
  <c r="N45" i="6"/>
  <c r="N42" i="6"/>
  <c r="N33" i="6"/>
  <c r="R12" i="4"/>
  <c r="N43" i="6"/>
  <c r="N34" i="6"/>
  <c r="R13" i="4"/>
  <c r="N39" i="6"/>
  <c r="N30" i="6"/>
  <c r="N35" i="6"/>
  <c r="R14" i="4"/>
  <c r="N31" i="6"/>
  <c r="N36" i="6"/>
  <c r="N27" i="6"/>
  <c r="N37" i="6"/>
  <c r="R16" i="4"/>
  <c r="N40" i="6"/>
  <c r="N32" i="6"/>
  <c r="N38" i="6"/>
  <c r="R17" i="4"/>
  <c r="N41" i="6"/>
  <c r="N26" i="6"/>
  <c r="AP4" i="6" a="1"/>
  <c r="AJ24" i="6"/>
  <c r="Q24" i="4" s="1"/>
  <c r="AI24" i="6"/>
  <c r="P24" i="4" s="1"/>
  <c r="AH24" i="6"/>
  <c r="O24" i="4" s="1"/>
  <c r="AG24" i="6"/>
  <c r="N24" i="4" s="1"/>
  <c r="AF24" i="6"/>
  <c r="M24" i="4" s="1"/>
  <c r="AE24" i="6"/>
  <c r="L24" i="4" s="1"/>
  <c r="AD24" i="6"/>
  <c r="K24" i="4" s="1"/>
  <c r="AC24" i="6"/>
  <c r="AJ23" i="6"/>
  <c r="Q23" i="4" s="1"/>
  <c r="AI23" i="6"/>
  <c r="P23" i="4" s="1"/>
  <c r="AH23" i="6"/>
  <c r="O23" i="4" s="1"/>
  <c r="AG23" i="6"/>
  <c r="N23" i="4" s="1"/>
  <c r="AF23" i="6"/>
  <c r="M23" i="4" s="1"/>
  <c r="AE23" i="6"/>
  <c r="L23" i="4" s="1"/>
  <c r="AD23" i="6"/>
  <c r="K23" i="4" s="1"/>
  <c r="AC23" i="6"/>
  <c r="AJ22" i="6"/>
  <c r="Q22" i="4" s="1"/>
  <c r="AI22" i="6"/>
  <c r="P22" i="4" s="1"/>
  <c r="AH22" i="6"/>
  <c r="O22" i="4" s="1"/>
  <c r="AG22" i="6"/>
  <c r="N22" i="4" s="1"/>
  <c r="AF22" i="6"/>
  <c r="M22" i="4" s="1"/>
  <c r="AE22" i="6"/>
  <c r="L22" i="4" s="1"/>
  <c r="AD22" i="6"/>
  <c r="K22" i="4" s="1"/>
  <c r="AC22" i="6"/>
  <c r="AJ21" i="6"/>
  <c r="Q21" i="4" s="1"/>
  <c r="AI21" i="6"/>
  <c r="P21" i="4" s="1"/>
  <c r="AH21" i="6"/>
  <c r="O21" i="4" s="1"/>
  <c r="AG21" i="6"/>
  <c r="N21" i="4" s="1"/>
  <c r="M21" i="4"/>
  <c r="AE21" i="6"/>
  <c r="L21" i="4" s="1"/>
  <c r="AD21" i="6"/>
  <c r="K21" i="4" s="1"/>
  <c r="AC21" i="6"/>
  <c r="AJ20" i="6"/>
  <c r="Q20" i="4" s="1"/>
  <c r="AI20" i="6"/>
  <c r="P20" i="4" s="1"/>
  <c r="AH20" i="6"/>
  <c r="O20" i="4" s="1"/>
  <c r="N20" i="4"/>
  <c r="AF20" i="6"/>
  <c r="M20" i="4" s="1"/>
  <c r="AE20" i="6"/>
  <c r="L20" i="4" s="1"/>
  <c r="AD20" i="6"/>
  <c r="K20" i="4" s="1"/>
  <c r="AC20" i="6"/>
  <c r="AJ19" i="6"/>
  <c r="Q19" i="4" s="1"/>
  <c r="AI19" i="6"/>
  <c r="P19" i="4" s="1"/>
  <c r="AH19" i="6"/>
  <c r="O19" i="4" s="1"/>
  <c r="AG19" i="6"/>
  <c r="N19" i="4" s="1"/>
  <c r="AF19" i="6"/>
  <c r="M19" i="4" s="1"/>
  <c r="AE19" i="6"/>
  <c r="L19" i="4" s="1"/>
  <c r="AD19" i="6"/>
  <c r="K19" i="4" s="1"/>
  <c r="AC19" i="6"/>
  <c r="AJ18" i="6"/>
  <c r="Q18" i="4" s="1"/>
  <c r="AI18" i="6"/>
  <c r="P18" i="4" s="1"/>
  <c r="AH18" i="6"/>
  <c r="O18" i="4" s="1"/>
  <c r="AG18" i="6"/>
  <c r="N18" i="4" s="1"/>
  <c r="AF18" i="6"/>
  <c r="M18" i="4" s="1"/>
  <c r="AE18" i="6"/>
  <c r="L18" i="4" s="1"/>
  <c r="AD18" i="6"/>
  <c r="K18" i="4" s="1"/>
  <c r="AC18" i="6"/>
  <c r="AJ17" i="6"/>
  <c r="Q17" i="4" s="1"/>
  <c r="AI17" i="6"/>
  <c r="P17" i="4" s="1"/>
  <c r="AH17" i="6"/>
  <c r="O17" i="4" s="1"/>
  <c r="AG17" i="6"/>
  <c r="N17" i="4" s="1"/>
  <c r="AF17" i="6"/>
  <c r="M17" i="4" s="1"/>
  <c r="AE17" i="6"/>
  <c r="L17" i="4" s="1"/>
  <c r="AD17" i="6"/>
  <c r="K17" i="4" s="1"/>
  <c r="AC17" i="6"/>
  <c r="AJ16" i="6"/>
  <c r="Q16" i="4" s="1"/>
  <c r="AI16" i="6"/>
  <c r="P16" i="4" s="1"/>
  <c r="O16" i="4"/>
  <c r="AG16" i="6"/>
  <c r="N16" i="4" s="1"/>
  <c r="AF16" i="6"/>
  <c r="M16" i="4" s="1"/>
  <c r="AE16" i="6"/>
  <c r="L16" i="4" s="1"/>
  <c r="AD16" i="6"/>
  <c r="K16" i="4" s="1"/>
  <c r="AC16" i="6"/>
  <c r="AJ15" i="6"/>
  <c r="Q15" i="4" s="1"/>
  <c r="AI15" i="6"/>
  <c r="P15" i="4" s="1"/>
  <c r="AH15" i="6"/>
  <c r="O15" i="4" s="1"/>
  <c r="AG15" i="6"/>
  <c r="N15" i="4" s="1"/>
  <c r="AF15" i="6"/>
  <c r="M15" i="4" s="1"/>
  <c r="AE15" i="6"/>
  <c r="L15" i="4" s="1"/>
  <c r="AD15" i="6"/>
  <c r="K15" i="4" s="1"/>
  <c r="AC15" i="6"/>
  <c r="AJ14" i="6"/>
  <c r="Q14" i="4" s="1"/>
  <c r="AI14" i="6"/>
  <c r="P14" i="4" s="1"/>
  <c r="AH14" i="6"/>
  <c r="O14" i="4" s="1"/>
  <c r="AG14" i="6"/>
  <c r="N14" i="4" s="1"/>
  <c r="AF14" i="6"/>
  <c r="M14" i="4" s="1"/>
  <c r="AE14" i="6"/>
  <c r="L14" i="4" s="1"/>
  <c r="AD14" i="6"/>
  <c r="K14" i="4" s="1"/>
  <c r="AC14" i="6"/>
  <c r="AJ13" i="6"/>
  <c r="Q13" i="4" s="1"/>
  <c r="AI13" i="6"/>
  <c r="P13" i="4" s="1"/>
  <c r="AH13" i="6"/>
  <c r="O13" i="4" s="1"/>
  <c r="AG13" i="6"/>
  <c r="N13" i="4" s="1"/>
  <c r="AF13" i="6"/>
  <c r="M13" i="4" s="1"/>
  <c r="AE13" i="6"/>
  <c r="L13" i="4" s="1"/>
  <c r="AD13" i="6"/>
  <c r="K13" i="4" s="1"/>
  <c r="AC13" i="6"/>
  <c r="AJ12" i="6"/>
  <c r="Q12" i="4" s="1"/>
  <c r="AI12" i="6"/>
  <c r="P12" i="4" s="1"/>
  <c r="AH12" i="6"/>
  <c r="O12" i="4" s="1"/>
  <c r="AG12" i="6"/>
  <c r="N12" i="4" s="1"/>
  <c r="AF12" i="6"/>
  <c r="M12" i="4" s="1"/>
  <c r="AE12" i="6"/>
  <c r="L12" i="4" s="1"/>
  <c r="AD12" i="6"/>
  <c r="K12" i="4" s="1"/>
  <c r="AC12" i="6"/>
  <c r="AJ11" i="6"/>
  <c r="Q11" i="4" s="1"/>
  <c r="AI11" i="6"/>
  <c r="P11" i="4" s="1"/>
  <c r="AH11" i="6"/>
  <c r="O11" i="4" s="1"/>
  <c r="AG11" i="6"/>
  <c r="N11" i="4" s="1"/>
  <c r="AF11" i="6"/>
  <c r="M11" i="4" s="1"/>
  <c r="AE11" i="6"/>
  <c r="L11" i="4" s="1"/>
  <c r="AD11" i="6"/>
  <c r="K11" i="4" s="1"/>
  <c r="AC11" i="6"/>
  <c r="AJ10" i="6"/>
  <c r="Q10" i="4" s="1"/>
  <c r="AI10" i="6"/>
  <c r="P10" i="4" s="1"/>
  <c r="AH10" i="6"/>
  <c r="O10" i="4" s="1"/>
  <c r="AG10" i="6"/>
  <c r="N10" i="4" s="1"/>
  <c r="AF10" i="6"/>
  <c r="M10" i="4" s="1"/>
  <c r="AE10" i="6"/>
  <c r="L10" i="4" s="1"/>
  <c r="AD10" i="6"/>
  <c r="K10" i="4" s="1"/>
  <c r="AC10" i="6"/>
  <c r="AJ9" i="6"/>
  <c r="Q9" i="4" s="1"/>
  <c r="AI9" i="6"/>
  <c r="P9" i="4" s="1"/>
  <c r="AH9" i="6"/>
  <c r="O9" i="4" s="1"/>
  <c r="AG9" i="6"/>
  <c r="N9" i="4" s="1"/>
  <c r="AF9" i="6"/>
  <c r="M9" i="4" s="1"/>
  <c r="AE9" i="6"/>
  <c r="L9" i="4" s="1"/>
  <c r="AD9" i="6"/>
  <c r="AC9" i="6"/>
  <c r="AI8" i="6"/>
  <c r="P8" i="4" s="1"/>
  <c r="AH8" i="6"/>
  <c r="O8" i="4" s="1"/>
  <c r="AG8" i="6"/>
  <c r="N8" i="4" s="1"/>
  <c r="AF8" i="6"/>
  <c r="M8" i="4" s="1"/>
  <c r="AE8" i="6"/>
  <c r="L8" i="4" s="1"/>
  <c r="AD8" i="6"/>
  <c r="K8" i="4" s="1"/>
  <c r="AC8" i="6"/>
  <c r="AJ7" i="6"/>
  <c r="Q7" i="4" s="1"/>
  <c r="AI7" i="6"/>
  <c r="P7" i="4" s="1"/>
  <c r="AH7" i="6"/>
  <c r="O7" i="4" s="1"/>
  <c r="AG7" i="6"/>
  <c r="N7" i="4" s="1"/>
  <c r="AF7" i="6"/>
  <c r="M7" i="4" s="1"/>
  <c r="AE7" i="6"/>
  <c r="L7" i="4" s="1"/>
  <c r="AD7" i="6"/>
  <c r="K7" i="4" s="1"/>
  <c r="AC7" i="6"/>
  <c r="AJ6" i="6"/>
  <c r="Q6" i="4" s="1"/>
  <c r="AI6" i="6"/>
  <c r="P6" i="4" s="1"/>
  <c r="AH6" i="6"/>
  <c r="O6" i="4" s="1"/>
  <c r="AG6" i="6"/>
  <c r="N6" i="4" s="1"/>
  <c r="AF6" i="6"/>
  <c r="M6" i="4" s="1"/>
  <c r="AE6" i="6"/>
  <c r="L6" i="4" s="1"/>
  <c r="AD6" i="6"/>
  <c r="K6" i="4" s="1"/>
  <c r="AC6" i="6"/>
  <c r="AI5" i="6"/>
  <c r="P5" i="4" s="1"/>
  <c r="AH5" i="6"/>
  <c r="O5" i="4" s="1"/>
  <c r="AG5" i="6"/>
  <c r="N5" i="4" s="1"/>
  <c r="AF5" i="6"/>
  <c r="M5" i="4" s="1"/>
  <c r="AE5" i="6"/>
  <c r="L5" i="4" s="1"/>
  <c r="AD5" i="6"/>
  <c r="K5" i="4" s="1"/>
  <c r="AC5" i="6"/>
  <c r="AD4" i="6"/>
  <c r="AE4" i="6" s="1"/>
  <c r="AF4" i="6" s="1"/>
  <c r="AG4" i="6" s="1"/>
  <c r="AH4" i="6" s="1"/>
  <c r="AI4" i="6" s="1"/>
  <c r="AJ4" i="6" s="1"/>
  <c r="M45" i="6"/>
  <c r="L45" i="6"/>
  <c r="K45" i="6"/>
  <c r="J45" i="6"/>
  <c r="I45" i="6"/>
  <c r="H45" i="6"/>
  <c r="G45" i="6"/>
  <c r="F45" i="6"/>
  <c r="M44" i="6"/>
  <c r="L44" i="6"/>
  <c r="K44" i="6"/>
  <c r="J44" i="6"/>
  <c r="I44" i="6"/>
  <c r="H44" i="6"/>
  <c r="G44" i="6"/>
  <c r="F44" i="6"/>
  <c r="M43" i="6"/>
  <c r="L43" i="6"/>
  <c r="K43" i="6"/>
  <c r="J43" i="6"/>
  <c r="I43" i="6"/>
  <c r="H43" i="6"/>
  <c r="G43" i="6"/>
  <c r="F43" i="6"/>
  <c r="M42" i="6"/>
  <c r="L42" i="6"/>
  <c r="K42" i="6"/>
  <c r="J42" i="6"/>
  <c r="I42" i="6"/>
  <c r="H42" i="6"/>
  <c r="G42" i="6"/>
  <c r="F42" i="6"/>
  <c r="M41" i="6"/>
  <c r="L41" i="6"/>
  <c r="K41" i="6"/>
  <c r="J41" i="6"/>
  <c r="I41" i="6"/>
  <c r="H41" i="6"/>
  <c r="G41" i="6"/>
  <c r="F41" i="6"/>
  <c r="M40" i="6"/>
  <c r="L40" i="6"/>
  <c r="K40" i="6"/>
  <c r="J40" i="6"/>
  <c r="I40" i="6"/>
  <c r="H40" i="6"/>
  <c r="G40" i="6"/>
  <c r="F40" i="6"/>
  <c r="M39" i="6"/>
  <c r="L39" i="6"/>
  <c r="K39" i="6"/>
  <c r="J39" i="6"/>
  <c r="I39" i="6"/>
  <c r="H39" i="6"/>
  <c r="G39" i="6"/>
  <c r="F39" i="6"/>
  <c r="M38" i="6"/>
  <c r="L38" i="6"/>
  <c r="K38" i="6"/>
  <c r="J38" i="6"/>
  <c r="I38" i="6"/>
  <c r="H38" i="6"/>
  <c r="G38" i="6"/>
  <c r="F38" i="6"/>
  <c r="M37" i="6"/>
  <c r="L37" i="6"/>
  <c r="K37" i="6"/>
  <c r="J37" i="6"/>
  <c r="I37" i="6"/>
  <c r="H37" i="6"/>
  <c r="G37" i="6"/>
  <c r="F37" i="6"/>
  <c r="M36" i="6"/>
  <c r="L36" i="6"/>
  <c r="K36" i="6"/>
  <c r="J36" i="6"/>
  <c r="I36" i="6"/>
  <c r="H36" i="6"/>
  <c r="G36" i="6"/>
  <c r="F36" i="6"/>
  <c r="M35" i="6"/>
  <c r="L35" i="6"/>
  <c r="K35" i="6"/>
  <c r="J35" i="6"/>
  <c r="I35" i="6"/>
  <c r="H35" i="6"/>
  <c r="G35" i="6"/>
  <c r="F35" i="6"/>
  <c r="M34" i="6"/>
  <c r="L34" i="6"/>
  <c r="K34" i="6"/>
  <c r="J34" i="6"/>
  <c r="I34" i="6"/>
  <c r="H34" i="6"/>
  <c r="G34" i="6"/>
  <c r="F34" i="6"/>
  <c r="M33" i="6"/>
  <c r="L33" i="6"/>
  <c r="K33" i="6"/>
  <c r="J33" i="6"/>
  <c r="I33" i="6"/>
  <c r="H33" i="6"/>
  <c r="G33" i="6"/>
  <c r="F33" i="6"/>
  <c r="M32" i="6"/>
  <c r="L32" i="6"/>
  <c r="K32" i="6"/>
  <c r="J32" i="6"/>
  <c r="I32" i="6"/>
  <c r="H32" i="6"/>
  <c r="G32" i="6"/>
  <c r="F32" i="6"/>
  <c r="M31" i="6"/>
  <c r="L31" i="6"/>
  <c r="K31" i="6"/>
  <c r="J31" i="6"/>
  <c r="I31" i="6"/>
  <c r="H31" i="6"/>
  <c r="G31" i="6"/>
  <c r="F31" i="6"/>
  <c r="M30" i="6"/>
  <c r="L30" i="6"/>
  <c r="K30" i="6"/>
  <c r="J30" i="6"/>
  <c r="I30" i="6"/>
  <c r="H30" i="6"/>
  <c r="G30" i="6"/>
  <c r="F30" i="6"/>
  <c r="M29" i="6"/>
  <c r="L29" i="6"/>
  <c r="K29" i="6"/>
  <c r="J29" i="6"/>
  <c r="I29" i="6"/>
  <c r="H29" i="6"/>
  <c r="G29" i="6"/>
  <c r="F29" i="6"/>
  <c r="M28" i="6"/>
  <c r="L28" i="6"/>
  <c r="K28" i="6"/>
  <c r="J28" i="6"/>
  <c r="I28" i="6"/>
  <c r="H28" i="6"/>
  <c r="G28" i="6"/>
  <c r="F28" i="6"/>
  <c r="M27" i="6"/>
  <c r="L27" i="6"/>
  <c r="K27" i="6"/>
  <c r="J27" i="6"/>
  <c r="I27" i="6"/>
  <c r="H27" i="6"/>
  <c r="G27" i="6"/>
  <c r="F27" i="6"/>
  <c r="M26" i="6"/>
  <c r="L26" i="6"/>
  <c r="K26" i="6"/>
  <c r="J26" i="6"/>
  <c r="I26" i="6"/>
  <c r="H26" i="6"/>
  <c r="G26" i="6"/>
  <c r="BO135" i="6" l="1"/>
  <c r="BQ135" i="6" s="1"/>
  <c r="BO130" i="6"/>
  <c r="BM142" i="6"/>
  <c r="BN142" i="6"/>
  <c r="BQ130" i="6"/>
  <c r="BO141" i="6"/>
  <c r="BQ141" i="6" s="1"/>
  <c r="BP141" i="6"/>
  <c r="BR130" i="6"/>
  <c r="BR141" i="6"/>
  <c r="BR135" i="6"/>
  <c r="BP136" i="6"/>
  <c r="CV17" i="6"/>
  <c r="CX17" i="6" s="1"/>
  <c r="CT34" i="6"/>
  <c r="CU32" i="6" s="1"/>
  <c r="CV19" i="6"/>
  <c r="CW19" i="6" s="1"/>
  <c r="CX19" i="6"/>
  <c r="CV18" i="6"/>
  <c r="CW18" i="6" s="1"/>
  <c r="CX18" i="6"/>
  <c r="CV20" i="6"/>
  <c r="CW20" i="6" s="1"/>
  <c r="CU33" i="6"/>
  <c r="BR79" i="6"/>
  <c r="O42" i="6"/>
  <c r="O28" i="6"/>
  <c r="O30" i="6"/>
  <c r="O32" i="6"/>
  <c r="O38" i="6"/>
  <c r="O36" i="6"/>
  <c r="O37" i="6"/>
  <c r="O34" i="6"/>
  <c r="O40" i="6"/>
  <c r="O44" i="6"/>
  <c r="O27" i="6"/>
  <c r="O29" i="6"/>
  <c r="O31" i="6"/>
  <c r="O33" i="6"/>
  <c r="O35" i="6"/>
  <c r="O39" i="6"/>
  <c r="O41" i="6"/>
  <c r="O43" i="6"/>
  <c r="O45" i="6"/>
  <c r="AL24" i="6"/>
  <c r="J10" i="4"/>
  <c r="S10" i="4" s="1"/>
  <c r="AL10" i="6"/>
  <c r="J12" i="4"/>
  <c r="S12" i="4" s="1"/>
  <c r="AL12" i="6"/>
  <c r="J14" i="4"/>
  <c r="S14" i="4" s="1"/>
  <c r="AL14" i="6"/>
  <c r="J16" i="4"/>
  <c r="T16" i="4" s="1"/>
  <c r="AL16" i="6"/>
  <c r="AL18" i="6"/>
  <c r="AL20" i="6"/>
  <c r="J22" i="4"/>
  <c r="S22" i="4" s="1"/>
  <c r="AL22" i="6"/>
  <c r="J6" i="4"/>
  <c r="T6" i="4" s="1"/>
  <c r="AL6" i="6"/>
  <c r="J9" i="4"/>
  <c r="AL9" i="6"/>
  <c r="J11" i="4"/>
  <c r="T11" i="4" s="1"/>
  <c r="AL11" i="6"/>
  <c r="J13" i="4"/>
  <c r="S13" i="4" s="1"/>
  <c r="AL13" i="6"/>
  <c r="J15" i="4"/>
  <c r="T15" i="4" s="1"/>
  <c r="AL15" i="6"/>
  <c r="J17" i="4"/>
  <c r="S17" i="4" s="1"/>
  <c r="AL17" i="6"/>
  <c r="J19" i="4"/>
  <c r="T19" i="4" s="1"/>
  <c r="AL19" i="6"/>
  <c r="J21" i="4"/>
  <c r="T21" i="4" s="1"/>
  <c r="AL21" i="6"/>
  <c r="J23" i="4"/>
  <c r="S23" i="4" s="1"/>
  <c r="AL23" i="6"/>
  <c r="J7" i="4"/>
  <c r="T7" i="4" s="1"/>
  <c r="AL7" i="6"/>
  <c r="J5" i="4"/>
  <c r="J18" i="4"/>
  <c r="S18" i="4" s="1"/>
  <c r="J24" i="4"/>
  <c r="T24" i="4" s="1"/>
  <c r="J20" i="4"/>
  <c r="T20" i="4" s="1"/>
  <c r="J8" i="4"/>
  <c r="K9" i="4"/>
  <c r="G25" i="6"/>
  <c r="H25" i="6" s="1"/>
  <c r="I25" i="6" s="1"/>
  <c r="J25" i="6" s="1"/>
  <c r="K25" i="6" s="1"/>
  <c r="L25" i="6" s="1"/>
  <c r="M25" i="6" s="1"/>
  <c r="N25" i="6" s="1"/>
  <c r="S4" i="6"/>
  <c r="T4" i="6" s="1"/>
  <c r="U4" i="6" s="1"/>
  <c r="V4" i="6" s="1"/>
  <c r="W4" i="6" s="1"/>
  <c r="X4" i="6" s="1"/>
  <c r="Y4" i="6" s="1"/>
  <c r="Z4" i="6" s="1"/>
  <c r="Y8" i="6"/>
  <c r="Y5" i="6"/>
  <c r="BO142" i="6" l="1"/>
  <c r="BP130" i="6"/>
  <c r="BP135" i="6"/>
  <c r="CW17" i="6"/>
  <c r="CX20" i="6"/>
  <c r="AJ5" i="6"/>
  <c r="Q5" i="4" s="1"/>
  <c r="Y26" i="6"/>
  <c r="Z26" i="6" s="1"/>
  <c r="AK5" i="6" s="1"/>
  <c r="AJ8" i="6"/>
  <c r="Q8" i="4" s="1"/>
  <c r="Y29" i="6"/>
  <c r="Z29" i="6" s="1"/>
  <c r="AK8" i="6" s="1"/>
  <c r="T23" i="4"/>
  <c r="S16" i="4"/>
  <c r="T18" i="4"/>
  <c r="T13" i="4"/>
  <c r="T9" i="4"/>
  <c r="S6" i="4"/>
  <c r="S9" i="4"/>
  <c r="S24" i="4"/>
  <c r="T10" i="4"/>
  <c r="T14" i="4"/>
  <c r="S11" i="4"/>
  <c r="T12" i="4"/>
  <c r="T22" i="4"/>
  <c r="T17" i="4"/>
  <c r="S7" i="4"/>
  <c r="S21" i="4"/>
  <c r="S20" i="4"/>
  <c r="S19" i="4"/>
  <c r="S15" i="4"/>
  <c r="G4" i="6"/>
  <c r="H4" i="6" s="1"/>
  <c r="I4" i="6" s="1"/>
  <c r="J4" i="6" s="1"/>
  <c r="K4" i="6" s="1"/>
  <c r="L4" i="6" s="1"/>
  <c r="M4" i="6" s="1"/>
  <c r="N4" i="6" s="1"/>
  <c r="XEF26" i="4" a="1"/>
  <c r="XEG26" i="4" s="1"/>
  <c r="XEF28" i="4" a="1"/>
  <c r="XEG28" i="4" s="1"/>
  <c r="XEF27" i="4" a="1"/>
  <c r="XEG27" i="4" s="1"/>
  <c r="XEF20" i="4" a="1"/>
  <c r="XEG20" i="4" s="1"/>
  <c r="XEF25" i="4" a="1"/>
  <c r="XEG25" i="4" s="1"/>
  <c r="XEF24" i="4" a="1"/>
  <c r="XEG24" i="4" s="1"/>
  <c r="XEF22" i="4" a="1"/>
  <c r="XEG22" i="4" s="1"/>
  <c r="XEF23" i="4" a="1"/>
  <c r="XEG23" i="4" s="1"/>
  <c r="XEF19" i="4" a="1"/>
  <c r="XEG19" i="4" s="1"/>
  <c r="XEF18" i="4" a="1"/>
  <c r="XEG18" i="4" s="1"/>
  <c r="XEF21" i="4" a="1"/>
  <c r="XEG21" i="4" s="1"/>
  <c r="XEF12" i="4" a="1"/>
  <c r="XEG12" i="4" s="1"/>
  <c r="XEF16" i="4" a="1"/>
  <c r="XEG16" i="4" s="1"/>
  <c r="XEF15" i="4" a="1"/>
  <c r="XEG15" i="4" s="1"/>
  <c r="XEF17" i="4" a="1"/>
  <c r="XEG17" i="4" s="1"/>
  <c r="XEF14" i="4" a="1"/>
  <c r="XEG14" i="4" s="1"/>
  <c r="XEF13" i="4" a="1"/>
  <c r="XEG13" i="4" s="1"/>
  <c r="XEF11" i="4" a="1"/>
  <c r="XEG11" i="4" s="1"/>
  <c r="XEF10" i="4" a="1"/>
  <c r="XEG10" i="4" s="1"/>
  <c r="XEF9" i="4" a="1"/>
  <c r="XEG9" i="4" s="1"/>
  <c r="U70" i="4"/>
  <c r="U69" i="4"/>
  <c r="U68" i="4"/>
  <c r="U67" i="4"/>
  <c r="U66" i="4"/>
  <c r="U65" i="4"/>
  <c r="U64" i="4"/>
  <c r="U63" i="4"/>
  <c r="U62" i="4"/>
  <c r="U61" i="4"/>
  <c r="U55" i="4"/>
  <c r="T70" i="4"/>
  <c r="T69" i="4"/>
  <c r="T68" i="4"/>
  <c r="T67" i="4"/>
  <c r="T66" i="4"/>
  <c r="T65" i="4"/>
  <c r="T64" i="4"/>
  <c r="T63" i="4"/>
  <c r="T62" i="4"/>
  <c r="T61" i="4"/>
  <c r="T55" i="4"/>
  <c r="S70" i="4"/>
  <c r="S69" i="4"/>
  <c r="S68" i="4"/>
  <c r="S67" i="4"/>
  <c r="S66" i="4"/>
  <c r="S65" i="4"/>
  <c r="S64" i="4"/>
  <c r="S63" i="4"/>
  <c r="S62" i="4"/>
  <c r="S61" i="4"/>
  <c r="S55" i="4"/>
  <c r="R69" i="4"/>
  <c r="R62" i="4"/>
  <c r="R64" i="4"/>
  <c r="R67" i="4"/>
  <c r="R70" i="4"/>
  <c r="R68" i="4"/>
  <c r="R66" i="4"/>
  <c r="R65" i="4"/>
  <c r="R63" i="4"/>
  <c r="R61" i="4"/>
  <c r="Q70" i="4"/>
  <c r="Q69" i="4"/>
  <c r="Q68" i="4"/>
  <c r="Q67" i="4"/>
  <c r="Q66" i="4"/>
  <c r="Q65" i="4"/>
  <c r="Q64" i="4"/>
  <c r="Q63" i="4"/>
  <c r="Q62" i="4"/>
  <c r="Q61" i="4"/>
  <c r="Q55" i="4"/>
  <c r="P70" i="4"/>
  <c r="P69" i="4"/>
  <c r="P68" i="4"/>
  <c r="P67" i="4"/>
  <c r="P66" i="4"/>
  <c r="P65" i="4"/>
  <c r="P64" i="4"/>
  <c r="P63" i="4"/>
  <c r="P62" i="4"/>
  <c r="P61" i="4"/>
  <c r="P55" i="4"/>
  <c r="M70" i="4"/>
  <c r="M69" i="4"/>
  <c r="M68" i="4"/>
  <c r="M67" i="4"/>
  <c r="M66" i="4"/>
  <c r="M65" i="4"/>
  <c r="M64" i="4"/>
  <c r="M63" i="4"/>
  <c r="M62" i="4"/>
  <c r="M61" i="4"/>
  <c r="M55" i="4"/>
  <c r="N70" i="4"/>
  <c r="N69" i="4"/>
  <c r="N68" i="4"/>
  <c r="N67" i="4"/>
  <c r="N66" i="4"/>
  <c r="N65" i="4"/>
  <c r="N64" i="4"/>
  <c r="N63" i="4"/>
  <c r="N62" i="4"/>
  <c r="N61" i="4"/>
  <c r="N55" i="4"/>
  <c r="O70" i="4"/>
  <c r="O69" i="4"/>
  <c r="O68" i="4"/>
  <c r="O67" i="4"/>
  <c r="O66" i="4"/>
  <c r="O65" i="4"/>
  <c r="O64" i="4"/>
  <c r="O63" i="4"/>
  <c r="O62" i="4"/>
  <c r="O61" i="4"/>
  <c r="O55" i="4"/>
  <c r="L70" i="4"/>
  <c r="L69" i="4"/>
  <c r="L68" i="4"/>
  <c r="L67" i="4"/>
  <c r="L66" i="4"/>
  <c r="L65" i="4"/>
  <c r="L64" i="4"/>
  <c r="L63" i="4"/>
  <c r="L62" i="4"/>
  <c r="L61" i="4"/>
  <c r="E7" i="4" a="1"/>
  <c r="E23" i="4" a="1"/>
  <c r="F23" i="4" s="1"/>
  <c r="E24" i="4" a="1"/>
  <c r="F24" i="4" s="1"/>
  <c r="E13" i="4" a="1"/>
  <c r="R8" i="4" l="1"/>
  <c r="AL8" i="6"/>
  <c r="R5" i="4"/>
  <c r="AL5" i="6"/>
  <c r="XDZ81" i="4" a="1"/>
  <c r="XEG99" i="4" s="1"/>
  <c r="AD59" i="4" s="1"/>
  <c r="O26" i="6"/>
  <c r="AP6" i="6" s="1" a="1"/>
  <c r="M71" i="4"/>
  <c r="N71" i="4"/>
  <c r="XEG31" i="4"/>
  <c r="U71" i="4"/>
  <c r="T71" i="4"/>
  <c r="S71" i="4"/>
  <c r="L71" i="4"/>
  <c r="R71" i="4"/>
  <c r="R55" i="4"/>
  <c r="Q71" i="4"/>
  <c r="P71" i="4"/>
  <c r="O71" i="4"/>
  <c r="F13" i="4"/>
  <c r="AP5" i="6" l="1" a="1"/>
  <c r="AP7" i="6" s="1"/>
  <c r="S8" i="4"/>
  <c r="T8" i="4"/>
  <c r="XET112" i="4"/>
  <c r="AQ72" i="4" s="1"/>
  <c r="XES111" i="4"/>
  <c r="AP71" i="4" s="1"/>
  <c r="XEQ109" i="4"/>
  <c r="AN69" i="4" s="1"/>
  <c r="XEP108" i="4"/>
  <c r="AM68" i="4" s="1"/>
  <c r="XEI101" i="4"/>
  <c r="AF61" i="4" s="1"/>
  <c r="XED96" i="4"/>
  <c r="AA56" i="4" s="1"/>
  <c r="XEM105" i="4"/>
  <c r="AJ65" i="4" s="1"/>
  <c r="XEN106" i="4"/>
  <c r="AK66" i="4" s="1"/>
  <c r="XEH100" i="4"/>
  <c r="AE60" i="4" s="1"/>
  <c r="XER110" i="4"/>
  <c r="AO70" i="4" s="1"/>
  <c r="XEK103" i="4"/>
  <c r="AH63" i="4" s="1"/>
  <c r="XEB94" i="4"/>
  <c r="Y54" i="4" s="1"/>
  <c r="XEE97" i="4"/>
  <c r="AB57" i="4" s="1"/>
  <c r="XEJ102" i="4"/>
  <c r="AG62" i="4" s="1"/>
  <c r="XEC95" i="4"/>
  <c r="Z55" i="4" s="1"/>
  <c r="XEF98" i="4"/>
  <c r="AC58" i="4" s="1"/>
  <c r="XEL104" i="4"/>
  <c r="AI64" i="4" s="1"/>
  <c r="XEO107" i="4"/>
  <c r="AL67" i="4" s="1"/>
  <c r="XEA93" i="4" s="1"/>
  <c r="X53" i="4" s="1"/>
  <c r="S5" i="4"/>
  <c r="T5" i="4"/>
  <c r="XEG33" i="4"/>
  <c r="XEH24" i="4" s="1"/>
  <c r="J43" i="4" s="1"/>
  <c r="F28" i="4"/>
  <c r="XDZ80" i="4" a="1"/>
  <c r="XDY82" i="4"/>
  <c r="XDY83" i="4" s="1"/>
  <c r="XDY84" i="4" s="1"/>
  <c r="XDY85" i="4" s="1"/>
  <c r="XDY86" i="4" s="1"/>
  <c r="XDY87" i="4" s="1"/>
  <c r="XDY88" i="4" s="1"/>
  <c r="L56" i="4" l="1" a="1"/>
  <c r="L57" i="4" a="1"/>
  <c r="BF7" i="6"/>
  <c r="AX7" i="6"/>
  <c r="AV7" i="6"/>
  <c r="BA7" i="6"/>
  <c r="AT7" i="6"/>
  <c r="AW7" i="6"/>
  <c r="BE7" i="6"/>
  <c r="BG7" i="6"/>
  <c r="AR7" i="6"/>
  <c r="AZ7" i="6"/>
  <c r="AQ7" i="6"/>
  <c r="BH7" i="6"/>
  <c r="BD7" i="6"/>
  <c r="BI7" i="6"/>
  <c r="AU7" i="6"/>
  <c r="AS7" i="6"/>
  <c r="BC7" i="6"/>
  <c r="AY7" i="6"/>
  <c r="BB7" i="6"/>
  <c r="R56" i="4" a="1"/>
  <c r="S56" i="4" a="1"/>
  <c r="O56" i="4" a="1"/>
  <c r="N56" i="4" a="1"/>
  <c r="T56" i="4" a="1"/>
  <c r="U56" i="4" a="1"/>
  <c r="Q56" i="4" a="1"/>
  <c r="M56" i="4" a="1"/>
  <c r="P56" i="4" a="1"/>
  <c r="XEH15" i="4"/>
  <c r="J42" i="4" s="1"/>
  <c r="XEH17" i="4"/>
  <c r="J41" i="4" s="1"/>
  <c r="XEH19" i="4"/>
  <c r="J45" i="4" s="1"/>
  <c r="XEH21" i="4"/>
  <c r="J37" i="4" s="1"/>
  <c r="XEH12" i="4"/>
  <c r="J52" i="4" s="1"/>
  <c r="XEH14" i="4"/>
  <c r="J38" i="4" s="1"/>
  <c r="J65" i="4" s="1"/>
  <c r="D59" i="4" s="1"/>
  <c r="XEH9" i="4"/>
  <c r="J35" i="4" s="1"/>
  <c r="XEH22" i="4"/>
  <c r="J47" i="4" s="1"/>
  <c r="XEH27" i="4"/>
  <c r="J49" i="4" s="1"/>
  <c r="XEH16" i="4"/>
  <c r="J39" i="4" s="1"/>
  <c r="J64" i="4" s="1"/>
  <c r="D58" i="4" s="1"/>
  <c r="XEH10" i="4"/>
  <c r="J36" i="4" s="1"/>
  <c r="XEH18" i="4"/>
  <c r="J44" i="4" s="1"/>
  <c r="XEH13" i="4"/>
  <c r="J40" i="4" s="1"/>
  <c r="XEH26" i="4"/>
  <c r="J53" i="4" s="1"/>
  <c r="XEH23" i="4"/>
  <c r="J46" i="4" s="1"/>
  <c r="XEH25" i="4"/>
  <c r="J48" i="4" s="1"/>
  <c r="XEH11" i="4"/>
  <c r="J51" i="4" s="1"/>
  <c r="J69" i="4" s="1"/>
  <c r="D63" i="4" s="1"/>
  <c r="XEH20" i="4"/>
  <c r="J50" i="4" s="1"/>
  <c r="XEH28" i="4"/>
  <c r="J54" i="4" s="1"/>
  <c r="L58" i="4" l="1"/>
  <c r="J59" i="4"/>
  <c r="J56" i="4" a="1"/>
  <c r="J67" i="4"/>
  <c r="D61" i="4" s="1"/>
  <c r="J61" i="4"/>
  <c r="D55" i="4" s="1"/>
  <c r="J66" i="4"/>
  <c r="D60" i="4" s="1"/>
  <c r="J70" i="4"/>
  <c r="D64" i="4" s="1"/>
  <c r="J63" i="4"/>
  <c r="D57" i="4" s="1"/>
  <c r="J68" i="4"/>
  <c r="D62" i="4" s="1"/>
  <c r="J62" i="4"/>
  <c r="D56" i="4" s="1"/>
  <c r="J57" i="4" a="1"/>
  <c r="J55" i="4"/>
  <c r="E21" i="4" a="1"/>
  <c r="F21" i="4" s="1"/>
  <c r="E22" i="4" a="1"/>
  <c r="F22" i="4" s="1"/>
  <c r="E20" i="4" a="1"/>
  <c r="F20" i="4" s="1"/>
  <c r="E18" i="4" a="1"/>
  <c r="F18" i="4" s="1"/>
  <c r="E17" i="4" a="1"/>
  <c r="E16" i="4" a="1"/>
  <c r="F16" i="4" s="1"/>
  <c r="E15" i="4" a="1"/>
  <c r="F15" i="4" s="1"/>
  <c r="E19" i="4" a="1"/>
  <c r="F19" i="4" s="1"/>
  <c r="E8" i="4" a="1"/>
  <c r="F8" i="4" s="1"/>
  <c r="E12" i="4" a="1"/>
  <c r="F12" i="4" s="1"/>
  <c r="E9" i="4" a="1"/>
  <c r="F9" i="4" s="1"/>
  <c r="E10" i="4" a="1"/>
  <c r="F10" i="4" s="1"/>
  <c r="E6" i="4" a="1"/>
  <c r="F6" i="4" s="1"/>
  <c r="E14" i="4" a="1"/>
  <c r="E11" i="4" a="1"/>
  <c r="F11" i="4" s="1"/>
  <c r="E5" i="4" a="1"/>
  <c r="F5" i="4" s="1"/>
  <c r="J58" i="4" l="1"/>
  <c r="P57" i="4" a="1"/>
  <c r="U57" i="4" a="1"/>
  <c r="N57" i="4" a="1"/>
  <c r="M57" i="4" a="1"/>
  <c r="O57" i="4" a="1"/>
  <c r="S57" i="4" a="1"/>
  <c r="Q57" i="4" a="1"/>
  <c r="T57" i="4" a="1"/>
  <c r="R57" i="4" a="1"/>
  <c r="D65" i="4"/>
  <c r="J71" i="4"/>
  <c r="F14" i="4"/>
  <c r="F17" i="4"/>
  <c r="F7" i="4" l="1"/>
  <c r="F27" i="4" l="1"/>
  <c r="G7" i="4" s="1"/>
  <c r="K51" i="4" l="1"/>
  <c r="K69" i="4" s="1"/>
  <c r="G24" i="4"/>
  <c r="G23" i="4"/>
  <c r="G13" i="4"/>
  <c r="F29" i="4"/>
  <c r="G8" i="4"/>
  <c r="G12" i="4"/>
  <c r="G21" i="4"/>
  <c r="G19" i="4"/>
  <c r="G9" i="4"/>
  <c r="G16" i="4"/>
  <c r="G22" i="4"/>
  <c r="G10" i="4"/>
  <c r="G15" i="4"/>
  <c r="G18" i="4"/>
  <c r="G11" i="4"/>
  <c r="G20" i="4"/>
  <c r="G5" i="4"/>
  <c r="G6" i="4"/>
  <c r="G17" i="4"/>
  <c r="G14" i="4"/>
  <c r="XEH31" i="4"/>
  <c r="K47" i="4" l="1"/>
  <c r="K45" i="4"/>
  <c r="K41" i="4"/>
  <c r="K43" i="4"/>
  <c r="K40" i="4"/>
  <c r="K35" i="4"/>
  <c r="K49" i="4"/>
  <c r="K38" i="4"/>
  <c r="K65" i="4" s="1"/>
  <c r="K39" i="4"/>
  <c r="K64" i="4" s="1"/>
  <c r="K44" i="4"/>
  <c r="K50" i="4"/>
  <c r="K37" i="4"/>
  <c r="K46" i="4"/>
  <c r="K52" i="4"/>
  <c r="K36" i="4"/>
  <c r="K54" i="4"/>
  <c r="K53" i="4"/>
  <c r="K48" i="4"/>
  <c r="K42" i="4"/>
  <c r="G27" i="4"/>
  <c r="K70" i="4" l="1"/>
  <c r="K62" i="4"/>
  <c r="K67" i="4"/>
  <c r="K68" i="4"/>
  <c r="K59" i="4"/>
  <c r="K66" i="4"/>
  <c r="K56" i="4" a="1"/>
  <c r="K61" i="4"/>
  <c r="Q58" i="4"/>
  <c r="O58" i="4"/>
  <c r="R58" i="4"/>
  <c r="N58" i="4"/>
  <c r="T58" i="4"/>
  <c r="M58" i="4"/>
  <c r="P58" i="4"/>
  <c r="U58" i="4"/>
  <c r="S58" i="4"/>
  <c r="K63" i="4"/>
  <c r="K57" i="4" a="1"/>
  <c r="K55" i="4"/>
  <c r="K71" i="4" l="1"/>
  <c r="K58"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1">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futureMetadata>
  <cellMetadata count="1">
    <bk>
      <rc t="1" v="0"/>
    </bk>
  </cellMetadata>
  <valueMetadata count="2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valueMetadata>
</metadata>
</file>

<file path=xl/sharedStrings.xml><?xml version="1.0" encoding="utf-8"?>
<sst xmlns="http://schemas.openxmlformats.org/spreadsheetml/2006/main" count="684" uniqueCount="290">
  <si>
    <t>Mkt Value</t>
  </si>
  <si>
    <t>Total</t>
  </si>
  <si>
    <t>Shares</t>
  </si>
  <si>
    <t>Price</t>
  </si>
  <si>
    <t>Industry</t>
  </si>
  <si>
    <t>Ticker</t>
  </si>
  <si>
    <t>Name</t>
  </si>
  <si>
    <t>VOO</t>
  </si>
  <si>
    <t>DIA</t>
  </si>
  <si>
    <t>TSLA</t>
  </si>
  <si>
    <t>BAC</t>
  </si>
  <si>
    <t>SBUX</t>
  </si>
  <si>
    <t>O</t>
  </si>
  <si>
    <t>VZ</t>
  </si>
  <si>
    <t>AMZN</t>
  </si>
  <si>
    <t>GOOGL</t>
  </si>
  <si>
    <t>CRM</t>
  </si>
  <si>
    <t>CVX</t>
  </si>
  <si>
    <t>AMD</t>
  </si>
  <si>
    <t>LULU</t>
  </si>
  <si>
    <t>LMT</t>
  </si>
  <si>
    <t>UPS</t>
  </si>
  <si>
    <t>XOM</t>
  </si>
  <si>
    <t>Pos Ratio</t>
  </si>
  <si>
    <t>R, 2024</t>
  </si>
  <si>
    <t>R, 2023</t>
  </si>
  <si>
    <t>R, 2021</t>
  </si>
  <si>
    <t>R, 2020</t>
  </si>
  <si>
    <t>R, 2019</t>
  </si>
  <si>
    <t>R, 2018</t>
  </si>
  <si>
    <t>R, 2017</t>
  </si>
  <si>
    <t>σ</t>
  </si>
  <si>
    <t>μ</t>
  </si>
  <si>
    <t>μP</t>
  </si>
  <si>
    <t>μ/σ</t>
  </si>
  <si>
    <t>σP</t>
  </si>
  <si>
    <t>Current</t>
  </si>
  <si>
    <t>Equal WT</t>
  </si>
  <si>
    <t>Column 1</t>
  </si>
  <si>
    <t>Column 2</t>
  </si>
  <si>
    <t>Column 3</t>
  </si>
  <si>
    <t>Column 4</t>
  </si>
  <si>
    <t>Column 5</t>
  </si>
  <si>
    <t>Column 6</t>
  </si>
  <si>
    <t>Column 7</t>
  </si>
  <si>
    <t>R. 2022</t>
  </si>
  <si>
    <t>Column 8</t>
  </si>
  <si>
    <t>Column 9</t>
  </si>
  <si>
    <t>Column 10</t>
  </si>
  <si>
    <t>Column 11</t>
  </si>
  <si>
    <t>Column 12</t>
  </si>
  <si>
    <t>Column 13</t>
  </si>
  <si>
    <t>Column 14</t>
  </si>
  <si>
    <t>Column 15</t>
  </si>
  <si>
    <t>Column 16</t>
  </si>
  <si>
    <t>Scenario</t>
  </si>
  <si>
    <t>None</t>
  </si>
  <si>
    <t>Max μP</t>
  </si>
  <si>
    <t>β</t>
  </si>
  <si>
    <t>βP</t>
  </si>
  <si>
    <t>Portfolio Consensus</t>
  </si>
  <si>
    <t>Large blend</t>
  </si>
  <si>
    <t>Financial Services</t>
  </si>
  <si>
    <t>Consumer Cyclical</t>
  </si>
  <si>
    <t>Real Estate</t>
  </si>
  <si>
    <t>Communication Services</t>
  </si>
  <si>
    <t xml:space="preserve"> Sector</t>
  </si>
  <si>
    <t>Internet</t>
  </si>
  <si>
    <t>Technology</t>
  </si>
  <si>
    <t>Software</t>
  </si>
  <si>
    <t>Energy</t>
  </si>
  <si>
    <t>Oil and Gas</t>
  </si>
  <si>
    <t>Semiconductors</t>
  </si>
  <si>
    <t>Retail</t>
  </si>
  <si>
    <t>Industrials</t>
  </si>
  <si>
    <t>Aerospace &amp; Defense</t>
  </si>
  <si>
    <t>Freight &amp; Logistics</t>
  </si>
  <si>
    <t>N/A</t>
  </si>
  <si>
    <t>Banks</t>
  </si>
  <si>
    <t>Auto Manufacturer</t>
  </si>
  <si>
    <t>REIT</t>
  </si>
  <si>
    <t>Telecom</t>
  </si>
  <si>
    <t>Restaurants</t>
  </si>
  <si>
    <t>Portfolio Sector Weights</t>
  </si>
  <si>
    <t>Large Blend</t>
  </si>
  <si>
    <t>Min σP</t>
  </si>
  <si>
    <t>Key Takeaways</t>
  </si>
  <si>
    <t>Constraints = Min σP , μP &gt;= 18.5% , βP &gt;= 1.055 , Sector &lt;= 20% , Security &gt;= 3.25%</t>
  </si>
  <si>
    <r>
      <t xml:space="preserve">In order to achieve a 18.5% return on the portfolio, while reducing σP to the smallest it could, </t>
    </r>
    <r>
      <rPr>
        <i/>
        <sz val="12.5"/>
        <color theme="1"/>
        <rFont val="Arial"/>
        <family val="2"/>
      </rPr>
      <t xml:space="preserve">Solver </t>
    </r>
    <r>
      <rPr>
        <sz val="12.5"/>
        <color theme="1"/>
        <rFont val="Arial"/>
        <family val="2"/>
      </rPr>
      <t>is saying to double down on BAC and CRM and significantly</t>
    </r>
  </si>
  <si>
    <t>increase XOM to 16.75% of the TotalP. Furthermore, to meet the βP &gt;= 1.055 constraint, while maintaining &lt;= 20% on a sector, it says to max out Technology,</t>
  </si>
  <si>
    <t>Consumer Cyclical, Financial Services, and Energy.</t>
  </si>
  <si>
    <t xml:space="preserve"> + reduce VOO, TSLA, O, VZ, SBUX, DIA, GOOGL, CVX, and LULU</t>
  </si>
  <si>
    <t xml:space="preserve"> + increase BAC, AMZN, CRM, AMD, LMT, UPS, and XOM</t>
  </si>
  <si>
    <t xml:space="preserve"> + results: σP = 11.96%  |  μP = 18.5%  |  βP = 1.055</t>
  </si>
  <si>
    <t xml:space="preserve">The P is poorly constructed, with a lot of losers (O, CVX, UPS, and SBUX), which is the reason why the P's average return for the past 8-years has been 25.66%   </t>
  </si>
  <si>
    <t>with a HIGH standard deviation of 28.48%.</t>
  </si>
  <si>
    <r>
      <t xml:space="preserve">The P should be introduced with two or more solid winners that can take from the HIGH sector % of the total P of </t>
    </r>
    <r>
      <rPr>
        <i/>
        <sz val="12.5"/>
        <color theme="1"/>
        <rFont val="Arial"/>
        <family val="2"/>
      </rPr>
      <t>Consumer Cyclical</t>
    </r>
    <r>
      <rPr>
        <sz val="12.5"/>
        <color theme="1"/>
        <rFont val="Arial"/>
        <family val="2"/>
      </rPr>
      <t xml:space="preserve">. </t>
    </r>
  </si>
  <si>
    <t>COST</t>
  </si>
  <si>
    <t>V</t>
  </si>
  <si>
    <t>SO</t>
  </si>
  <si>
    <t>DUK</t>
  </si>
  <si>
    <t>n/a</t>
  </si>
  <si>
    <t>Adjusted incl COST, V, SO, &amp; DUK</t>
  </si>
  <si>
    <t>Column 17</t>
  </si>
  <si>
    <t>Column 18</t>
  </si>
  <si>
    <t>Column 19</t>
  </si>
  <si>
    <t>Column 20</t>
  </si>
  <si>
    <t>Consumer Defense</t>
  </si>
  <si>
    <t>Discount Store</t>
  </si>
  <si>
    <t>Credit Services</t>
  </si>
  <si>
    <t>Utilities</t>
  </si>
  <si>
    <t>Electricity</t>
  </si>
  <si>
    <t>σP &lt;= 10%</t>
  </si>
  <si>
    <t>Portfolio Simulator</t>
  </si>
  <si>
    <t>Simulation</t>
  </si>
  <si>
    <t>Cash</t>
  </si>
  <si>
    <t>μP &lt;= 20%</t>
  </si>
  <si>
    <t>Total C Val</t>
  </si>
  <si>
    <t>μP &lt;= 18%</t>
  </si>
  <si>
    <t xml:space="preserve"> --------------------------------------------------------------------------------------------------------------Portfolio Weights----------------------------------------------------------------------------------------------------------------------</t>
  </si>
  <si>
    <t xml:space="preserve"> --------------------------------------------------------------------------------------------------------------Sector Weights----------------------------------------------------------------------------------------------------------------------</t>
  </si>
  <si>
    <t>Solver requests to significantly increase the WTs of XOM, CVX, and V to minimize the standard deviation of the overall portfolio. Not to</t>
  </si>
  <si>
    <t>mention, that it also requests to decrease the positions: SBUX, AMZN, TSLA, to make room for the increases in the previously mentioned</t>
  </si>
  <si>
    <t>securities. However, one key observation that continues to show up in every computation (excl. a constraint to keep the WT @ C) is</t>
  </si>
  <si>
    <t>Realty Income's (O) total position ratio -- seeing as too risky due to large deviations and poor returns.</t>
  </si>
  <si>
    <t>Current Stock Portfolio</t>
  </si>
  <si>
    <t>Current P</t>
  </si>
  <si>
    <t>Deficit/Surp</t>
  </si>
  <si>
    <t>Data Showcase</t>
  </si>
  <si>
    <t>Raw Adj. Prices, ending on Jan. 1 of following year</t>
  </si>
  <si>
    <t xml:space="preserve"> =substitute(cell,char(160),"")</t>
  </si>
  <si>
    <t>Raw Div. Payouts, starting Jan. 1 and ending Dec. 31</t>
  </si>
  <si>
    <t>Adj.Prices + Div. Payouts, starting and ending on Jan 1. of following year</t>
  </si>
  <si>
    <t>mean</t>
  </si>
  <si>
    <t>Raw Data</t>
  </si>
  <si>
    <t>Data w/ Dividends</t>
  </si>
  <si>
    <t>Difference</t>
  </si>
  <si>
    <t>CROX</t>
  </si>
  <si>
    <t>Raw Prices, Adjusted Prices for Jan. 1 of following year of rep</t>
  </si>
  <si>
    <t>YoY Stock Growth</t>
  </si>
  <si>
    <t>R, 2025</t>
  </si>
  <si>
    <t>2025, e</t>
  </si>
  <si>
    <t>Portfolio Optimization Simulation</t>
  </si>
  <si>
    <t>% MoM G</t>
  </si>
  <si>
    <t>Date</t>
  </si>
  <si>
    <t>Div Payout</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</si>
  <si>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</si>
  <si>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</si>
  <si>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</si>
  <si>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</si>
  <si>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</si>
  <si>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</si>
  <si>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</si>
  <si>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</si>
  <si>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</si>
  <si>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</si>
  <si>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</si>
  <si>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</si>
  <si>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</si>
  <si>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</si>
  <si>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</si>
  <si>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</si>
  <si>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</si>
  <si>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</si>
  <si>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</si>
  <si>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</si>
  <si>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</si>
  <si>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</si>
  <si>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</si>
  <si>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</si>
  <si>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</si>
  <si>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</si>
  <si>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</si>
  <si>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</si>
  <si>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</si>
  <si>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</si>
  <si>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</si>
  <si>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</si>
  <si>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</si>
  <si>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Q324</t>
  </si>
  <si>
    <t>Q424</t>
  </si>
  <si>
    <t>Qtr</t>
  </si>
  <si>
    <t>QoQ % G</t>
  </si>
  <si>
    <t>Q125</t>
  </si>
  <si>
    <t>Q225</t>
  </si>
  <si>
    <t>Q325</t>
  </si>
  <si>
    <t>Mean</t>
  </si>
  <si>
    <t>Stdev</t>
  </si>
  <si>
    <t>Yr</t>
  </si>
  <si>
    <t>YoY % G</t>
  </si>
  <si>
    <t>Yr Div</t>
  </si>
  <si>
    <t>St dev</t>
  </si>
  <si>
    <t>Pattern</t>
  </si>
  <si>
    <t>Dividend Growth (O), Monthly</t>
  </si>
  <si>
    <t>Dividend Growth (O), Quarterly</t>
  </si>
  <si>
    <t>Dividend Growth (O), Yearly</t>
  </si>
  <si>
    <t>Ticket</t>
  </si>
  <si>
    <t>No Growth</t>
  </si>
  <si>
    <t>Growth</t>
  </si>
  <si>
    <t>Presence in Patterns</t>
  </si>
  <si>
    <t>σP &lt;= 14%</t>
  </si>
  <si>
    <t>Consumer Defensive</t>
  </si>
  <si>
    <t>Main Constraint</t>
  </si>
  <si>
    <t>SPG</t>
  </si>
  <si>
    <t>Q116</t>
  </si>
  <si>
    <t>Q415</t>
  </si>
  <si>
    <t>8 yr Time Frame</t>
  </si>
  <si>
    <t>Total %</t>
  </si>
  <si>
    <t>Total events</t>
  </si>
  <si>
    <t>Div, Growth</t>
  </si>
  <si>
    <t>Div, No Growth</t>
  </si>
  <si>
    <t>Wt</t>
  </si>
  <si>
    <t>Q4 increases</t>
  </si>
  <si>
    <t>Q3 increases</t>
  </si>
  <si>
    <t>Q2 increases</t>
  </si>
  <si>
    <t>Q1 increases</t>
  </si>
  <si>
    <t>Total Events, increased</t>
  </si>
  <si>
    <t>Total Events, decreased</t>
  </si>
  <si>
    <t>Total Qtr(s)</t>
  </si>
  <si>
    <t>% chance of increase</t>
  </si>
  <si>
    <t>% change of decrease</t>
  </si>
  <si>
    <t>After Pandemic</t>
  </si>
  <si>
    <t>8 years</t>
  </si>
  <si>
    <t>Feb</t>
  </si>
  <si>
    <t>Jan</t>
  </si>
  <si>
    <t>Apr</t>
  </si>
  <si>
    <t>Mar</t>
  </si>
  <si>
    <t>May</t>
  </si>
  <si>
    <t>Jun</t>
  </si>
  <si>
    <t>Jul</t>
  </si>
  <si>
    <t>Aug</t>
  </si>
  <si>
    <t>Sep</t>
  </si>
  <si>
    <t>Oct</t>
  </si>
  <si>
    <t>Nov</t>
  </si>
  <si>
    <t>Dec</t>
  </si>
  <si>
    <t>G</t>
  </si>
  <si>
    <t>NG</t>
  </si>
  <si>
    <t>Total Events</t>
  </si>
  <si>
    <t>Total Events, &gt;=0%</t>
  </si>
  <si>
    <t>Total Events, &lt;0%</t>
  </si>
  <si>
    <t>Mean increase of Event</t>
  </si>
  <si>
    <t>mean w/o 25</t>
  </si>
  <si>
    <t>Max μ/σP</t>
  </si>
  <si>
    <t>Adjusted Variance-Covariance Matrix</t>
  </si>
  <si>
    <t>Company</t>
  </si>
  <si>
    <t>EBITDA Margin</t>
  </si>
  <si>
    <t>ROE</t>
  </si>
  <si>
    <t>ROIC</t>
  </si>
  <si>
    <t>Debt-to-EBITDA</t>
  </si>
  <si>
    <t>EPS σ</t>
  </si>
  <si>
    <t>EV-to-EBITDA</t>
  </si>
  <si>
    <t>Chevron</t>
  </si>
  <si>
    <t>Revenue (CAGR)</t>
  </si>
  <si>
    <t>Bank of America</t>
  </si>
  <si>
    <t>Screening Score</t>
  </si>
  <si>
    <t>Column1</t>
  </si>
  <si>
    <t>2025</t>
  </si>
  <si>
    <t>Oil &amp; Gas Integrated</t>
  </si>
  <si>
    <t>Amazon</t>
  </si>
  <si>
    <t>Applied Materials</t>
  </si>
  <si>
    <t>Cadence Design Systems</t>
  </si>
  <si>
    <t>Row Labels</t>
  </si>
  <si>
    <t>Grand Total</t>
  </si>
  <si>
    <t>Internet Retail</t>
  </si>
  <si>
    <t>Semiconductor Equipment &amp; Materials</t>
  </si>
  <si>
    <t>Banks, Diversified</t>
  </si>
  <si>
    <t>Costco</t>
  </si>
  <si>
    <t>Dexcom</t>
  </si>
  <si>
    <t>Elevance Health</t>
  </si>
  <si>
    <t>Fortinet</t>
  </si>
  <si>
    <t>Discount Stores</t>
  </si>
  <si>
    <t>Medical Devices</t>
  </si>
  <si>
    <t>Healthcare</t>
  </si>
  <si>
    <t>Delta Airlines</t>
  </si>
  <si>
    <t>FedEx</t>
  </si>
  <si>
    <t>Airlines</t>
  </si>
  <si>
    <t>Starbucks</t>
  </si>
  <si>
    <t>Kratos Defense</t>
  </si>
  <si>
    <t>California Water Service Group</t>
  </si>
  <si>
    <t>Broadcom</t>
  </si>
  <si>
    <t>ROICμ</t>
  </si>
  <si>
    <t>ROEμ</t>
  </si>
  <si>
    <t>EBITDA Margin μ</t>
  </si>
  <si>
    <t>Revenue (CAGR) μ</t>
  </si>
  <si>
    <t>D/Eμ</t>
  </si>
  <si>
    <t>EPS σ μ</t>
  </si>
  <si>
    <t>EV-to-EBITDAμ</t>
  </si>
  <si>
    <t>Exxon Mobil</t>
  </si>
  <si>
    <t>μP &lt;= 16%</t>
  </si>
  <si>
    <t>μ/σP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</si>
</sst>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_([$$-409]* #,##0.00_);_([$$-409]* \(#,##0.00\);_([$$-409]* &quot;-&quot;??_);_(@_)"/>
    <numFmt numFmtId="165" formatCode="0.000%"/>
    <numFmt numFmtId="166" formatCode="0.000"/>
    <numFmt numFmtId="167" formatCode="_(* #,##0.000_);_(* \(#,##0.000\);_(* &quot;-&quot;??_);_(@_)"/>
    <numFmt numFmtId="168" formatCode="_(* #,##0.0000_);_(* \(#,##0.0000\);_(* &quot;-&quot;??_);_(@_)"/>
    <numFmt numFmtId="169" formatCode="_(&quot;$&quot;* #,##0.0000_);_(&quot;$&quot;* \(#,##0.0000\);_(&quot;$&quot;* &quot;-&quot;??_);_(@_)"/>
    <numFmt numFmtId="170" formatCode="_(* #,##0.00000_);_(* \(#,##0.00000\);_(* &quot;-&quot;??_);_(@_)"/>
    <numFmt numFmtId="171" formatCode="&quot;$&quot;#,##0.00"/>
    <numFmt numFmtId="172" formatCode="_(* #,##0.000000_);_(* \(#,##0.000000\);_(* &quot;-&quot;??_);_(@_)"/>
    <numFmt numFmtId="173" formatCode="[$-409]d\-mmm\-yy;@"/>
    <numFmt numFmtId="174" formatCode="_(* #,##0_);_(* \(#,##0\);_(* &quot;-&quot;??_);_(@_)"/>
  </numFmts>
  <fonts count="52"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b/>
      <sz val="10"/>
      <color theme="1"/>
      <name val="Arial"/>
      <family val="2"/>
    </font>
    <font>
      <b/>
      <sz val="11"/>
      <color theme="1"/>
      <name val="Calibri"/>
      <family val="2"/>
      <scheme val="minor"/>
    </font>
    <font>
      <u/>
      <sz val="11"/>
      <color theme="10"/>
      <name val="Calibri"/>
      <family val="2"/>
      <scheme val="minor"/>
    </font>
    <font>
      <b/>
      <sz val="12"/>
      <color theme="1"/>
      <name val="Arial"/>
      <family val="2"/>
    </font>
    <font>
      <i/>
      <sz val="11"/>
      <color theme="1"/>
      <name val="Calibri"/>
      <family val="2"/>
      <scheme val="minor"/>
    </font>
    <font>
      <sz val="12.5"/>
      <color theme="1"/>
      <name val="Arial"/>
      <family val="2"/>
    </font>
    <font>
      <b/>
      <sz val="12.5"/>
      <color theme="1"/>
      <name val="Arial"/>
      <family val="2"/>
    </font>
    <font>
      <b/>
      <sz val="17"/>
      <color theme="1"/>
      <name val="Arial"/>
      <family val="2"/>
    </font>
    <font>
      <i/>
      <sz val="12.5"/>
      <color theme="1"/>
      <name val="Arial"/>
      <family val="2"/>
    </font>
    <font>
      <i/>
      <u/>
      <sz val="12.5"/>
      <color theme="1"/>
      <name val="Arial"/>
      <family val="2"/>
    </font>
    <font>
      <u/>
      <sz val="12.5"/>
      <color theme="1"/>
      <name val="Arial"/>
      <family val="2"/>
    </font>
    <font>
      <i/>
      <sz val="8"/>
      <color theme="1"/>
      <name val="Arial"/>
      <family val="2"/>
    </font>
    <font>
      <sz val="10"/>
      <name val="Arial"/>
      <family val="2"/>
    </font>
    <font>
      <sz val="9"/>
      <color theme="1"/>
      <name val="Arial"/>
      <family val="2"/>
    </font>
    <font>
      <b/>
      <i/>
      <sz val="10"/>
      <color theme="1"/>
      <name val="Arial"/>
      <family val="2"/>
    </font>
    <font>
      <sz val="10"/>
      <color rgb="FFFF0000"/>
      <name val="Arial"/>
      <family val="2"/>
    </font>
    <font>
      <sz val="10"/>
      <color theme="0"/>
      <name val="Arial"/>
      <family val="2"/>
    </font>
    <font>
      <b/>
      <sz val="10"/>
      <color rgb="FFFF0000"/>
      <name val="Arial"/>
      <family val="2"/>
    </font>
    <font>
      <sz val="8"/>
      <name val="Calibri"/>
      <family val="2"/>
      <scheme val="minor"/>
    </font>
    <font>
      <i/>
      <sz val="10"/>
      <color theme="1"/>
      <name val="Arial"/>
      <family val="2"/>
    </font>
    <font>
      <sz val="12"/>
      <color theme="4"/>
      <name val="Arial"/>
      <family val="2"/>
    </font>
    <font>
      <sz val="12"/>
      <color theme="0"/>
      <name val="Arial"/>
      <family val="2"/>
    </font>
    <font>
      <sz val="12"/>
      <color theme="1"/>
      <name val="Arial"/>
      <family val="2"/>
    </font>
    <font>
      <sz val="11"/>
      <color theme="1"/>
      <name val="Arial"/>
      <family val="2"/>
    </font>
  </fonts>
  <fills count="8">
    <fill>
      <patternFill patternType="none"/>
    </fill>
    <fill>
      <patternFill patternType="gray125"/>
    </fill>
    <fill>
      <patternFill patternType="solid">
        <fgColor rgb="FFFFFF00"/>
        <bgColor indexed="64"/>
      </patternFill>
    </fill>
    <fill>
      <patternFill patternType="solid">
        <fgColor rgb="FFC7DDF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6ACAC"/>
        <bgColor indexed="64"/>
      </patternFill>
    </fill>
    <fill>
      <patternFill patternType="solid">
        <fgColor theme="4" tint="0.59999389629810485"/>
        <bgColor indexed="64"/>
      </patternFill>
    </fill>
  </fills>
  <borders count="23">
    <border>
      <left/>
      <right/>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medium">
        <color indexed="64"/>
      </bottom>
      <diagonal/>
    </border>
    <border>
      <left/>
      <right/>
      <top style="thin">
        <color indexed="64"/>
      </top>
      <bottom style="thin">
        <color indexed="64"/>
      </bottom>
      <diagonal/>
    </border>
    <border>
      <left/>
      <right/>
      <top/>
      <bottom style="thin">
        <color indexed="64"/>
      </bottom>
      <diagonal/>
    </border>
  </borders>
  <cellStyleXfs count="5">
    <xf numFmtId="0" fontId="0" fillId="0" borderId="0"/>
    <xf numFmtId="44"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30" fillId="0" borderId="0" applyNumberFormat="0" applyFill="0" applyBorder="0" applyAlignment="0" applyProtection="0"/>
  </cellStyleXfs>
  <cellXfs count="300">
    <xf numFmtId="0" fontId="0" fillId="0" borderId="0" xfId="0"/>
    <xf numFmtId="0" fontId="28" fillId="0" borderId="0" xfId="0" applyFont="1"/>
    <xf numFmtId="0" fontId="28" fillId="0" borderId="0" xfId="0" applyFont="1" applyAlignment="1">
      <alignment horizontal="center"/>
    </xf>
    <xf numFmtId="0" fontId="26" fillId="0" borderId="0" xfId="0" applyFont="1"/>
    <xf numFmtId="0" fontId="26" fillId="0" borderId="11" xfId="0" applyFont="1" applyBorder="1"/>
    <xf numFmtId="0" fontId="29" fillId="0" borderId="0" xfId="0" applyFont="1" applyAlignment="1">
      <alignment vertical="center" wrapText="1"/>
    </xf>
    <xf numFmtId="0" fontId="26" fillId="0" borderId="0" xfId="0" applyFont="1" applyAlignment="1">
      <alignment horizontal="right" vertical="center" wrapText="1"/>
    </xf>
    <xf numFmtId="165" fontId="26" fillId="0" borderId="6" xfId="2" applyNumberFormat="1" applyFont="1" applyBorder="1"/>
    <xf numFmtId="0" fontId="26" fillId="0" borderId="6" xfId="0" applyFont="1" applyBorder="1"/>
    <xf numFmtId="0" fontId="31" fillId="0" borderId="0" xfId="0" applyFont="1" applyAlignment="1">
      <alignment vertical="center"/>
    </xf>
    <xf numFmtId="165" fontId="26" fillId="0" borderId="12" xfId="0" applyNumberFormat="1" applyFont="1" applyBorder="1"/>
    <xf numFmtId="0" fontId="0" fillId="0" borderId="1" xfId="0" applyBorder="1"/>
    <xf numFmtId="0" fontId="32" fillId="0" borderId="10" xfId="0" applyFont="1" applyBorder="1" applyAlignment="1">
      <alignment horizontal="center"/>
    </xf>
    <xf numFmtId="0" fontId="32" fillId="0" borderId="0" xfId="0" applyFont="1" applyAlignment="1">
      <alignment horizontal="center"/>
    </xf>
    <xf numFmtId="0" fontId="26" fillId="0" borderId="6" xfId="0" applyFont="1" applyBorder="1" applyAlignment="1">
      <alignment horizontal="right"/>
    </xf>
    <xf numFmtId="0" fontId="26" fillId="0" borderId="6" xfId="0" applyFont="1" applyBorder="1" applyAlignment="1">
      <alignment horizontal="right" vertical="center" wrapText="1"/>
    </xf>
    <xf numFmtId="0" fontId="26" fillId="0" borderId="17" xfId="0" applyFont="1" applyBorder="1"/>
    <xf numFmtId="0" fontId="25" fillId="0" borderId="16" xfId="0" applyFont="1" applyBorder="1"/>
    <xf numFmtId="0" fontId="25" fillId="0" borderId="16" xfId="0" applyFont="1" applyBorder="1" applyAlignment="1">
      <alignment horizontal="left" indent="7"/>
    </xf>
    <xf numFmtId="0" fontId="25" fillId="0" borderId="17" xfId="0" applyFont="1" applyBorder="1"/>
    <xf numFmtId="0" fontId="33" fillId="0" borderId="0" xfId="0" applyFont="1"/>
    <xf numFmtId="0" fontId="34" fillId="0" borderId="0" xfId="0" applyFont="1"/>
    <xf numFmtId="0" fontId="35" fillId="0" borderId="0" xfId="0" applyFont="1"/>
    <xf numFmtId="0" fontId="38" fillId="0" borderId="0" xfId="0" applyFont="1"/>
    <xf numFmtId="0" fontId="37" fillId="0" borderId="0" xfId="0" applyFont="1" applyAlignment="1">
      <alignment vertical="top"/>
    </xf>
    <xf numFmtId="0" fontId="24" fillId="0" borderId="0" xfId="0" applyFont="1"/>
    <xf numFmtId="165" fontId="26" fillId="0" borderId="0" xfId="2" applyNumberFormat="1" applyFont="1" applyBorder="1"/>
    <xf numFmtId="0" fontId="28" fillId="0" borderId="0" xfId="0" applyFont="1" applyAlignment="1">
      <alignment horizontal="right" vertical="center" wrapText="1"/>
    </xf>
    <xf numFmtId="165" fontId="26" fillId="0" borderId="0" xfId="2" applyNumberFormat="1" applyFont="1" applyFill="1" applyBorder="1"/>
    <xf numFmtId="167" fontId="26" fillId="0" borderId="0" xfId="3" applyNumberFormat="1" applyFont="1" applyFill="1" applyBorder="1"/>
    <xf numFmtId="0" fontId="30" fillId="0" borderId="0" xfId="4" applyFill="1" applyAlignment="1">
      <alignment horizontal="right" vertical="center" wrapText="1"/>
    </xf>
    <xf numFmtId="0" fontId="26" fillId="2" borderId="6" xfId="0" applyFont="1" applyFill="1" applyBorder="1" applyAlignment="1">
      <alignment horizontal="center"/>
    </xf>
    <xf numFmtId="165" fontId="26" fillId="2" borderId="6" xfId="2" applyNumberFormat="1" applyFont="1" applyFill="1" applyBorder="1"/>
    <xf numFmtId="165" fontId="26" fillId="2" borderId="12" xfId="0" applyNumberFormat="1" applyFont="1" applyFill="1" applyBorder="1"/>
    <xf numFmtId="166" fontId="26" fillId="2" borderId="13" xfId="0" applyNumberFormat="1" applyFont="1" applyFill="1" applyBorder="1" applyAlignment="1">
      <alignment vertical="center"/>
    </xf>
    <xf numFmtId="165" fontId="26" fillId="2" borderId="6" xfId="0" applyNumberFormat="1" applyFont="1" applyFill="1" applyBorder="1"/>
    <xf numFmtId="0" fontId="28" fillId="2" borderId="6" xfId="0" applyFont="1" applyFill="1" applyBorder="1" applyAlignment="1">
      <alignment horizontal="center"/>
    </xf>
    <xf numFmtId="0" fontId="28" fillId="0" borderId="6" xfId="0" applyFont="1" applyBorder="1" applyAlignment="1">
      <alignment horizontal="center"/>
    </xf>
    <xf numFmtId="0" fontId="24" fillId="0" borderId="6" xfId="0" applyFont="1" applyBorder="1" applyAlignment="1">
      <alignment horizontal="right"/>
    </xf>
    <xf numFmtId="0" fontId="24" fillId="0" borderId="6" xfId="0" applyFont="1" applyBorder="1" applyAlignment="1">
      <alignment horizontal="right" vertical="center" wrapText="1"/>
    </xf>
    <xf numFmtId="0" fontId="24" fillId="0" borderId="12" xfId="0" applyFont="1" applyBorder="1" applyAlignment="1">
      <alignment horizontal="right"/>
    </xf>
    <xf numFmtId="0" fontId="24" fillId="0" borderId="13" xfId="0" applyFont="1" applyBorder="1" applyAlignment="1">
      <alignment horizontal="right" vertical="center"/>
    </xf>
    <xf numFmtId="0" fontId="29" fillId="0" borderId="0" xfId="0" applyFont="1" applyAlignment="1">
      <alignment horizontal="right" vertical="center" wrapText="1"/>
    </xf>
    <xf numFmtId="0" fontId="28" fillId="0" borderId="13" xfId="0" applyFont="1" applyBorder="1"/>
    <xf numFmtId="0" fontId="28" fillId="0" borderId="15" xfId="0" applyFont="1" applyBorder="1"/>
    <xf numFmtId="0" fontId="26" fillId="0" borderId="14" xfId="0" applyFont="1" applyBorder="1"/>
    <xf numFmtId="164" fontId="26" fillId="0" borderId="14" xfId="0" applyNumberFormat="1" applyFont="1" applyBorder="1"/>
    <xf numFmtId="0" fontId="31" fillId="0" borderId="0" xfId="0" applyFont="1"/>
    <xf numFmtId="165" fontId="28" fillId="0" borderId="0" xfId="0" applyNumberFormat="1" applyFont="1"/>
    <xf numFmtId="0" fontId="24" fillId="0" borderId="6" xfId="0" applyFont="1" applyBorder="1" applyAlignment="1">
      <alignment horizontal="right" vertical="center"/>
    </xf>
    <xf numFmtId="0" fontId="24" fillId="0" borderId="16" xfId="0" applyFont="1" applyBorder="1"/>
    <xf numFmtId="0" fontId="24" fillId="0" borderId="17" xfId="0" applyFont="1" applyBorder="1" applyAlignment="1">
      <alignment horizontal="right" vertical="center"/>
    </xf>
    <xf numFmtId="165" fontId="26" fillId="0" borderId="6" xfId="0" applyNumberFormat="1" applyFont="1" applyBorder="1" applyAlignment="1">
      <alignment vertical="center"/>
    </xf>
    <xf numFmtId="0" fontId="24" fillId="0" borderId="19" xfId="0" applyFont="1" applyBorder="1" applyAlignment="1">
      <alignment horizontal="right"/>
    </xf>
    <xf numFmtId="165" fontId="26" fillId="2" borderId="19" xfId="2" applyNumberFormat="1" applyFont="1" applyFill="1" applyBorder="1"/>
    <xf numFmtId="165" fontId="26" fillId="2" borderId="6" xfId="2" applyNumberFormat="1" applyFont="1" applyFill="1" applyBorder="1" applyAlignment="1"/>
    <xf numFmtId="165" fontId="26" fillId="2" borderId="13" xfId="2" applyNumberFormat="1" applyFont="1" applyFill="1" applyBorder="1" applyAlignment="1">
      <alignment vertical="center"/>
    </xf>
    <xf numFmtId="166" fontId="26" fillId="0" borderId="13" xfId="0" applyNumberFormat="1" applyFont="1" applyBorder="1" applyAlignment="1">
      <alignment vertical="center"/>
    </xf>
    <xf numFmtId="165" fontId="26" fillId="0" borderId="6" xfId="2" applyNumberFormat="1" applyFont="1" applyBorder="1" applyAlignment="1">
      <alignment vertical="center"/>
    </xf>
    <xf numFmtId="165" fontId="26" fillId="0" borderId="13" xfId="2" applyNumberFormat="1" applyFont="1" applyBorder="1" applyAlignment="1">
      <alignment vertical="center"/>
    </xf>
    <xf numFmtId="165" fontId="26" fillId="2" borderId="6" xfId="2" applyNumberFormat="1" applyFont="1" applyFill="1" applyBorder="1" applyAlignment="1">
      <alignment vertical="center"/>
    </xf>
    <xf numFmtId="43" fontId="26" fillId="2" borderId="6" xfId="3" applyFont="1" applyFill="1" applyBorder="1" applyAlignment="1">
      <alignment vertical="center"/>
    </xf>
    <xf numFmtId="43" fontId="26" fillId="0" borderId="6" xfId="3" applyFont="1" applyBorder="1" applyAlignment="1">
      <alignment vertical="center"/>
    </xf>
    <xf numFmtId="165" fontId="23" fillId="2" borderId="6" xfId="0" applyNumberFormat="1" applyFont="1" applyFill="1" applyBorder="1"/>
    <xf numFmtId="0" fontId="39" fillId="0" borderId="0" xfId="0" applyFont="1" applyAlignment="1">
      <alignment horizontal="left" indent="1"/>
    </xf>
    <xf numFmtId="165" fontId="26" fillId="0" borderId="12" xfId="2" applyNumberFormat="1" applyFont="1" applyBorder="1"/>
    <xf numFmtId="0" fontId="23" fillId="0" borderId="13" xfId="0" applyFont="1" applyBorder="1" applyAlignment="1">
      <alignment horizontal="right"/>
    </xf>
    <xf numFmtId="165" fontId="26" fillId="2" borderId="13" xfId="0" applyNumberFormat="1" applyFont="1" applyFill="1" applyBorder="1"/>
    <xf numFmtId="165" fontId="26" fillId="0" borderId="13" xfId="2" applyNumberFormat="1" applyFont="1" applyBorder="1"/>
    <xf numFmtId="0" fontId="22" fillId="0" borderId="11" xfId="0" applyFont="1" applyBorder="1"/>
    <xf numFmtId="0" fontId="22" fillId="0" borderId="14" xfId="0" applyFont="1" applyBorder="1"/>
    <xf numFmtId="164" fontId="22" fillId="0" borderId="14" xfId="0" applyNumberFormat="1" applyFont="1" applyBorder="1" applyAlignment="1">
      <alignment horizontal="right"/>
    </xf>
    <xf numFmtId="164" fontId="22" fillId="0" borderId="14" xfId="0" applyNumberFormat="1" applyFont="1" applyBorder="1"/>
    <xf numFmtId="0" fontId="28" fillId="0" borderId="20" xfId="0" applyFont="1" applyBorder="1"/>
    <xf numFmtId="0" fontId="22" fillId="0" borderId="7" xfId="0" applyFont="1" applyBorder="1"/>
    <xf numFmtId="164" fontId="26" fillId="0" borderId="8" xfId="0" applyNumberFormat="1" applyFont="1" applyBorder="1"/>
    <xf numFmtId="44" fontId="26" fillId="0" borderId="0" xfId="1" applyFont="1" applyBorder="1"/>
    <xf numFmtId="0" fontId="28" fillId="3" borderId="6" xfId="0" applyFont="1" applyFill="1" applyBorder="1" applyAlignment="1">
      <alignment horizontal="center"/>
    </xf>
    <xf numFmtId="0" fontId="26" fillId="3" borderId="6" xfId="0" applyFont="1" applyFill="1" applyBorder="1"/>
    <xf numFmtId="165" fontId="26" fillId="3" borderId="6" xfId="2" applyNumberFormat="1" applyFont="1" applyFill="1" applyBorder="1" applyAlignment="1">
      <alignment vertical="center"/>
    </xf>
    <xf numFmtId="165" fontId="26" fillId="3" borderId="13" xfId="2" applyNumberFormat="1" applyFont="1" applyFill="1" applyBorder="1" applyAlignment="1">
      <alignment vertical="center"/>
    </xf>
    <xf numFmtId="165" fontId="26" fillId="3" borderId="12" xfId="0" applyNumberFormat="1" applyFont="1" applyFill="1" applyBorder="1"/>
    <xf numFmtId="43" fontId="26" fillId="3" borderId="6" xfId="3" applyFont="1" applyFill="1" applyBorder="1" applyAlignment="1">
      <alignment vertical="center"/>
    </xf>
    <xf numFmtId="166" fontId="26" fillId="3" borderId="13" xfId="0" applyNumberFormat="1" applyFont="1" applyFill="1" applyBorder="1" applyAlignment="1">
      <alignment vertical="center"/>
    </xf>
    <xf numFmtId="165" fontId="26" fillId="3" borderId="6" xfId="2" applyNumberFormat="1" applyFont="1" applyFill="1" applyBorder="1"/>
    <xf numFmtId="165" fontId="26" fillId="3" borderId="13" xfId="2" applyNumberFormat="1" applyFont="1" applyFill="1" applyBorder="1"/>
    <xf numFmtId="165" fontId="26" fillId="3" borderId="12" xfId="2" applyNumberFormat="1" applyFont="1" applyFill="1" applyBorder="1"/>
    <xf numFmtId="0" fontId="22" fillId="0" borderId="0" xfId="0" applyFont="1" applyAlignment="1">
      <alignment horizontal="center"/>
    </xf>
    <xf numFmtId="0" fontId="21" fillId="0" borderId="0" xfId="0" applyFont="1" applyAlignment="1">
      <alignment horizontal="center"/>
    </xf>
    <xf numFmtId="0" fontId="20" fillId="0" borderId="0" xfId="0" applyFont="1" applyAlignment="1">
      <alignment horizontal="center"/>
    </xf>
    <xf numFmtId="0" fontId="24" fillId="3" borderId="6" xfId="0" applyFont="1" applyFill="1" applyBorder="1" applyAlignment="1">
      <alignment horizontal="center"/>
    </xf>
    <xf numFmtId="165" fontId="26" fillId="0" borderId="6" xfId="2" applyNumberFormat="1" applyFont="1" applyFill="1" applyBorder="1" applyAlignment="1">
      <alignment vertical="center"/>
    </xf>
    <xf numFmtId="165" fontId="26" fillId="0" borderId="13" xfId="2" applyNumberFormat="1" applyFont="1" applyFill="1" applyBorder="1" applyAlignment="1">
      <alignment vertical="center"/>
    </xf>
    <xf numFmtId="43" fontId="26" fillId="0" borderId="6" xfId="3" applyFont="1" applyFill="1" applyBorder="1" applyAlignment="1">
      <alignment vertical="center"/>
    </xf>
    <xf numFmtId="165" fontId="26" fillId="0" borderId="6" xfId="2" applyNumberFormat="1" applyFont="1" applyFill="1" applyBorder="1"/>
    <xf numFmtId="165" fontId="26" fillId="0" borderId="13" xfId="2" applyNumberFormat="1" applyFont="1" applyFill="1" applyBorder="1"/>
    <xf numFmtId="165" fontId="26" fillId="0" borderId="12" xfId="2" applyNumberFormat="1" applyFont="1" applyFill="1" applyBorder="1"/>
    <xf numFmtId="165" fontId="40" fillId="0" borderId="0" xfId="2" applyNumberFormat="1" applyFont="1" applyFill="1" applyBorder="1" applyAlignment="1">
      <alignment horizontal="right"/>
    </xf>
    <xf numFmtId="0" fontId="19" fillId="0" borderId="2" xfId="0" applyFont="1" applyBorder="1"/>
    <xf numFmtId="0" fontId="19" fillId="0" borderId="4" xfId="0" applyFont="1" applyBorder="1"/>
    <xf numFmtId="44" fontId="26" fillId="0" borderId="1" xfId="1" applyFont="1" applyBorder="1"/>
    <xf numFmtId="10" fontId="26" fillId="0" borderId="0" xfId="0" applyNumberFormat="1" applyFont="1"/>
    <xf numFmtId="44" fontId="26" fillId="0" borderId="0" xfId="0" applyNumberFormat="1" applyFont="1" applyAlignment="1">
      <alignment horizontal="right" vertical="center" wrapText="1"/>
    </xf>
    <xf numFmtId="44" fontId="41" fillId="0" borderId="0" xfId="1" applyFont="1" applyAlignment="1">
      <alignment vertical="center" wrapText="1"/>
    </xf>
    <xf numFmtId="165" fontId="26" fillId="0" borderId="0" xfId="2" applyNumberFormat="1" applyFont="1" applyFill="1"/>
    <xf numFmtId="44" fontId="26" fillId="0" borderId="3" xfId="1" applyFont="1" applyBorder="1"/>
    <xf numFmtId="0" fontId="24" fillId="0" borderId="6" xfId="0" applyFont="1" applyBorder="1" applyAlignment="1">
      <alignment horizontal="center"/>
    </xf>
    <xf numFmtId="165" fontId="26" fillId="0" borderId="0" xfId="0" applyNumberFormat="1" applyFont="1"/>
    <xf numFmtId="4" fontId="26" fillId="0" borderId="5" xfId="0" applyNumberFormat="1" applyFont="1" applyBorder="1"/>
    <xf numFmtId="0" fontId="18" fillId="0" borderId="6" xfId="0" applyFont="1" applyBorder="1" applyAlignment="1">
      <alignment horizontal="center"/>
    </xf>
    <xf numFmtId="0" fontId="18" fillId="2" borderId="0" xfId="0" applyFont="1" applyFill="1" applyAlignment="1">
      <alignment vertical="center"/>
    </xf>
    <xf numFmtId="0" fontId="28" fillId="4" borderId="6" xfId="0" applyFont="1" applyFill="1" applyBorder="1" applyAlignment="1">
      <alignment horizontal="center"/>
    </xf>
    <xf numFmtId="0" fontId="26" fillId="4" borderId="6" xfId="0" applyFont="1" applyFill="1" applyBorder="1"/>
    <xf numFmtId="165" fontId="26" fillId="4" borderId="6" xfId="2" applyNumberFormat="1" applyFont="1" applyFill="1" applyBorder="1" applyAlignment="1">
      <alignment vertical="center"/>
    </xf>
    <xf numFmtId="165" fontId="26" fillId="4" borderId="13" xfId="2" applyNumberFormat="1" applyFont="1" applyFill="1" applyBorder="1" applyAlignment="1">
      <alignment vertical="center"/>
    </xf>
    <xf numFmtId="165" fontId="26" fillId="4" borderId="12" xfId="0" applyNumberFormat="1" applyFont="1" applyFill="1" applyBorder="1"/>
    <xf numFmtId="43" fontId="26" fillId="4" borderId="6" xfId="3" applyFont="1" applyFill="1" applyBorder="1" applyAlignment="1">
      <alignment vertical="center"/>
    </xf>
    <xf numFmtId="166" fontId="26" fillId="4" borderId="13" xfId="0" applyNumberFormat="1" applyFont="1" applyFill="1" applyBorder="1" applyAlignment="1">
      <alignment vertical="center"/>
    </xf>
    <xf numFmtId="165" fontId="26" fillId="4" borderId="6" xfId="2" applyNumberFormat="1" applyFont="1" applyFill="1" applyBorder="1"/>
    <xf numFmtId="165" fontId="26" fillId="4" borderId="13" xfId="2" applyNumberFormat="1" applyFont="1" applyFill="1" applyBorder="1"/>
    <xf numFmtId="165" fontId="26" fillId="4" borderId="12" xfId="2" applyNumberFormat="1" applyFont="1" applyFill="1" applyBorder="1"/>
    <xf numFmtId="0" fontId="28" fillId="5" borderId="6" xfId="0" applyFont="1" applyFill="1" applyBorder="1" applyAlignment="1">
      <alignment horizontal="center"/>
    </xf>
    <xf numFmtId="0" fontId="26" fillId="5" borderId="6" xfId="0" applyFont="1" applyFill="1" applyBorder="1"/>
    <xf numFmtId="165" fontId="26" fillId="5" borderId="6" xfId="2" applyNumberFormat="1" applyFont="1" applyFill="1" applyBorder="1" applyAlignment="1">
      <alignment vertical="center"/>
    </xf>
    <xf numFmtId="165" fontId="26" fillId="5" borderId="13" xfId="2" applyNumberFormat="1" applyFont="1" applyFill="1" applyBorder="1" applyAlignment="1">
      <alignment vertical="center"/>
    </xf>
    <xf numFmtId="165" fontId="26" fillId="5" borderId="12" xfId="0" applyNumberFormat="1" applyFont="1" applyFill="1" applyBorder="1"/>
    <xf numFmtId="43" fontId="26" fillId="5" borderId="6" xfId="3" applyFont="1" applyFill="1" applyBorder="1" applyAlignment="1">
      <alignment vertical="center"/>
    </xf>
    <xf numFmtId="166" fontId="26" fillId="5" borderId="13" xfId="0" applyNumberFormat="1" applyFont="1" applyFill="1" applyBorder="1" applyAlignment="1">
      <alignment vertical="center"/>
    </xf>
    <xf numFmtId="165" fontId="26" fillId="5" borderId="6" xfId="2" applyNumberFormat="1" applyFont="1" applyFill="1" applyBorder="1"/>
    <xf numFmtId="165" fontId="26" fillId="5" borderId="13" xfId="2" applyNumberFormat="1" applyFont="1" applyFill="1" applyBorder="1"/>
    <xf numFmtId="165" fontId="26" fillId="5" borderId="12" xfId="2" applyNumberFormat="1" applyFont="1" applyFill="1" applyBorder="1"/>
    <xf numFmtId="165" fontId="26" fillId="0" borderId="9" xfId="0" applyNumberFormat="1" applyFont="1" applyBorder="1"/>
    <xf numFmtId="168" fontId="41" fillId="0" borderId="0" xfId="3" applyNumberFormat="1" applyFont="1" applyBorder="1" applyAlignment="1">
      <alignment vertical="center" wrapText="1"/>
    </xf>
    <xf numFmtId="164" fontId="26" fillId="0" borderId="0" xfId="0" applyNumberFormat="1" applyFont="1"/>
    <xf numFmtId="168" fontId="41" fillId="0" borderId="14" xfId="3" applyNumberFormat="1" applyFont="1" applyBorder="1" applyAlignment="1">
      <alignment vertical="center" wrapText="1"/>
    </xf>
    <xf numFmtId="0" fontId="20" fillId="0" borderId="0" xfId="0" applyFont="1"/>
    <xf numFmtId="0" fontId="40" fillId="0" borderId="0" xfId="0" applyFont="1"/>
    <xf numFmtId="167" fontId="26" fillId="0" borderId="0" xfId="3" applyNumberFormat="1" applyFont="1" applyBorder="1"/>
    <xf numFmtId="165" fontId="40" fillId="0" borderId="0" xfId="2" applyNumberFormat="1" applyFont="1" applyBorder="1" applyAlignment="1">
      <alignment horizontal="right"/>
    </xf>
    <xf numFmtId="165" fontId="40" fillId="0" borderId="0" xfId="2" applyNumberFormat="1" applyFont="1" applyBorder="1"/>
    <xf numFmtId="0" fontId="25" fillId="0" borderId="16" xfId="0" applyFont="1" applyBorder="1" applyAlignment="1">
      <alignment horizontal="right"/>
    </xf>
    <xf numFmtId="0" fontId="25" fillId="0" borderId="21" xfId="0" applyFont="1" applyBorder="1" applyAlignment="1">
      <alignment horizontal="right"/>
    </xf>
    <xf numFmtId="0" fontId="25" fillId="0" borderId="17" xfId="0" applyFont="1" applyBorder="1" applyAlignment="1">
      <alignment horizontal="right"/>
    </xf>
    <xf numFmtId="0" fontId="24" fillId="0" borderId="21" xfId="0" applyFont="1" applyBorder="1" applyAlignment="1">
      <alignment horizontal="right"/>
    </xf>
    <xf numFmtId="0" fontId="17" fillId="0" borderId="2" xfId="0" applyFont="1" applyBorder="1"/>
    <xf numFmtId="0" fontId="17" fillId="0" borderId="4" xfId="0" applyFont="1" applyBorder="1"/>
    <xf numFmtId="0" fontId="17" fillId="0" borderId="14" xfId="0" applyFont="1" applyBorder="1"/>
    <xf numFmtId="168" fontId="17" fillId="0" borderId="0" xfId="3" applyNumberFormat="1" applyFont="1" applyAlignment="1">
      <alignment vertical="center" wrapText="1"/>
    </xf>
    <xf numFmtId="0" fontId="16" fillId="0" borderId="6" xfId="0" applyFont="1" applyBorder="1" applyAlignment="1">
      <alignment horizontal="right"/>
    </xf>
    <xf numFmtId="0" fontId="15" fillId="0" borderId="0" xfId="0" applyFont="1"/>
    <xf numFmtId="165" fontId="15" fillId="0" borderId="0" xfId="0" applyNumberFormat="1" applyFont="1"/>
    <xf numFmtId="43" fontId="26" fillId="0" borderId="0" xfId="3" applyFont="1" applyFill="1" applyBorder="1"/>
    <xf numFmtId="0" fontId="24" fillId="0" borderId="0" xfId="0" applyFont="1" applyAlignment="1">
      <alignment horizontal="right"/>
    </xf>
    <xf numFmtId="0" fontId="26" fillId="0" borderId="0" xfId="0" applyFont="1" applyAlignment="1">
      <alignment vertical="center" wrapText="1"/>
    </xf>
    <xf numFmtId="0" fontId="26" fillId="0" borderId="0" xfId="0" applyFont="1" applyAlignment="1">
      <alignment vertical="center"/>
    </xf>
    <xf numFmtId="0" fontId="15" fillId="0" borderId="6" xfId="0" applyFont="1" applyBorder="1" applyAlignment="1">
      <alignment vertical="center" wrapText="1"/>
    </xf>
    <xf numFmtId="0" fontId="15" fillId="0" borderId="6" xfId="0" applyFont="1" applyBorder="1"/>
    <xf numFmtId="0" fontId="15" fillId="0" borderId="6" xfId="0" applyFont="1" applyBorder="1" applyAlignment="1">
      <alignment vertical="center"/>
    </xf>
    <xf numFmtId="0" fontId="28" fillId="0" borderId="6" xfId="0" applyFont="1" applyBorder="1"/>
    <xf numFmtId="0" fontId="28" fillId="0" borderId="6" xfId="0" applyFont="1" applyBorder="1" applyAlignment="1">
      <alignment horizontal="right"/>
    </xf>
    <xf numFmtId="165" fontId="15" fillId="0" borderId="6" xfId="2" applyNumberFormat="1" applyFont="1" applyBorder="1"/>
    <xf numFmtId="0" fontId="28" fillId="0" borderId="6" xfId="0" applyFont="1" applyBorder="1" applyAlignment="1">
      <alignment horizontal="right" vertical="center" wrapText="1"/>
    </xf>
    <xf numFmtId="0" fontId="15" fillId="0" borderId="12" xfId="0" applyFont="1" applyBorder="1"/>
    <xf numFmtId="44" fontId="15" fillId="0" borderId="6" xfId="1" applyFont="1" applyBorder="1"/>
    <xf numFmtId="0" fontId="28" fillId="0" borderId="13" xfId="0" applyFont="1" applyBorder="1" applyAlignment="1">
      <alignment horizontal="right" vertical="center" wrapText="1"/>
    </xf>
    <xf numFmtId="44" fontId="15" fillId="0" borderId="13" xfId="1" applyFont="1" applyBorder="1"/>
    <xf numFmtId="0" fontId="42" fillId="0" borderId="0" xfId="0" applyFont="1"/>
    <xf numFmtId="169" fontId="15" fillId="0" borderId="6" xfId="1" applyNumberFormat="1" applyFont="1" applyBorder="1"/>
    <xf numFmtId="169" fontId="15" fillId="0" borderId="13" xfId="1" applyNumberFormat="1" applyFont="1" applyBorder="1"/>
    <xf numFmtId="169" fontId="15" fillId="0" borderId="0" xfId="1" applyNumberFormat="1" applyFont="1"/>
    <xf numFmtId="168" fontId="15" fillId="0" borderId="0" xfId="0" applyNumberFormat="1" applyFont="1"/>
    <xf numFmtId="170" fontId="15" fillId="0" borderId="0" xfId="3" applyNumberFormat="1" applyFont="1"/>
    <xf numFmtId="170" fontId="15" fillId="0" borderId="0" xfId="0" applyNumberFormat="1" applyFont="1"/>
    <xf numFmtId="168" fontId="15" fillId="0" borderId="6" xfId="1" applyNumberFormat="1" applyFont="1" applyBorder="1"/>
    <xf numFmtId="15" fontId="14" fillId="0" borderId="0" xfId="0" applyNumberFormat="1" applyFont="1" applyAlignment="1">
      <alignment horizontal="left" vertical="center"/>
    </xf>
    <xf numFmtId="167" fontId="14" fillId="0" borderId="0" xfId="3" applyNumberFormat="1" applyFont="1" applyFill="1" applyAlignment="1">
      <alignment horizontal="left" vertical="center"/>
    </xf>
    <xf numFmtId="167" fontId="42" fillId="0" borderId="0" xfId="3" applyNumberFormat="1" applyFont="1"/>
    <xf numFmtId="0" fontId="14" fillId="0" borderId="0" xfId="0" applyFont="1"/>
    <xf numFmtId="167" fontId="15" fillId="0" borderId="0" xfId="3" applyNumberFormat="1" applyFont="1" applyBorder="1"/>
    <xf numFmtId="0" fontId="28" fillId="0" borderId="0" xfId="0" applyFont="1" applyAlignment="1">
      <alignment horizontal="right"/>
    </xf>
    <xf numFmtId="165" fontId="15" fillId="0" borderId="0" xfId="2" applyNumberFormat="1" applyFont="1" applyBorder="1"/>
    <xf numFmtId="168" fontId="15" fillId="0" borderId="0" xfId="3" applyNumberFormat="1" applyFont="1" applyBorder="1"/>
    <xf numFmtId="170" fontId="15" fillId="0" borderId="0" xfId="3" applyNumberFormat="1" applyFont="1" applyBorder="1"/>
    <xf numFmtId="165" fontId="15" fillId="0" borderId="13" xfId="2" applyNumberFormat="1" applyFont="1" applyBorder="1"/>
    <xf numFmtId="0" fontId="28" fillId="0" borderId="6" xfId="0" applyFont="1" applyBorder="1" applyAlignment="1">
      <alignment horizontal="left" indent="2"/>
    </xf>
    <xf numFmtId="165" fontId="15" fillId="0" borderId="6" xfId="0" applyNumberFormat="1" applyFont="1" applyBorder="1"/>
    <xf numFmtId="171" fontId="15" fillId="0" borderId="6" xfId="0" applyNumberFormat="1" applyFont="1" applyBorder="1"/>
    <xf numFmtId="10" fontId="15" fillId="0" borderId="6" xfId="2" applyNumberFormat="1" applyFont="1" applyBorder="1"/>
    <xf numFmtId="0" fontId="45" fillId="0" borderId="0" xfId="0" applyFont="1" applyAlignment="1">
      <alignment horizontal="center"/>
    </xf>
    <xf numFmtId="0" fontId="43" fillId="0" borderId="0" xfId="0" applyFont="1"/>
    <xf numFmtId="10" fontId="43" fillId="0" borderId="0" xfId="0" applyNumberFormat="1" applyFont="1"/>
    <xf numFmtId="0" fontId="44" fillId="0" borderId="0" xfId="0" applyFont="1"/>
    <xf numFmtId="0" fontId="28" fillId="0" borderId="12" xfId="0" applyFont="1" applyBorder="1"/>
    <xf numFmtId="169" fontId="13" fillId="0" borderId="6" xfId="1" applyNumberFormat="1" applyFont="1" applyBorder="1"/>
    <xf numFmtId="44" fontId="15" fillId="0" borderId="0" xfId="0" applyNumberFormat="1" applyFont="1"/>
    <xf numFmtId="0" fontId="28" fillId="0" borderId="12" xfId="0" applyFont="1" applyBorder="1" applyAlignment="1">
      <alignment horizontal="right"/>
    </xf>
    <xf numFmtId="165" fontId="43" fillId="0" borderId="0" xfId="2" applyNumberFormat="1" applyFont="1" applyBorder="1"/>
    <xf numFmtId="165" fontId="12" fillId="0" borderId="6" xfId="2" applyNumberFormat="1" applyFont="1" applyBorder="1"/>
    <xf numFmtId="0" fontId="28" fillId="5" borderId="6" xfId="0" applyFont="1" applyFill="1" applyBorder="1" applyAlignment="1">
      <alignment horizontal="right"/>
    </xf>
    <xf numFmtId="165" fontId="15" fillId="5" borderId="6" xfId="2" applyNumberFormat="1" applyFont="1" applyFill="1" applyBorder="1"/>
    <xf numFmtId="0" fontId="28" fillId="6" borderId="6" xfId="0" applyFont="1" applyFill="1" applyBorder="1" applyAlignment="1">
      <alignment horizontal="right"/>
    </xf>
    <xf numFmtId="165" fontId="15" fillId="6" borderId="6" xfId="2" applyNumberFormat="1" applyFont="1" applyFill="1" applyBorder="1"/>
    <xf numFmtId="0" fontId="28" fillId="5" borderId="6" xfId="0" applyFont="1" applyFill="1" applyBorder="1" applyAlignment="1">
      <alignment horizontal="right" vertical="center" wrapText="1"/>
    </xf>
    <xf numFmtId="165" fontId="15" fillId="0" borderId="0" xfId="2" applyNumberFormat="1" applyFont="1"/>
    <xf numFmtId="0" fontId="25" fillId="0" borderId="0" xfId="0" applyFont="1"/>
    <xf numFmtId="10" fontId="26" fillId="7" borderId="6" xfId="2" applyNumberFormat="1" applyFont="1" applyFill="1" applyBorder="1"/>
    <xf numFmtId="165" fontId="26" fillId="7" borderId="6" xfId="2" applyNumberFormat="1" applyFont="1" applyFill="1" applyBorder="1"/>
    <xf numFmtId="10" fontId="26" fillId="7" borderId="6" xfId="2" applyNumberFormat="1" applyFont="1" applyFill="1" applyBorder="1" applyAlignment="1">
      <alignment horizontal="right" vertical="center" wrapText="1"/>
    </xf>
    <xf numFmtId="165" fontId="24" fillId="7" borderId="6" xfId="2" applyNumberFormat="1" applyFont="1" applyFill="1" applyBorder="1"/>
    <xf numFmtId="165" fontId="28" fillId="2" borderId="6" xfId="2" applyNumberFormat="1" applyFont="1" applyFill="1" applyBorder="1" applyAlignment="1">
      <alignment horizontal="right"/>
    </xf>
    <xf numFmtId="2" fontId="28" fillId="2" borderId="6" xfId="2" applyNumberFormat="1" applyFont="1" applyFill="1" applyBorder="1" applyAlignment="1">
      <alignment horizontal="right"/>
    </xf>
    <xf numFmtId="172" fontId="15" fillId="0" borderId="0" xfId="3" applyNumberFormat="1" applyFont="1"/>
    <xf numFmtId="173" fontId="15" fillId="0" borderId="0" xfId="0" applyNumberFormat="1" applyFont="1"/>
    <xf numFmtId="172" fontId="15" fillId="0" borderId="0" xfId="0" applyNumberFormat="1" applyFont="1"/>
    <xf numFmtId="0" fontId="11" fillId="0" borderId="0" xfId="0" applyFont="1"/>
    <xf numFmtId="173" fontId="11" fillId="0" borderId="0" xfId="0" applyNumberFormat="1" applyFont="1"/>
    <xf numFmtId="172" fontId="11" fillId="0" borderId="0" xfId="0" applyNumberFormat="1" applyFont="1"/>
    <xf numFmtId="165" fontId="11" fillId="0" borderId="0" xfId="2" applyNumberFormat="1" applyFont="1" applyBorder="1"/>
    <xf numFmtId="173" fontId="28" fillId="0" borderId="0" xfId="0" applyNumberFormat="1" applyFont="1"/>
    <xf numFmtId="165" fontId="28" fillId="0" borderId="0" xfId="2" applyNumberFormat="1" applyFont="1" applyBorder="1" applyAlignment="1">
      <alignment horizontal="center"/>
    </xf>
    <xf numFmtId="0" fontId="28" fillId="0" borderId="22" xfId="0" applyFont="1" applyBorder="1"/>
    <xf numFmtId="173" fontId="28" fillId="0" borderId="22" xfId="0" applyNumberFormat="1" applyFont="1" applyBorder="1"/>
    <xf numFmtId="173" fontId="11" fillId="0" borderId="22" xfId="0" applyNumberFormat="1" applyFont="1" applyBorder="1"/>
    <xf numFmtId="172" fontId="11" fillId="0" borderId="0" xfId="0" applyNumberFormat="1" applyFont="1" applyAlignment="1">
      <alignment horizontal="right"/>
    </xf>
    <xf numFmtId="0" fontId="15" fillId="0" borderId="0" xfId="0" applyFont="1" applyAlignment="1">
      <alignment horizontal="right"/>
    </xf>
    <xf numFmtId="165" fontId="15" fillId="0" borderId="0" xfId="2" applyNumberFormat="1" applyFont="1" applyAlignment="1">
      <alignment horizontal="right"/>
    </xf>
    <xf numFmtId="165" fontId="45" fillId="0" borderId="0" xfId="0" applyNumberFormat="1" applyFont="1"/>
    <xf numFmtId="165" fontId="15" fillId="0" borderId="1" xfId="2" applyNumberFormat="1" applyFont="1" applyBorder="1" applyAlignment="1">
      <alignment horizontal="right"/>
    </xf>
    <xf numFmtId="0" fontId="15" fillId="0" borderId="1" xfId="0" applyFont="1" applyBorder="1"/>
    <xf numFmtId="165" fontId="15" fillId="0" borderId="1" xfId="2" applyNumberFormat="1" applyFont="1" applyFill="1" applyBorder="1"/>
    <xf numFmtId="172" fontId="15" fillId="0" borderId="0" xfId="0" applyNumberFormat="1" applyFont="1" applyAlignment="1">
      <alignment horizontal="right"/>
    </xf>
    <xf numFmtId="0" fontId="15" fillId="0" borderId="1" xfId="0" applyFont="1" applyBorder="1" applyAlignment="1">
      <alignment horizontal="right"/>
    </xf>
    <xf numFmtId="0" fontId="15" fillId="0" borderId="11" xfId="0" applyFont="1" applyBorder="1"/>
    <xf numFmtId="0" fontId="15" fillId="0" borderId="20" xfId="0" applyFont="1" applyBorder="1"/>
    <xf numFmtId="0" fontId="11" fillId="0" borderId="18" xfId="0" applyFont="1" applyBorder="1"/>
    <xf numFmtId="0" fontId="11" fillId="0" borderId="22" xfId="0" applyFont="1" applyBorder="1"/>
    <xf numFmtId="0" fontId="28" fillId="0" borderId="18" xfId="0" applyFont="1" applyBorder="1"/>
    <xf numFmtId="173" fontId="15" fillId="0" borderId="11" xfId="0" applyNumberFormat="1" applyFont="1" applyBorder="1" applyAlignment="1">
      <alignment horizontal="center"/>
    </xf>
    <xf numFmtId="173" fontId="15" fillId="0" borderId="20" xfId="0" applyNumberFormat="1" applyFont="1" applyBorder="1" applyAlignment="1">
      <alignment horizontal="center"/>
    </xf>
    <xf numFmtId="172" fontId="11" fillId="0" borderId="0" xfId="0" applyNumberFormat="1" applyFont="1" applyAlignment="1">
      <alignment horizontal="center"/>
    </xf>
    <xf numFmtId="165" fontId="11" fillId="0" borderId="0" xfId="2" applyNumberFormat="1" applyFont="1" applyBorder="1" applyAlignment="1">
      <alignment horizontal="center"/>
    </xf>
    <xf numFmtId="0" fontId="15" fillId="0" borderId="0" xfId="0" applyFont="1" applyAlignment="1">
      <alignment horizontal="center"/>
    </xf>
    <xf numFmtId="165" fontId="11" fillId="0" borderId="1" xfId="2" applyNumberFormat="1" applyFont="1" applyBorder="1" applyAlignment="1">
      <alignment horizontal="center"/>
    </xf>
    <xf numFmtId="174" fontId="11" fillId="0" borderId="0" xfId="3" applyNumberFormat="1" applyFont="1" applyBorder="1" applyAlignment="1">
      <alignment horizontal="center"/>
    </xf>
    <xf numFmtId="9" fontId="15" fillId="0" borderId="0" xfId="2" applyFont="1"/>
    <xf numFmtId="0" fontId="10" fillId="0" borderId="0" xfId="0" applyFont="1"/>
    <xf numFmtId="0" fontId="10" fillId="0" borderId="0" xfId="0" applyFont="1" applyAlignment="1">
      <alignment horizontal="right"/>
    </xf>
    <xf numFmtId="0" fontId="10" fillId="0" borderId="6" xfId="0" applyFont="1" applyBorder="1" applyAlignment="1">
      <alignment horizontal="center"/>
    </xf>
    <xf numFmtId="0" fontId="10" fillId="0" borderId="6" xfId="0" applyFont="1" applyBorder="1" applyAlignment="1">
      <alignment horizontal="right"/>
    </xf>
    <xf numFmtId="10" fontId="15" fillId="0" borderId="0" xfId="2" applyNumberFormat="1" applyFont="1"/>
    <xf numFmtId="166" fontId="15" fillId="0" borderId="0" xfId="0" applyNumberFormat="1" applyFont="1"/>
    <xf numFmtId="0" fontId="10" fillId="0" borderId="0" xfId="0" applyFont="1" applyAlignment="1">
      <alignment wrapText="1"/>
    </xf>
    <xf numFmtId="165" fontId="10" fillId="0" borderId="0" xfId="2" applyNumberFormat="1" applyFont="1"/>
    <xf numFmtId="0" fontId="10" fillId="0" borderId="6" xfId="0" applyFont="1" applyBorder="1"/>
    <xf numFmtId="9" fontId="45" fillId="0" borderId="6" xfId="2" applyFont="1" applyBorder="1"/>
    <xf numFmtId="0" fontId="28" fillId="0" borderId="6" xfId="0" applyFont="1" applyBorder="1" applyAlignment="1">
      <alignment horizontal="center" vertical="center" wrapText="1"/>
    </xf>
    <xf numFmtId="0" fontId="43" fillId="0" borderId="6" xfId="0" applyFont="1" applyBorder="1" applyAlignment="1">
      <alignment horizontal="right" indent="1"/>
    </xf>
    <xf numFmtId="165" fontId="43" fillId="0" borderId="6" xfId="0" applyNumberFormat="1" applyFont="1" applyBorder="1"/>
    <xf numFmtId="0" fontId="43" fillId="0" borderId="6" xfId="0" applyFont="1" applyBorder="1"/>
    <xf numFmtId="0" fontId="43" fillId="0" borderId="6" xfId="0" applyFont="1" applyBorder="1" applyAlignment="1">
      <alignment horizontal="center"/>
    </xf>
    <xf numFmtId="174" fontId="43" fillId="0" borderId="6" xfId="3" applyNumberFormat="1" applyFont="1" applyBorder="1"/>
    <xf numFmtId="9" fontId="10" fillId="0" borderId="6" xfId="2" applyFont="1" applyBorder="1"/>
    <xf numFmtId="165" fontId="15" fillId="0" borderId="6" xfId="2" applyNumberFormat="1" applyFont="1" applyBorder="1" applyAlignment="1">
      <alignment vertical="center" wrapText="1"/>
    </xf>
    <xf numFmtId="0" fontId="28" fillId="2" borderId="6" xfId="0" applyFont="1" applyFill="1" applyBorder="1"/>
    <xf numFmtId="165" fontId="15" fillId="2" borderId="6" xfId="2" applyNumberFormat="1" applyFont="1" applyFill="1" applyBorder="1"/>
    <xf numFmtId="165" fontId="15" fillId="2" borderId="13" xfId="2" applyNumberFormat="1" applyFont="1" applyFill="1" applyBorder="1"/>
    <xf numFmtId="0" fontId="9" fillId="5" borderId="6" xfId="0" applyFont="1" applyFill="1" applyBorder="1" applyAlignment="1">
      <alignment horizontal="center"/>
    </xf>
    <xf numFmtId="0" fontId="47" fillId="0" borderId="6" xfId="0" applyFont="1" applyBorder="1" applyAlignment="1">
      <alignment horizontal="left"/>
    </xf>
    <xf numFmtId="0" fontId="8" fillId="0" borderId="0" xfId="0" applyFont="1"/>
    <xf numFmtId="10" fontId="8" fillId="0" borderId="0" xfId="0" applyNumberFormat="1" applyFont="1"/>
    <xf numFmtId="0" fontId="7" fillId="0" borderId="0" xfId="0" applyFont="1"/>
    <xf numFmtId="167" fontId="8" fillId="0" borderId="0" xfId="3" applyNumberFormat="1" applyFont="1"/>
    <xf numFmtId="0" fontId="6" fillId="0" borderId="0" xfId="0" applyFont="1"/>
    <xf numFmtId="0" fontId="48" fillId="0" borderId="0" xfId="0" applyFont="1"/>
    <xf numFmtId="0" fontId="49" fillId="0" borderId="0" xfId="0" applyFont="1" applyAlignment="1">
      <alignment horizontal="right"/>
    </xf>
    <xf numFmtId="0" fontId="50" fillId="0" borderId="0" xfId="0" applyFont="1"/>
    <xf numFmtId="10" fontId="50" fillId="0" borderId="0" xfId="2" applyNumberFormat="1" applyFont="1"/>
    <xf numFmtId="166" fontId="50" fillId="0" borderId="0" xfId="0" applyNumberFormat="1" applyFont="1"/>
    <xf numFmtId="2" fontId="50" fillId="0" borderId="0" xfId="0" applyNumberFormat="1" applyFont="1"/>
    <xf numFmtId="0" fontId="50" fillId="0" borderId="0" xfId="0" applyFont="1" applyAlignment="1">
      <alignment horizontal="right"/>
    </xf>
    <xf numFmtId="0" fontId="8" fillId="0" borderId="0" xfId="0" applyFont="1" applyAlignment="1">
      <alignment horizontal="left"/>
    </xf>
    <xf numFmtId="0" fontId="51" fillId="0" borderId="0" xfId="0" pivotButton="1" applyFont="1"/>
    <xf numFmtId="0" fontId="51" fillId="0" borderId="0" xfId="0" applyFont="1"/>
    <xf numFmtId="0" fontId="51" fillId="0" borderId="0" xfId="0" applyFont="1" applyAlignment="1">
      <alignment horizontal="left"/>
    </xf>
    <xf numFmtId="10" fontId="51" fillId="0" borderId="0" xfId="0" applyNumberFormat="1" applyFont="1"/>
    <xf numFmtId="167" fontId="51" fillId="0" borderId="0" xfId="0" applyNumberFormat="1" applyFont="1"/>
    <xf numFmtId="0" fontId="51" fillId="0" borderId="0" xfId="0" applyFont="1" applyAlignment="1">
      <alignment horizontal="left" indent="1"/>
    </xf>
    <xf numFmtId="0" fontId="5" fillId="0" borderId="0" xfId="0" applyFont="1"/>
    <xf numFmtId="10" fontId="8" fillId="0" borderId="0" xfId="2" applyNumberFormat="1" applyFont="1"/>
    <xf numFmtId="43" fontId="8" fillId="0" borderId="0" xfId="3" applyFont="1"/>
    <xf numFmtId="43" fontId="51" fillId="0" borderId="0" xfId="0" applyNumberFormat="1" applyFont="1"/>
    <xf numFmtId="0" fontId="4" fillId="0" borderId="0" xfId="0" applyFont="1"/>
    <xf numFmtId="0" fontId="3" fillId="0" borderId="0" xfId="0" applyFont="1"/>
    <xf numFmtId="0" fontId="2" fillId="0" borderId="0" xfId="0" applyFont="1"/>
    <xf numFmtId="0" fontId="26" fillId="0" borderId="6" xfId="0" applyFont="1" applyBorder="1" applyAlignment="1">
      <alignment horizontal="center"/>
    </xf>
    <xf numFmtId="0" fontId="28" fillId="0" borderId="14" xfId="0" applyFont="1" applyBorder="1" applyAlignment="1">
      <alignment horizontal="right"/>
    </xf>
    <xf numFmtId="0" fontId="28" fillId="0" borderId="19" xfId="0" applyFont="1" applyBorder="1" applyAlignment="1">
      <alignment horizontal="right"/>
    </xf>
    <xf numFmtId="0" fontId="29" fillId="0" borderId="12" xfId="0" applyFont="1" applyBorder="1" applyAlignment="1">
      <alignment horizontal="right" vertical="center" wrapText="1"/>
    </xf>
    <xf numFmtId="0" fontId="1" fillId="0" borderId="6" xfId="0" applyFont="1" applyBorder="1" applyAlignment="1">
      <alignment horizontal="center"/>
    </xf>
    <xf numFmtId="0" fontId="1" fillId="4" borderId="6" xfId="0" applyFont="1" applyFill="1" applyBorder="1" applyAlignment="1">
      <alignment horizontal="center"/>
    </xf>
  </cellXfs>
  <cellStyles count="5">
    <cellStyle name="Comma" xfId="3" builtinId="3"/>
    <cellStyle name="Currency" xfId="1" builtinId="4"/>
    <cellStyle name="Hyperlink" xfId="4" builtinId="8"/>
    <cellStyle name="Normal" xfId="0" builtinId="0"/>
    <cellStyle name="Percent" xfId="2" builtinId="5"/>
  </cellStyles>
  <dxfs count="65">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0"/>
        <color theme="1"/>
        <name val="Arial"/>
        <family val="2"/>
        <scheme val="none"/>
      </font>
      <numFmt numFmtId="165" formatCode="0.000%"/>
      <fill>
        <patternFill patternType="none">
          <fgColor indexed="64"/>
          <bgColor auto="1"/>
        </patternFill>
      </fill>
    </dxf>
    <dxf>
      <font>
        <b val="0"/>
        <i val="0"/>
        <strike val="0"/>
        <condense val="0"/>
        <extend val="0"/>
        <outline val="0"/>
        <shadow val="0"/>
        <u val="none"/>
        <vertAlign val="baseline"/>
        <sz val="10"/>
        <color theme="1"/>
        <name val="Arial"/>
        <family val="2"/>
        <scheme val="none"/>
      </font>
      <numFmt numFmtId="164" formatCode="_([$$-409]* #,##0.00_);_([$$-409]* \(#,##0.00\);_([$$-409]* &quot;-&quot;??_);_(@_)"/>
      <fill>
        <patternFill patternType="none">
          <fgColor indexed="64"/>
          <bgColor auto="1"/>
        </patternFill>
      </fill>
      <border diagonalUp="0" diagonalDown="0" outline="0">
        <left style="thin">
          <color indexed="64"/>
        </left>
        <right/>
      </border>
    </dxf>
    <dxf>
      <font>
        <b val="0"/>
        <i val="0"/>
        <strike val="0"/>
        <condense val="0"/>
        <extend val="0"/>
        <outline val="0"/>
        <shadow val="0"/>
        <u val="none"/>
        <vertAlign val="baseline"/>
        <sz val="10"/>
        <color theme="1"/>
        <name val="Arial"/>
        <family val="2"/>
        <scheme val="none"/>
      </font>
      <numFmt numFmtId="164" formatCode="_([$$-409]* #,##0.00_);_([$$-409]* \(#,##0.00\);_([$$-409]* &quot;-&quot;??_);_(@_)"/>
      <fill>
        <patternFill patternType="none">
          <fgColor indexed="64"/>
          <bgColor auto="1"/>
        </patternFill>
      </fill>
      <border diagonalUp="0" diagonalDown="0" outline="0">
        <left style="thin">
          <color indexed="64"/>
        </left>
        <right style="thin">
          <color indexed="64"/>
        </right>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indexed="64"/>
        </left>
        <right style="thin">
          <color indexed="64"/>
        </right>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indexed="64"/>
        </left>
        <right style="thin">
          <color indexed="64"/>
        </right>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style="thin">
          <color indexed="64"/>
        </right>
      </border>
    </dxf>
    <dxf>
      <border diagonalUp="0" diagonalDown="0">
        <left style="medium">
          <color indexed="64"/>
        </left>
        <right style="medium">
          <color indexed="64"/>
        </right>
        <top style="medium">
          <color indexed="64"/>
        </top>
        <bottom style="medium">
          <color indexed="64"/>
        </bottom>
      </border>
    </dxf>
    <dxf>
      <fill>
        <patternFill patternType="none">
          <fgColor indexed="64"/>
          <bgColor auto="1"/>
        </patternFill>
      </fill>
    </dxf>
    <dxf>
      <border>
        <bottom style="medium">
          <color indexed="64"/>
        </bottom>
      </border>
    </dxf>
    <dxf>
      <font>
        <b/>
        <i val="0"/>
        <strike val="0"/>
        <condense val="0"/>
        <extend val="0"/>
        <outline val="0"/>
        <shadow val="0"/>
        <u val="none"/>
        <vertAlign val="baseline"/>
        <sz val="10"/>
        <color theme="1"/>
        <name val="Arial"/>
        <family val="2"/>
        <scheme val="none"/>
      </font>
      <fill>
        <patternFill patternType="none">
          <fgColor indexed="64"/>
          <bgColor auto="1"/>
        </patternFill>
      </fill>
    </dxf>
    <dxf>
      <font>
        <b val="0"/>
        <i val="0"/>
        <strike val="0"/>
        <condense val="0"/>
        <extend val="0"/>
        <outline val="0"/>
        <shadow val="0"/>
        <u val="none"/>
        <vertAlign val="baseline"/>
        <sz val="10"/>
        <color theme="1"/>
        <name val="Arial"/>
        <family val="2"/>
        <scheme val="none"/>
      </font>
      <numFmt numFmtId="165" formatCode="0.000%"/>
      <fill>
        <patternFill patternType="none">
          <fgColor indexed="64"/>
          <bgColor auto="1"/>
        </patternFill>
      </fill>
    </dxf>
    <dxf>
      <font>
        <b val="0"/>
        <i val="0"/>
        <strike val="0"/>
        <condense val="0"/>
        <extend val="0"/>
        <outline val="0"/>
        <shadow val="0"/>
        <u val="none"/>
        <vertAlign val="baseline"/>
        <sz val="10"/>
        <color theme="1"/>
        <name val="Arial"/>
        <family val="2"/>
        <scheme val="none"/>
      </font>
      <numFmt numFmtId="164" formatCode="_([$$-409]* #,##0.00_);_([$$-409]* \(#,##0.00\);_([$$-409]* &quot;-&quot;??_);_(@_)"/>
      <fill>
        <patternFill patternType="none">
          <fgColor indexed="64"/>
          <bgColor auto="1"/>
        </patternFill>
      </fill>
      <border diagonalUp="0" diagonalDown="0" outline="0">
        <left style="thin">
          <color indexed="64"/>
        </left>
        <right/>
      </border>
    </dxf>
    <dxf>
      <font>
        <b val="0"/>
        <i val="0"/>
        <strike val="0"/>
        <condense val="0"/>
        <extend val="0"/>
        <outline val="0"/>
        <shadow val="0"/>
        <u val="none"/>
        <vertAlign val="baseline"/>
        <sz val="10"/>
        <color theme="1"/>
        <name val="Arial"/>
        <family val="2"/>
        <scheme val="none"/>
      </font>
      <numFmt numFmtId="164" formatCode="_([$$-409]* #,##0.00_);_([$$-409]* \(#,##0.00\);_([$$-409]* &quot;-&quot;??_);_(@_)"/>
      <fill>
        <patternFill patternType="none">
          <fgColor indexed="64"/>
          <bgColor auto="1"/>
        </patternFill>
      </fill>
      <border diagonalUp="0" diagonalDown="0" outline="0">
        <left style="thin">
          <color indexed="64"/>
        </left>
        <right style="thin">
          <color indexed="64"/>
        </right>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indexed="64"/>
        </left>
        <right style="thin">
          <color indexed="64"/>
        </right>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indexed="64"/>
        </left>
        <right style="thin">
          <color indexed="64"/>
        </right>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style="thin">
          <color indexed="64"/>
        </right>
      </border>
    </dxf>
    <dxf>
      <border diagonalUp="0" diagonalDown="0">
        <left style="medium">
          <color indexed="64"/>
        </left>
        <right style="medium">
          <color indexed="64"/>
        </right>
        <top style="medium">
          <color indexed="64"/>
        </top>
        <bottom style="medium">
          <color indexed="64"/>
        </bottom>
      </border>
    </dxf>
    <dxf>
      <fill>
        <patternFill patternType="none">
          <fgColor indexed="64"/>
          <bgColor auto="1"/>
        </patternFill>
      </fill>
    </dxf>
    <dxf>
      <border>
        <bottom style="medium">
          <color indexed="64"/>
        </bottom>
      </border>
    </dxf>
    <dxf>
      <font>
        <b/>
        <i val="0"/>
        <strike val="0"/>
        <condense val="0"/>
        <extend val="0"/>
        <outline val="0"/>
        <shadow val="0"/>
        <u val="none"/>
        <vertAlign val="baseline"/>
        <sz val="10"/>
        <color theme="1"/>
        <name val="Arial"/>
        <family val="2"/>
        <scheme val="none"/>
      </font>
      <fill>
        <patternFill patternType="none">
          <fgColor indexed="64"/>
          <bgColor auto="1"/>
        </patternFill>
      </fill>
    </dxf>
  </dxfs>
  <tableStyles count="0" defaultTableStyle="TableStyleMedium2" defaultPivotStyle="PivotStyleLight16"/>
  <colors>
    <mruColors>
      <color rgb="FFF6ACAC"/>
      <color rgb="FF00BBC0"/>
      <color rgb="FF00CED1"/>
      <color rgb="FF228B22"/>
      <color rgb="FF708090"/>
      <color rgb="FF007BFF"/>
      <color rgb="FF1E90FF"/>
      <color rgb="FFA0522D"/>
      <color rgb="FF8A2BE2"/>
      <color rgb="FFC7DD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sharedStrings" Target="sharedStrings.xml"/><Relationship Id="rId21" Type="http://schemas.openxmlformats.org/officeDocument/2006/relationships/externalLink" Target="externalLinks/externalLink16.xml"/><Relationship Id="rId34" Type="http://schemas.openxmlformats.org/officeDocument/2006/relationships/calcChain" Target="calcChain.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styles" Target="style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theme" Target="theme/theme1.xml"/><Relationship Id="rId32" Type="http://schemas.microsoft.com/office/2017/06/relationships/rdSupportingPropertyBag" Target="richData/rdsupportingpropertybag.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pivotCacheDefinition" Target="pivotCache/pivotCacheDefinition1.xml"/><Relationship Id="rId28" Type="http://schemas.microsoft.com/office/2017/06/relationships/rdRichValue" Target="richData/rdrichvalue.xml"/><Relationship Id="rId36" Type="http://schemas.openxmlformats.org/officeDocument/2006/relationships/customXml" Target="../customXml/item2.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sheetMetadata" Target="metadata.xml"/><Relationship Id="rId30" Type="http://schemas.microsoft.com/office/2017/06/relationships/richStyles" Target="richData/richStyles.xml"/><Relationship Id="rId35" Type="http://schemas.openxmlformats.org/officeDocument/2006/relationships/customXml" Target="../customXml/item1.xml"/><Relationship Id="rId8" Type="http://schemas.openxmlformats.org/officeDocument/2006/relationships/externalLink" Target="externalLinks/externalLink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v>Quarterly Dividend Growth (O)</c:v>
          </c:tx>
          <c:spPr>
            <a:solidFill>
              <a:schemeClr val="accent1"/>
            </a:solidFill>
            <a:ln>
              <a:noFill/>
            </a:ln>
            <a:effectLst/>
          </c:spPr>
          <c:invertIfNegative val="0"/>
          <c:cat>
            <c:strRef>
              <c:f>'Data &amp; Analysis'!$BR$5:$BR$42</c:f>
              <c:strCache>
                <c:ptCount val="38"/>
                <c:pt idx="0">
                  <c:v>Q216</c:v>
                </c:pt>
                <c:pt idx="1">
                  <c:v>Q316</c:v>
                </c:pt>
                <c:pt idx="2">
                  <c:v>Q416</c:v>
                </c:pt>
                <c:pt idx="3">
                  <c:v>Q117</c:v>
                </c:pt>
                <c:pt idx="4">
                  <c:v>Q217</c:v>
                </c:pt>
                <c:pt idx="5">
                  <c:v>Q317</c:v>
                </c:pt>
                <c:pt idx="6">
                  <c:v>Q417</c:v>
                </c:pt>
                <c:pt idx="7">
                  <c:v>Q118</c:v>
                </c:pt>
                <c:pt idx="8">
                  <c:v>Q218</c:v>
                </c:pt>
                <c:pt idx="9">
                  <c:v>Q318</c:v>
                </c:pt>
                <c:pt idx="10">
                  <c:v>Q418</c:v>
                </c:pt>
                <c:pt idx="11">
                  <c:v>Q119</c:v>
                </c:pt>
                <c:pt idx="12">
                  <c:v>Q219</c:v>
                </c:pt>
                <c:pt idx="13">
                  <c:v>Q319</c:v>
                </c:pt>
                <c:pt idx="14">
                  <c:v>Q419</c:v>
                </c:pt>
                <c:pt idx="15">
                  <c:v>Q120</c:v>
                </c:pt>
                <c:pt idx="16">
                  <c:v>Q220</c:v>
                </c:pt>
                <c:pt idx="17">
                  <c:v>Q320</c:v>
                </c:pt>
                <c:pt idx="18">
                  <c:v>Q420</c:v>
                </c:pt>
                <c:pt idx="19">
                  <c:v>Q121</c:v>
                </c:pt>
                <c:pt idx="20">
                  <c:v>Q221</c:v>
                </c:pt>
                <c:pt idx="21">
                  <c:v>Q321</c:v>
                </c:pt>
                <c:pt idx="22">
                  <c:v>Q421</c:v>
                </c:pt>
                <c:pt idx="23">
                  <c:v>Q122</c:v>
                </c:pt>
                <c:pt idx="24">
                  <c:v>Q222</c:v>
                </c:pt>
                <c:pt idx="25">
                  <c:v>Q322</c:v>
                </c:pt>
                <c:pt idx="26">
                  <c:v>Q422</c:v>
                </c:pt>
                <c:pt idx="27">
                  <c:v>Q123</c:v>
                </c:pt>
                <c:pt idx="28">
                  <c:v>Q223</c:v>
                </c:pt>
                <c:pt idx="29">
                  <c:v>Q323</c:v>
                </c:pt>
                <c:pt idx="30">
                  <c:v>Q423</c:v>
                </c:pt>
                <c:pt idx="31">
                  <c:v>Q124</c:v>
                </c:pt>
                <c:pt idx="32">
                  <c:v>Q224</c:v>
                </c:pt>
                <c:pt idx="33">
                  <c:v>Q324</c:v>
                </c:pt>
                <c:pt idx="34">
                  <c:v>Q424</c:v>
                </c:pt>
                <c:pt idx="35">
                  <c:v>Q125</c:v>
                </c:pt>
                <c:pt idx="36">
                  <c:v>Q225</c:v>
                </c:pt>
                <c:pt idx="37">
                  <c:v>Q325</c:v>
                </c:pt>
              </c:strCache>
            </c:strRef>
          </c:cat>
          <c:val>
            <c:numRef>
              <c:f>'Data &amp; Analysis'!$BS$5:$BS$42</c:f>
              <c:numCache>
                <c:formatCode>0.000%</c:formatCode>
                <c:ptCount val="38"/>
                <c:pt idx="0">
                  <c:v>1.6736579023170133E-3</c:v>
                </c:pt>
                <c:pt idx="1">
                  <c:v>9.9835468438410711E-3</c:v>
                </c:pt>
                <c:pt idx="2">
                  <c:v>4.9546437919574171E-3</c:v>
                </c:pt>
                <c:pt idx="3">
                  <c:v>4.1942050083459005E-2</c:v>
                </c:pt>
                <c:pt idx="4">
                  <c:v>1.5785477220842099E-3</c:v>
                </c:pt>
                <c:pt idx="5">
                  <c:v>3.1496396154076455E-3</c:v>
                </c:pt>
                <c:pt idx="6">
                  <c:v>1.5711075159750263E-3</c:v>
                </c:pt>
                <c:pt idx="7">
                  <c:v>3.2435585984442239E-2</c:v>
                </c:pt>
                <c:pt idx="8">
                  <c:v>3.0349322113585962E-3</c:v>
                </c:pt>
                <c:pt idx="9">
                  <c:v>1.5140190246054784E-3</c:v>
                </c:pt>
                <c:pt idx="10">
                  <c:v>3.0211785925095868E-3</c:v>
                </c:pt>
                <c:pt idx="11">
                  <c:v>2.2372504377941478E-2</c:v>
                </c:pt>
                <c:pt idx="12">
                  <c:v>1.4738530686005699E-3</c:v>
                </c:pt>
                <c:pt idx="13">
                  <c:v>2.9412053729106543E-3</c:v>
                </c:pt>
                <c:pt idx="14">
                  <c:v>1.4673650260918619E-3</c:v>
                </c:pt>
                <c:pt idx="15">
                  <c:v>2.4621305200349015E-2</c:v>
                </c:pt>
                <c:pt idx="16">
                  <c:v>1.4296054644181487E-3</c:v>
                </c:pt>
                <c:pt idx="17">
                  <c:v>2.8530941838925501E-3</c:v>
                </c:pt>
                <c:pt idx="18">
                  <c:v>1.423500331823838E-3</c:v>
                </c:pt>
                <c:pt idx="19">
                  <c:v>2.8409359887607089E-3</c:v>
                </c:pt>
                <c:pt idx="20">
                  <c:v>1.4174471214627876E-3</c:v>
                </c:pt>
                <c:pt idx="21">
                  <c:v>2.828880976028199E-3</c:v>
                </c:pt>
                <c:pt idx="22">
                  <c:v>5.0639917784569069E-2</c:v>
                </c:pt>
                <c:pt idx="23">
                  <c:v>2.6416026640159223E-2</c:v>
                </c:pt>
                <c:pt idx="24">
                  <c:v>1.348617871293463E-3</c:v>
                </c:pt>
                <c:pt idx="25">
                  <c:v>2.691791665711353E-3</c:v>
                </c:pt>
                <c:pt idx="26">
                  <c:v>1.3431835464677597E-3</c:v>
                </c:pt>
                <c:pt idx="27">
                  <c:v>1.8617559016070515E-2</c:v>
                </c:pt>
                <c:pt idx="28">
                  <c:v>9.1803923449613935E-3</c:v>
                </c:pt>
                <c:pt idx="29">
                  <c:v>2.6075634070807695E-3</c:v>
                </c:pt>
                <c:pt idx="30">
                  <c:v>1.301236357971734E-3</c:v>
                </c:pt>
                <c:pt idx="31">
                  <c:v>2.5974040576854712E-3</c:v>
                </c:pt>
                <c:pt idx="32">
                  <c:v>1.5444322427473556E-2</c:v>
                </c:pt>
                <c:pt idx="33">
                  <c:v>8.9002494702640784E-3</c:v>
                </c:pt>
                <c:pt idx="34">
                  <c:v>3.7950709685515343E-3</c:v>
                </c:pt>
                <c:pt idx="35">
                  <c:v>2.5284463533586906E-3</c:v>
                </c:pt>
                <c:pt idx="36">
                  <c:v>1.3724482425565761E-2</c:v>
                </c:pt>
                <c:pt idx="37">
                  <c:v>0</c:v>
                </c:pt>
              </c:numCache>
            </c:numRef>
          </c:val>
          <c:extLst>
            <c:ext xmlns:c16="http://schemas.microsoft.com/office/drawing/2014/chart" uri="{C3380CC4-5D6E-409C-BE32-E72D297353CC}">
              <c16:uniqueId val="{00000000-0F51-4510-B063-8ED540159729}"/>
            </c:ext>
          </c:extLst>
        </c:ser>
        <c:dLbls>
          <c:showLegendKey val="0"/>
          <c:showVal val="0"/>
          <c:showCatName val="0"/>
          <c:showSerName val="0"/>
          <c:showPercent val="0"/>
          <c:showBubbleSize val="0"/>
        </c:dLbls>
        <c:gapWidth val="150"/>
        <c:axId val="89405343"/>
        <c:axId val="89405823"/>
      </c:barChart>
      <c:catAx>
        <c:axId val="8940534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9405823"/>
        <c:crosses val="autoZero"/>
        <c:auto val="1"/>
        <c:lblAlgn val="ctr"/>
        <c:lblOffset val="100"/>
        <c:noMultiLvlLbl val="0"/>
      </c:catAx>
      <c:valAx>
        <c:axId val="8940582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940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scatterChart>
        <c:scatterStyle val="smoothMarker"/>
        <c:varyColors val="0"/>
        <c:ser>
          <c:idx val="0"/>
          <c:order val="0"/>
          <c:tx>
            <c:v>Yearly Dividend Growth (O)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'Data &amp; Analysis'!$BW$6:$BW$13</c:f>
              <c:numCache>
                <c:formatCode>General</c:formatCode>
                <c:ptCount val="8"/>
                <c:pt idx="0">
                  <c:v>2017</c:v>
                </c:pt>
                <c:pt idx="1">
                  <c:v>2018</c:v>
                </c:pt>
                <c:pt idx="2">
                  <c:v>2019</c:v>
                </c:pt>
                <c:pt idx="3">
                  <c:v>2020</c:v>
                </c:pt>
                <c:pt idx="4">
                  <c:v>2021</c:v>
                </c:pt>
                <c:pt idx="5">
                  <c:v>2022</c:v>
                </c:pt>
                <c:pt idx="6">
                  <c:v>2023</c:v>
                </c:pt>
                <c:pt idx="7">
                  <c:v>2024</c:v>
                </c:pt>
              </c:numCache>
            </c:numRef>
          </c:xVal>
          <c:yVal>
            <c:numRef>
              <c:f>'Data &amp; Analysis'!$BY$6:$BY$13</c:f>
              <c:numCache>
                <c:formatCode>0.000%</c:formatCode>
                <c:ptCount val="8"/>
                <c:pt idx="0">
                  <c:v>5.4199006562293893E-2</c:v>
                </c:pt>
                <c:pt idx="1">
                  <c:v>3.9372501535254838E-2</c:v>
                </c:pt>
                <c:pt idx="2">
                  <c:v>2.9095943041876873E-2</c:v>
                </c:pt>
                <c:pt idx="3">
                  <c:v>3.0415361651477343E-2</c:v>
                </c:pt>
                <c:pt idx="4">
                  <c:v>2.1094269131759456E-2</c:v>
                </c:pt>
                <c:pt idx="5">
                  <c:v>6.8593388706705213E-2</c:v>
                </c:pt>
                <c:pt idx="6">
                  <c:v>2.9833170379979502E-2</c:v>
                </c:pt>
                <c:pt idx="7">
                  <c:v>2.3879805252669126E-2</c:v>
                </c:pt>
              </c:numCache>
            </c:numRef>
          </c:yVal>
          <c:smooth val="1"/>
          <c:extLst>
            <c:ext xmlns:c16="http://schemas.microsoft.com/office/drawing/2014/chart" uri="{C3380CC4-5D6E-409C-BE32-E72D297353CC}">
              <c16:uniqueId val="{00000000-8B21-40D1-A9B5-0C89DF7EC41F}"/>
            </c:ext>
          </c:extLst>
        </c:ser>
        <c:dLbls>
          <c:showLegendKey val="0"/>
          <c:showVal val="0"/>
          <c:showCatName val="0"/>
          <c:showSerName val="0"/>
          <c:showPercent val="0"/>
          <c:showBubbleSize val="0"/>
        </c:dLbls>
        <c:axId val="98005999"/>
        <c:axId val="98008399"/>
      </c:scatterChart>
      <c:valAx>
        <c:axId val="98005999"/>
        <c:scaling>
          <c:orientation val="minMax"/>
          <c:max val="2024"/>
          <c:min val="2017"/>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8008399"/>
        <c:crosses val="autoZero"/>
        <c:crossBetween val="midCat"/>
      </c:valAx>
      <c:valAx>
        <c:axId val="980083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8005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Dividend</a:t>
            </a:r>
            <a:r>
              <a:rPr lang="en-US" baseline="0"/>
              <a:t> History with Forecasted Dividend Payments (O)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'Data &amp; Analysis'!$BK$5:$BK$121</c:f>
              <c:numCache>
                <c:formatCode>[$-409]d\-mmm\-yy;@</c:formatCode>
                <c:ptCount val="117"/>
                <c:pt idx="0">
                  <c:v>42397</c:v>
                </c:pt>
                <c:pt idx="1">
                  <c:v>42426</c:v>
                </c:pt>
                <c:pt idx="2">
                  <c:v>42459</c:v>
                </c:pt>
                <c:pt idx="3">
                  <c:v>42488</c:v>
                </c:pt>
                <c:pt idx="4">
                  <c:v>42517</c:v>
                </c:pt>
                <c:pt idx="5">
                  <c:v>42550</c:v>
                </c:pt>
                <c:pt idx="6">
                  <c:v>42579</c:v>
                </c:pt>
                <c:pt idx="7">
                  <c:v>42612</c:v>
                </c:pt>
                <c:pt idx="8">
                  <c:v>42642</c:v>
                </c:pt>
                <c:pt idx="9">
                  <c:v>42671</c:v>
                </c:pt>
                <c:pt idx="10">
                  <c:v>42703</c:v>
                </c:pt>
                <c:pt idx="11">
                  <c:v>42733</c:v>
                </c:pt>
                <c:pt idx="12">
                  <c:v>42765</c:v>
                </c:pt>
                <c:pt idx="13">
                  <c:v>42793</c:v>
                </c:pt>
                <c:pt idx="14">
                  <c:v>42824</c:v>
                </c:pt>
                <c:pt idx="15">
                  <c:v>42852</c:v>
                </c:pt>
                <c:pt idx="16">
                  <c:v>42885</c:v>
                </c:pt>
                <c:pt idx="17">
                  <c:v>42915</c:v>
                </c:pt>
                <c:pt idx="18">
                  <c:v>42944</c:v>
                </c:pt>
                <c:pt idx="19">
                  <c:v>42977</c:v>
                </c:pt>
                <c:pt idx="20">
                  <c:v>43007</c:v>
                </c:pt>
                <c:pt idx="21">
                  <c:v>43039</c:v>
                </c:pt>
                <c:pt idx="22">
                  <c:v>43069</c:v>
                </c:pt>
                <c:pt idx="23">
                  <c:v>43098</c:v>
                </c:pt>
                <c:pt idx="24">
                  <c:v>43131</c:v>
                </c:pt>
                <c:pt idx="25">
                  <c:v>43159</c:v>
                </c:pt>
                <c:pt idx="26">
                  <c:v>43188</c:v>
                </c:pt>
                <c:pt idx="27">
                  <c:v>43220</c:v>
                </c:pt>
                <c:pt idx="28">
                  <c:v>43251</c:v>
                </c:pt>
                <c:pt idx="29">
                  <c:v>43280</c:v>
                </c:pt>
                <c:pt idx="30">
                  <c:v>43312</c:v>
                </c:pt>
                <c:pt idx="31">
                  <c:v>43343</c:v>
                </c:pt>
                <c:pt idx="32">
                  <c:v>43371</c:v>
                </c:pt>
                <c:pt idx="33">
                  <c:v>43404</c:v>
                </c:pt>
                <c:pt idx="34">
                  <c:v>43434</c:v>
                </c:pt>
                <c:pt idx="35">
                  <c:v>43465</c:v>
                </c:pt>
                <c:pt idx="36">
                  <c:v>43496</c:v>
                </c:pt>
                <c:pt idx="37">
                  <c:v>43524</c:v>
                </c:pt>
                <c:pt idx="38">
                  <c:v>43553</c:v>
                </c:pt>
                <c:pt idx="39">
                  <c:v>43585</c:v>
                </c:pt>
                <c:pt idx="40">
                  <c:v>43616</c:v>
                </c:pt>
                <c:pt idx="41">
                  <c:v>43644</c:v>
                </c:pt>
                <c:pt idx="42">
                  <c:v>43677</c:v>
                </c:pt>
                <c:pt idx="43">
                  <c:v>43707</c:v>
                </c:pt>
                <c:pt idx="44">
                  <c:v>43738</c:v>
                </c:pt>
                <c:pt idx="45">
                  <c:v>43769</c:v>
                </c:pt>
                <c:pt idx="46">
                  <c:v>43798</c:v>
                </c:pt>
                <c:pt idx="47">
                  <c:v>43830</c:v>
                </c:pt>
                <c:pt idx="48">
                  <c:v>43861</c:v>
                </c:pt>
                <c:pt idx="49">
                  <c:v>43889</c:v>
                </c:pt>
                <c:pt idx="50">
                  <c:v>43921</c:v>
                </c:pt>
                <c:pt idx="51">
                  <c:v>43951</c:v>
                </c:pt>
                <c:pt idx="52">
                  <c:v>43980</c:v>
                </c:pt>
                <c:pt idx="53">
                  <c:v>44012</c:v>
                </c:pt>
                <c:pt idx="54">
                  <c:v>44043</c:v>
                </c:pt>
                <c:pt idx="55">
                  <c:v>44074</c:v>
                </c:pt>
                <c:pt idx="56">
                  <c:v>44104</c:v>
                </c:pt>
                <c:pt idx="57">
                  <c:v>44134</c:v>
                </c:pt>
                <c:pt idx="58">
                  <c:v>44165</c:v>
                </c:pt>
                <c:pt idx="59">
                  <c:v>44196</c:v>
                </c:pt>
                <c:pt idx="60">
                  <c:v>44225</c:v>
                </c:pt>
                <c:pt idx="61">
                  <c:v>44253</c:v>
                </c:pt>
                <c:pt idx="62">
                  <c:v>44286</c:v>
                </c:pt>
                <c:pt idx="63">
                  <c:v>44316</c:v>
                </c:pt>
                <c:pt idx="64">
                  <c:v>44344</c:v>
                </c:pt>
                <c:pt idx="65">
                  <c:v>44377</c:v>
                </c:pt>
                <c:pt idx="66">
                  <c:v>44407</c:v>
                </c:pt>
                <c:pt idx="67">
                  <c:v>44439</c:v>
                </c:pt>
                <c:pt idx="68">
                  <c:v>44469</c:v>
                </c:pt>
                <c:pt idx="69">
                  <c:v>44501</c:v>
                </c:pt>
                <c:pt idx="70">
                  <c:v>44530</c:v>
                </c:pt>
                <c:pt idx="71">
                  <c:v>44561</c:v>
                </c:pt>
                <c:pt idx="72">
                  <c:v>44592</c:v>
                </c:pt>
                <c:pt idx="73">
                  <c:v>44620</c:v>
                </c:pt>
                <c:pt idx="74">
                  <c:v>44651</c:v>
                </c:pt>
                <c:pt idx="75">
                  <c:v>44680</c:v>
                </c:pt>
                <c:pt idx="76">
                  <c:v>44712</c:v>
                </c:pt>
                <c:pt idx="77">
                  <c:v>44742</c:v>
                </c:pt>
                <c:pt idx="78">
                  <c:v>44771</c:v>
                </c:pt>
                <c:pt idx="79">
                  <c:v>44804</c:v>
                </c:pt>
                <c:pt idx="80">
                  <c:v>44834</c:v>
                </c:pt>
                <c:pt idx="81">
                  <c:v>44865</c:v>
                </c:pt>
                <c:pt idx="82">
                  <c:v>44895</c:v>
                </c:pt>
                <c:pt idx="83">
                  <c:v>44925</c:v>
                </c:pt>
                <c:pt idx="84">
                  <c:v>44957</c:v>
                </c:pt>
                <c:pt idx="85">
                  <c:v>44985</c:v>
                </c:pt>
                <c:pt idx="86">
                  <c:v>45016</c:v>
                </c:pt>
                <c:pt idx="87">
                  <c:v>45044</c:v>
                </c:pt>
                <c:pt idx="88">
                  <c:v>45077</c:v>
                </c:pt>
                <c:pt idx="89">
                  <c:v>45107</c:v>
                </c:pt>
                <c:pt idx="90">
                  <c:v>45138</c:v>
                </c:pt>
                <c:pt idx="91">
                  <c:v>45169</c:v>
                </c:pt>
                <c:pt idx="92">
                  <c:v>45198</c:v>
                </c:pt>
                <c:pt idx="93">
                  <c:v>45230</c:v>
                </c:pt>
                <c:pt idx="94">
                  <c:v>45260</c:v>
                </c:pt>
                <c:pt idx="95">
                  <c:v>45289</c:v>
                </c:pt>
                <c:pt idx="96">
                  <c:v>45322</c:v>
                </c:pt>
                <c:pt idx="97">
                  <c:v>45351</c:v>
                </c:pt>
                <c:pt idx="98">
                  <c:v>45379</c:v>
                </c:pt>
                <c:pt idx="99">
                  <c:v>45412</c:v>
                </c:pt>
                <c:pt idx="100">
                  <c:v>45446</c:v>
                </c:pt>
                <c:pt idx="101">
                  <c:v>45474</c:v>
                </c:pt>
                <c:pt idx="102">
                  <c:v>45505</c:v>
                </c:pt>
                <c:pt idx="103">
                  <c:v>45538</c:v>
                </c:pt>
                <c:pt idx="104">
                  <c:v>45566</c:v>
                </c:pt>
                <c:pt idx="105">
                  <c:v>45597</c:v>
                </c:pt>
                <c:pt idx="106">
                  <c:v>45628</c:v>
                </c:pt>
                <c:pt idx="107">
                  <c:v>45659</c:v>
                </c:pt>
                <c:pt idx="108">
                  <c:v>45691</c:v>
                </c:pt>
                <c:pt idx="109">
                  <c:v>45719</c:v>
                </c:pt>
                <c:pt idx="110">
                  <c:v>45748</c:v>
                </c:pt>
                <c:pt idx="111">
                  <c:v>45778</c:v>
                </c:pt>
                <c:pt idx="112">
                  <c:v>45810</c:v>
                </c:pt>
                <c:pt idx="113">
                  <c:v>45839</c:v>
                </c:pt>
                <c:pt idx="114">
                  <c:v>45870</c:v>
                </c:pt>
                <c:pt idx="115">
                  <c:v>45902</c:v>
                </c:pt>
                <c:pt idx="116">
                  <c:v>45931</c:v>
                </c:pt>
              </c:numCache>
            </c:numRef>
          </c:xVal>
          <c:yVal>
            <c:numRef>
              <c:f>'Data &amp; Analysis'!$BL$5:$BL$121</c:f>
              <c:numCache>
                <c:formatCode>General</c:formatCode>
                <c:ptCount val="117"/>
                <c:pt idx="0">
                  <c:v>0.192829</c:v>
                </c:pt>
                <c:pt idx="1">
                  <c:v>0.192829</c:v>
                </c:pt>
                <c:pt idx="2">
                  <c:v>0.192829</c:v>
                </c:pt>
                <c:pt idx="3">
                  <c:v>0.192829</c:v>
                </c:pt>
                <c:pt idx="4">
                  <c:v>0.192829</c:v>
                </c:pt>
                <c:pt idx="5">
                  <c:v>0.193798</c:v>
                </c:pt>
                <c:pt idx="6">
                  <c:v>0.193798</c:v>
                </c:pt>
                <c:pt idx="7">
                  <c:v>0.19573599999999999</c:v>
                </c:pt>
                <c:pt idx="8">
                  <c:v>0.19573599999999999</c:v>
                </c:pt>
                <c:pt idx="9">
                  <c:v>0.19573599999999999</c:v>
                </c:pt>
                <c:pt idx="10">
                  <c:v>0.19573599999999999</c:v>
                </c:pt>
                <c:pt idx="11">
                  <c:v>0.19670499999999999</c:v>
                </c:pt>
                <c:pt idx="12">
                  <c:v>0.204457</c:v>
                </c:pt>
                <c:pt idx="13">
                  <c:v>0.204457</c:v>
                </c:pt>
                <c:pt idx="14">
                  <c:v>0.204457</c:v>
                </c:pt>
                <c:pt idx="15">
                  <c:v>0.204457</c:v>
                </c:pt>
                <c:pt idx="16">
                  <c:v>0.204457</c:v>
                </c:pt>
                <c:pt idx="17">
                  <c:v>0.205426</c:v>
                </c:pt>
                <c:pt idx="18">
                  <c:v>0.205426</c:v>
                </c:pt>
                <c:pt idx="19">
                  <c:v>0.205426</c:v>
                </c:pt>
                <c:pt idx="20">
                  <c:v>0.205426</c:v>
                </c:pt>
                <c:pt idx="21">
                  <c:v>0.205426</c:v>
                </c:pt>
                <c:pt idx="22">
                  <c:v>0.205426</c:v>
                </c:pt>
                <c:pt idx="23">
                  <c:v>0.206395</c:v>
                </c:pt>
                <c:pt idx="24">
                  <c:v>0.21220900000000001</c:v>
                </c:pt>
                <c:pt idx="25">
                  <c:v>0.21220900000000001</c:v>
                </c:pt>
                <c:pt idx="26">
                  <c:v>0.21317800000000001</c:v>
                </c:pt>
                <c:pt idx="27">
                  <c:v>0.21317800000000001</c:v>
                </c:pt>
                <c:pt idx="28">
                  <c:v>0.21317800000000001</c:v>
                </c:pt>
                <c:pt idx="29">
                  <c:v>0.21317800000000001</c:v>
                </c:pt>
                <c:pt idx="30">
                  <c:v>0.21317800000000001</c:v>
                </c:pt>
                <c:pt idx="31">
                  <c:v>0.21317800000000001</c:v>
                </c:pt>
                <c:pt idx="32">
                  <c:v>0.214147</c:v>
                </c:pt>
                <c:pt idx="33">
                  <c:v>0.214147</c:v>
                </c:pt>
                <c:pt idx="34">
                  <c:v>0.214147</c:v>
                </c:pt>
                <c:pt idx="35">
                  <c:v>0.214147</c:v>
                </c:pt>
                <c:pt idx="36">
                  <c:v>0.21899199999999999</c:v>
                </c:pt>
                <c:pt idx="37">
                  <c:v>0.21899199999999999</c:v>
                </c:pt>
                <c:pt idx="38">
                  <c:v>0.21899199999999999</c:v>
                </c:pt>
                <c:pt idx="39">
                  <c:v>0.21899199999999999</c:v>
                </c:pt>
                <c:pt idx="40">
                  <c:v>0.21899199999999999</c:v>
                </c:pt>
                <c:pt idx="41">
                  <c:v>0.21996099999999999</c:v>
                </c:pt>
                <c:pt idx="42">
                  <c:v>0.21996099999999999</c:v>
                </c:pt>
                <c:pt idx="43">
                  <c:v>0.21996099999999999</c:v>
                </c:pt>
                <c:pt idx="44">
                  <c:v>0.21996099999999999</c:v>
                </c:pt>
                <c:pt idx="45">
                  <c:v>0.21996099999999999</c:v>
                </c:pt>
                <c:pt idx="46">
                  <c:v>0.21996099999999999</c:v>
                </c:pt>
                <c:pt idx="47">
                  <c:v>0.22092999999999999</c:v>
                </c:pt>
                <c:pt idx="48">
                  <c:v>0.225775</c:v>
                </c:pt>
                <c:pt idx="49">
                  <c:v>0.225775</c:v>
                </c:pt>
                <c:pt idx="50">
                  <c:v>0.225775</c:v>
                </c:pt>
                <c:pt idx="51">
                  <c:v>0.225775</c:v>
                </c:pt>
                <c:pt idx="52">
                  <c:v>0.225775</c:v>
                </c:pt>
                <c:pt idx="53">
                  <c:v>0.226744</c:v>
                </c:pt>
                <c:pt idx="54">
                  <c:v>0.226744</c:v>
                </c:pt>
                <c:pt idx="55">
                  <c:v>0.226744</c:v>
                </c:pt>
                <c:pt idx="56">
                  <c:v>0.226744</c:v>
                </c:pt>
                <c:pt idx="57">
                  <c:v>0.226744</c:v>
                </c:pt>
                <c:pt idx="58">
                  <c:v>0.226744</c:v>
                </c:pt>
                <c:pt idx="59">
                  <c:v>0.227713</c:v>
                </c:pt>
                <c:pt idx="60">
                  <c:v>0.227713</c:v>
                </c:pt>
                <c:pt idx="61">
                  <c:v>0.227713</c:v>
                </c:pt>
                <c:pt idx="62">
                  <c:v>0.227713</c:v>
                </c:pt>
                <c:pt idx="63">
                  <c:v>0.227713</c:v>
                </c:pt>
                <c:pt idx="64">
                  <c:v>0.227713</c:v>
                </c:pt>
                <c:pt idx="65">
                  <c:v>0.228682</c:v>
                </c:pt>
                <c:pt idx="66">
                  <c:v>0.228682</c:v>
                </c:pt>
                <c:pt idx="67">
                  <c:v>0.228682</c:v>
                </c:pt>
                <c:pt idx="68">
                  <c:v>0.228682</c:v>
                </c:pt>
                <c:pt idx="69">
                  <c:v>0.228682</c:v>
                </c:pt>
                <c:pt idx="70">
                  <c:v>0.246</c:v>
                </c:pt>
                <c:pt idx="71">
                  <c:v>0.247</c:v>
                </c:pt>
                <c:pt idx="72">
                  <c:v>0.247</c:v>
                </c:pt>
                <c:pt idx="73">
                  <c:v>0.247</c:v>
                </c:pt>
                <c:pt idx="74">
                  <c:v>0.247</c:v>
                </c:pt>
                <c:pt idx="75">
                  <c:v>0.247</c:v>
                </c:pt>
                <c:pt idx="76">
                  <c:v>0.247</c:v>
                </c:pt>
                <c:pt idx="77">
                  <c:v>0.248</c:v>
                </c:pt>
                <c:pt idx="78">
                  <c:v>0.248</c:v>
                </c:pt>
                <c:pt idx="79">
                  <c:v>0.248</c:v>
                </c:pt>
                <c:pt idx="80">
                  <c:v>0.248</c:v>
                </c:pt>
                <c:pt idx="81">
                  <c:v>0.248</c:v>
                </c:pt>
                <c:pt idx="82">
                  <c:v>0.248</c:v>
                </c:pt>
                <c:pt idx="83">
                  <c:v>0.249</c:v>
                </c:pt>
                <c:pt idx="84">
                  <c:v>0.249</c:v>
                </c:pt>
                <c:pt idx="85">
                  <c:v>0.255</c:v>
                </c:pt>
                <c:pt idx="86">
                  <c:v>0.255</c:v>
                </c:pt>
                <c:pt idx="87">
                  <c:v>0.255</c:v>
                </c:pt>
                <c:pt idx="88">
                  <c:v>0.255</c:v>
                </c:pt>
                <c:pt idx="89">
                  <c:v>0.25600000000000001</c:v>
                </c:pt>
                <c:pt idx="90">
                  <c:v>0.25600000000000001</c:v>
                </c:pt>
                <c:pt idx="91">
                  <c:v>0.25600000000000001</c:v>
                </c:pt>
                <c:pt idx="92">
                  <c:v>0.25600000000000001</c:v>
                </c:pt>
                <c:pt idx="93">
                  <c:v>0.25600000000000001</c:v>
                </c:pt>
                <c:pt idx="94">
                  <c:v>0.25600000000000001</c:v>
                </c:pt>
                <c:pt idx="95">
                  <c:v>0.25700000000000001</c:v>
                </c:pt>
                <c:pt idx="96">
                  <c:v>0.25700000000000001</c:v>
                </c:pt>
                <c:pt idx="97">
                  <c:v>0.25700000000000001</c:v>
                </c:pt>
                <c:pt idx="98">
                  <c:v>0.25700000000000001</c:v>
                </c:pt>
                <c:pt idx="99">
                  <c:v>0.25700000000000001</c:v>
                </c:pt>
                <c:pt idx="100">
                  <c:v>0.26300000000000001</c:v>
                </c:pt>
                <c:pt idx="101">
                  <c:v>0.26300000000000001</c:v>
                </c:pt>
                <c:pt idx="102">
                  <c:v>0.26300000000000001</c:v>
                </c:pt>
                <c:pt idx="103">
                  <c:v>0.26300000000000001</c:v>
                </c:pt>
                <c:pt idx="104">
                  <c:v>0.26400000000000001</c:v>
                </c:pt>
                <c:pt idx="105">
                  <c:v>0.26400000000000001</c:v>
                </c:pt>
                <c:pt idx="106">
                  <c:v>0.26400000000000001</c:v>
                </c:pt>
                <c:pt idx="107">
                  <c:v>0.26400000000000001</c:v>
                </c:pt>
                <c:pt idx="108">
                  <c:v>0.26400000000000001</c:v>
                </c:pt>
                <c:pt idx="109">
                  <c:v>0.26800000000000002</c:v>
                </c:pt>
                <c:pt idx="110">
                  <c:v>0.26900000000000002</c:v>
                </c:pt>
                <c:pt idx="111">
                  <c:v>0.26900000000000002</c:v>
                </c:pt>
                <c:pt idx="112">
                  <c:v>0.26900000000000002</c:v>
                </c:pt>
                <c:pt idx="113">
                  <c:v>0.26900000000000002</c:v>
                </c:pt>
                <c:pt idx="114">
                  <c:v>0.26900000000000002</c:v>
                </c:pt>
                <c:pt idx="115">
                  <c:v>0.26900000000000002</c:v>
                </c:pt>
                <c:pt idx="116">
                  <c:v>0.27</c:v>
                </c:pt>
              </c:numCache>
            </c:numRef>
          </c:yVal>
          <c:smooth val="0"/>
          <c:extLst>
            <c:ext xmlns:c16="http://schemas.microsoft.com/office/drawing/2014/chart" uri="{C3380CC4-5D6E-409C-BE32-E72D297353CC}">
              <c16:uniqueId val="{00000000-38C9-4791-B62A-FFD74A05A7C1}"/>
            </c:ext>
          </c:extLst>
        </c:ser>
        <c:dLbls>
          <c:showLegendKey val="0"/>
          <c:showVal val="0"/>
          <c:showCatName val="0"/>
          <c:showSerName val="0"/>
          <c:showPercent val="0"/>
          <c:showBubbleSize val="0"/>
        </c:dLbls>
        <c:axId val="1042113071"/>
        <c:axId val="1042114031"/>
      </c:scatterChart>
      <c:valAx>
        <c:axId val="1042113071"/>
        <c:scaling>
          <c:orientation val="minMax"/>
          <c:min val="42400"/>
        </c:scaling>
        <c:delete val="0"/>
        <c:axPos val="b"/>
        <c:majorGridlines>
          <c:spPr>
            <a:ln w="9525" cap="flat" cmpd="sng" algn="ctr">
              <a:solidFill>
                <a:schemeClr val="tx1">
                  <a:lumMod val="15000"/>
                  <a:lumOff val="85000"/>
                </a:schemeClr>
              </a:solidFill>
              <a:round/>
            </a:ln>
            <a:effectLst/>
          </c:spPr>
        </c:majorGridlines>
        <c:numFmt formatCode="[$-409]d\-mmm\-yy;@"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42114031"/>
        <c:crosses val="autoZero"/>
        <c:crossBetween val="midCat"/>
      </c:valAx>
      <c:valAx>
        <c:axId val="1042114031"/>
        <c:scaling>
          <c:orientation val="minMax"/>
          <c:min val="0.16000000000000003"/>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421130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Portfolio Sector Ratio Map</cx:v>
        </cx:txData>
      </cx:tx>
      <cx:txPr>
        <a:bodyPr spcFirstLastPara="1" vertOverflow="ellipsis" horzOverflow="overflow" wrap="square" lIns="0" tIns="0" rIns="0" bIns="0" anchor="ctr" anchorCtr="1"/>
        <a:lstStyle/>
        <a:p>
          <a:pPr algn="ctr" rtl="0">
            <a:defRPr b="1">
              <a:solidFill>
                <a:schemeClr val="tx1"/>
              </a:solidFill>
              <a:latin typeface="Arial" panose="020B0604020202020204" pitchFamily="34" charset="0"/>
              <a:ea typeface="Arial" panose="020B0604020202020204" pitchFamily="34" charset="0"/>
              <a:cs typeface="Arial" panose="020B0604020202020204" pitchFamily="34" charset="0"/>
            </a:defRPr>
          </a:pPr>
          <a:r>
            <a:rPr lang="en-US" sz="1500" b="1" i="0" u="none" strike="noStrike" baseline="0">
              <a:solidFill>
                <a:schemeClr val="tx1"/>
              </a:solidFill>
              <a:latin typeface="Arial" panose="020B0604020202020204" pitchFamily="34" charset="0"/>
              <a:cs typeface="Arial" panose="020B0604020202020204" pitchFamily="34" charset="0"/>
            </a:rPr>
            <a:t>Portfolio Sector Ratio Map</a:t>
          </a:r>
        </a:p>
      </cx:txPr>
    </cx:title>
    <cx:plotArea>
      <cx:plotAreaRegion>
        <cx:series layoutId="treemap" uniqueId="{129EEBCD-974A-42FB-9588-E7E89B701EE9}">
          <cx:dataPt idx="0">
            <cx:spPr>
              <a:solidFill>
                <a:srgbClr val="007BFF"/>
              </a:solidFill>
            </cx:spPr>
          </cx:dataPt>
          <cx:dataPt idx="3">
            <cx:spPr>
              <a:solidFill>
                <a:srgbClr val="8A2BE2"/>
              </a:solidFill>
            </cx:spPr>
          </cx:dataPt>
          <cx:dataPt idx="4">
            <cx:spPr>
              <a:solidFill>
                <a:srgbClr val="A0522D"/>
              </a:solidFill>
            </cx:spPr>
          </cx:dataPt>
          <cx:dataPt idx="5">
            <cx:spPr>
              <a:solidFill>
                <a:srgbClr val="4472C4"/>
              </a:solidFill>
            </cx:spPr>
          </cx:dataPt>
          <cx:dataPt idx="6">
            <cx:spPr>
              <a:solidFill>
                <a:srgbClr val="FF0000"/>
              </a:solidFill>
            </cx:spPr>
          </cx:dataPt>
          <cx:dataPt idx="7">
            <cx:spPr>
              <a:solidFill>
                <a:srgbClr val="708090"/>
              </a:solidFill>
            </cx:spPr>
          </cx:dataPt>
          <cx:dataPt idx="8">
            <cx:spPr>
              <a:solidFill>
                <a:srgbClr val="228B22"/>
              </a:solidFill>
            </cx:spPr>
          </cx:dataPt>
          <cx:dataPt idx="9">
            <cx:spPr>
              <a:solidFill>
                <a:srgbClr val="00BBC0"/>
              </a:solidFill>
            </cx:spPr>
          </cx:dataPt>
          <cx:dataLabels pos="inEnd">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latin typeface="Arial" panose="020B0604020202020204" pitchFamily="34" charset="0"/>
              <a:ea typeface="Arial" panose="020B0604020202020204" pitchFamily="34" charset="0"/>
              <a:cs typeface="Arial" panose="020B0604020202020204" pitchFamily="34" charset="0"/>
            </a:defRPr>
          </a:pPr>
          <a:endParaRPr lang="en-US" sz="900" b="0" i="0" u="none" strike="noStrike" baseline="0">
            <a:solidFill>
              <a:sysClr val="windowText" lastClr="000000">
                <a:lumMod val="65000"/>
                <a:lumOff val="35000"/>
              </a:sysClr>
            </a:solidFill>
            <a:latin typeface="Arial" panose="020B0604020202020204" pitchFamily="34" charset="0"/>
            <a:cs typeface="Arial" panose="020B0604020202020204" pitchFamily="34" charset="0"/>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9523</xdr:colOff>
      <xdr:row>74</xdr:row>
      <xdr:rowOff>153960</xdr:rowOff>
    </xdr:from>
    <xdr:to>
      <xdr:col>10</xdr:col>
      <xdr:colOff>596347</xdr:colOff>
      <xdr:row>100</xdr:row>
      <xdr:rowOff>11206</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DAD08501-B473-8167-6F19-C799E48D87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90573" y="12136410"/>
              <a:ext cx="8387799" cy="406729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68</xdr:col>
      <xdr:colOff>647699</xdr:colOff>
      <xdr:row>42</xdr:row>
      <xdr:rowOff>19049</xdr:rowOff>
    </xdr:from>
    <xdr:to>
      <xdr:col>83</xdr:col>
      <xdr:colOff>600075</xdr:colOff>
      <xdr:row>72</xdr:row>
      <xdr:rowOff>161924</xdr:rowOff>
    </xdr:to>
    <xdr:graphicFrame macro="">
      <xdr:nvGraphicFramePr>
        <xdr:cNvPr id="3" name="Chart 2">
          <a:extLst>
            <a:ext uri="{FF2B5EF4-FFF2-40B4-BE49-F238E27FC236}">
              <a16:creationId xmlns:a16="http://schemas.microsoft.com/office/drawing/2014/main" id="{18BB64E1-312E-D990-3365-B49D77B13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70</xdr:col>
      <xdr:colOff>647699</xdr:colOff>
      <xdr:row>15</xdr:row>
      <xdr:rowOff>142875</xdr:rowOff>
    </xdr:from>
    <xdr:to>
      <xdr:col>83</xdr:col>
      <xdr:colOff>600074</xdr:colOff>
      <xdr:row>42</xdr:row>
      <xdr:rowOff>19050</xdr:rowOff>
    </xdr:to>
    <xdr:graphicFrame macro="">
      <xdr:nvGraphicFramePr>
        <xdr:cNvPr id="4" name="Chart 3">
          <a:extLst>
            <a:ext uri="{FF2B5EF4-FFF2-40B4-BE49-F238E27FC236}">
              <a16:creationId xmlns:a16="http://schemas.microsoft.com/office/drawing/2014/main" id="{2E56F44D-B3A6-D23D-1BBB-9E8AC1389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68</xdr:col>
      <xdr:colOff>647699</xdr:colOff>
      <xdr:row>80</xdr:row>
      <xdr:rowOff>161924</xdr:rowOff>
    </xdr:from>
    <xdr:to>
      <xdr:col>83</xdr:col>
      <xdr:colOff>600074</xdr:colOff>
      <xdr:row>111</xdr:row>
      <xdr:rowOff>0</xdr:rowOff>
    </xdr:to>
    <xdr:graphicFrame macro="">
      <xdr:nvGraphicFramePr>
        <xdr:cNvPr id="2" name="Chart 1">
          <a:extLst>
            <a:ext uri="{FF2B5EF4-FFF2-40B4-BE49-F238E27FC236}">
              <a16:creationId xmlns:a16="http://schemas.microsoft.com/office/drawing/2014/main" id="{243879D9-2FD2-7788-4123-D8F6D5EFF2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jeccd-my.sharepoint.com/personal/abgo6476_stu_evc_edu/Documents/Chevron%20Yearly%20Report%20Analysis.xlsm" TargetMode="External"/><Relationship Id="rId1" Type="http://schemas.openxmlformats.org/officeDocument/2006/relationships/externalLinkPath" Target="https://sjeccd-my.sharepoint.com/personal/abgo6476_stu_evc_edu/Documents/Chevron%20Yearly%20Report%20Analysis.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jeccd-my.sharepoint.com/personal/abgo6476_stu_evc_edu/Documents/BofA%20Yearly%20Report%20Analysis.xlsm" TargetMode="External"/><Relationship Id="rId1" Type="http://schemas.openxmlformats.org/officeDocument/2006/relationships/externalLinkPath" Target="https://sjeccd-my.sharepoint.com/personal/abgo6476_stu_evc_edu/Documents/BofA%20Yearly%20Report%20Analysis.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sjeccd-my.sharepoint.com/personal/abgo6476_stu_evc_edu/Documents/Advance%20Micro%20Devices%20Yearly%20Income%20Statement%20Analysis.xlsx" TargetMode="External"/><Relationship Id="rId1" Type="http://schemas.openxmlformats.org/officeDocument/2006/relationships/externalLinkPath" Target="https://sjeccd-my.sharepoint.com/personal/abgo6476_stu_evc_edu/Documents/Advance%20Micro%20Devices%20Yearly%20Income%20Statement%20Analysi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sjeccd-my.sharepoint.com/personal/abgo6476_stu_evc_edu/Documents/Amazon%20Yearly%20Report%20Analysis.xlsm" TargetMode="External"/><Relationship Id="rId1" Type="http://schemas.openxmlformats.org/officeDocument/2006/relationships/externalLinkPath" Target="https://sjeccd-my.sharepoint.com/personal/abgo6476_stu_evc_edu/Documents/Amazon%20Yearly%20Report%20Analysis.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sjeccd-my.sharepoint.com/personal/abgo6476_stu_evc_edu/Documents/Applied%20Materials%20Yearly%20Report%20Analysis.xlsx" TargetMode="External"/><Relationship Id="rId1" Type="http://schemas.openxmlformats.org/officeDocument/2006/relationships/externalLinkPath" Target="https://sjeccd-my.sharepoint.com/personal/abgo6476_stu_evc_edu/Documents/Applied%20Materials%20Yearly%20Report%20Analysis.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sjeccd-my.sharepoint.com/personal/abgo6476_stu_evc_edu/Documents/Cadence%20Design%20Systems%20Yearly%20Report%20Analysis.xlsm" TargetMode="External"/><Relationship Id="rId1" Type="http://schemas.openxmlformats.org/officeDocument/2006/relationships/externalLinkPath" Target="https://sjeccd-my.sharepoint.com/personal/abgo6476_stu_evc_edu/Documents/Cadence%20Design%20Systems%20Yearly%20Report%20Analysis.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sjeccd-my.sharepoint.com/personal/abgo6476_stu_evc_edu/Documents/Costco%20Wholesale%20Yearly%20Statement%20Analysis.xlsx" TargetMode="External"/><Relationship Id="rId1" Type="http://schemas.openxmlformats.org/officeDocument/2006/relationships/externalLinkPath" Target="https://sjeccd-my.sharepoint.com/personal/abgo6476_stu_evc_edu/Documents/Costco%20Wholesale%20Yearly%20Statement%20Analysis.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sjeccd-my.sharepoint.com/personal/abgo6476_stu_evc_edu/Documents/Dexcom%20Yearly%20Report%20Analysis.xlsm" TargetMode="External"/><Relationship Id="rId1" Type="http://schemas.openxmlformats.org/officeDocument/2006/relationships/externalLinkPath" Target="https://sjeccd-my.sharepoint.com/personal/abgo6476_stu_evc_edu/Documents/Dexcom%20Yearly%20Report%20Analysis.xlsm"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jeccd-my.sharepoint.com/personal/abgo6476_stu_evc_edu/Documents/Elevance%20Health%20Yearly%20Report%20Analysis.xlsm" TargetMode="External"/><Relationship Id="rId1" Type="http://schemas.openxmlformats.org/officeDocument/2006/relationships/externalLinkPath" Target="https://sjeccd-my.sharepoint.com/personal/abgo6476_stu_evc_edu/Documents/Elevance%20Health%20Yearly%20Report%20Analysis.xlsm"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ttps://sjeccd-my.sharepoint.com/personal/abgo6476_stu_evc_edu/Documents/Fortinet%20Yearly%20Report%20Analysis.xlsm" TargetMode="External"/><Relationship Id="rId1" Type="http://schemas.openxmlformats.org/officeDocument/2006/relationships/externalLinkPath" Target="https://sjeccd-my.sharepoint.com/personal/abgo6476_stu_evc_edu/Documents/Fortinet%20Yearly%20Report%20Analysis.xlsm"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sjeccd-my.sharepoint.com/personal/abgo6476_stu_evc_edu/Documents/Delta%20Airlines%20Yearly%20Report%20Analysis.xlsm" TargetMode="External"/><Relationship Id="rId1" Type="http://schemas.openxmlformats.org/officeDocument/2006/relationships/externalLinkPath" Target="https://sjeccd-my.sharepoint.com/personal/abgo6476_stu_evc_edu/Documents/Delta%20Airlines%20Yearly%20Report%20Analysis.xlsm"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sjeccd-my.sharepoint.com/personal/abgo6476_stu_evc_edu/Documents/FedEx%20Yearly%20Report%20Analysis.xlsm" TargetMode="External"/><Relationship Id="rId1" Type="http://schemas.openxmlformats.org/officeDocument/2006/relationships/externalLinkPath" Target="https://sjeccd-my.sharepoint.com/personal/abgo6476_stu_evc_edu/Documents/FedEx%20Yearly%20Report%20Analysis.xlsm"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sjeccd-my.sharepoint.com/personal/abgo6476_stu_evc_edu/Documents/Starbucks%20Yearly%20Income%20Statement%20Analysis.xlsx" TargetMode="External"/><Relationship Id="rId1" Type="http://schemas.openxmlformats.org/officeDocument/2006/relationships/externalLinkPath" Target="https://sjeccd-my.sharepoint.com/personal/abgo6476_stu_evc_edu/Documents/Starbucks%20Yearly%20Income%20Statement%20Analysis.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https://sjeccd-my.sharepoint.com/personal/abgo6476_stu_evc_edu/Documents/Kratos%20Defense%20Yearly%20Report%20Analysis.xlsm" TargetMode="External"/><Relationship Id="rId1" Type="http://schemas.openxmlformats.org/officeDocument/2006/relationships/externalLinkPath" Target="https://sjeccd-my.sharepoint.com/personal/abgo6476_stu_evc_edu/Documents/Kratos%20Defense%20Yearly%20Report%20Analysis.xlsm"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https://sjeccd-my.sharepoint.com/personal/abgo6476_stu_evc_edu/Documents/California%20Water%20Service%20Group%20Yearly%20Report%20Analysis.xlsx" TargetMode="External"/><Relationship Id="rId1" Type="http://schemas.openxmlformats.org/officeDocument/2006/relationships/externalLinkPath" Target="https://sjeccd-my.sharepoint.com/personal/abgo6476_stu_evc_edu/Documents/California%20Water%20Service%20Group%20Yearly%20Report%20Analysis.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https://sjeccd-my.sharepoint.com/personal/abgo6476_stu_evc_edu/Documents/Broadcom%20Yearly%20Income%20Statement%20Analysis.xlsx" TargetMode="External"/><Relationship Id="rId1" Type="http://schemas.openxmlformats.org/officeDocument/2006/relationships/externalLinkPath" Target="https://sjeccd-my.sharepoint.com/personal/abgo6476_stu_evc_edu/Documents/Broadcom%20Yearly%20Income%20Statement%20Analysis.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https://sjeccd-my.sharepoint.com/personal/abgo6476_stu_evc_edu/Documents/Exxon%20Yearly%20Report%20Analysis.xlsm" TargetMode="External"/><Relationship Id="rId1" Type="http://schemas.openxmlformats.org/officeDocument/2006/relationships/externalLinkPath" Target="https://sjeccd-my.sharepoint.com/personal/abgo6476_stu_evc_edu/Documents/Exxon%20Yearly%20Report%20Analysi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ments"/>
      <sheetName val="Analysis"/>
      <sheetName val="Notes"/>
    </sheetNames>
    <sheetDataSet>
      <sheetData sheetId="0">
        <row r="21">
          <cell r="V21">
            <v>-5.7661753562611523E-2</v>
          </cell>
        </row>
        <row r="41">
          <cell r="V41">
            <v>6.5854290899662951E-2</v>
          </cell>
          <cell r="W41">
            <v>7.104360607545321E-3</v>
          </cell>
          <cell r="X41">
            <v>-0.47737096364098652</v>
          </cell>
        </row>
      </sheetData>
      <sheetData sheetId="1"/>
      <sheetData sheetId="2">
        <row r="7">
          <cell r="D7">
            <v>3.70670931861945E-2</v>
          </cell>
        </row>
        <row r="8">
          <cell r="D8">
            <v>0.21738233411451033</v>
          </cell>
        </row>
        <row r="9">
          <cell r="D9">
            <v>6.3998626259262337E-2</v>
          </cell>
        </row>
        <row r="10">
          <cell r="D10">
            <v>6.7607236976520671E-2</v>
          </cell>
        </row>
        <row r="11">
          <cell r="D11">
            <v>0.99187189720626889</v>
          </cell>
        </row>
        <row r="12">
          <cell r="D12">
            <v>6.8587427712575737</v>
          </cell>
        </row>
        <row r="13">
          <cell r="D13">
            <v>7.1583889808235188</v>
          </cell>
        </row>
        <row r="14">
          <cell r="D14" t="str">
            <v>Oil &amp; Gas Integrated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ments"/>
      <sheetName val="Analysis"/>
      <sheetName val="Notes"/>
    </sheetNames>
    <sheetDataSet>
      <sheetData sheetId="0"/>
      <sheetData sheetId="1"/>
      <sheetData sheetId="2">
        <row r="7">
          <cell r="D7">
            <v>3.1147912780662201E-2</v>
          </cell>
        </row>
        <row r="8">
          <cell r="D8">
            <v>0.3499739161958319</v>
          </cell>
        </row>
        <row r="9">
          <cell r="D9">
            <v>9.5814247979343292E-2</v>
          </cell>
        </row>
        <row r="10">
          <cell r="D10">
            <v>1.1570559318840884E-2</v>
          </cell>
        </row>
        <row r="11">
          <cell r="D11">
            <v>9.7069637883008362</v>
          </cell>
        </row>
        <row r="12">
          <cell r="D12">
            <v>0.62268041516641226</v>
          </cell>
        </row>
        <row r="13">
          <cell r="D13">
            <v>5.7999968165539197</v>
          </cell>
        </row>
        <row r="14">
          <cell r="D14" t="str">
            <v>Banks, Diversified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ments"/>
      <sheetName val="Industry Study"/>
      <sheetName val="Geographic Billing"/>
      <sheetName val="Notes"/>
    </sheetNames>
    <sheetDataSet>
      <sheetData sheetId="0"/>
      <sheetData sheetId="1"/>
      <sheetData sheetId="2"/>
      <sheetData sheetId="3">
        <row r="7">
          <cell r="D7">
            <v>0.2636907954974832</v>
          </cell>
        </row>
        <row r="8">
          <cell r="D8">
            <v>0.14194982534137821</v>
          </cell>
        </row>
        <row r="9">
          <cell r="D9">
            <v>6.7762980364767689E-2</v>
          </cell>
        </row>
        <row r="10">
          <cell r="D10">
            <v>1.7265524148675718E-2</v>
          </cell>
        </row>
        <row r="11">
          <cell r="D11">
            <v>0.65527760829774251</v>
          </cell>
        </row>
        <row r="12">
          <cell r="D12">
            <v>0.97870080404439752</v>
          </cell>
        </row>
        <row r="13">
          <cell r="D13">
            <v>77.27481797844213</v>
          </cell>
        </row>
        <row r="14">
          <cell r="D14" t="str">
            <v>Semiconductors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ments"/>
      <sheetName val="Analysis"/>
      <sheetName val="Notes"/>
    </sheetNames>
    <sheetDataSet>
      <sheetData sheetId="0"/>
      <sheetData sheetId="1"/>
      <sheetData sheetId="2">
        <row r="6">
          <cell r="D6">
            <v>0.14344471199202569</v>
          </cell>
        </row>
        <row r="7">
          <cell r="D7">
            <v>0.11155296795755199</v>
          </cell>
        </row>
        <row r="8">
          <cell r="D8">
            <v>0.18894821986790411</v>
          </cell>
        </row>
        <row r="9">
          <cell r="D9">
            <v>4.1244089307145945E-2</v>
          </cell>
        </row>
        <row r="10">
          <cell r="D10">
            <v>0.82085651766176926</v>
          </cell>
        </row>
        <row r="11">
          <cell r="D11">
            <v>2.5375167395276237</v>
          </cell>
        </row>
        <row r="12">
          <cell r="D12">
            <v>31.678900906533293</v>
          </cell>
        </row>
        <row r="13">
          <cell r="D13" t="str">
            <v>Internet Retail</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ments"/>
      <sheetName val="ROE Break-down"/>
      <sheetName val="Notes"/>
      <sheetName val="Applied Materials Yearly Report"/>
    </sheetNames>
    <sheetDataSet>
      <sheetData sheetId="0" refreshError="1"/>
      <sheetData sheetId="1" refreshError="1"/>
      <sheetData sheetId="2">
        <row r="7">
          <cell r="D7">
            <v>0.29219543147208121</v>
          </cell>
        </row>
        <row r="8">
          <cell r="D8">
            <v>0.34278716629928974</v>
          </cell>
        </row>
        <row r="9">
          <cell r="D9">
            <v>9.5864899084177127E-2</v>
          </cell>
        </row>
        <row r="10">
          <cell r="D10">
            <v>0.79080709373868985</v>
          </cell>
        </row>
        <row r="11">
          <cell r="D11">
            <v>2.3251312008912537</v>
          </cell>
        </row>
        <row r="12">
          <cell r="D12">
            <v>31.097859814211603</v>
          </cell>
        </row>
        <row r="13">
          <cell r="D13" t="str">
            <v>Semiconductor Equipment &amp; Materials</v>
          </cell>
        </row>
      </sheetData>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ments"/>
      <sheetName val="Notes"/>
      <sheetName val="Cadence Design Systems Yearly R"/>
    </sheetNames>
    <sheetDataSet>
      <sheetData sheetId="0" refreshError="1"/>
      <sheetData sheetId="1">
        <row r="8">
          <cell r="D8">
            <v>0.2892295348134723</v>
          </cell>
        </row>
        <row r="9">
          <cell r="D9">
            <v>0.2025670038383944</v>
          </cell>
        </row>
        <row r="10">
          <cell r="D10">
            <v>6.4283198242238784E-2</v>
          </cell>
        </row>
        <row r="11">
          <cell r="D11">
            <v>1.6189063773873344</v>
          </cell>
        </row>
        <row r="12">
          <cell r="D12">
            <v>0.74157179346258728</v>
          </cell>
        </row>
        <row r="13">
          <cell r="D13">
            <v>53.937194471271617</v>
          </cell>
        </row>
        <row r="14">
          <cell r="D14" t="str">
            <v>Software</v>
          </cell>
        </row>
      </sheetData>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tatements"/>
      <sheetName val="Analysis"/>
      <sheetName val="Observations"/>
      <sheetName val="Costco Wholesale Yearly Stateme"/>
    </sheetNames>
    <sheetDataSet>
      <sheetData sheetId="0" refreshError="1"/>
      <sheetData sheetId="1" refreshError="1"/>
      <sheetData sheetId="2">
        <row r="7">
          <cell r="D7">
            <v>8.7804547597956084E-2</v>
          </cell>
        </row>
        <row r="9">
          <cell r="D9">
            <v>0.27770539020710461</v>
          </cell>
        </row>
        <row r="10">
          <cell r="D10">
            <v>0.23427060836074101</v>
          </cell>
        </row>
        <row r="11">
          <cell r="D11">
            <v>0.55022633150341904</v>
          </cell>
        </row>
        <row r="12">
          <cell r="D12">
            <v>3.6535035856441138</v>
          </cell>
        </row>
        <row r="13">
          <cell r="D13">
            <v>39.487034361937781</v>
          </cell>
        </row>
        <row r="14">
          <cell r="D14" t="str">
            <v>Discount Stores</v>
          </cell>
        </row>
      </sheetData>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ments"/>
      <sheetName val="Analysis"/>
      <sheetName val="Notes"/>
      <sheetName val="Dexcom Yearly Report Analysis"/>
    </sheetNames>
    <sheetDataSet>
      <sheetData sheetId="0"/>
      <sheetData sheetId="1"/>
      <sheetData sheetId="2">
        <row r="5">
          <cell r="D5">
            <v>0.17856931647168617</v>
          </cell>
        </row>
        <row r="6">
          <cell r="D6">
            <v>0.19558129558129561</v>
          </cell>
        </row>
        <row r="7">
          <cell r="D7">
            <v>0.30455207574654036</v>
          </cell>
        </row>
        <row r="8">
          <cell r="D8">
            <v>0.20161871407328555</v>
          </cell>
        </row>
        <row r="10">
          <cell r="D10">
            <v>0.61154703792256726</v>
          </cell>
        </row>
        <row r="11">
          <cell r="D11">
            <v>31.65159026102215</v>
          </cell>
        </row>
        <row r="12">
          <cell r="D12" t="str">
            <v>Medical Devices</v>
          </cell>
        </row>
      </sheetData>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ments"/>
      <sheetName val="Analysis"/>
      <sheetName val="Notes"/>
      <sheetName val="Elevance Health Yearly Report A"/>
    </sheetNames>
    <sheetDataSet>
      <sheetData sheetId="0" refreshError="1"/>
      <sheetData sheetId="1" refreshError="1"/>
      <sheetData sheetId="2">
        <row r="5">
          <cell r="D5">
            <v>9.6912496985507968E-2</v>
          </cell>
        </row>
        <row r="6">
          <cell r="D6">
            <v>4.3892027620841177E-2</v>
          </cell>
        </row>
        <row r="7">
          <cell r="D7">
            <v>0.1285831099804661</v>
          </cell>
        </row>
        <row r="8">
          <cell r="D8">
            <v>0.13838750357207893</v>
          </cell>
        </row>
        <row r="9">
          <cell r="D9">
            <v>3.6665903890160183</v>
          </cell>
        </row>
        <row r="11">
          <cell r="D11">
            <v>11.410989931350114</v>
          </cell>
        </row>
        <row r="12">
          <cell r="D12" t="str">
            <v>Healthcare</v>
          </cell>
        </row>
      </sheetData>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ments"/>
      <sheetName val="Observations"/>
      <sheetName val="Fortinet Yearly Report Analysis"/>
    </sheetNames>
    <sheetDataSet>
      <sheetData sheetId="0" refreshError="1"/>
      <sheetData sheetId="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ments"/>
      <sheetName val="Analysis"/>
      <sheetName val="Notes"/>
      <sheetName val="Delta Airlines Yearly Report An"/>
    </sheetNames>
    <sheetDataSet>
      <sheetData sheetId="0" refreshError="1"/>
      <sheetData sheetId="1" refreshError="1"/>
      <sheetData sheetId="2"/>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ments"/>
      <sheetName val="Rival Analysis"/>
      <sheetName val="Observation"/>
      <sheetName val="FedEx Yearly Report Analysis"/>
    </sheetNames>
    <sheetDataSet>
      <sheetData sheetId="0" refreshError="1"/>
      <sheetData sheetId="1" refreshError="1"/>
      <sheetData sheetId="2"/>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ments"/>
      <sheetName val="Analysis"/>
      <sheetName val="Notes"/>
      <sheetName val="Starbucks Yearly Income Stateme"/>
    </sheetNames>
    <sheetDataSet>
      <sheetData sheetId="0" refreshError="1"/>
      <sheetData sheetId="1" refreshError="1"/>
      <sheetData sheetId="2"/>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ments"/>
      <sheetName val="Analysis"/>
      <sheetName val="Notes"/>
      <sheetName val="Kratos Defense Yearly Report An"/>
    </sheetNames>
    <sheetDataSet>
      <sheetData sheetId="0" refreshError="1"/>
      <sheetData sheetId="1" refreshError="1"/>
      <sheetData sheetId="2"/>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ments"/>
      <sheetName val="Notes"/>
      <sheetName val="California Water Service Group "/>
    </sheetNames>
    <sheetDataSet>
      <sheetData sheetId="0" refreshError="1"/>
      <sheetData sheetId="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ments"/>
      <sheetName val="Note"/>
      <sheetName val="Broadcom Yearly Income Statemen"/>
    </sheetNames>
    <sheetDataSet>
      <sheetData sheetId="0" refreshError="1"/>
      <sheetData sheetId="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ments"/>
      <sheetName val="Analysis"/>
      <sheetName val="Notes"/>
      <sheetName val="Exxon Yearly Report Analysis"/>
    </sheet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raham Gonzalez Herrera" refreshedDate="46171.682936689816" createdVersion="8" refreshedVersion="8" minRefreshableVersion="3" recordCount="16" xr:uid="{100E7019-B44C-453B-B969-2B75FD3094CC}">
  <cacheSource type="worksheet">
    <worksheetSource ref="A1:I17" sheet="Raw Data, Screening"/>
  </cacheSource>
  <cacheFields count="9">
    <cacheField name="Company" numFmtId="0">
      <sharedItems count="16">
        <s v="Chevron"/>
        <s v="Bank of America"/>
        <s v="AMD"/>
        <s v="Amazon"/>
        <s v="Applied Materials"/>
        <s v="Cadence Design Systems"/>
        <s v="Costco"/>
        <s v="Dexcom"/>
        <s v="Elevance Health"/>
        <s v="Fortinet"/>
        <s v="Delta Airlines"/>
        <s v="FedEx"/>
        <s v="Starbucks"/>
        <s v="Kratos Defense"/>
        <s v="California Water Service Group"/>
        <s v="Broadcom"/>
      </sharedItems>
    </cacheField>
    <cacheField name="Revenue (CAGR)" numFmtId="10">
      <sharedItems containsSemiMixedTypes="0" containsString="0" containsNumber="1" minValue="3.1147912780662201E-2" maxValue="0.2636907954974832"/>
    </cacheField>
    <cacheField name="EBITDA Margin" numFmtId="10">
      <sharedItems containsSemiMixedTypes="0" containsString="0" containsNumber="1" minValue="1.9008019008018941E-2" maxValue="0.43068229843317107"/>
    </cacheField>
    <cacheField name="ROE" numFmtId="10">
      <sharedItems containsSemiMixedTypes="0" containsString="0" containsNumber="1" minValue="-0.22951974782125009" maxValue="1.4976969696969706"/>
    </cacheField>
    <cacheField name="ROIC" numFmtId="10">
      <sharedItems containsSemiMixedTypes="0" containsString="0" containsNumber="1" minValue="9.5220491967407082E-3" maxValue="0.61386983463338307"/>
    </cacheField>
    <cacheField name="Debt-to-EBITDA" numFmtId="167">
      <sharedItems containsSemiMixedTypes="0" containsString="0" containsNumber="1" minValue="0" maxValue="9.7069637883008362"/>
    </cacheField>
    <cacheField name="EPS σ" numFmtId="167">
      <sharedItems containsSemiMixedTypes="0" containsString="0" containsNumber="1" minValue="0.28429853803441502" maxValue="9.6578962452015045"/>
    </cacheField>
    <cacheField name="EV-to-EBITDA" numFmtId="43">
      <sharedItems containsSemiMixedTypes="0" containsString="0" containsNumber="1" minValue="5.7999968165539197" maxValue="642.83796875000235"/>
    </cacheField>
    <cacheField name="Industry" numFmtId="0">
      <sharedItems count="14">
        <s v="Oil &amp; Gas Integrated"/>
        <s v="Banks, Diversified"/>
        <s v="Semiconductors"/>
        <s v="Internet Retail"/>
        <s v="Semiconductor Equipment &amp; Materials"/>
        <s v="Software"/>
        <s v="Discount Stores"/>
        <s v="Medical Devices"/>
        <s v="Healthcare"/>
        <s v="Airlines"/>
        <s v="Freight &amp; Logistics"/>
        <s v="Restaurants"/>
        <s v="Aerospace &amp; Defense"/>
        <s v="Utiliti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n v="3.70670931861945E-2"/>
    <n v="0.21738233411451033"/>
    <n v="6.3998626259262337E-2"/>
    <n v="6.7607236976520671E-2"/>
    <n v="0.99187189720626889"/>
    <n v="6.8587427712575737"/>
    <n v="7.1583889808235188"/>
    <x v="0"/>
  </r>
  <r>
    <x v="1"/>
    <n v="3.1147912780662201E-2"/>
    <n v="0.3499739161958319"/>
    <n v="9.5814247979343292E-2"/>
    <n v="1.1570559318840884E-2"/>
    <n v="9.7069637883008362"/>
    <n v="0.62268041516641226"/>
    <n v="5.7999968165539197"/>
    <x v="1"/>
  </r>
  <r>
    <x v="2"/>
    <n v="0.2636907954974832"/>
    <n v="0.14194982534137821"/>
    <n v="6.7762980364767689E-2"/>
    <n v="1.7265524148675718E-2"/>
    <n v="0.65527760829774251"/>
    <n v="0.97870080404439752"/>
    <n v="77.27481797844213"/>
    <x v="2"/>
  </r>
  <r>
    <x v="3"/>
    <n v="0.14344471199202569"/>
    <n v="0.11155296795755199"/>
    <n v="0.18894821986790411"/>
    <n v="4.1244089307145945E-2"/>
    <n v="0.82085651766176926"/>
    <n v="2.5375167395276237"/>
    <n v="31.678900906533293"/>
    <x v="3"/>
  </r>
  <r>
    <x v="4"/>
    <n v="9.9453462038541884E-2"/>
    <n v="0.29219543147208121"/>
    <n v="0.34278716629928974"/>
    <n v="9.5864899084177127E-2"/>
    <n v="0.79080709373868985"/>
    <n v="2.3251312008912537"/>
    <n v="31.097859814211603"/>
    <x v="4"/>
  </r>
  <r>
    <x v="5"/>
    <n v="0.1240446594866329"/>
    <n v="0.2892295348134723"/>
    <n v="0.2025670038383944"/>
    <n v="6.4283198242238784E-2"/>
    <n v="1.6189063773873344"/>
    <n v="0.74157179346258728"/>
    <n v="53.937194471271617"/>
    <x v="5"/>
  </r>
  <r>
    <x v="6"/>
    <n v="8.7804547597956084E-2"/>
    <n v="3.7724126655403561E-2"/>
    <n v="0.27770539020710461"/>
    <n v="0.23427060836074101"/>
    <n v="0.55022633150341904"/>
    <n v="3.6535035856441138"/>
    <n v="39.487034361937781"/>
    <x v="6"/>
  </r>
  <r>
    <x v="7"/>
    <n v="0.17856931647168617"/>
    <n v="0.19558129558129561"/>
    <n v="0.30455207574654036"/>
    <n v="0.20161871407328555"/>
    <n v="1.3609344154419827"/>
    <n v="0.61154703792256726"/>
    <n v="31.65159026102215"/>
    <x v="7"/>
  </r>
  <r>
    <x v="8"/>
    <n v="9.6912496985507968E-2"/>
    <n v="4.3892027620841177E-2"/>
    <n v="0.1285831099804661"/>
    <n v="0.13838750357207893"/>
    <n v="3.6665903890160183"/>
    <n v="3.3412956511767717"/>
    <n v="11.410989931350114"/>
    <x v="8"/>
  </r>
  <r>
    <x v="9"/>
    <n v="0.177771329206174"/>
    <n v="0.3065915642096595"/>
    <n v="1.4976969696969706"/>
    <n v="0.61386983463338307"/>
    <n v="0.47791049071808872"/>
    <n v="0.77956318708353722"/>
    <n v="28.562956780352085"/>
    <x v="5"/>
  </r>
  <r>
    <x v="10"/>
    <n v="4.3579937739178787E-2"/>
    <n v="9.1881825642320558E-2"/>
    <n v="0.24001342732460557"/>
    <n v="0.1202186185686272"/>
    <n v="2.4239093095156306"/>
    <n v="9.6578962452015045"/>
    <n v="8.3207076605977335"/>
    <x v="9"/>
  </r>
  <r>
    <x v="11"/>
    <n v="3.3756630468308124E-2"/>
    <n v="5.9333985396810958E-2"/>
    <n v="0.14575244879786287"/>
    <n v="7.3614115109775127E-2"/>
    <n v="3.9446041786467316"/>
    <n v="6.6980748493680355"/>
    <n v="13.006358060187846"/>
    <x v="10"/>
  </r>
  <r>
    <x v="12"/>
    <n v="4.9536841441637502E-2"/>
    <n v="0.1242806122997817"/>
    <n v="-0.22951974782125009"/>
    <n v="0.22890089088741983"/>
    <n v="3.4784151645640815"/>
    <n v="1.0618675110561462"/>
    <n v="34.83356194238231"/>
    <x v="11"/>
  </r>
  <r>
    <x v="13"/>
    <n v="9.4129539090120673E-2"/>
    <n v="1.9008019008018941E-2"/>
    <n v="1.1020387717276911E-2"/>
    <n v="9.5220491967407082E-3"/>
    <n v="0"/>
    <n v="0.28429853803441502"/>
    <n v="642.83796875000235"/>
    <x v="12"/>
  </r>
  <r>
    <x v="14"/>
    <n v="4.920349504002286E-2"/>
    <n v="0.3701836164970882"/>
    <n v="7.5572316963182701E-2"/>
    <n v="2.8084798885982278E-2"/>
    <n v="4.3330731354208609"/>
    <n v="0.79501835477960936"/>
    <n v="11.160363826908073"/>
    <x v="13"/>
  </r>
  <r>
    <x v="15"/>
    <n v="0.16005944454228382"/>
    <n v="0.43068229843317107"/>
    <n v="0.2844806377011268"/>
    <n v="0.22867202295465303"/>
    <n v="2.3672905687806649"/>
    <n v="9.0838294814685643"/>
    <n v="72.56803743412683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35FD3F-1F82-4FF8-B892-26BFBEC43D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I34" firstHeaderRow="0" firstDataRow="1" firstDataCol="1"/>
  <pivotFields count="9">
    <pivotField axis="axisRow" showAll="0">
      <items count="17">
        <item x="3"/>
        <item x="2"/>
        <item x="4"/>
        <item x="1"/>
        <item x="15"/>
        <item x="5"/>
        <item x="14"/>
        <item x="0"/>
        <item x="6"/>
        <item x="10"/>
        <item x="7"/>
        <item x="8"/>
        <item x="11"/>
        <item x="9"/>
        <item x="13"/>
        <item x="12"/>
        <item t="default"/>
      </items>
    </pivotField>
    <pivotField dataField="1" numFmtId="10" showAll="0"/>
    <pivotField dataField="1" numFmtId="10" showAll="0"/>
    <pivotField dataField="1" numFmtId="10" showAll="0"/>
    <pivotField dataField="1" numFmtId="10" showAll="0"/>
    <pivotField dataField="1" numFmtId="167" showAll="0"/>
    <pivotField dataField="1" numFmtId="167" showAll="0"/>
    <pivotField dataField="1" numFmtId="43" showAll="0"/>
    <pivotField axis="axisRow" showAll="0">
      <items count="15">
        <item x="12"/>
        <item x="9"/>
        <item x="1"/>
        <item x="6"/>
        <item x="10"/>
        <item x="8"/>
        <item x="3"/>
        <item x="7"/>
        <item x="0"/>
        <item x="11"/>
        <item x="4"/>
        <item x="2"/>
        <item x="5"/>
        <item x="13"/>
        <item t="default"/>
      </items>
    </pivotField>
  </pivotFields>
  <rowFields count="2">
    <field x="8"/>
    <field x="0"/>
  </rowFields>
  <rowItems count="31">
    <i>
      <x/>
    </i>
    <i r="1">
      <x v="14"/>
    </i>
    <i>
      <x v="1"/>
    </i>
    <i r="1">
      <x v="9"/>
    </i>
    <i>
      <x v="2"/>
    </i>
    <i r="1">
      <x v="3"/>
    </i>
    <i>
      <x v="3"/>
    </i>
    <i r="1">
      <x v="8"/>
    </i>
    <i>
      <x v="4"/>
    </i>
    <i r="1">
      <x v="12"/>
    </i>
    <i>
      <x v="5"/>
    </i>
    <i r="1">
      <x v="11"/>
    </i>
    <i>
      <x v="6"/>
    </i>
    <i r="1">
      <x/>
    </i>
    <i>
      <x v="7"/>
    </i>
    <i r="1">
      <x v="10"/>
    </i>
    <i>
      <x v="8"/>
    </i>
    <i r="1">
      <x v="7"/>
    </i>
    <i>
      <x v="9"/>
    </i>
    <i r="1">
      <x v="15"/>
    </i>
    <i>
      <x v="10"/>
    </i>
    <i r="1">
      <x v="2"/>
    </i>
    <i>
      <x v="11"/>
    </i>
    <i r="1">
      <x v="1"/>
    </i>
    <i r="1">
      <x v="4"/>
    </i>
    <i>
      <x v="12"/>
    </i>
    <i r="1">
      <x v="5"/>
    </i>
    <i r="1">
      <x v="13"/>
    </i>
    <i>
      <x v="13"/>
    </i>
    <i r="1">
      <x v="6"/>
    </i>
    <i t="grand">
      <x/>
    </i>
  </rowItems>
  <colFields count="1">
    <field x="-2"/>
  </colFields>
  <colItems count="7">
    <i>
      <x/>
    </i>
    <i i="1">
      <x v="1"/>
    </i>
    <i i="2">
      <x v="2"/>
    </i>
    <i i="3">
      <x v="3"/>
    </i>
    <i i="4">
      <x v="4"/>
    </i>
    <i i="5">
      <x v="5"/>
    </i>
    <i i="6">
      <x v="6"/>
    </i>
  </colItems>
  <dataFields count="7">
    <dataField name="Revenue (CAGR) μ" fld="1" subtotal="average" baseField="0" baseItem="3" numFmtId="10"/>
    <dataField name="EBITDA Margin μ" fld="2" subtotal="average" baseField="0" baseItem="3" numFmtId="10"/>
    <dataField name="ROEμ" fld="3" subtotal="average" baseField="0" baseItem="3" numFmtId="10"/>
    <dataField name="ROICμ" fld="4" subtotal="average" baseField="0" baseItem="3" numFmtId="10"/>
    <dataField name="D/Eμ" fld="5" subtotal="average" baseField="0" baseItem="3" numFmtId="167"/>
    <dataField name="EPS σ μ" fld="6" subtotal="average" baseField="0" baseItem="3" numFmtId="167"/>
    <dataField name="EV-to-EBITDAμ" fld="7" subtotal="average" baseField="0" baseItem="3" numFmtId="43"/>
  </dataFields>
  <formats count="40">
    <format dxfId="39">
      <pivotArea type="all" dataOnly="0" outline="0" fieldPosition="0"/>
    </format>
    <format dxfId="38">
      <pivotArea outline="0" collapsedLevelsAreSubtotals="1" fieldPosition="0"/>
    </format>
    <format dxfId="37">
      <pivotArea field="8" type="button" dataOnly="0" labelOnly="1" outline="0" axis="axisRow" fieldPosition="0"/>
    </format>
    <format dxfId="36">
      <pivotArea dataOnly="0" labelOnly="1" fieldPosition="0">
        <references count="1">
          <reference field="8" count="0"/>
        </references>
      </pivotArea>
    </format>
    <format dxfId="35">
      <pivotArea dataOnly="0" labelOnly="1" grandRow="1" outline="0" fieldPosition="0"/>
    </format>
    <format dxfId="34">
      <pivotArea dataOnly="0" labelOnly="1" fieldPosition="0">
        <references count="2">
          <reference field="0" count="1">
            <x v="14"/>
          </reference>
          <reference field="8" count="1" selected="0">
            <x v="0"/>
          </reference>
        </references>
      </pivotArea>
    </format>
    <format dxfId="33">
      <pivotArea dataOnly="0" labelOnly="1" fieldPosition="0">
        <references count="2">
          <reference field="0" count="1">
            <x v="9"/>
          </reference>
          <reference field="8" count="1" selected="0">
            <x v="1"/>
          </reference>
        </references>
      </pivotArea>
    </format>
    <format dxfId="32">
      <pivotArea dataOnly="0" labelOnly="1" fieldPosition="0">
        <references count="2">
          <reference field="0" count="1">
            <x v="3"/>
          </reference>
          <reference field="8" count="1" selected="0">
            <x v="2"/>
          </reference>
        </references>
      </pivotArea>
    </format>
    <format dxfId="31">
      <pivotArea dataOnly="0" labelOnly="1" fieldPosition="0">
        <references count="2">
          <reference field="0" count="1">
            <x v="8"/>
          </reference>
          <reference field="8" count="1" selected="0">
            <x v="3"/>
          </reference>
        </references>
      </pivotArea>
    </format>
    <format dxfId="30">
      <pivotArea dataOnly="0" labelOnly="1" fieldPosition="0">
        <references count="2">
          <reference field="0" count="1">
            <x v="12"/>
          </reference>
          <reference field="8" count="1" selected="0">
            <x v="4"/>
          </reference>
        </references>
      </pivotArea>
    </format>
    <format dxfId="29">
      <pivotArea dataOnly="0" labelOnly="1" fieldPosition="0">
        <references count="2">
          <reference field="0" count="1">
            <x v="11"/>
          </reference>
          <reference field="8" count="1" selected="0">
            <x v="5"/>
          </reference>
        </references>
      </pivotArea>
    </format>
    <format dxfId="28">
      <pivotArea dataOnly="0" labelOnly="1" fieldPosition="0">
        <references count="2">
          <reference field="0" count="1">
            <x v="0"/>
          </reference>
          <reference field="8" count="1" selected="0">
            <x v="6"/>
          </reference>
        </references>
      </pivotArea>
    </format>
    <format dxfId="27">
      <pivotArea dataOnly="0" labelOnly="1" fieldPosition="0">
        <references count="2">
          <reference field="0" count="1">
            <x v="10"/>
          </reference>
          <reference field="8" count="1" selected="0">
            <x v="7"/>
          </reference>
        </references>
      </pivotArea>
    </format>
    <format dxfId="26">
      <pivotArea dataOnly="0" labelOnly="1" fieldPosition="0">
        <references count="2">
          <reference field="0" count="1">
            <x v="7"/>
          </reference>
          <reference field="8" count="1" selected="0">
            <x v="8"/>
          </reference>
        </references>
      </pivotArea>
    </format>
    <format dxfId="25">
      <pivotArea dataOnly="0" labelOnly="1" fieldPosition="0">
        <references count="2">
          <reference field="0" count="1">
            <x v="15"/>
          </reference>
          <reference field="8" count="1" selected="0">
            <x v="9"/>
          </reference>
        </references>
      </pivotArea>
    </format>
    <format dxfId="24">
      <pivotArea dataOnly="0" labelOnly="1" fieldPosition="0">
        <references count="2">
          <reference field="0" count="1">
            <x v="2"/>
          </reference>
          <reference field="8" count="1" selected="0">
            <x v="10"/>
          </reference>
        </references>
      </pivotArea>
    </format>
    <format dxfId="23">
      <pivotArea dataOnly="0" labelOnly="1" fieldPosition="0">
        <references count="2">
          <reference field="0" count="2">
            <x v="1"/>
            <x v="4"/>
          </reference>
          <reference field="8" count="1" selected="0">
            <x v="11"/>
          </reference>
        </references>
      </pivotArea>
    </format>
    <format dxfId="22">
      <pivotArea dataOnly="0" labelOnly="1" fieldPosition="0">
        <references count="2">
          <reference field="0" count="2">
            <x v="5"/>
            <x v="13"/>
          </reference>
          <reference field="8" count="1" selected="0">
            <x v="12"/>
          </reference>
        </references>
      </pivotArea>
    </format>
    <format dxfId="21">
      <pivotArea dataOnly="0" labelOnly="1" fieldPosition="0">
        <references count="2">
          <reference field="0" count="1">
            <x v="6"/>
          </reference>
          <reference field="8" count="1" selected="0">
            <x v="13"/>
          </reference>
        </references>
      </pivotArea>
    </format>
    <format dxfId="20">
      <pivotArea dataOnly="0" labelOnly="1" outline="0" fieldPosition="0">
        <references count="1">
          <reference field="4294967294" count="7">
            <x v="0"/>
            <x v="1"/>
            <x v="2"/>
            <x v="3"/>
            <x v="4"/>
            <x v="5"/>
            <x v="6"/>
          </reference>
        </references>
      </pivotArea>
    </format>
    <format dxfId="19">
      <pivotArea type="all" dataOnly="0" outline="0" fieldPosition="0"/>
    </format>
    <format dxfId="18">
      <pivotArea outline="0" collapsedLevelsAreSubtotals="1" fieldPosition="0"/>
    </format>
    <format dxfId="17">
      <pivotArea field="8" type="button" dataOnly="0" labelOnly="1" outline="0" axis="axisRow" fieldPosition="0"/>
    </format>
    <format dxfId="16">
      <pivotArea dataOnly="0" labelOnly="1" fieldPosition="0">
        <references count="1">
          <reference field="8" count="0"/>
        </references>
      </pivotArea>
    </format>
    <format dxfId="15">
      <pivotArea dataOnly="0" labelOnly="1" grandRow="1" outline="0" fieldPosition="0"/>
    </format>
    <format dxfId="14">
      <pivotArea dataOnly="0" labelOnly="1" fieldPosition="0">
        <references count="2">
          <reference field="0" count="1">
            <x v="14"/>
          </reference>
          <reference field="8" count="1" selected="0">
            <x v="0"/>
          </reference>
        </references>
      </pivotArea>
    </format>
    <format dxfId="13">
      <pivotArea dataOnly="0" labelOnly="1" fieldPosition="0">
        <references count="2">
          <reference field="0" count="1">
            <x v="9"/>
          </reference>
          <reference field="8" count="1" selected="0">
            <x v="1"/>
          </reference>
        </references>
      </pivotArea>
    </format>
    <format dxfId="12">
      <pivotArea dataOnly="0" labelOnly="1" fieldPosition="0">
        <references count="2">
          <reference field="0" count="1">
            <x v="3"/>
          </reference>
          <reference field="8" count="1" selected="0">
            <x v="2"/>
          </reference>
        </references>
      </pivotArea>
    </format>
    <format dxfId="11">
      <pivotArea dataOnly="0" labelOnly="1" fieldPosition="0">
        <references count="2">
          <reference field="0" count="1">
            <x v="8"/>
          </reference>
          <reference field="8" count="1" selected="0">
            <x v="3"/>
          </reference>
        </references>
      </pivotArea>
    </format>
    <format dxfId="10">
      <pivotArea dataOnly="0" labelOnly="1" fieldPosition="0">
        <references count="2">
          <reference field="0" count="1">
            <x v="12"/>
          </reference>
          <reference field="8" count="1" selected="0">
            <x v="4"/>
          </reference>
        </references>
      </pivotArea>
    </format>
    <format dxfId="9">
      <pivotArea dataOnly="0" labelOnly="1" fieldPosition="0">
        <references count="2">
          <reference field="0" count="1">
            <x v="11"/>
          </reference>
          <reference field="8" count="1" selected="0">
            <x v="5"/>
          </reference>
        </references>
      </pivotArea>
    </format>
    <format dxfId="8">
      <pivotArea dataOnly="0" labelOnly="1" fieldPosition="0">
        <references count="2">
          <reference field="0" count="1">
            <x v="0"/>
          </reference>
          <reference field="8" count="1" selected="0">
            <x v="6"/>
          </reference>
        </references>
      </pivotArea>
    </format>
    <format dxfId="7">
      <pivotArea dataOnly="0" labelOnly="1" fieldPosition="0">
        <references count="2">
          <reference field="0" count="1">
            <x v="10"/>
          </reference>
          <reference field="8" count="1" selected="0">
            <x v="7"/>
          </reference>
        </references>
      </pivotArea>
    </format>
    <format dxfId="6">
      <pivotArea dataOnly="0" labelOnly="1" fieldPosition="0">
        <references count="2">
          <reference field="0" count="1">
            <x v="7"/>
          </reference>
          <reference field="8" count="1" selected="0">
            <x v="8"/>
          </reference>
        </references>
      </pivotArea>
    </format>
    <format dxfId="5">
      <pivotArea dataOnly="0" labelOnly="1" fieldPosition="0">
        <references count="2">
          <reference field="0" count="1">
            <x v="15"/>
          </reference>
          <reference field="8" count="1" selected="0">
            <x v="9"/>
          </reference>
        </references>
      </pivotArea>
    </format>
    <format dxfId="4">
      <pivotArea dataOnly="0" labelOnly="1" fieldPosition="0">
        <references count="2">
          <reference field="0" count="1">
            <x v="2"/>
          </reference>
          <reference field="8" count="1" selected="0">
            <x v="10"/>
          </reference>
        </references>
      </pivotArea>
    </format>
    <format dxfId="3">
      <pivotArea dataOnly="0" labelOnly="1" fieldPosition="0">
        <references count="2">
          <reference field="0" count="2">
            <x v="1"/>
            <x v="4"/>
          </reference>
          <reference field="8" count="1" selected="0">
            <x v="11"/>
          </reference>
        </references>
      </pivotArea>
    </format>
    <format dxfId="2">
      <pivotArea dataOnly="0" labelOnly="1" fieldPosition="0">
        <references count="2">
          <reference field="0" count="2">
            <x v="5"/>
            <x v="13"/>
          </reference>
          <reference field="8" count="1" selected="0">
            <x v="12"/>
          </reference>
        </references>
      </pivotArea>
    </format>
    <format dxfId="1">
      <pivotArea dataOnly="0" labelOnly="1" fieldPosition="0">
        <references count="2">
          <reference field="0" count="1">
            <x v="6"/>
          </reference>
          <reference field="8" count="1" selected="0">
            <x v="13"/>
          </reference>
        </references>
      </pivotArea>
    </format>
    <format dxfId="0">
      <pivotArea dataOnly="0" labelOnly="1" outline="0" fieldPosition="0">
        <references count="1">
          <reference field="4294967294" count="7">
            <x v="0"/>
            <x v="1"/>
            <x v="2"/>
            <x v="3"/>
            <x v="4"/>
            <x v="5"/>
            <x v="6"/>
          </reference>
        </references>
      </pivotArea>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3">
  <rv s="0">
    <v>https://www.bing.com/financeapi/forcetrigger?t=a25hm7&amp;q=ARCX%3aVOO&amp;form=skydnc</v>
    <v>Learn more on Bing</v>
  </rv>
  <rv s="1">
    <v>en-US</v>
    <v>a25hm7</v>
    <v>268435456</v>
    <v>1</v>
    <v>Powered by Refinitiv</v>
    <v>0</v>
    <v>Vanguard 500 Idx;ETF (ARCX:VOO)</v>
    <v>2</v>
    <v>3</v>
    <v>Finance</v>
    <v>4</v>
    <v>699.15</v>
    <v>565.375</v>
    <v>1.0001</v>
    <v>10.69</v>
    <v>-3.1119999999999997E-4</v>
    <v>1.5949000000000001E-2</v>
    <v>-0.21190000000000001</v>
    <v>USD</v>
    <v>NYSE Arca</v>
    <v>ARCX</v>
    <v>2.9999999999999997E-4</v>
    <v>681.56500000000005</v>
    <v>ETF</v>
    <v>46202.872376145315</v>
    <v>0</v>
    <v>672.93</v>
    <v>995484631301</v>
    <v>Vanguard 500 Idx;ETF</v>
    <v>677.01</v>
    <v>670.26</v>
    <v>680.95</v>
    <v>680.79809999999998</v>
    <v>VOO</v>
    <v>Vanguard 500 Idx;ETF (ARCX:VOO)</v>
    <v>5658851</v>
    <v>11136583</v>
  </rv>
  <rv s="2">
    <v>1</v>
  </rv>
  <rv s="0">
    <v>https://www.bing.com/financeapi/forcetrigger?t=a1o4sm&amp;q=XNYS%3aBAC&amp;form=skydnc</v>
    <v>Learn more on Bing</v>
  </rv>
  <rv s="3">
    <v>en-US</v>
    <v>a1o4sm</v>
    <v>268435456</v>
    <v>1</v>
    <v>Powered by Refinitiv</v>
    <v>5</v>
    <v>BANK OF AMERICA CORPORATION (XNYS:BAC)</v>
    <v>6</v>
    <v>7</v>
    <v>Finance</v>
    <v>8</v>
    <v>59.195</v>
    <v>44.75</v>
    <v>1.1435999999999999</v>
    <v>-5.0000000000000001E-3</v>
    <v>0</v>
    <v>-8.6390000000000005E-5</v>
    <v>0</v>
    <v>USD</v>
    <v>Bank of America Corporation is a bank holding company and a financial holding company. Its segments include Consumer Banking, Global Wealth &amp; Investment Management (GWIM), Global Banking and Global Markets. Consumer Banking segment offers a range of credit, banking and investment products and services to consumers and small businesses. The GWIM includes two businesses: Merrill Wealth Management, which provides tailored solutions to meet clients' needs through a full set of investment management, brokerage, banking and retirement products and Bank of America Private Bank, which provides comprehensive wealth management solutions. Global Banking segment provides a range of lending-related products and services, integrated working capital management and treasury solutions, and underwriting and advisory services. Global Markets segment offers sales and trading services and research services to institutional clients across fixed-income, credit, currency, commodity, and equity businesses.</v>
    <v>212000</v>
    <v>New York Stock Exchange</v>
    <v>XNYS</v>
    <v>XNYS</v>
    <v>Bank Of America Corporate Center, 100 N Tryon St, CHARLOTTE, NC, 28255 US</v>
    <v>58.335000000000001</v>
    <v>Banking Services</v>
    <v>Stock</v>
    <v>46202.870593506253</v>
    <v>3</v>
    <v>57.61</v>
    <v>410715204125</v>
    <v>BANK OF AMERICA CORPORATION</v>
    <v>BANK OF AMERICA CORPORATION</v>
    <v>57.76</v>
    <v>14.4764</v>
    <v>57.88</v>
    <v>57.875</v>
    <v>57.88</v>
    <v>7096591000</v>
    <v>BAC</v>
    <v>BANK OF AMERICA CORPORATION (XNYS:BAC)</v>
    <v>28891099</v>
    <v>38949268</v>
    <v>1998</v>
  </rv>
  <rv s="2">
    <v>4</v>
  </rv>
  <rv s="0">
    <v>https://www.bing.com/financeapi/forcetrigger?t=a1q6k2&amp;q=XNAS%3aCOST&amp;form=skydnc</v>
    <v>Learn more on Bing</v>
  </rv>
  <rv s="3">
    <v>en-US</v>
    <v>a1q6k2</v>
    <v>268435456</v>
    <v>1</v>
    <v>Powered by Refinitiv</v>
    <v>5</v>
    <v>COSTCO WHOLESALE CORPORATION (XNAS:COST)</v>
    <v>6</v>
    <v>7</v>
    <v>Finance</v>
    <v>8</v>
    <v>1096.5</v>
    <v>844.06</v>
    <v>0.87080000000000002</v>
    <v>-5.86</v>
    <v>-4.5420000000000004E-4</v>
    <v>-6.1519999999999995E-3</v>
    <v>-0.43</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341000</v>
    <v>Nasdaq Stock Market</v>
    <v>XNAS</v>
    <v>XNAS</v>
    <v>999 Lake Dr, ISSAQUAH, WA, 98027- US</v>
    <v>969.86</v>
    <v>Diversified Retail</v>
    <v>Stock</v>
    <v>46202.872237128904</v>
    <v>6</v>
    <v>942.38</v>
    <v>419832510384</v>
    <v>COSTCO WHOLESALE CORPORATION</v>
    <v>COSTCO WHOLESALE CORPORATION</v>
    <v>958.55</v>
    <v>47.614400000000003</v>
    <v>952.54</v>
    <v>946.68</v>
    <v>946.25</v>
    <v>443478800</v>
    <v>COST</v>
    <v>COSTCO WHOLESALE CORPORATION (XNAS:COST)</v>
    <v>2438669</v>
    <v>2713613</v>
    <v>1987</v>
  </rv>
  <rv s="2">
    <v>7</v>
  </rv>
  <rv s="0">
    <v>https://www.bing.com/financeapi/forcetrigger?t=a1nhlh&amp;q=XNAS%3aAMZN&amp;form=skydnc</v>
    <v>Learn more on Bing</v>
  </rv>
  <rv s="3">
    <v>en-US</v>
    <v>a1nhlh</v>
    <v>268435456</v>
    <v>1</v>
    <v>Powered by Refinitiv</v>
    <v>5</v>
    <v>AMAZON.COM, INC. (XNAS:AMZN)</v>
    <v>6</v>
    <v>7</v>
    <v>Finance</v>
    <v>8</v>
    <v>278.56</v>
    <v>196</v>
    <v>1.4742</v>
    <v>7.45</v>
    <v>-1.333E-3</v>
    <v>3.2017000000000004E-2</v>
    <v>-0.32</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1575000</v>
    <v>Nasdaq Stock Market</v>
    <v>XNAS</v>
    <v>XNAS</v>
    <v>410 Terry Avenue North, SEATTLE, WA, 98109 US</v>
    <v>249.71</v>
    <v>Diversified Retail</v>
    <v>Stock</v>
    <v>46202.872319351562</v>
    <v>9</v>
    <v>233.8</v>
    <v>2583212395400</v>
    <v>AMAZON.COM, INC.</v>
    <v>AMAZON.COM, INC.</v>
    <v>234.215</v>
    <v>27.8081</v>
    <v>232.69</v>
    <v>240.14</v>
    <v>239.82</v>
    <v>10757110000</v>
    <v>AMZN</v>
    <v>AMAZON.COM, INC. (XNAS:AMZN)</v>
    <v>75795257</v>
    <v>56312977</v>
    <v>1996</v>
  </rv>
  <rv s="2">
    <v>10</v>
  </rv>
  <rv s="0">
    <v>https://www.bing.com/financeapi/forcetrigger?t=a1z11h&amp;q=XNYS%3aO&amp;form=skydnc</v>
    <v>Learn more on Bing</v>
  </rv>
  <rv s="3">
    <v>en-US</v>
    <v>a1z11h</v>
    <v>268435456</v>
    <v>1</v>
    <v>Powered by Refinitiv</v>
    <v>5</v>
    <v>REALTY INCOME CORPORATION (XNYS:O)</v>
    <v>6</v>
    <v>7</v>
    <v>Finance</v>
    <v>8</v>
    <v>67.935000000000002</v>
    <v>55.86</v>
    <v>0.71050000000000002</v>
    <v>-9.5000000000000001E-2</v>
    <v>-1.428E-3</v>
    <v>-1.505E-3</v>
    <v>-0.09</v>
    <v>USD</v>
    <v>Realty Income Corporation is a real estate investment trust. The Company is engaged in the acquisition, ownership, and management of freestanding commercial properties leased under long‑term net lease agreements to a diversified base of operators, including a blend of investment grade, investment grade equivalent, and other clients. It owns a portfolio of over 15,500 properties in all 50 United States (U.S.) states, the United Kingdom, and eight other countries in Europe. It is engaged in a single business activity, which is the leasing of property to clients, generally on a net basis. That business activity spans various geographic boundaries and includes property types and clients engaged in various industries. Its property types include retail, industrial, gaming, and other. Its industry concentrations include grocery, convenience stores, home improvement, dollar stores, restaurants-quick service, health and fitness, drug stores, automotive service, among others.</v>
    <v>544</v>
    <v>New York Stock Exchange</v>
    <v>XNYS</v>
    <v>XNYS</v>
    <v>11995 El Camino Real, SAN DIEGO, CA, 92130 US</v>
    <v>63.06</v>
    <v>Residential &amp; Commercial REIT</v>
    <v>Stock</v>
    <v>46202.872059560155</v>
    <v>12</v>
    <v>62.24</v>
    <v>58770346115</v>
    <v>REALTY INCOME CORPORATION</v>
    <v>REALTY INCOME CORPORATION</v>
    <v>62.8</v>
    <v>51.744700000000002</v>
    <v>63.12</v>
    <v>63.024999999999999</v>
    <v>62.95</v>
    <v>932492600</v>
    <v>O</v>
    <v>REALTY INCOME CORPORATION (XNYS:O)</v>
    <v>4712186</v>
    <v>6589339</v>
    <v>1997</v>
  </rv>
  <rv s="2">
    <v>13</v>
  </rv>
  <rv s="0">
    <v>https://www.bing.com/financeapi/forcetrigger?t=a22k9c&amp;q=XNAS%3aSBUX&amp;form=skydnc</v>
    <v>Learn more on Bing</v>
  </rv>
  <rv s="3">
    <v>en-US</v>
    <v>a22k9c</v>
    <v>268435456</v>
    <v>1</v>
    <v>Powered by Refinitiv</v>
    <v>5</v>
    <v>STARBUCKS CORPORATION (XNAS:SBUX)</v>
    <v>6</v>
    <v>7</v>
    <v>Finance</v>
    <v>8</v>
    <v>108.88</v>
    <v>77.989999999999995</v>
    <v>0.94789999999999996</v>
    <v>-0.54</v>
    <v>0</v>
    <v>-5.1630000000000001E-3</v>
    <v>0</v>
    <v>USD</v>
    <v>Starbucks Corporations is a roaster, marketer, and retailer of specialty coffee globally. Its North America segment includes the United States and Canada. Its International segment includes China, Japan, Asia Pacific, Europe, Middle East and Africa, Latin America, and the Caribbean. Its North America and International segments include both Company-operated and licensed stores. The Channel Development segment includes roasted whole bean and ground coffees, Starbucks-branded single-serve products, a variety of ready-to-drink beverages, such as Frappuccino and Starbucks Doubleshot, foodservice products, and other branded products sold outside the Company-operated and licensed stores. A large portion of its Channel Development business operates under a licensed model of the Global Coffee Alliance with Nestle, while its global ready-to-drink businesses operate under collaborative relationships with PepsiCo, Inc., Tingyi-Ashi Beverages Holding Co., Ltd., Arla Foods amba, Nestle, and others.</v>
    <v>381000</v>
    <v>Nasdaq Stock Market</v>
    <v>XNAS</v>
    <v>XNAS</v>
    <v>2401 Utah Ave S, Ms: S-La1, SEATTLE, WA, 98134 US</v>
    <v>104.96</v>
    <v>Hotels &amp; Entertainment Services</v>
    <v>Stock</v>
    <v>46202.864957395315</v>
    <v>15</v>
    <v>103.21</v>
    <v>118597182000</v>
    <v>STARBUCKS CORPORATION</v>
    <v>STARBUCKS CORPORATION</v>
    <v>104.81</v>
    <v>79.416899999999998</v>
    <v>104.6</v>
    <v>104.06</v>
    <v>104.06</v>
    <v>1139700000</v>
    <v>SBUX</v>
    <v>STARBUCKS CORPORATION (XNAS:SBUX)</v>
    <v>6725483</v>
    <v>8308028</v>
    <v>1985</v>
  </rv>
  <rv s="2">
    <v>16</v>
  </rv>
  <rv s="0">
    <v>https://www.bing.com/financeapi/forcetrigger?t=a1r2c7&amp;q=ARCX%3aDIA&amp;form=skydnc</v>
    <v>Learn more on Bing</v>
  </rv>
  <rv s="1">
    <v>en-US</v>
    <v>a1r2c7</v>
    <v>268435456</v>
    <v>1</v>
    <v>Powered by Refinitiv</v>
    <v>0</v>
    <v>State St SPDR DJ Inds Av (ARCX:DIA)</v>
    <v>2</v>
    <v>3</v>
    <v>Finance</v>
    <v>4</v>
    <v>526.57000000000005</v>
    <v>433.4</v>
    <v>0.93220000000000003</v>
    <v>3.96</v>
    <v>3.0669999999999996E-5</v>
    <v>7.6480000000000003E-3</v>
    <v>1.6E-2</v>
    <v>USD</v>
    <v>NYSE Arca</v>
    <v>ARCX</v>
    <v>1.6000000000000001E-3</v>
    <v>522.97500000000002</v>
    <v>ETF</v>
    <v>46202.869773378909</v>
    <v>18</v>
    <v>519.4</v>
    <v>44786042821.949997</v>
    <v>State St SPDR DJ Inds Av</v>
    <v>520.63</v>
    <v>517.75</v>
    <v>521.71</v>
    <v>521.69600000000003</v>
    <v>DIA</v>
    <v>State St SPDR DJ Inds Av (ARCX:DIA)</v>
    <v>5674295</v>
    <v>4954315</v>
  </rv>
  <rv s="2">
    <v>19</v>
  </rv>
  <rv s="0">
    <v>https://www.bing.com/financeapi/forcetrigger?t=a25obh&amp;q=XNYS%3aVZ&amp;form=skydnc</v>
    <v>Learn more on Bing</v>
  </rv>
  <rv s="3">
    <v>en-US</v>
    <v>a25obh</v>
    <v>268435456</v>
    <v>1</v>
    <v>Powered by Refinitiv</v>
    <v>5</v>
    <v>VERIZON COMMUNICATIONS INC. (XNYS:VZ)</v>
    <v>6</v>
    <v>7</v>
    <v>Finance</v>
    <v>8</v>
    <v>51.68</v>
    <v>38.39</v>
    <v>0.2253</v>
    <v>-2.46</v>
    <v>6.8029999999999989E-4</v>
    <v>-5.2858000000000002E-2</v>
    <v>0.03</v>
    <v>USD</v>
    <v>Verizon Communications Inc. is a holding company. The Company, through its subsidiaries, provides communications, technology, information and streaming products and services to consumers, businesses and government entities. Its Consumer segment provides wireless and wireline communications services. It also provides fixed wireless access (FWA) broadband through its 5G or 4G Long-Term Evolution (LTE) networks portfolio. The Company's Business segment provides wireless and wireline communications services and products, including FWA broadband, data, video and advanced communication services, corporate networking solutions, security and managed network services, local and long-distance voice services and network access to deliver various Internet of Things (IoT) services and products. It provides these products and services to businesses, public sector customers and wireless and wireline carriers across the U.S. and a subset of these products and services to customers around the world.</v>
    <v>89900</v>
    <v>New York Stock Exchange</v>
    <v>XNYS</v>
    <v>XNYS</v>
    <v>1095 Avenue Of The Americas, NEW YORK, NY, 10036 US</v>
    <v>45.850499999999997</v>
    <v>Telecommunications Services</v>
    <v>Stock</v>
    <v>46202.872351353908</v>
    <v>21</v>
    <v>42.78</v>
    <v>184058640720</v>
    <v>VERIZON COMMUNICATIONS INC.</v>
    <v>VERIZON COMMUNICATIONS INC.</v>
    <v>45.57</v>
    <v>11.3408</v>
    <v>46.54</v>
    <v>44.08</v>
    <v>44.13</v>
    <v>4175559000</v>
    <v>VZ</v>
    <v>VERIZON COMMUNICATIONS INC. (XNYS:VZ)</v>
    <v>53795387</v>
    <v>25171053</v>
    <v>1983</v>
  </rv>
  <rv s="2">
    <v>22</v>
  </rv>
  <rv s="0">
    <v>https://www.bing.com/financeapi/forcetrigger?t=a256cw&amp;q=XNYS%3aV&amp;form=skydnc</v>
    <v>Learn more on Bing</v>
  </rv>
  <rv s="3">
    <v>en-US</v>
    <v>a256cw</v>
    <v>268435456</v>
    <v>1</v>
    <v>Powered by Refinitiv</v>
    <v>5</v>
    <v>VISA INC. (XNYS:V)</v>
    <v>6</v>
    <v>7</v>
    <v>Finance</v>
    <v>8</v>
    <v>359.66</v>
    <v>293.89</v>
    <v>0.74750000000000005</v>
    <v>5.36</v>
    <v>1.6100000000000001E-3</v>
    <v>1.5941E-2</v>
    <v>0.55000000000000004</v>
    <v>USD</v>
    <v>Visa Inc. is a global payments technology company. It facilitates global commerce and money movement across more than 200 countries and territories among a global set of consumers, merchants, financial institutions and government entities through technologies. It operates through the Payment Services segment. It provides transaction processing services (primarily authorization, clearing and settlement) to its financial institution and merchant clients through VisaNet, its proprietary advanced transaction processing network. It offers a range of Visa-branded payment products that its clients, including nearly 14,500 financial institutions, use to develop and offer payment solutions or services, including credit, debit, prepaid and cash access programs for individual, business and government account holders. It also provides value-added services to its clients, including issuing solutions, acceptance solutions, risk and identity solutions, open banking solutions and advisory services.</v>
    <v>34100</v>
    <v>New York Stock Exchange</v>
    <v>XNYS</v>
    <v>XNYS</v>
    <v>P.O. Box 8999, SAN FRANCISCO, CA, 94128-8999 US</v>
    <v>345.81</v>
    <v>Professional &amp; Commercial Services</v>
    <v>Stock</v>
    <v>46202.868013298437</v>
    <v>24</v>
    <v>338.27</v>
    <v>643598258750</v>
    <v>VISA INC.</v>
    <v>VISA INC.</v>
    <v>338.27</v>
    <v>29.7544</v>
    <v>336.23</v>
    <v>341.59</v>
    <v>342.2</v>
    <v>1884125000</v>
    <v>V</v>
    <v>VISA INC. (XNYS:V)</v>
    <v>11646261</v>
    <v>8791829</v>
    <v>2007</v>
  </rv>
  <rv s="2">
    <v>25</v>
  </rv>
  <rv s="0">
    <v>https://www.bing.com/financeapi/forcetrigger?t=a24kar&amp;q=XNAS%3aTSLA&amp;form=skydnc</v>
    <v>Learn more on Bing</v>
  </rv>
  <rv s="3">
    <v>en-US</v>
    <v>a24kar</v>
    <v>268435456</v>
    <v>1</v>
    <v>Powered by Refinitiv</v>
    <v>5</v>
    <v>TESLA, INC. (XNAS:TSLA)</v>
    <v>6</v>
    <v>7</v>
    <v>Finance</v>
    <v>8</v>
    <v>498.83</v>
    <v>288.77010000000001</v>
    <v>1.8242</v>
    <v>32.130000000000003</v>
    <v>-1.967E-3</v>
    <v>8.4616999999999998E-2</v>
    <v>-0.81</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134785</v>
    <v>Nasdaq Stock Market</v>
    <v>XNAS</v>
    <v>XNAS</v>
    <v>1 Tesla Road, AUSTIN, TX, 78725 US</v>
    <v>413.27</v>
    <v>Automobiles &amp; Auto Parts</v>
    <v>Stock</v>
    <v>46202.872352731247</v>
    <v>27</v>
    <v>379.3</v>
    <v>1546757372160</v>
    <v>TESLA, INC.</v>
    <v>TESLA, INC.</v>
    <v>381.79</v>
    <v>376.41899999999998</v>
    <v>379.71</v>
    <v>411.84</v>
    <v>411.03</v>
    <v>3755724000</v>
    <v>TSLA</v>
    <v>TESLA, INC. (XNAS:TSLA)</v>
    <v>57172687</v>
    <v>46327935</v>
    <v>2024</v>
  </rv>
  <rv s="2">
    <v>28</v>
  </rv>
  <rv s="0">
    <v>https://www.bing.com/financeapi/forcetrigger?t=a1qc1h&amp;q=XNYS%3aCRM&amp;form=skydnc</v>
    <v>Learn more on Bing</v>
  </rv>
  <rv s="3">
    <v>en-US</v>
    <v>a1qc1h</v>
    <v>268435456</v>
    <v>1</v>
    <v>Powered by Refinitiv</v>
    <v>5</v>
    <v>SALESFORCE, INC. (XNYS:CRM)</v>
    <v>6</v>
    <v>7</v>
    <v>Finance</v>
    <v>8</v>
    <v>276.8</v>
    <v>146.32</v>
    <v>1.1916</v>
    <v>-0.4</v>
    <v>8.0920000000000005E-4</v>
    <v>-2.526E-3</v>
    <v>0.1278</v>
    <v>USD</v>
    <v>Salesforce, Inc. is a customer relationship management (CRM) technology company. Its artificial intelligence (AI) powered Agentforce 360 Platform offers sales, service, marketing, commerce, collaboration, data management, integration, analytics, and information technology (IT) service solutions. It enables customers to build and deploy digital labor for employees and customers, leveraging autonomous AI agents across business functions. Its service offerings include Agentforce Sales, Agentforce Service, Agentforce 360 Platform, Slack and Others. The Agentforce Sales provides sales capabilities and tools built for organizations across prospecting, sales engagement, team collaboration, sales analytics and AI, sales programs, sales performance, partner management, and revenue and orders. The Agentforce Service provides field service solutions that enable companies to connect service agents, dispatchers and mobile employees through platform to schedule, dispatch and manage jobs.</v>
    <v>83334</v>
    <v>New York Stock Exchange</v>
    <v>XNYS</v>
    <v>XNYS</v>
    <v>SALESFORCE TOWER, 415 MISSION STREET 3RD FL, SAN FRANCISCO, CA, 94105 US</v>
    <v>161.76</v>
    <v>Software &amp; IT Services</v>
    <v>Stock</v>
    <v>46202.872369582816</v>
    <v>30</v>
    <v>157.69999999999999</v>
    <v>129377430000</v>
    <v>SALESFORCE, INC.</v>
    <v>SALESFORCE, INC.</v>
    <v>160.27000000000001</v>
    <v>18.276800000000001</v>
    <v>158.37</v>
    <v>157.97</v>
    <v>158.05779999999999</v>
    <v>819000000</v>
    <v>CRM</v>
    <v>SALESFORCE, INC. (XNYS:CRM)</v>
    <v>10847381</v>
    <v>18437852</v>
    <v>1999</v>
  </rv>
  <rv s="2">
    <v>31</v>
  </rv>
  <rv s="0">
    <v>https://www.bing.com/financeapi/forcetrigger?t=a1qlz2&amp;q=XNYS%3aCVX&amp;form=skydnc</v>
    <v>Learn more on Bing</v>
  </rv>
  <rv s="3">
    <v>en-US</v>
    <v>a1qlz2</v>
    <v>268435456</v>
    <v>1</v>
    <v>Powered by Refinitiv</v>
    <v>5</v>
    <v>CHEVRON CORPORATION (XNYS:CVX)</v>
    <v>6</v>
    <v>7</v>
    <v>Finance</v>
    <v>8</v>
    <v>214.71</v>
    <v>142.4</v>
    <v>0.49009999999999998</v>
    <v>-2.63</v>
    <v>5.2530000000000003E-4</v>
    <v>-1.5375000000000002E-2</v>
    <v>8.8499999999999995E-2</v>
    <v>USD</v>
    <v>Chevron Corporation is an integrated energy company. The Company produces crude oil and natural gas; manufactures transportation fuels, lubricants, petrochemicals and additives; and develops technologies that enhance its business and industry. The Company’s segments include Upstream and Downstream. Upstream operations consist primarily of exploring for, developing, producing and transporting crude oil and natural gas; liquefaction, transportation and regasification associated with LNG; transporting crude oil by major international oil export pipelines; processing, transporting, storage and marketing of natural gas; carbon capture and storage; and a gas-to-liquids plant. Downstream operations consist primarily of the refining of crude oil into petroleum products; marketing crude oil, refined products, and lubricants; manufacturing and marketing of renewable fuels, and transporting of crude oil and refined products by pipeline, marine vessel, motor equipment and rail car.</v>
    <v>43039</v>
    <v>New York Stock Exchange</v>
    <v>XNYS</v>
    <v>XNYS</v>
    <v>1400 SMITH STREET, HOUSTON, TX, 77002 US</v>
    <v>171.6</v>
    <v>Oil &amp; Gas</v>
    <v>Stock</v>
    <v>46202.872042580471</v>
    <v>33</v>
    <v>168.37</v>
    <v>335444851140</v>
    <v>CHEVRON CORPORATION</v>
    <v>CHEVRON CORPORATION</v>
    <v>171.37</v>
    <v>29.2393</v>
    <v>171.06</v>
    <v>168.43</v>
    <v>168.55850000000001</v>
    <v>1991598000</v>
    <v>CVX</v>
    <v>CHEVRON CORPORATION (XNYS:CVX)</v>
    <v>8646406</v>
    <v>9354160</v>
    <v>1926</v>
  </rv>
  <rv s="2">
    <v>34</v>
  </rv>
  <rv s="0">
    <v>https://www.bing.com/financeapi/forcetrigger?t=a1ndww&amp;q=XNAS%3aAMD&amp;form=skydnc</v>
    <v>Learn more on Bing</v>
  </rv>
  <rv s="3">
    <v>en-US</v>
    <v>a1ndww</v>
    <v>268435456</v>
    <v>1</v>
    <v>Powered by Refinitiv</v>
    <v>5</v>
    <v>ADVANCED MICRO DEVICES, INC. (XNAS:AMD)</v>
    <v>6</v>
    <v>7</v>
    <v>Finance</v>
    <v>8</v>
    <v>562.98990000000003</v>
    <v>133.5</v>
    <v>2.4702999999999999</v>
    <v>17.91</v>
    <v>-3.689E-3</v>
    <v>3.4338E-2</v>
    <v>-1.99</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542.19000000000005</v>
    <v>Semiconductors &amp; Semiconductor Equipment</v>
    <v>Stock</v>
    <v>46202.872378113279</v>
    <v>36</v>
    <v>495.35</v>
    <v>879692933490</v>
    <v>ADVANCED MICRO DEVICES, INC.</v>
    <v>ADVANCED MICRO DEVICES, INC.</v>
    <v>522.84</v>
    <v>173.86580000000001</v>
    <v>521.58000000000004</v>
    <v>539.49</v>
    <v>537.5</v>
    <v>1630601000</v>
    <v>AMD</v>
    <v>ADVANCED MICRO DEVICES, INC. (XNAS:AMD)</v>
    <v>26407873</v>
    <v>32059644</v>
    <v>1969</v>
  </rv>
  <rv s="2">
    <v>37</v>
  </rv>
  <rv s="0">
    <v>https://www.bing.com/financeapi/forcetrigger?t=a1x6m7&amp;q=XNAS%3aLULU&amp;form=skydnc</v>
    <v>Learn more on Bing</v>
  </rv>
  <rv s="3">
    <v>en-US</v>
    <v>a1x6m7</v>
    <v>268435456</v>
    <v>1</v>
    <v>Powered by Refinitiv</v>
    <v>5</v>
    <v>LULULEMON ATHLETICA INC. (XNAS:LULU)</v>
    <v>6</v>
    <v>7</v>
    <v>Finance</v>
    <v>8</v>
    <v>252.24</v>
    <v>104.44</v>
    <v>0.87980000000000003</v>
    <v>-3.28</v>
    <v>-7.8750000000000001E-4</v>
    <v>-2.7897999999999999E-2</v>
    <v>-0.09</v>
    <v>USD</v>
    <v>lululemon athletica inc. is a technical athletic apparel, footwear, and accessories company. The Company organizes its operations into four regional markets: the Americas, China Mainland, Asia Pacific (APAC), and Europe and the Middle East (EMEA). It conducts its business through a number of different channels in each market, including the Company-operated stores, e-commerce, temporary locations, wholesale, outlets, a re-commerce program, and license and supply arrangements. The Company offers a comprehensive line of technical athletic apparel, footwear, and accessories marketed under the lululemon brand. Its apparel assortment includes items such as shorts, tops, and jackets designed for a healthy lifestyle, including athletic activities such as yoga, running, training, and most other activities. It also offers apparel designed for being on the move and fitness-inspired accessories. It operates stores in the United States, Canada, China Mainland, Australia, South Korea and others.</v>
    <v>39000</v>
    <v>Nasdaq Stock Market</v>
    <v>XNAS</v>
    <v>XNAS</v>
    <v>1818 Cornwall Avenue, VANCOUVER, BC, V6J 1C7 CA</v>
    <v>117.79730000000001</v>
    <v>Textiles &amp; Apparel</v>
    <v>Stock</v>
    <v>46202.871154710156</v>
    <v>39</v>
    <v>112.8</v>
    <v>12978075231</v>
    <v>LULULEMON ATHLETICA INC.</v>
    <v>LULULEMON ATHLETICA INC.</v>
    <v>117.21</v>
    <v>9.4938000000000002</v>
    <v>117.57</v>
    <v>114.29</v>
    <v>114.2</v>
    <v>113553900</v>
    <v>LULU</v>
    <v>LULULEMON ATHLETICA INC. (XNAS:LULU)</v>
    <v>3250379</v>
    <v>4565748</v>
    <v>2005</v>
  </rv>
  <rv s="2">
    <v>40</v>
  </rv>
  <rv s="0">
    <v>https://www.bing.com/financeapi/forcetrigger?t=a1u3rw&amp;q=XNAS%3aGOOGL&amp;form=skydnc</v>
    <v>Learn more on Bing</v>
  </rv>
  <rv s="3">
    <v>en-US</v>
    <v>a1u3rw</v>
    <v>268435456</v>
    <v>1</v>
    <v>Powered by Refinitiv</v>
    <v>5</v>
    <v>ALPHABET INC. (XNAS:GOOGL)</v>
    <v>6</v>
    <v>7</v>
    <v>Finance</v>
    <v>8</v>
    <v>408.61</v>
    <v>172.77</v>
    <v>1.2645999999999999</v>
    <v>16.260000000000002</v>
    <v>-1.8360000000000002E-3</v>
    <v>4.8193E-2</v>
    <v>-0.6492</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194668</v>
    <v>Nasdaq Stock Market</v>
    <v>XNAS</v>
    <v>XNAS</v>
    <v>1600 Amphitheatre Parkway, MOUNTAIN VIEW, CA, 94043 US</v>
    <v>354.35</v>
    <v>Software &amp; IT Services</v>
    <v>Stock</v>
    <v>46202.872346099219</v>
    <v>42</v>
    <v>340.67</v>
    <v>4305533143999</v>
    <v>ALPHABET INC.</v>
    <v>ALPHABET INC.</v>
    <v>341.82499999999999</v>
    <v>26.954999999999998</v>
    <v>337.39</v>
    <v>353.65</v>
    <v>353.00080000000003</v>
    <v>12174560000</v>
    <v>GOOGL</v>
    <v>ALPHABET INC. (XNAS:GOOGL)</v>
    <v>33525805</v>
    <v>37750697</v>
    <v>2015</v>
  </rv>
  <rv s="2">
    <v>43</v>
  </rv>
  <rv s="0">
    <v>https://www.bing.com/financeapi/forcetrigger?t=a1wzw7&amp;q=XNYS%3aLMT&amp;form=skydnc</v>
    <v>Learn more on Bing</v>
  </rv>
  <rv s="3">
    <v>en-US</v>
    <v>a1wzw7</v>
    <v>268435456</v>
    <v>1</v>
    <v>Powered by Refinitiv</v>
    <v>5</v>
    <v>LOCKHEED MARTIN CORPORATION (XNYS:LMT)</v>
    <v>6</v>
    <v>7</v>
    <v>Finance</v>
    <v>8</v>
    <v>692</v>
    <v>410.11</v>
    <v>0.1212</v>
    <v>-5.31</v>
    <v>-9.1619999999999994E-4</v>
    <v>-1.0465E-2</v>
    <v>-0.46</v>
    <v>USD</v>
    <v>Lockheed Martin Corporation is an aerospace and defense technology company. The Company's segments include Aeronautics, Missiles and Fire Control (MFC), Rotary and Mission Systems (RMS) and Space. The Aeronautics segment is engaged in research, design, development, manufacture, integration, sustainment, support and upgrade of advanced military aircraft, including combat and air mobility aircraft, unmanned air vehicles and related technologies. The MFC segment provides air and missile defense systems; tactical missiles and precision strike weapon systems; logistics; fire control systems; engineering support and integration services. The RMS segment designs, manufactures, services and supports various military and commercial helicopters, sea and land-based missile defense systems. The Space segment is engaged in the research and design, development, engineering and production of satellites, space transportation systems, and strategic, advanced strike, and defensive systems.</v>
    <v>123000</v>
    <v>New York Stock Exchange</v>
    <v>XNYS</v>
    <v>XNYS</v>
    <v>6801 ROCKLEDGE DR, BETHESDA, MD, 20817 US</v>
    <v>510.13499999999999</v>
    <v>Aerospace &amp; Defense</v>
    <v>Stock</v>
    <v>46202.871937453128</v>
    <v>45</v>
    <v>501.75</v>
    <v>115763677924</v>
    <v>LOCKHEED MARTIN CORPORATION</v>
    <v>LOCKHEED MARTIN CORPORATION</v>
    <v>508.5</v>
    <v>24.572600000000001</v>
    <v>507.4</v>
    <v>502.09</v>
    <v>501.61</v>
    <v>230563600</v>
    <v>LMT</v>
    <v>LOCKHEED MARTIN CORPORATION (XNYS:LMT)</v>
    <v>968401</v>
    <v>1398970</v>
    <v>1994</v>
  </rv>
  <rv s="2">
    <v>46</v>
  </rv>
  <rv s="0">
    <v>https://www.bing.com/financeapi/forcetrigger?t=a269ec&amp;q=XNYS%3aXOM&amp;form=skydnc</v>
    <v>Learn more on Bing</v>
  </rv>
  <rv s="3">
    <v>en-US</v>
    <v>a269ec</v>
    <v>268435456</v>
    <v>1</v>
    <v>Powered by Refinitiv</v>
    <v>5</v>
    <v>EXXON MOBIL CORPORATION (XNYS:XOM)</v>
    <v>6</v>
    <v>7</v>
    <v>Finance</v>
    <v>8</v>
    <v>176.41</v>
    <v>105.52500000000001</v>
    <v>0.17230000000000001</v>
    <v>-0.5</v>
    <v>5.1449999999999998E-4</v>
    <v>-3.6620000000000003E-3</v>
    <v>7.0000000000000007E-2</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58000</v>
    <v>New York Stock Exchange</v>
    <v>XNYS</v>
    <v>XNYS</v>
    <v>22777 SPRINGWOODS VILLAGE PARKWAY, SPRING, TX, 77389-1425 US</v>
    <v>137.38999999999999</v>
    <v>Oil &amp; Gas</v>
    <v>Stock</v>
    <v>46202.872138448438</v>
    <v>48</v>
    <v>135.39250000000001</v>
    <v>563878589880</v>
    <v>EXXON MOBIL CORPORATION</v>
    <v>EXXON MOBIL CORPORATION</v>
    <v>136.58000000000001</v>
    <v>23.011600000000001</v>
    <v>136.54</v>
    <v>136.04</v>
    <v>136.13</v>
    <v>4144947000</v>
    <v>XOM</v>
    <v>EXXON MOBIL CORPORATION (XNYS:XOM)</v>
    <v>11888052</v>
    <v>17672901</v>
    <v>1882</v>
  </rv>
  <rv s="2">
    <v>49</v>
  </rv>
  <rv s="0">
    <v>https://www.bing.com/financeapi/forcetrigger?t=a24ynm&amp;q=XNYS%3aUPS&amp;form=skydnc</v>
    <v>Learn more on Bing</v>
  </rv>
  <rv s="3">
    <v>en-US</v>
    <v>a24ynm</v>
    <v>268435456</v>
    <v>1</v>
    <v>Powered by Refinitiv</v>
    <v>5</v>
    <v>UNITED PARCEL SERVICE, INC. (XNYS:UPS)</v>
    <v>6</v>
    <v>7</v>
    <v>Finance</v>
    <v>8</v>
    <v>122.41</v>
    <v>82</v>
    <v>1.0164</v>
    <v>-0.16</v>
    <v>7.3140000000000002E-3</v>
    <v>-1.48E-3</v>
    <v>0.79</v>
    <v>USD</v>
    <v>United Parcel Service, Inc. is a global package delivery and logistics provider. Its U.S. Domestic Package segment offers a full spectrum of air and ground package transportation services. Its air portfolio offers time-definite, same-day, next-day, two-day and three-day delivery alternatives as well as air cargo services. Its ground network enables customers to ship using its day-definite ground service. Ground Saver provides residential ground service for customers with non-urgent, lightweight residential shipments. Its International Package segment consists of small package operations in Europe, Middle East and Africa, Canada and Latin America and Asia. It offers a selection of guaranteed day and time-definite international transportation services supported by its brokerage capabilities that facilitate cross-border clearance for international shipments. Its supply chain solutions consist of customized third-party logistics and specialized cold chain transportation solutions.</v>
    <v>460000</v>
    <v>New York Stock Exchange</v>
    <v>XNYS</v>
    <v>XNYS</v>
    <v>55 Glenlake Parkway Ne, ATLANTA, GA, 30328 US</v>
    <v>108.4318</v>
    <v>Freight &amp; Logistics Services</v>
    <v>Stock</v>
    <v>46202.87130795078</v>
    <v>51</v>
    <v>106.87</v>
    <v>91783680274</v>
    <v>UNITED PARCEL SERVICE, INC.</v>
    <v>UNITED PARCEL SERVICE, INC.</v>
    <v>108.04</v>
    <v>17.471399999999999</v>
    <v>108.14</v>
    <v>107.98</v>
    <v>108.8</v>
    <v>850006300</v>
    <v>UPS</v>
    <v>UNITED PARCEL SERVICE, INC. (XNYS:UPS)</v>
    <v>2965884</v>
    <v>5755116</v>
    <v>1999</v>
  </rv>
  <rv s="2">
    <v>52</v>
  </rv>
  <rv s="0">
    <v>https://www.bing.com/financeapi/forcetrigger?t=a1rdzr&amp;q=XNYS%3aDUK&amp;form=skydnc</v>
    <v>Learn more on Bing</v>
  </rv>
  <rv s="3">
    <v>en-US</v>
    <v>a1rdzr</v>
    <v>268435456</v>
    <v>1</v>
    <v>Powered by Refinitiv</v>
    <v>5</v>
    <v>DUKE ENERGY CORPORATION (XNYS:DUK)</v>
    <v>6</v>
    <v>7</v>
    <v>Finance</v>
    <v>8</v>
    <v>134.49</v>
    <v>113.895</v>
    <v>0.36099999999999999</v>
    <v>-0.09</v>
    <v>3.7290000000000001E-3</v>
    <v>-7.0089999999999996E-4</v>
    <v>0.47860000000000003</v>
    <v>USD</v>
    <v>Duke Energy Corporation is an energy-holding company. The Company's segments include Electric Utilities and Infrastructure (EU&amp;I) and Gas Utilities and Infrastructure (GU&amp;I). EU&amp;I segment conducts operations primarily through the regulated public utilities of Duke Energy Carolinas, Duke Energy Progress, Duke Energy Florida, Duke Energy Indiana and Duke Energy Ohio. EU&amp;I provides retail electric service through the generation, transmission, distribution and sale of electricity to approximately 8.7 million customers within the Southeast and Midwest regions of the U.S. GU&amp;I segment conducts natural gas operations primarily through the regulated public utilities of Piedmont, Duke Energy Ohio and Duke Energy Kentucky. GU&amp;I serves residential, commercial, industrial and power generation natural gas customers, including customers served by municipalities who are wholesale customers. It also purchases a diverse portfolio of transportation and storage services from interstate pipelines.</v>
    <v>26441</v>
    <v>New York Stock Exchange</v>
    <v>XNYS</v>
    <v>XNYS</v>
    <v>525 South Tryon Street, CHARLOTTE, NC, 28202-1803 US</v>
    <v>128.65</v>
    <v>Electrical Utilities &amp; IPPs</v>
    <v>Stock</v>
    <v>46202.871841435153</v>
    <v>54</v>
    <v>127.6014</v>
    <v>100029988422</v>
    <v>DUKE ENERGY CORPORATION</v>
    <v>DUKE ENERGY CORPORATION</v>
    <v>128.27000000000001</v>
    <v>19.705400000000001</v>
    <v>128.4</v>
    <v>128.31</v>
    <v>128.80860000000001</v>
    <v>779596200</v>
    <v>DUK</v>
    <v>DUKE ENERGY CORPORATION (XNYS:DUK)</v>
    <v>2631581</v>
    <v>3574033</v>
    <v>2005</v>
  </rv>
  <rv s="2">
    <v>55</v>
  </rv>
  <rv s="0">
    <v>https://www.bing.com/financeapi/forcetrigger?t=a23a5r&amp;q=XNYS%3aSO&amp;form=skydnc</v>
    <v>Learn more on Bing</v>
  </rv>
  <rv s="3">
    <v>en-US</v>
    <v>a23a5r</v>
    <v>268435456</v>
    <v>1</v>
    <v>Powered by Refinitiv</v>
    <v>5</v>
    <v>THE SOUTHERN COMPANY (XNYS:SO)</v>
    <v>6</v>
    <v>7</v>
    <v>Finance</v>
    <v>9</v>
    <v>100.83499999999999</v>
    <v>83.8</v>
    <v>0.31919999999999998</v>
    <v>-0.41</v>
    <v>7.7520000000000002E-3</v>
    <v>-4.2199999999999998E-3</v>
    <v>0.75</v>
    <v>USD</v>
    <v>The Southern Company is an energy provider. The Company owns three traditional electric operating companies, Southern Power Company and Southern Company Gas. The traditional electric operating companies-Alabama Power, Georgia Power and Mississippi Power-are operating public utility companies providing electric service to retail customers in three Southeastern states in addition to wholesale customers in the Southeast. The Southern Power Company develops, constructs, acquires, owns, and manages power generation assets, including battery energy storage projects, and sells electricity at market-based rates in the wholesale market. The Southern Company Gas is an energy services holding company whose primary business is the distribution of natural gas in four states - Illinois, Georgia, Virginia, and Tennessee, through the natural gas distribution utilities. Southern Company Gas is also involved in several other businesses that are complementary to the distribution of natural gas.</v>
    <v>29800</v>
    <v>New York Stock Exchange</v>
    <v>XNYS</v>
    <v>XNYS</v>
    <v>30 Ivan Allen Jr. Blvd., N.W., ATLANTA, GA, 30308 US</v>
    <v>97.52</v>
    <v>Electrical Utilities &amp; IPPs</v>
    <v>Stock</v>
    <v>46202.851080810156</v>
    <v>57</v>
    <v>96.480999999999995</v>
    <v>109066371750</v>
    <v>THE SOUTHERN COMPANY</v>
    <v>THE SOUTHERN COMPANY</v>
    <v>97.01</v>
    <v>24.732199999999999</v>
    <v>97.16</v>
    <v>96.75</v>
    <v>97.5</v>
    <v>1127301000</v>
    <v>SO</v>
    <v>THE SOUTHERN COMPANY (XNYS:SO)</v>
    <v>4327666</v>
    <v>6758570</v>
    <v>1945</v>
  </rv>
  <rv s="2">
    <v>58</v>
  </rv>
  <rv s="0">
    <v>https://www.bing.com/financeapi/forcetrigger?t=a1qclh&amp;q=XNAS%3aCROX&amp;form=skydnc</v>
    <v>Learn more on Bing</v>
  </rv>
  <rv s="3">
    <v>en-US</v>
    <v>a1qclh</v>
    <v>268435456</v>
    <v>1</v>
    <v>Powered by Refinitiv</v>
    <v>5</v>
    <v>CROCS, INC. (XNAS:CROX)</v>
    <v>6</v>
    <v>7</v>
    <v>Finance</v>
    <v>9</v>
    <v>129.79</v>
    <v>73.204999999999998</v>
    <v>1.5144</v>
    <v>-2.4300000000000002</v>
    <v>0</v>
    <v>-1.9019999999999999E-2</v>
    <v>0</v>
    <v>USD</v>
    <v>Crocs, Inc. is engaged in the design, development, worldwide marketing, distribution, and sale of casual lifestyle footwear and accessories for all. The Company's brands include Crocs and HEYDUDE. The Crocs Brand's collection contains Croslite material, a proprietary, molded footwear technology. It also uses Croslite material formulations in connection with material technologies used in its visible comfort collections, such as its LiteRide and Free Feel Technology products. The HEYDUDE Brand offers shoes with an iconic and versatile loafer silhouette for many wearing occasions that focus on casualization, comfort-led functionality and personalization. It sells its products in more than 85 countries, through wholesale and direct-to-consumer channels. Its wholesale channel includes domestic and international multi-brand retailers, e-tailers and others. Its direct-to-consumer channel includes Company-operated retail stores, Company-operated e-commerce sites and third-party marketplaces.</v>
    <v>8010</v>
    <v>Nasdaq Stock Market</v>
    <v>XNAS</v>
    <v>XNAS</v>
    <v>500 Eldorado Boulevard, Building 5, BROOMFIELD, CO, 80021 US</v>
    <v>127.6199</v>
    <v>Textiles &amp; Apparel</v>
    <v>Stock</v>
    <v>46202.844083101561</v>
    <v>60</v>
    <v>125.05</v>
    <v>6227603834</v>
    <v>CROCS, INC.</v>
    <v>CROCS, INC.</v>
    <v>126.92</v>
    <v>0</v>
    <v>127.76</v>
    <v>125.33</v>
    <v>125.33</v>
    <v>49689650</v>
    <v>CROX</v>
    <v>CROCS, INC. (XNAS:CROX)</v>
    <v>846534</v>
    <v>1316066</v>
    <v>2005</v>
  </rv>
  <rv s="2">
    <v>61</v>
  </rv>
</rvData>
</file>

<file path=xl/richData/rdrichvaluestructure.xml><?xml version="1.0" encoding="utf-8"?>
<rvStructures xmlns="http://schemas.microsoft.com/office/spreadsheetml/2017/richdata" count="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k n="Volume average"/>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37">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Beta</v>
      <v t="s">Instrument type</v>
      <v t="s">_Flags</v>
      <v t="s">UniqueName</v>
      <v t="s">_DisplayString</v>
      <v t="s">LearnMoreOnLink</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10">
    <spb s="0">
      <v>0</v>
      <v>Name</v>
      <v>LearnMoreOnLink</v>
    </spb>
    <spb s="1">
      <v>0</v>
      <v>0</v>
      <v>0</v>
    </spb>
    <spb s="2">
      <v>1</v>
      <v>1</v>
      <v>1</v>
    </spb>
    <spb s="3">
      <v>1</v>
      <v>2</v>
      <v>1</v>
      <v>3</v>
      <v>1</v>
      <v>1</v>
      <v>1</v>
      <v>4</v>
      <v>5</v>
      <v>6</v>
      <v>1</v>
      <v>1</v>
      <v>5</v>
      <v>1</v>
      <v>4</v>
      <v>7</v>
      <v>8</v>
      <v>1</v>
      <v>1</v>
      <v>5</v>
    </spb>
    <spb s="4">
      <v>at close</v>
      <v>from previous close</v>
      <v>Source: Nasdaq Last Sale</v>
      <v>from previous close</v>
      <v>GMT</v>
      <v>Real-Time Nasdaq Last Sale</v>
      <v>from close</v>
      <v>from close</v>
    </spb>
    <spb s="0">
      <v>1</v>
      <v>Name</v>
      <v>LearnMoreOnLink</v>
    </spb>
    <spb s="5">
      <v>1</v>
      <v>1</v>
      <v>1</v>
      <v>1</v>
    </spb>
    <spb s="6">
      <v>1</v>
      <v>2</v>
      <v>2</v>
      <v>1</v>
      <v>3</v>
      <v>1</v>
      <v>1</v>
      <v>1</v>
      <v>4</v>
      <v>4</v>
      <v>5</v>
      <v>6</v>
      <v>1</v>
      <v>1</v>
      <v>1</v>
      <v>4</v>
      <v>7</v>
      <v>9</v>
      <v>8</v>
      <v>4</v>
      <v>1</v>
      <v>1</v>
      <v>5</v>
    </spb>
    <spb s="7">
      <v>at close</v>
      <v>from previous close</v>
      <v>from previous close</v>
      <v>Source: Nasdaq Last Sale</v>
      <v>GMT</v>
      <v>Real-Time Nasdaq Last Sale</v>
      <v>from close</v>
      <v>from close</v>
    </spb>
    <spb s="7">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0">
      <rpv i="0">0.00</rpv>
    </rSty>
    <rSty dxfid="6">
      <rpv i="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382769-00DD-44BA-91FB-D48F4861B9DE}" name="Table810" displayName="Table810" ref="U1:W9" totalsRowShown="0" headerRowDxfId="44" dataDxfId="43">
  <autoFilter ref="U1:W9" xr:uid="{BE382769-00DD-44BA-91FB-D48F4861B9DE}"/>
  <tableColumns count="3">
    <tableColumn id="1" xr3:uid="{31A46E16-87EB-4CFD-875E-63077DC277B7}" name="Screening Score" dataDxfId="42"/>
    <tableColumn id="2" xr3:uid="{359BCBC1-9A95-4F2F-91CC-3775DB9439E0}" name="Column1" dataDxfId="41"/>
    <tableColumn id="3" xr3:uid="{B20494FB-E942-4980-BF97-CCF83EA05BEE}" name="2025" dataDxfId="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4A3629-54E5-4ABC-9F29-2311CAB693B9}" name="Table2" displayName="Table2" ref="B4:G26" totalsRowShown="0" headerRowDxfId="64" dataDxfId="62" headerRowBorderDxfId="63" tableBorderDxfId="61">
  <autoFilter ref="B4:G26" xr:uid="{894A3629-54E5-4ABC-9F29-2311CAB693B9}"/>
  <sortState xmlns:xlrd2="http://schemas.microsoft.com/office/spreadsheetml/2017/richdata2" ref="B5:G26">
    <sortCondition descending="1" ref="G4:G26"/>
  </sortState>
  <tableColumns count="6">
    <tableColumn id="1" xr3:uid="{B5FF4BD3-2F84-4009-895B-42FA5E564122}" name="Ticker" dataDxfId="60"/>
    <tableColumn id="2" xr3:uid="{7E5A608C-9EB3-4A56-BB0D-5B657B3DA7F9}" name="Name" dataDxfId="59"/>
    <tableColumn id="3" xr3:uid="{E0E1AD6B-777A-4D26-AB16-29534D6ECD47}" name="Shares" dataDxfId="58"/>
    <tableColumn id="4" xr3:uid="{0B2143E6-1E1C-41BC-9F78-3B6177FE41B6}" name="Price" dataDxfId="57">
      <calculatedColumnFormula array="1">_FV(C5,"Price")</calculatedColumnFormula>
    </tableColumn>
    <tableColumn id="5" xr3:uid="{0E3EBBAF-71F0-4942-87A8-F09CFA816AB8}" name="Mkt Value" dataDxfId="56">
      <calculatedColumnFormula>D5*E5</calculatedColumnFormula>
    </tableColumn>
    <tableColumn id="6" xr3:uid="{4806015D-F2A7-45BD-A72D-DAC736E26820}" name="Pos Ratio" dataDxfId="55" dataCellStyle="Percent">
      <calculatedColumnFormula>F5/$F$29</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670CF71-7207-4FD8-B049-B0E77852EF63}" name="Table26" displayName="Table26" ref="XEC8:XEH30" totalsRowShown="0" headerRowDxfId="54" dataDxfId="52" headerRowBorderDxfId="53" tableBorderDxfId="51">
  <autoFilter ref="XEC8:XEH30" xr:uid="{8670CF71-7207-4FD8-B049-B0E77852EF63}"/>
  <sortState xmlns:xlrd2="http://schemas.microsoft.com/office/spreadsheetml/2017/richdata2" ref="XEC9:XEH30">
    <sortCondition descending="1" ref="XEH8:XEH30"/>
  </sortState>
  <tableColumns count="6">
    <tableColumn id="1" xr3:uid="{D0A88656-7562-4E38-B8DB-DEE718FB12E2}" name="Ticker" dataDxfId="50"/>
    <tableColumn id="2" xr3:uid="{8D2C61CC-4ED2-4FDC-96AA-B02A8FEBD3EB}" name="Name" dataDxfId="49"/>
    <tableColumn id="3" xr3:uid="{A8D99382-5625-4C1C-947B-95A53AB5153A}" name="Shares" dataDxfId="48"/>
    <tableColumn id="4" xr3:uid="{2405F180-E5E9-4B94-8EE9-B49F2ACA3F53}" name="Price" dataDxfId="47">
      <calculatedColumnFormula array="1">_FV(XED9,"Price")</calculatedColumnFormula>
    </tableColumn>
    <tableColumn id="5" xr3:uid="{3E164D8C-BFF3-4D2E-8D20-3A7306FB9B94}" name="Mkt Value" dataDxfId="46">
      <calculatedColumnFormula>XEE9*XEF9</calculatedColumnFormula>
    </tableColumn>
    <tableColumn id="6" xr3:uid="{C3D04F41-F2DD-40C2-95CE-2A133753DD97}" name="Pos Ratio" dataDxfId="45" dataCellStyle="Percent">
      <calculatedColumnFormula>XEG9/$F$29</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528CA-C7EA-4AF2-9425-8149179F3233}">
  <dimension ref="A1:W18"/>
  <sheetViews>
    <sheetView zoomScale="115" zoomScaleNormal="115" workbookViewId="0">
      <selection activeCell="E29" sqref="E29"/>
    </sheetView>
  </sheetViews>
  <sheetFormatPr defaultColWidth="15.7109375" defaultRowHeight="12.75" customHeight="1" x14ac:dyDescent="0.2"/>
  <cols>
    <col min="1" max="1" width="26.28515625" style="268" customWidth="1"/>
    <col min="2" max="2" width="16" style="288" customWidth="1"/>
    <col min="3" max="5" width="15.7109375" style="288"/>
    <col min="6" max="7" width="15.7109375" style="271"/>
    <col min="8" max="8" width="15.7109375" style="289"/>
    <col min="9" max="9" width="33.140625" style="280" customWidth="1"/>
    <col min="10" max="16384" width="15.7109375" style="268"/>
  </cols>
  <sheetData>
    <row r="1" spans="1:23" ht="12.75" customHeight="1" x14ac:dyDescent="0.25">
      <c r="A1" s="1" t="s">
        <v>244</v>
      </c>
      <c r="B1" s="1" t="s">
        <v>252</v>
      </c>
      <c r="C1" s="1" t="s">
        <v>245</v>
      </c>
      <c r="D1" s="1" t="s">
        <v>246</v>
      </c>
      <c r="E1" s="1" t="s">
        <v>247</v>
      </c>
      <c r="F1" s="1" t="s">
        <v>248</v>
      </c>
      <c r="G1" s="1" t="s">
        <v>249</v>
      </c>
      <c r="H1" s="1" t="s">
        <v>250</v>
      </c>
      <c r="I1" s="1" t="s">
        <v>4</v>
      </c>
      <c r="U1" s="47" t="s">
        <v>254</v>
      </c>
      <c r="V1" s="273" t="s">
        <v>255</v>
      </c>
      <c r="W1" s="274" t="s">
        <v>256</v>
      </c>
    </row>
    <row r="2" spans="1:23" ht="12.75" customHeight="1" x14ac:dyDescent="0.2">
      <c r="A2" s="268" t="s">
        <v>251</v>
      </c>
      <c r="B2" s="269">
        <f>[1]Notes!$D$7</f>
        <v>3.70670931861945E-2</v>
      </c>
      <c r="C2" s="288">
        <f>[1]Notes!$D$8</f>
        <v>0.21738233411451033</v>
      </c>
      <c r="D2" s="288">
        <f>[1]Notes!$D$9</f>
        <v>6.3998626259262337E-2</v>
      </c>
      <c r="E2" s="288">
        <f>[1]Notes!$D$10</f>
        <v>6.7607236976520671E-2</v>
      </c>
      <c r="F2" s="271">
        <f>[1]Notes!$D$11</f>
        <v>0.99187189720626889</v>
      </c>
      <c r="G2" s="271">
        <f>[1]Notes!$D$12</f>
        <v>6.8587427712575737</v>
      </c>
      <c r="H2" s="289">
        <f>[1]Notes!$D$13</f>
        <v>7.1583889808235188</v>
      </c>
      <c r="I2" s="280" t="str">
        <f>[1]Notes!$D$14</f>
        <v>Oil &amp; Gas Integrated</v>
      </c>
      <c r="U2" s="275" t="s">
        <v>252</v>
      </c>
      <c r="V2" s="275"/>
      <c r="W2" s="276">
        <f>(([1]Statements!AB21/[1]Statements!V21)^(1/7))-1</f>
        <v>-1</v>
      </c>
    </row>
    <row r="3" spans="1:23" ht="12.75" customHeight="1" x14ac:dyDescent="0.2">
      <c r="A3" s="270" t="s">
        <v>253</v>
      </c>
      <c r="B3" s="269">
        <f>[2]Notes!$D$7</f>
        <v>3.1147912780662201E-2</v>
      </c>
      <c r="C3" s="288">
        <f>[2]Notes!$D$8</f>
        <v>0.3499739161958319</v>
      </c>
      <c r="D3" s="288">
        <f>[2]Notes!$D$9</f>
        <v>9.5814247979343292E-2</v>
      </c>
      <c r="E3" s="288">
        <f>[2]Notes!$D$10</f>
        <v>1.1570559318840884E-2</v>
      </c>
      <c r="F3" s="271">
        <f>[2]Notes!$D$11</f>
        <v>9.7069637883008362</v>
      </c>
      <c r="G3" s="271">
        <f>[2]Notes!$D$12</f>
        <v>0.62268041516641226</v>
      </c>
      <c r="H3" s="289">
        <f>[2]Notes!$D$13</f>
        <v>5.7999968165539197</v>
      </c>
      <c r="I3" s="280" t="str">
        <f>[2]Notes!$D$14</f>
        <v>Banks, Diversified</v>
      </c>
      <c r="U3" s="275" t="s">
        <v>245</v>
      </c>
      <c r="V3" s="275"/>
      <c r="W3" s="276" t="e">
        <f>[1]Statements!AB44/[1]Statements!AB21</f>
        <v>#DIV/0!</v>
      </c>
    </row>
    <row r="4" spans="1:23" ht="12.75" customHeight="1" x14ac:dyDescent="0.2">
      <c r="A4" s="272" t="s">
        <v>18</v>
      </c>
      <c r="B4" s="269">
        <f>[3]Notes!$D$7</f>
        <v>0.2636907954974832</v>
      </c>
      <c r="C4" s="288">
        <f>[3]Notes!$D$8</f>
        <v>0.14194982534137821</v>
      </c>
      <c r="D4" s="288">
        <f>[3]Notes!$D$9</f>
        <v>6.7762980364767689E-2</v>
      </c>
      <c r="E4" s="288">
        <f>[3]Notes!$D$10</f>
        <v>1.7265524148675718E-2</v>
      </c>
      <c r="F4" s="271">
        <f>[3]Notes!$D$11</f>
        <v>0.65527760829774251</v>
      </c>
      <c r="G4" s="271">
        <f>[3]Notes!$D$12</f>
        <v>0.97870080404439752</v>
      </c>
      <c r="H4" s="289">
        <f>[3]Notes!$D$13</f>
        <v>77.27481797844213</v>
      </c>
      <c r="I4" s="280" t="str">
        <f>[3]Notes!$D$14</f>
        <v>Semiconductors</v>
      </c>
      <c r="U4" s="275" t="s">
        <v>246</v>
      </c>
      <c r="V4" s="275"/>
      <c r="W4" s="276" t="e">
        <f>[1]Statements!AB38/[1]Statements!AN39</f>
        <v>#DIV/0!</v>
      </c>
    </row>
    <row r="5" spans="1:23" ht="12.75" customHeight="1" x14ac:dyDescent="0.2">
      <c r="A5" s="272" t="s">
        <v>258</v>
      </c>
      <c r="B5" s="288">
        <f>[4]Notes!$D$6</f>
        <v>0.14344471199202569</v>
      </c>
      <c r="C5" s="288">
        <f>[4]Notes!$D$7</f>
        <v>0.11155296795755199</v>
      </c>
      <c r="D5" s="288">
        <f>[4]Notes!$D$8</f>
        <v>0.18894821986790411</v>
      </c>
      <c r="E5" s="288">
        <f>[4]Notes!$D$9</f>
        <v>4.1244089307145945E-2</v>
      </c>
      <c r="F5" s="271">
        <f>[4]Notes!$D$10</f>
        <v>0.82085651766176926</v>
      </c>
      <c r="G5" s="271">
        <f>[4]Notes!$D$11</f>
        <v>2.5375167395276237</v>
      </c>
      <c r="H5" s="289">
        <f>[4]Notes!$D$12</f>
        <v>31.678900906533293</v>
      </c>
      <c r="I5" s="280" t="str">
        <f>[4]Notes!$D$13</f>
        <v>Internet Retail</v>
      </c>
      <c r="U5" s="275" t="s">
        <v>247</v>
      </c>
      <c r="V5" s="275"/>
      <c r="W5" s="276" t="e">
        <f>([1]Statements!AB34+[1]Statements!AB30)*(1-([1]Statements!AB35/[1]Statements!AB34))/([1]Statements!AN14-[1]Statements!AN32+[1]Statements!AN19)</f>
        <v>#DIV/0!</v>
      </c>
    </row>
    <row r="6" spans="1:23" ht="12.75" customHeight="1" x14ac:dyDescent="0.2">
      <c r="A6" s="272" t="s">
        <v>259</v>
      </c>
      <c r="B6" s="288">
        <f>[5]!Table810[[#This Row],[2025]]</f>
        <v>9.9453462038541884E-2</v>
      </c>
      <c r="C6" s="288">
        <f>[5]Notes!$D$7</f>
        <v>0.29219543147208121</v>
      </c>
      <c r="D6" s="288">
        <f>[5]Notes!$D$8</f>
        <v>0.34278716629928974</v>
      </c>
      <c r="E6" s="288">
        <f>[5]Notes!$D$9</f>
        <v>9.5864899084177127E-2</v>
      </c>
      <c r="F6" s="271">
        <f>[5]Notes!$D$10</f>
        <v>0.79080709373868985</v>
      </c>
      <c r="G6" s="271">
        <f>[5]Notes!$D$11</f>
        <v>2.3251312008912537</v>
      </c>
      <c r="H6" s="289">
        <f>[5]Notes!$D$12</f>
        <v>31.097859814211603</v>
      </c>
      <c r="I6" s="280" t="str">
        <f>[5]Notes!$D$13</f>
        <v>Semiconductor Equipment &amp; Materials</v>
      </c>
      <c r="U6" s="275" t="s">
        <v>248</v>
      </c>
      <c r="V6" s="275"/>
      <c r="W6" s="277" t="e">
        <f>[1]Statements!AN43/[1]Statements!AB44</f>
        <v>#DIV/0!</v>
      </c>
    </row>
    <row r="7" spans="1:23" ht="12.75" customHeight="1" x14ac:dyDescent="0.2">
      <c r="A7" s="272" t="s">
        <v>260</v>
      </c>
      <c r="B7" s="288">
        <f>[6]!Table810[[#This Row],[2025]]</f>
        <v>0.1240446594866329</v>
      </c>
      <c r="C7" s="288">
        <f>[6]Notes!$D$8</f>
        <v>0.2892295348134723</v>
      </c>
      <c r="D7" s="288">
        <f>[6]Notes!$D$9</f>
        <v>0.2025670038383944</v>
      </c>
      <c r="E7" s="288">
        <f>[6]Notes!$D$10</f>
        <v>6.4283198242238784E-2</v>
      </c>
      <c r="F7" s="271">
        <f>[6]Notes!$D$11</f>
        <v>1.6189063773873344</v>
      </c>
      <c r="G7" s="271">
        <f>[6]Notes!$D$12</f>
        <v>0.74157179346258728</v>
      </c>
      <c r="H7" s="289">
        <f>[6]Notes!$D$13</f>
        <v>53.937194471271617</v>
      </c>
      <c r="I7" s="280" t="str">
        <f>[6]Notes!$D$14</f>
        <v>Software</v>
      </c>
      <c r="U7" s="275" t="s">
        <v>249</v>
      </c>
      <c r="V7" s="275"/>
      <c r="W7" s="278">
        <f>_xlfn.STDEV.S([1]Statements!V41:AB41)</f>
        <v>0.29812233822314238</v>
      </c>
    </row>
    <row r="8" spans="1:23" ht="12.75" customHeight="1" x14ac:dyDescent="0.2">
      <c r="A8" s="287" t="s">
        <v>266</v>
      </c>
      <c r="B8" s="288">
        <f>[7]Observations!$D$7</f>
        <v>8.7804547597956084E-2</v>
      </c>
      <c r="C8" s="288">
        <f>[7]!Table810[[#This Row],[2025]]</f>
        <v>3.7724126655403561E-2</v>
      </c>
      <c r="D8" s="288">
        <f>[7]Observations!$D$9</f>
        <v>0.27770539020710461</v>
      </c>
      <c r="E8" s="288">
        <f>[7]Observations!$D$10</f>
        <v>0.23427060836074101</v>
      </c>
      <c r="F8" s="271">
        <f>[7]Observations!$D$11</f>
        <v>0.55022633150341904</v>
      </c>
      <c r="G8" s="271">
        <f>[7]Observations!$D$12</f>
        <v>3.6535035856441138</v>
      </c>
      <c r="H8" s="289">
        <f>[7]Observations!$D$13</f>
        <v>39.487034361937781</v>
      </c>
      <c r="I8" s="280" t="str">
        <f>[7]Observations!$D$14</f>
        <v>Discount Stores</v>
      </c>
      <c r="U8" s="275" t="s">
        <v>250</v>
      </c>
      <c r="V8" s="275"/>
      <c r="W8" s="278" t="e">
        <f>[1]Statements!AN44/[1]Statements!AB44</f>
        <v>#DIV/0!</v>
      </c>
    </row>
    <row r="9" spans="1:23" ht="12.75" customHeight="1" x14ac:dyDescent="0.2">
      <c r="A9" s="287" t="s">
        <v>267</v>
      </c>
      <c r="B9" s="288">
        <f>[8]Notes!$D$5</f>
        <v>0.17856931647168617</v>
      </c>
      <c r="C9" s="288">
        <f>[8]Notes!$D$6</f>
        <v>0.19558129558129561</v>
      </c>
      <c r="D9" s="288">
        <f>[8]Notes!$D$7</f>
        <v>0.30455207574654036</v>
      </c>
      <c r="E9" s="288">
        <f>[8]Notes!$D$8</f>
        <v>0.20161871407328555</v>
      </c>
      <c r="F9" s="271">
        <f>[8]!Table810[[#This Row],[2025]]</f>
        <v>1.3609344154419827</v>
      </c>
      <c r="G9" s="271">
        <f>[8]Notes!$D$10</f>
        <v>0.61154703792256726</v>
      </c>
      <c r="H9" s="289">
        <f>[8]Notes!$D$11</f>
        <v>31.65159026102215</v>
      </c>
      <c r="I9" s="280" t="str">
        <f>[8]Notes!$D$12</f>
        <v>Medical Devices</v>
      </c>
      <c r="U9" s="275" t="s">
        <v>4</v>
      </c>
      <c r="V9" s="275"/>
      <c r="W9" s="279" t="s">
        <v>257</v>
      </c>
    </row>
    <row r="10" spans="1:23" ht="12.75" customHeight="1" x14ac:dyDescent="0.2">
      <c r="A10" s="287" t="s">
        <v>268</v>
      </c>
      <c r="B10" s="288">
        <f>[9]Notes!$D$5</f>
        <v>9.6912496985507968E-2</v>
      </c>
      <c r="C10" s="288">
        <f>[9]Notes!$D$6</f>
        <v>4.3892027620841177E-2</v>
      </c>
      <c r="D10" s="288">
        <f>[9]Notes!$D$7</f>
        <v>0.1285831099804661</v>
      </c>
      <c r="E10" s="288">
        <f>[9]Notes!$D$8</f>
        <v>0.13838750357207893</v>
      </c>
      <c r="F10" s="271">
        <f>[9]Notes!$D$9</f>
        <v>3.6665903890160183</v>
      </c>
      <c r="G10" s="271">
        <f>[9]!Table810[[#This Row],[2025]]</f>
        <v>3.3412956511767717</v>
      </c>
      <c r="H10" s="289">
        <f>[9]Notes!$D$11</f>
        <v>11.410989931350114</v>
      </c>
      <c r="I10" s="280" t="str">
        <f>[9]Notes!$D$12</f>
        <v>Healthcare</v>
      </c>
    </row>
    <row r="11" spans="1:23" ht="12.75" customHeight="1" x14ac:dyDescent="0.2">
      <c r="A11" s="287" t="s">
        <v>269</v>
      </c>
      <c r="B11" s="288" cm="1">
        <f t="array" ref="B11:I11">TRANSPOSE([10]!Table810[2025])</f>
        <v>0.177771329206174</v>
      </c>
      <c r="C11" s="288">
        <v>0.3065915642096595</v>
      </c>
      <c r="D11" s="288">
        <v>1.4976969696969706</v>
      </c>
      <c r="E11" s="288">
        <v>0.61386983463338307</v>
      </c>
      <c r="F11" s="271">
        <v>0.47791049071808872</v>
      </c>
      <c r="G11" s="271">
        <v>0.77956318708353722</v>
      </c>
      <c r="H11" s="289">
        <v>28.562956780352085</v>
      </c>
      <c r="I11" s="280" t="str">
        <v>Software</v>
      </c>
    </row>
    <row r="12" spans="1:23" ht="12.75" customHeight="1" x14ac:dyDescent="0.2">
      <c r="A12" s="287" t="s">
        <v>273</v>
      </c>
      <c r="B12" s="288" cm="1">
        <f t="array" ref="B12:I12">TRANSPOSE([11]!Table810[2025])</f>
        <v>4.3579937739178787E-2</v>
      </c>
      <c r="C12" s="288">
        <v>9.1881825642320558E-2</v>
      </c>
      <c r="D12" s="288">
        <v>0.24001342732460557</v>
      </c>
      <c r="E12" s="288">
        <v>0.1202186185686272</v>
      </c>
      <c r="F12" s="271">
        <v>2.4239093095156306</v>
      </c>
      <c r="G12" s="271">
        <v>9.6578962452015045</v>
      </c>
      <c r="H12" s="289">
        <v>8.3207076605977335</v>
      </c>
      <c r="I12" s="280" t="str">
        <v>Airlines</v>
      </c>
    </row>
    <row r="13" spans="1:23" ht="12.75" customHeight="1" x14ac:dyDescent="0.2">
      <c r="A13" s="287" t="s">
        <v>274</v>
      </c>
      <c r="B13" s="288" cm="1">
        <f t="array" ref="B13:I13">TRANSPOSE([12]!Table810[2025])</f>
        <v>3.3756630468308124E-2</v>
      </c>
      <c r="C13" s="288">
        <v>5.9333985396810958E-2</v>
      </c>
      <c r="D13" s="288">
        <v>0.14575244879786287</v>
      </c>
      <c r="E13" s="288">
        <v>7.3614115109775127E-2</v>
      </c>
      <c r="F13" s="271">
        <v>3.9446041786467316</v>
      </c>
      <c r="G13" s="271">
        <v>6.6980748493680355</v>
      </c>
      <c r="H13" s="289">
        <v>13.006358060187846</v>
      </c>
      <c r="I13" s="280" t="str">
        <v>Freight &amp; Logistics</v>
      </c>
    </row>
    <row r="14" spans="1:23" ht="12.75" customHeight="1" x14ac:dyDescent="0.2">
      <c r="A14" s="291" t="s">
        <v>276</v>
      </c>
      <c r="B14" s="288" cm="1">
        <f t="array" ref="B14:I14">TRANSPOSE([13]!Table810[2025])</f>
        <v>4.9536841441637502E-2</v>
      </c>
      <c r="C14" s="288">
        <v>0.1242806122997817</v>
      </c>
      <c r="D14" s="288">
        <v>-0.22951974782125009</v>
      </c>
      <c r="E14" s="288">
        <v>0.22890089088741983</v>
      </c>
      <c r="F14" s="271">
        <v>3.4784151645640815</v>
      </c>
      <c r="G14" s="271">
        <v>1.0618675110561462</v>
      </c>
      <c r="H14" s="289">
        <v>34.83356194238231</v>
      </c>
      <c r="I14" s="280" t="str">
        <v>Restaurants</v>
      </c>
    </row>
    <row r="15" spans="1:23" ht="12.75" customHeight="1" x14ac:dyDescent="0.2">
      <c r="A15" s="291" t="s">
        <v>277</v>
      </c>
      <c r="B15" s="288" cm="1">
        <f t="array" ref="B15:I15">TRANSPOSE([14]!Table810[2025])</f>
        <v>9.4129539090120673E-2</v>
      </c>
      <c r="C15" s="288">
        <v>1.9008019008018941E-2</v>
      </c>
      <c r="D15" s="288">
        <v>1.1020387717276911E-2</v>
      </c>
      <c r="E15" s="288">
        <v>9.5220491967407082E-3</v>
      </c>
      <c r="F15" s="271">
        <v>0</v>
      </c>
      <c r="G15" s="271">
        <v>0.28429853803441502</v>
      </c>
      <c r="H15" s="289">
        <v>642.83796875000235</v>
      </c>
      <c r="I15" s="280" t="str">
        <v>Aerospace &amp; Defense</v>
      </c>
    </row>
    <row r="16" spans="1:23" ht="12.75" customHeight="1" x14ac:dyDescent="0.2">
      <c r="A16" s="291" t="s">
        <v>278</v>
      </c>
      <c r="B16" s="288" cm="1">
        <f t="array" ref="B16:I16">TRANSPOSE([15]!Table810[2025])</f>
        <v>4.920349504002286E-2</v>
      </c>
      <c r="C16" s="288">
        <v>0.3701836164970882</v>
      </c>
      <c r="D16" s="288">
        <v>7.5572316963182701E-2</v>
      </c>
      <c r="E16" s="288">
        <v>2.8084798885982278E-2</v>
      </c>
      <c r="F16" s="271">
        <v>4.3330731354208609</v>
      </c>
      <c r="G16" s="271">
        <v>0.79501835477960936</v>
      </c>
      <c r="H16" s="289">
        <v>11.160363826908073</v>
      </c>
      <c r="I16" s="280" t="str">
        <v>Utilities</v>
      </c>
    </row>
    <row r="17" spans="1:9" ht="12.75" customHeight="1" x14ac:dyDescent="0.2">
      <c r="A17" s="292" t="s">
        <v>279</v>
      </c>
      <c r="B17" s="288" cm="1">
        <f t="array" ref="B17:I17">TRANSPOSE([16]!Table810[2025])</f>
        <v>0.16005944454228382</v>
      </c>
      <c r="C17" s="288">
        <v>0.43068229843317107</v>
      </c>
      <c r="D17" s="288">
        <v>0.2844806377011268</v>
      </c>
      <c r="E17" s="288">
        <v>0.22867202295465303</v>
      </c>
      <c r="F17" s="271">
        <v>2.3672905687806649</v>
      </c>
      <c r="G17" s="271">
        <v>9.0838294814685643</v>
      </c>
      <c r="H17" s="289">
        <v>72.568037434126836</v>
      </c>
      <c r="I17" s="280" t="str">
        <v>Semiconductors</v>
      </c>
    </row>
    <row r="18" spans="1:9" ht="12.75" customHeight="1" x14ac:dyDescent="0.2">
      <c r="A18" s="293" t="s">
        <v>287</v>
      </c>
      <c r="B18" s="288" cm="1">
        <f t="array" ref="B18:I18">TRANSPOSE([17]!Table810[2025])</f>
        <v>3.2827287811940442E-2</v>
      </c>
      <c r="C18" s="288">
        <v>0.27982887404298623</v>
      </c>
      <c r="D18" s="288">
        <v>0.10786269906160689</v>
      </c>
      <c r="E18" s="288">
        <v>0.15543350328271849</v>
      </c>
      <c r="F18" s="271">
        <v>0.36839670346222536</v>
      </c>
      <c r="G18" s="271">
        <v>5.7462639176544128</v>
      </c>
      <c r="H18" s="289">
        <v>6.7156585544294547</v>
      </c>
      <c r="I18" s="280" t="str">
        <v>Oil &amp; Gas Integrated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7BEFF-90B3-4F93-866C-0A0498ADC54F}">
  <sheetPr>
    <pageSetUpPr fitToPage="1"/>
  </sheetPr>
  <dimension ref="B3:I34"/>
  <sheetViews>
    <sheetView showGridLines="0" showRowColHeaders="0" tabSelected="1" zoomScale="112" zoomScaleNormal="112" workbookViewId="0">
      <selection activeCell="K4" sqref="K3:K4"/>
    </sheetView>
  </sheetViews>
  <sheetFormatPr defaultRowHeight="15" x14ac:dyDescent="0.25"/>
  <cols>
    <col min="2" max="2" width="42.5703125" bestFit="1" customWidth="1"/>
    <col min="3" max="3" width="20.5703125" bestFit="1" customWidth="1"/>
    <col min="4" max="4" width="18.5703125" bestFit="1" customWidth="1"/>
    <col min="5" max="5" width="9.140625" bestFit="1" customWidth="1"/>
    <col min="6" max="6" width="8.140625" bestFit="1" customWidth="1"/>
    <col min="7" max="7" width="7.5703125" bestFit="1" customWidth="1"/>
    <col min="8" max="8" width="9.140625" bestFit="1" customWidth="1"/>
    <col min="9" max="9" width="16.42578125" bestFit="1" customWidth="1"/>
    <col min="10" max="11" width="12" bestFit="1" customWidth="1"/>
    <col min="12" max="12" width="5.85546875" bestFit="1" customWidth="1"/>
    <col min="13" max="13" width="7.28515625" bestFit="1" customWidth="1"/>
    <col min="14" max="14" width="11.28515625" bestFit="1" customWidth="1"/>
  </cols>
  <sheetData>
    <row r="3" spans="2:9" x14ac:dyDescent="0.25">
      <c r="B3" s="281" t="s">
        <v>261</v>
      </c>
      <c r="C3" s="282" t="s">
        <v>283</v>
      </c>
      <c r="D3" s="282" t="s">
        <v>282</v>
      </c>
      <c r="E3" s="282" t="s">
        <v>281</v>
      </c>
      <c r="F3" s="282" t="s">
        <v>280</v>
      </c>
      <c r="G3" s="282" t="s">
        <v>284</v>
      </c>
      <c r="H3" s="282" t="s">
        <v>285</v>
      </c>
      <c r="I3" s="282" t="s">
        <v>286</v>
      </c>
    </row>
    <row r="4" spans="2:9" x14ac:dyDescent="0.25">
      <c r="B4" s="283" t="s">
        <v>75</v>
      </c>
      <c r="C4" s="284">
        <v>9.4129539090120673E-2</v>
      </c>
      <c r="D4" s="284">
        <v>1.9008019008018941E-2</v>
      </c>
      <c r="E4" s="284">
        <v>1.1020387717276911E-2</v>
      </c>
      <c r="F4" s="284">
        <v>9.5220491967407082E-3</v>
      </c>
      <c r="G4" s="285">
        <v>0</v>
      </c>
      <c r="H4" s="285">
        <v>0.28429853803441502</v>
      </c>
      <c r="I4" s="290">
        <v>642.83796875000235</v>
      </c>
    </row>
    <row r="5" spans="2:9" x14ac:dyDescent="0.25">
      <c r="B5" s="286" t="s">
        <v>277</v>
      </c>
      <c r="C5" s="284">
        <v>9.4129539090120673E-2</v>
      </c>
      <c r="D5" s="284">
        <v>1.9008019008018941E-2</v>
      </c>
      <c r="E5" s="284">
        <v>1.1020387717276911E-2</v>
      </c>
      <c r="F5" s="284">
        <v>9.5220491967407082E-3</v>
      </c>
      <c r="G5" s="285">
        <v>0</v>
      </c>
      <c r="H5" s="285">
        <v>0.28429853803441502</v>
      </c>
      <c r="I5" s="290">
        <v>642.83796875000235</v>
      </c>
    </row>
    <row r="6" spans="2:9" x14ac:dyDescent="0.25">
      <c r="B6" s="283" t="s">
        <v>275</v>
      </c>
      <c r="C6" s="284">
        <v>4.3579937739178787E-2</v>
      </c>
      <c r="D6" s="284">
        <v>9.1881825642320558E-2</v>
      </c>
      <c r="E6" s="284">
        <v>0.24001342732460557</v>
      </c>
      <c r="F6" s="284">
        <v>0.1202186185686272</v>
      </c>
      <c r="G6" s="285">
        <v>2.4239093095156306</v>
      </c>
      <c r="H6" s="285">
        <v>9.6578962452015045</v>
      </c>
      <c r="I6" s="290">
        <v>8.3207076605977335</v>
      </c>
    </row>
    <row r="7" spans="2:9" x14ac:dyDescent="0.25">
      <c r="B7" s="286" t="s">
        <v>273</v>
      </c>
      <c r="C7" s="284">
        <v>4.3579937739178787E-2</v>
      </c>
      <c r="D7" s="284">
        <v>9.1881825642320558E-2</v>
      </c>
      <c r="E7" s="284">
        <v>0.24001342732460557</v>
      </c>
      <c r="F7" s="284">
        <v>0.1202186185686272</v>
      </c>
      <c r="G7" s="285">
        <v>2.4239093095156306</v>
      </c>
      <c r="H7" s="285">
        <v>9.6578962452015045</v>
      </c>
      <c r="I7" s="290">
        <v>8.3207076605977335</v>
      </c>
    </row>
    <row r="8" spans="2:9" x14ac:dyDescent="0.25">
      <c r="B8" s="283" t="s">
        <v>265</v>
      </c>
      <c r="C8" s="284">
        <v>3.1147912780662201E-2</v>
      </c>
      <c r="D8" s="284">
        <v>0.3499739161958319</v>
      </c>
      <c r="E8" s="284">
        <v>9.5814247979343292E-2</v>
      </c>
      <c r="F8" s="284">
        <v>1.1570559318840884E-2</v>
      </c>
      <c r="G8" s="285">
        <v>9.7069637883008362</v>
      </c>
      <c r="H8" s="285">
        <v>0.62268041516641226</v>
      </c>
      <c r="I8" s="290">
        <v>5.7999968165539197</v>
      </c>
    </row>
    <row r="9" spans="2:9" x14ac:dyDescent="0.25">
      <c r="B9" s="286" t="s">
        <v>253</v>
      </c>
      <c r="C9" s="284">
        <v>3.1147912780662201E-2</v>
      </c>
      <c r="D9" s="284">
        <v>0.3499739161958319</v>
      </c>
      <c r="E9" s="284">
        <v>9.5814247979343292E-2</v>
      </c>
      <c r="F9" s="284">
        <v>1.1570559318840884E-2</v>
      </c>
      <c r="G9" s="285">
        <v>9.7069637883008362</v>
      </c>
      <c r="H9" s="285">
        <v>0.62268041516641226</v>
      </c>
      <c r="I9" s="290">
        <v>5.7999968165539197</v>
      </c>
    </row>
    <row r="10" spans="2:9" x14ac:dyDescent="0.25">
      <c r="B10" s="283" t="s">
        <v>270</v>
      </c>
      <c r="C10" s="284">
        <v>8.7804547597956084E-2</v>
      </c>
      <c r="D10" s="284">
        <v>3.7724126655403561E-2</v>
      </c>
      <c r="E10" s="284">
        <v>0.27770539020710461</v>
      </c>
      <c r="F10" s="284">
        <v>0.23427060836074101</v>
      </c>
      <c r="G10" s="285">
        <v>0.55022633150341904</v>
      </c>
      <c r="H10" s="285">
        <v>3.6535035856441138</v>
      </c>
      <c r="I10" s="290">
        <v>39.487034361937781</v>
      </c>
    </row>
    <row r="11" spans="2:9" x14ac:dyDescent="0.25">
      <c r="B11" s="286" t="s">
        <v>266</v>
      </c>
      <c r="C11" s="284">
        <v>8.7804547597956084E-2</v>
      </c>
      <c r="D11" s="284">
        <v>3.7724126655403561E-2</v>
      </c>
      <c r="E11" s="284">
        <v>0.27770539020710461</v>
      </c>
      <c r="F11" s="284">
        <v>0.23427060836074101</v>
      </c>
      <c r="G11" s="285">
        <v>0.55022633150341904</v>
      </c>
      <c r="H11" s="285">
        <v>3.6535035856441138</v>
      </c>
      <c r="I11" s="290">
        <v>39.487034361937781</v>
      </c>
    </row>
    <row r="12" spans="2:9" x14ac:dyDescent="0.25">
      <c r="B12" s="283" t="s">
        <v>76</v>
      </c>
      <c r="C12" s="284">
        <v>3.3756630468308124E-2</v>
      </c>
      <c r="D12" s="284">
        <v>5.9333985396810958E-2</v>
      </c>
      <c r="E12" s="284">
        <v>0.14575244879786287</v>
      </c>
      <c r="F12" s="284">
        <v>7.3614115109775127E-2</v>
      </c>
      <c r="G12" s="285">
        <v>3.9446041786467316</v>
      </c>
      <c r="H12" s="285">
        <v>6.6980748493680355</v>
      </c>
      <c r="I12" s="290">
        <v>13.006358060187846</v>
      </c>
    </row>
    <row r="13" spans="2:9" x14ac:dyDescent="0.25">
      <c r="B13" s="286" t="s">
        <v>274</v>
      </c>
      <c r="C13" s="284">
        <v>3.3756630468308124E-2</v>
      </c>
      <c r="D13" s="284">
        <v>5.9333985396810958E-2</v>
      </c>
      <c r="E13" s="284">
        <v>0.14575244879786287</v>
      </c>
      <c r="F13" s="284">
        <v>7.3614115109775127E-2</v>
      </c>
      <c r="G13" s="285">
        <v>3.9446041786467316</v>
      </c>
      <c r="H13" s="285">
        <v>6.6980748493680355</v>
      </c>
      <c r="I13" s="290">
        <v>13.006358060187846</v>
      </c>
    </row>
    <row r="14" spans="2:9" x14ac:dyDescent="0.25">
      <c r="B14" s="283" t="s">
        <v>272</v>
      </c>
      <c r="C14" s="284">
        <v>9.6912496985507968E-2</v>
      </c>
      <c r="D14" s="284">
        <v>4.3892027620841177E-2</v>
      </c>
      <c r="E14" s="284">
        <v>0.1285831099804661</v>
      </c>
      <c r="F14" s="284">
        <v>0.13838750357207893</v>
      </c>
      <c r="G14" s="285">
        <v>3.6665903890160183</v>
      </c>
      <c r="H14" s="285">
        <v>3.3412956511767717</v>
      </c>
      <c r="I14" s="290">
        <v>11.410989931350114</v>
      </c>
    </row>
    <row r="15" spans="2:9" x14ac:dyDescent="0.25">
      <c r="B15" s="286" t="s">
        <v>268</v>
      </c>
      <c r="C15" s="284">
        <v>9.6912496985507968E-2</v>
      </c>
      <c r="D15" s="284">
        <v>4.3892027620841177E-2</v>
      </c>
      <c r="E15" s="284">
        <v>0.1285831099804661</v>
      </c>
      <c r="F15" s="284">
        <v>0.13838750357207893</v>
      </c>
      <c r="G15" s="285">
        <v>3.6665903890160183</v>
      </c>
      <c r="H15" s="285">
        <v>3.3412956511767717</v>
      </c>
      <c r="I15" s="290">
        <v>11.410989931350114</v>
      </c>
    </row>
    <row r="16" spans="2:9" x14ac:dyDescent="0.25">
      <c r="B16" s="283" t="s">
        <v>263</v>
      </c>
      <c r="C16" s="284">
        <v>0.14344471199202569</v>
      </c>
      <c r="D16" s="284">
        <v>0.11155296795755199</v>
      </c>
      <c r="E16" s="284">
        <v>0.18894821986790411</v>
      </c>
      <c r="F16" s="284">
        <v>4.1244089307145945E-2</v>
      </c>
      <c r="G16" s="285">
        <v>0.82085651766176926</v>
      </c>
      <c r="H16" s="285">
        <v>2.5375167395276237</v>
      </c>
      <c r="I16" s="290">
        <v>31.678900906533293</v>
      </c>
    </row>
    <row r="17" spans="2:9" x14ac:dyDescent="0.25">
      <c r="B17" s="286" t="s">
        <v>258</v>
      </c>
      <c r="C17" s="284">
        <v>0.14344471199202569</v>
      </c>
      <c r="D17" s="284">
        <v>0.11155296795755199</v>
      </c>
      <c r="E17" s="284">
        <v>0.18894821986790411</v>
      </c>
      <c r="F17" s="284">
        <v>4.1244089307145945E-2</v>
      </c>
      <c r="G17" s="285">
        <v>0.82085651766176926</v>
      </c>
      <c r="H17" s="285">
        <v>2.5375167395276237</v>
      </c>
      <c r="I17" s="290">
        <v>31.678900906533293</v>
      </c>
    </row>
    <row r="18" spans="2:9" x14ac:dyDescent="0.25">
      <c r="B18" s="283" t="s">
        <v>271</v>
      </c>
      <c r="C18" s="284">
        <v>0.17856931647168617</v>
      </c>
      <c r="D18" s="284">
        <v>0.19558129558129561</v>
      </c>
      <c r="E18" s="284">
        <v>0.30455207574654036</v>
      </c>
      <c r="F18" s="284">
        <v>0.20161871407328555</v>
      </c>
      <c r="G18" s="285">
        <v>1.3609344154419827</v>
      </c>
      <c r="H18" s="285">
        <v>0.61154703792256726</v>
      </c>
      <c r="I18" s="290">
        <v>31.65159026102215</v>
      </c>
    </row>
    <row r="19" spans="2:9" x14ac:dyDescent="0.25">
      <c r="B19" s="286" t="s">
        <v>267</v>
      </c>
      <c r="C19" s="284">
        <v>0.17856931647168617</v>
      </c>
      <c r="D19" s="284">
        <v>0.19558129558129561</v>
      </c>
      <c r="E19" s="284">
        <v>0.30455207574654036</v>
      </c>
      <c r="F19" s="284">
        <v>0.20161871407328555</v>
      </c>
      <c r="G19" s="285">
        <v>1.3609344154419827</v>
      </c>
      <c r="H19" s="285">
        <v>0.61154703792256726</v>
      </c>
      <c r="I19" s="290">
        <v>31.65159026102215</v>
      </c>
    </row>
    <row r="20" spans="2:9" x14ac:dyDescent="0.25">
      <c r="B20" s="283" t="s">
        <v>257</v>
      </c>
      <c r="C20" s="284">
        <v>3.70670931861945E-2</v>
      </c>
      <c r="D20" s="284">
        <v>0.21738233411451033</v>
      </c>
      <c r="E20" s="284">
        <v>6.3998626259262337E-2</v>
      </c>
      <c r="F20" s="284">
        <v>6.7607236976520671E-2</v>
      </c>
      <c r="G20" s="285">
        <v>0.99187189720626889</v>
      </c>
      <c r="H20" s="285">
        <v>6.8587427712575737</v>
      </c>
      <c r="I20" s="290">
        <v>7.1583889808235188</v>
      </c>
    </row>
    <row r="21" spans="2:9" x14ac:dyDescent="0.25">
      <c r="B21" s="286" t="s">
        <v>251</v>
      </c>
      <c r="C21" s="284">
        <v>3.70670931861945E-2</v>
      </c>
      <c r="D21" s="284">
        <v>0.21738233411451033</v>
      </c>
      <c r="E21" s="284">
        <v>6.3998626259262337E-2</v>
      </c>
      <c r="F21" s="284">
        <v>6.7607236976520671E-2</v>
      </c>
      <c r="G21" s="285">
        <v>0.99187189720626889</v>
      </c>
      <c r="H21" s="285">
        <v>6.8587427712575737</v>
      </c>
      <c r="I21" s="290">
        <v>7.1583889808235188</v>
      </c>
    </row>
    <row r="22" spans="2:9" x14ac:dyDescent="0.25">
      <c r="B22" s="283" t="s">
        <v>82</v>
      </c>
      <c r="C22" s="284">
        <v>4.9536841441637502E-2</v>
      </c>
      <c r="D22" s="284">
        <v>0.1242806122997817</v>
      </c>
      <c r="E22" s="284">
        <v>-0.22951974782125009</v>
      </c>
      <c r="F22" s="284">
        <v>0.22890089088741983</v>
      </c>
      <c r="G22" s="285">
        <v>3.4784151645640815</v>
      </c>
      <c r="H22" s="285">
        <v>1.0618675110561462</v>
      </c>
      <c r="I22" s="290">
        <v>34.83356194238231</v>
      </c>
    </row>
    <row r="23" spans="2:9" x14ac:dyDescent="0.25">
      <c r="B23" s="286" t="s">
        <v>276</v>
      </c>
      <c r="C23" s="284">
        <v>4.9536841441637502E-2</v>
      </c>
      <c r="D23" s="284">
        <v>0.1242806122997817</v>
      </c>
      <c r="E23" s="284">
        <v>-0.22951974782125009</v>
      </c>
      <c r="F23" s="284">
        <v>0.22890089088741983</v>
      </c>
      <c r="G23" s="285">
        <v>3.4784151645640815</v>
      </c>
      <c r="H23" s="285">
        <v>1.0618675110561462</v>
      </c>
      <c r="I23" s="290">
        <v>34.83356194238231</v>
      </c>
    </row>
    <row r="24" spans="2:9" x14ac:dyDescent="0.25">
      <c r="B24" s="283" t="s">
        <v>264</v>
      </c>
      <c r="C24" s="284">
        <v>9.9453462038541884E-2</v>
      </c>
      <c r="D24" s="284">
        <v>0.29219543147208121</v>
      </c>
      <c r="E24" s="284">
        <v>0.34278716629928974</v>
      </c>
      <c r="F24" s="284">
        <v>9.5864899084177127E-2</v>
      </c>
      <c r="G24" s="285">
        <v>0.79080709373868985</v>
      </c>
      <c r="H24" s="285">
        <v>2.3251312008912537</v>
      </c>
      <c r="I24" s="290">
        <v>31.097859814211603</v>
      </c>
    </row>
    <row r="25" spans="2:9" x14ac:dyDescent="0.25">
      <c r="B25" s="286" t="s">
        <v>259</v>
      </c>
      <c r="C25" s="284">
        <v>9.9453462038541884E-2</v>
      </c>
      <c r="D25" s="284">
        <v>0.29219543147208121</v>
      </c>
      <c r="E25" s="284">
        <v>0.34278716629928974</v>
      </c>
      <c r="F25" s="284">
        <v>9.5864899084177127E-2</v>
      </c>
      <c r="G25" s="285">
        <v>0.79080709373868985</v>
      </c>
      <c r="H25" s="285">
        <v>2.3251312008912537</v>
      </c>
      <c r="I25" s="290">
        <v>31.097859814211603</v>
      </c>
    </row>
    <row r="26" spans="2:9" x14ac:dyDescent="0.25">
      <c r="B26" s="283" t="s">
        <v>72</v>
      </c>
      <c r="C26" s="284">
        <v>0.21187512001988351</v>
      </c>
      <c r="D26" s="284">
        <v>0.28631606188727465</v>
      </c>
      <c r="E26" s="284">
        <v>0.17612180903294725</v>
      </c>
      <c r="F26" s="284">
        <v>0.12296877355166437</v>
      </c>
      <c r="G26" s="285">
        <v>1.5112840885392038</v>
      </c>
      <c r="H26" s="285">
        <v>5.0312651427564807</v>
      </c>
      <c r="I26" s="290">
        <v>74.921427706284476</v>
      </c>
    </row>
    <row r="27" spans="2:9" x14ac:dyDescent="0.25">
      <c r="B27" s="286" t="s">
        <v>18</v>
      </c>
      <c r="C27" s="284">
        <v>0.2636907954974832</v>
      </c>
      <c r="D27" s="284">
        <v>0.14194982534137821</v>
      </c>
      <c r="E27" s="284">
        <v>6.7762980364767689E-2</v>
      </c>
      <c r="F27" s="284">
        <v>1.7265524148675718E-2</v>
      </c>
      <c r="G27" s="285">
        <v>0.65527760829774251</v>
      </c>
      <c r="H27" s="285">
        <v>0.97870080404439752</v>
      </c>
      <c r="I27" s="290">
        <v>77.27481797844213</v>
      </c>
    </row>
    <row r="28" spans="2:9" x14ac:dyDescent="0.25">
      <c r="B28" s="286" t="s">
        <v>279</v>
      </c>
      <c r="C28" s="284">
        <v>0.16005944454228382</v>
      </c>
      <c r="D28" s="284">
        <v>0.43068229843317107</v>
      </c>
      <c r="E28" s="284">
        <v>0.2844806377011268</v>
      </c>
      <c r="F28" s="284">
        <v>0.22867202295465303</v>
      </c>
      <c r="G28" s="285">
        <v>2.3672905687806649</v>
      </c>
      <c r="H28" s="285">
        <v>9.0838294814685643</v>
      </c>
      <c r="I28" s="290">
        <v>72.568037434126836</v>
      </c>
    </row>
    <row r="29" spans="2:9" x14ac:dyDescent="0.25">
      <c r="B29" s="283" t="s">
        <v>69</v>
      </c>
      <c r="C29" s="284">
        <v>0.15090799434640345</v>
      </c>
      <c r="D29" s="284">
        <v>0.29791054951156593</v>
      </c>
      <c r="E29" s="284">
        <v>0.85013198676768253</v>
      </c>
      <c r="F29" s="284">
        <v>0.33907651643781095</v>
      </c>
      <c r="G29" s="285">
        <v>1.0484084340527116</v>
      </c>
      <c r="H29" s="285">
        <v>0.76056749027306225</v>
      </c>
      <c r="I29" s="290">
        <v>41.250075625811853</v>
      </c>
    </row>
    <row r="30" spans="2:9" x14ac:dyDescent="0.25">
      <c r="B30" s="286" t="s">
        <v>260</v>
      </c>
      <c r="C30" s="284">
        <v>0.1240446594866329</v>
      </c>
      <c r="D30" s="284">
        <v>0.2892295348134723</v>
      </c>
      <c r="E30" s="284">
        <v>0.2025670038383944</v>
      </c>
      <c r="F30" s="284">
        <v>6.4283198242238784E-2</v>
      </c>
      <c r="G30" s="285">
        <v>1.6189063773873344</v>
      </c>
      <c r="H30" s="285">
        <v>0.74157179346258728</v>
      </c>
      <c r="I30" s="290">
        <v>53.937194471271617</v>
      </c>
    </row>
    <row r="31" spans="2:9" x14ac:dyDescent="0.25">
      <c r="B31" s="286" t="s">
        <v>269</v>
      </c>
      <c r="C31" s="284">
        <v>0.177771329206174</v>
      </c>
      <c r="D31" s="284">
        <v>0.3065915642096595</v>
      </c>
      <c r="E31" s="284">
        <v>1.4976969696969706</v>
      </c>
      <c r="F31" s="284">
        <v>0.61386983463338307</v>
      </c>
      <c r="G31" s="285">
        <v>0.47791049071808872</v>
      </c>
      <c r="H31" s="285">
        <v>0.77956318708353722</v>
      </c>
      <c r="I31" s="290">
        <v>28.562956780352085</v>
      </c>
    </row>
    <row r="32" spans="2:9" x14ac:dyDescent="0.25">
      <c r="B32" s="283" t="s">
        <v>110</v>
      </c>
      <c r="C32" s="284">
        <v>4.920349504002286E-2</v>
      </c>
      <c r="D32" s="284">
        <v>0.3701836164970882</v>
      </c>
      <c r="E32" s="284">
        <v>7.5572316963182701E-2</v>
      </c>
      <c r="F32" s="284">
        <v>2.8084798885982278E-2</v>
      </c>
      <c r="G32" s="285">
        <v>4.3330731354208609</v>
      </c>
      <c r="H32" s="285">
        <v>0.79501835477960936</v>
      </c>
      <c r="I32" s="290">
        <v>11.160363826908073</v>
      </c>
    </row>
    <row r="33" spans="2:9" x14ac:dyDescent="0.25">
      <c r="B33" s="286" t="s">
        <v>278</v>
      </c>
      <c r="C33" s="284">
        <v>4.920349504002286E-2</v>
      </c>
      <c r="D33" s="284">
        <v>0.3701836164970882</v>
      </c>
      <c r="E33" s="284">
        <v>7.5572316963182701E-2</v>
      </c>
      <c r="F33" s="284">
        <v>2.8084798885982278E-2</v>
      </c>
      <c r="G33" s="285">
        <v>4.3330731354208609</v>
      </c>
      <c r="H33" s="285">
        <v>0.79501835477960936</v>
      </c>
      <c r="I33" s="290">
        <v>11.160363826908073</v>
      </c>
    </row>
    <row r="34" spans="2:9" x14ac:dyDescent="0.25">
      <c r="B34" s="283" t="s">
        <v>262</v>
      </c>
      <c r="C34" s="284">
        <v>0.10438576334777602</v>
      </c>
      <c r="D34" s="284">
        <v>0.19259021132745108</v>
      </c>
      <c r="E34" s="284">
        <v>0.231108453807678</v>
      </c>
      <c r="F34" s="284">
        <v>0.13593716645751788</v>
      </c>
      <c r="G34" s="285">
        <v>2.3242273291375075</v>
      </c>
      <c r="H34" s="285">
        <v>3.1269523853803203</v>
      </c>
      <c r="I34" s="290">
        <v>68.799170498543944</v>
      </c>
    </row>
  </sheetData>
  <pageMargins left="0.25" right="0.25" top="0.25" bottom="0.25" header="0" footer="0"/>
  <pageSetup paperSize="5" fitToHeight="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C1364-CF39-4DFE-A851-3DFD89A93551}">
  <dimension ref="A3:XET140"/>
  <sheetViews>
    <sheetView showGridLines="0" topLeftCell="A25" zoomScaleNormal="100" workbookViewId="0">
      <selection activeCell="P75" sqref="P75"/>
    </sheetView>
  </sheetViews>
  <sheetFormatPr defaultColWidth="10.7109375" defaultRowHeight="12.95" customHeight="1" x14ac:dyDescent="0.2"/>
  <cols>
    <col min="1" max="7" width="11.7109375" style="3" customWidth="1"/>
    <col min="8" max="8" width="12.7109375" style="3" customWidth="1"/>
    <col min="9" max="9" width="21.28515625" style="3" customWidth="1"/>
    <col min="10" max="42" width="12.7109375" style="3" customWidth="1"/>
    <col min="43" max="16356" width="10.7109375" style="3"/>
    <col min="16357" max="16375" width="14.7109375" style="3" customWidth="1"/>
    <col min="16376" max="16384" width="10.7109375" style="3"/>
  </cols>
  <sheetData>
    <row r="3" spans="1:25 16357:16362" ht="12.95" customHeight="1" x14ac:dyDescent="0.2">
      <c r="B3" s="9" t="s">
        <v>113</v>
      </c>
      <c r="I3" s="9" t="s">
        <v>128</v>
      </c>
    </row>
    <row r="4" spans="1:25 16357:16362" ht="12.95" customHeight="1" thickBot="1" x14ac:dyDescent="0.25">
      <c r="B4" s="73" t="s">
        <v>5</v>
      </c>
      <c r="C4" s="43" t="s">
        <v>6</v>
      </c>
      <c r="D4" s="43" t="s">
        <v>2</v>
      </c>
      <c r="E4" s="43" t="s">
        <v>3</v>
      </c>
      <c r="F4" s="43" t="s">
        <v>0</v>
      </c>
      <c r="G4" s="44" t="s">
        <v>23</v>
      </c>
      <c r="H4" s="1"/>
      <c r="I4" s="294"/>
      <c r="J4" s="37" t="s">
        <v>30</v>
      </c>
      <c r="K4" s="37" t="s">
        <v>29</v>
      </c>
      <c r="L4" s="37" t="s">
        <v>28</v>
      </c>
      <c r="M4" s="37" t="s">
        <v>27</v>
      </c>
      <c r="N4" s="37" t="s">
        <v>26</v>
      </c>
      <c r="O4" s="37" t="s">
        <v>45</v>
      </c>
      <c r="P4" s="37" t="s">
        <v>25</v>
      </c>
      <c r="Q4" s="37" t="s">
        <v>24</v>
      </c>
      <c r="R4" s="37" t="s">
        <v>140</v>
      </c>
      <c r="S4" s="37" t="s">
        <v>32</v>
      </c>
      <c r="T4" s="37" t="s">
        <v>31</v>
      </c>
      <c r="U4" s="37" t="s">
        <v>58</v>
      </c>
      <c r="V4" s="2"/>
      <c r="W4" s="2"/>
      <c r="X4" s="2"/>
      <c r="Y4" s="2"/>
    </row>
    <row r="5" spans="1:25 16357:16362" ht="12.95" customHeight="1" x14ac:dyDescent="0.2">
      <c r="A5" s="4"/>
      <c r="B5" s="4" t="s">
        <v>7</v>
      </c>
      <c r="C5" s="45" t="e" vm="1">
        <v>#VALUE!</v>
      </c>
      <c r="D5" s="146">
        <v>6.3739999999999997</v>
      </c>
      <c r="E5" s="46" cm="1">
        <f t="array" aca="1" ref="E5" ca="1">_FV(C5,"Price")</f>
        <v>680.95</v>
      </c>
      <c r="F5" s="46">
        <f t="shared" ref="F5:F24" ca="1" si="0">D5*E5</f>
        <v>4340.3752999999997</v>
      </c>
      <c r="G5" s="28">
        <f t="shared" ref="G5:G20" ca="1" si="1">F5/$F$27</f>
        <v>0.10774474044473714</v>
      </c>
      <c r="H5" s="104"/>
      <c r="I5" s="295" t="s">
        <v>7</v>
      </c>
      <c r="J5" s="205">
        <f>'Data &amp; Analysis'!AC5</f>
        <v>0.25263355588108849</v>
      </c>
      <c r="K5" s="205">
        <f>'Data &amp; Analysis'!AD5</f>
        <v>-3.1294808792647322E-3</v>
      </c>
      <c r="L5" s="205">
        <f>'Data &amp; Analysis'!AE5</f>
        <v>0.21657086258816338</v>
      </c>
      <c r="M5" s="205">
        <f>'Data &amp; Analysis'!AF5</f>
        <v>0.17493662108200664</v>
      </c>
      <c r="N5" s="205">
        <f>'Data &amp; Analysis'!AG5</f>
        <v>0.22327454985074047</v>
      </c>
      <c r="O5" s="205">
        <f>'Data &amp; Analysis'!AH5</f>
        <v>-6.9349585398425354E-2</v>
      </c>
      <c r="P5" s="205">
        <f>'Data &amp; Analysis'!AI5</f>
        <v>0.20317025050489138</v>
      </c>
      <c r="Q5" s="205">
        <f>'Data &amp; Analysis'!AJ5</f>
        <v>0.24575445439625451</v>
      </c>
      <c r="R5" s="206">
        <f ca="1">'Data &amp; Analysis'!AK5</f>
        <v>0.22730931231228607</v>
      </c>
      <c r="S5" s="209">
        <f t="shared" ref="S5:S24" ca="1" si="2">AVERAGE(J5:R5)</f>
        <v>0.16346339337086008</v>
      </c>
      <c r="T5" s="209">
        <f t="shared" ref="T5:T24" ca="1" si="3">_xlfn.STDEV.S(J5:R5)</f>
        <v>0.11665148626909365</v>
      </c>
      <c r="U5" s="210" cm="1">
        <f t="array" aca="1" ref="U5" ca="1">_FV('Data &amp; Analysis'!C5,"Beta")</f>
        <v>1.0001</v>
      </c>
      <c r="V5" s="28"/>
      <c r="W5" s="28"/>
      <c r="X5" s="28"/>
      <c r="Y5" s="151"/>
    </row>
    <row r="6" spans="1:25 16357:16362" ht="12.95" customHeight="1" x14ac:dyDescent="0.2">
      <c r="A6" s="4"/>
      <c r="B6" s="4" t="s">
        <v>10</v>
      </c>
      <c r="C6" s="45" t="e" vm="2">
        <v>#VALUE!</v>
      </c>
      <c r="D6" s="146">
        <v>76.349199999999996</v>
      </c>
      <c r="E6" s="46" cm="1">
        <f t="array" aca="1" ref="E6" ca="1">_FV(C6,"Price")</f>
        <v>57.875</v>
      </c>
      <c r="F6" s="46">
        <f t="shared" ca="1" si="0"/>
        <v>4418.7099499999995</v>
      </c>
      <c r="G6" s="28">
        <f t="shared" ca="1" si="1"/>
        <v>0.10968930651303987</v>
      </c>
      <c r="H6" s="104"/>
      <c r="I6" s="295" t="s">
        <v>8</v>
      </c>
      <c r="J6" s="205">
        <f>'Data &amp; Analysis'!AC6</f>
        <v>0.31990621950783027</v>
      </c>
      <c r="K6" s="205">
        <f>'Data &amp; Analysis'!AD6</f>
        <v>9.7742590523052522E-5</v>
      </c>
      <c r="L6" s="205">
        <f>'Data &amp; Analysis'!AE6</f>
        <v>0.16704113986729743</v>
      </c>
      <c r="M6" s="205">
        <f>'Data &amp; Analysis'!AF6</f>
        <v>0.1018734076638106</v>
      </c>
      <c r="N6" s="205">
        <f>'Data &amp; Analysis'!AG6</f>
        <v>0.1920301370262722</v>
      </c>
      <c r="O6" s="205">
        <f>'Data &amp; Analysis'!AH6</f>
        <v>9.1121920158711792E-3</v>
      </c>
      <c r="P6" s="205">
        <f>'Data &amp; Analysis'!AI6</f>
        <v>0.15036945690201267</v>
      </c>
      <c r="Q6" s="205">
        <f>'Data &amp; Analysis'!AJ6</f>
        <v>0.18746588611297929</v>
      </c>
      <c r="R6" s="206">
        <f ca="1">'Data &amp; Analysis'!AK6</f>
        <v>0.18390246775292696</v>
      </c>
      <c r="S6" s="209">
        <f t="shared" ca="1" si="2"/>
        <v>0.14575540549328039</v>
      </c>
      <c r="T6" s="209">
        <f t="shared" ca="1" si="3"/>
        <v>9.8711918984249136E-2</v>
      </c>
      <c r="U6" s="210" cm="1">
        <f t="array" aca="1" ref="U6" ca="1">_FV('Data &amp; Analysis'!C6,"Beta")</f>
        <v>0.93220000000000003</v>
      </c>
      <c r="V6" s="28"/>
      <c r="W6" s="28"/>
      <c r="X6" s="28"/>
      <c r="Y6" s="151"/>
    </row>
    <row r="7" spans="1:25 16357:16362" ht="12.95" customHeight="1" x14ac:dyDescent="0.2">
      <c r="A7" s="69"/>
      <c r="B7" s="69" t="s">
        <v>97</v>
      </c>
      <c r="C7" s="70" t="e" vm="3">
        <v>#VALUE!</v>
      </c>
      <c r="D7" s="146">
        <v>3</v>
      </c>
      <c r="E7" s="71" cm="1">
        <f t="array" aca="1" ref="E7" ca="1">_FV(C7,"Price")</f>
        <v>946.68</v>
      </c>
      <c r="F7" s="72">
        <f t="shared" ca="1" si="0"/>
        <v>2840.04</v>
      </c>
      <c r="G7" s="28">
        <f t="shared" ca="1" si="1"/>
        <v>7.050067137113035E-2</v>
      </c>
      <c r="H7" s="104"/>
      <c r="I7" s="295" t="s">
        <v>9</v>
      </c>
      <c r="J7" s="205">
        <f>'Data &amp; Analysis'!AC7</f>
        <v>0.34071492436000295</v>
      </c>
      <c r="K7" s="205">
        <f>'Data &amp; Analysis'!AD7</f>
        <v>-0.14313341109601821</v>
      </c>
      <c r="L7" s="205">
        <f>'Data &amp; Analysis'!AE7</f>
        <v>0.75080755817407663</v>
      </c>
      <c r="M7" s="205">
        <f>'Data &amp; Analysis'!AF7</f>
        <v>1.8081110999197705</v>
      </c>
      <c r="N7" s="205">
        <f>'Data &amp; Analysis'!AG7</f>
        <v>0.16589306510531424</v>
      </c>
      <c r="O7" s="205">
        <f>'Data &amp; Analysis'!AH7</f>
        <v>-0.58920965996946095</v>
      </c>
      <c r="P7" s="205">
        <f>'Data &amp; Analysis'!AI7</f>
        <v>7.8095754838863676E-2</v>
      </c>
      <c r="Q7" s="205">
        <f>'Data &amp; Analysis'!AJ7</f>
        <v>0.77024070699188263</v>
      </c>
      <c r="R7" s="206">
        <f ca="1">'Data &amp; Analysis'!AK7</f>
        <v>1.773599967411674E-2</v>
      </c>
      <c r="S7" s="209">
        <f t="shared" ca="1" si="2"/>
        <v>0.35547289311094976</v>
      </c>
      <c r="T7" s="209">
        <f t="shared" ca="1" si="3"/>
        <v>0.6898075423854666</v>
      </c>
      <c r="U7" s="210" cm="1">
        <f t="array" aca="1" ref="U7" ca="1">_FV('Data &amp; Analysis'!C7,"Beta")</f>
        <v>1.8242</v>
      </c>
      <c r="V7" s="28"/>
      <c r="W7" s="28"/>
      <c r="X7" s="28"/>
      <c r="Y7" s="151"/>
      <c r="XEC7" s="9" t="s">
        <v>125</v>
      </c>
    </row>
    <row r="8" spans="1:25 16357:16362" ht="12.95" customHeight="1" thickBot="1" x14ac:dyDescent="0.25">
      <c r="A8" s="4"/>
      <c r="B8" s="4" t="s">
        <v>14</v>
      </c>
      <c r="C8" s="45" t="e" vm="4">
        <v>#VALUE!</v>
      </c>
      <c r="D8" s="146">
        <v>12</v>
      </c>
      <c r="E8" s="46" cm="1">
        <f t="array" aca="1" ref="E8" ca="1">_FV(C8,"Price")</f>
        <v>240.14</v>
      </c>
      <c r="F8" s="46">
        <f t="shared" ca="1" si="0"/>
        <v>2881.68</v>
      </c>
      <c r="G8" s="28">
        <f t="shared" ca="1" si="1"/>
        <v>7.1534335670187355E-2</v>
      </c>
      <c r="H8" s="104"/>
      <c r="I8" s="295" t="s">
        <v>10</v>
      </c>
      <c r="J8" s="205">
        <f>'Data &amp; Analysis'!AC8</f>
        <v>0.37630852381670882</v>
      </c>
      <c r="K8" s="205">
        <f>'Data &amp; Analysis'!AD8</f>
        <v>-7.6390847254765443E-2</v>
      </c>
      <c r="L8" s="205">
        <f>'Data &amp; Analysis'!AE8</f>
        <v>0.18782742066847716</v>
      </c>
      <c r="M8" s="205">
        <f>'Data &amp; Analysis'!AF8</f>
        <v>-4.8561959872934726E-2</v>
      </c>
      <c r="N8" s="205">
        <f>'Data &amp; Analysis'!AG8</f>
        <v>0.47975337089086773</v>
      </c>
      <c r="O8" s="205">
        <f>'Data &amp; Analysis'!AH8</f>
        <v>-0.2136991521663264</v>
      </c>
      <c r="P8" s="205">
        <f>'Data &amp; Analysis'!AI8</f>
        <v>1.5947381747380997E-2</v>
      </c>
      <c r="Q8" s="205">
        <f>'Data &amp; Analysis'!AJ8</f>
        <v>0.35553863252859436</v>
      </c>
      <c r="R8" s="206">
        <f ca="1">'Data &amp; Analysis'!AK8</f>
        <v>0.26063473202851067</v>
      </c>
      <c r="S8" s="209">
        <f t="shared" ca="1" si="2"/>
        <v>0.14859534470961255</v>
      </c>
      <c r="T8" s="209">
        <f t="shared" ca="1" si="3"/>
        <v>0.23895057244674003</v>
      </c>
      <c r="U8" s="210" cm="1">
        <f t="array" aca="1" ref="U8" ca="1">_FV('Data &amp; Analysis'!C8,"Beta")</f>
        <v>1.1435999999999999</v>
      </c>
      <c r="V8" s="28"/>
      <c r="W8" s="28"/>
      <c r="X8" s="28"/>
      <c r="Y8" s="151"/>
      <c r="XEC8" s="73" t="s">
        <v>5</v>
      </c>
      <c r="XED8" s="43" t="s">
        <v>6</v>
      </c>
      <c r="XEE8" s="43" t="s">
        <v>2</v>
      </c>
      <c r="XEF8" s="43" t="s">
        <v>3</v>
      </c>
      <c r="XEG8" s="43" t="s">
        <v>0</v>
      </c>
      <c r="XEH8" s="44" t="s">
        <v>23</v>
      </c>
    </row>
    <row r="9" spans="1:25 16357:16362" ht="12.95" customHeight="1" x14ac:dyDescent="0.2">
      <c r="A9" s="4"/>
      <c r="B9" s="4" t="s">
        <v>12</v>
      </c>
      <c r="C9" s="45" t="e" vm="5">
        <v>#VALUE!</v>
      </c>
      <c r="D9" s="146">
        <v>30.812270000000002</v>
      </c>
      <c r="E9" s="46" cm="1">
        <f t="array" aca="1" ref="E9" ca="1">_FV(C9,"Price")</f>
        <v>63.024999999999999</v>
      </c>
      <c r="F9" s="46">
        <f t="shared" ca="1" si="0"/>
        <v>1941.9433167500001</v>
      </c>
      <c r="G9" s="28">
        <f t="shared" ca="1" si="1"/>
        <v>4.8206471597426317E-2</v>
      </c>
      <c r="H9" s="104"/>
      <c r="I9" s="295" t="s">
        <v>11</v>
      </c>
      <c r="J9" s="205">
        <f>'Data &amp; Analysis'!AC9</f>
        <v>6.846940262139492E-2</v>
      </c>
      <c r="K9" s="205">
        <f>'Data &amp; Analysis'!AD9</f>
        <v>0.22688187342481686</v>
      </c>
      <c r="L9" s="205">
        <f>'Data &amp; Analysis'!AE9</f>
        <v>0.2573434647150078</v>
      </c>
      <c r="M9" s="205">
        <f>'Data &amp; Analysis'!AF9</f>
        <v>0.17168137128998132</v>
      </c>
      <c r="N9" s="205">
        <f>'Data &amp; Analysis'!AG9</f>
        <v>5.2102102987804329E-2</v>
      </c>
      <c r="O9" s="205">
        <f>'Data &amp; Analysis'!AH9</f>
        <v>0.14725008908452636</v>
      </c>
      <c r="P9" s="205">
        <f>'Data &amp; Analysis'!AI9</f>
        <v>-0.11495003420120686</v>
      </c>
      <c r="Q9" s="205">
        <f>'Data &amp; Analysis'!AJ9</f>
        <v>0.1936665802567768</v>
      </c>
      <c r="R9" s="206">
        <f ca="1">'Data &amp; Analysis'!AK9</f>
        <v>9.4611099157888325E-3</v>
      </c>
      <c r="S9" s="209">
        <f t="shared" ca="1" si="2"/>
        <v>0.11243399556609893</v>
      </c>
      <c r="T9" s="209">
        <f t="shared" ca="1" si="3"/>
        <v>0.11900522602821102</v>
      </c>
      <c r="U9" s="210" cm="1">
        <f t="array" aca="1" ref="U9" ca="1">_FV('Data &amp; Analysis'!C9,"Beta")</f>
        <v>0.94789999999999996</v>
      </c>
      <c r="V9" s="28"/>
      <c r="W9" s="28"/>
      <c r="X9" s="28"/>
      <c r="Y9" s="151"/>
      <c r="XEC9" s="4" t="s">
        <v>7</v>
      </c>
      <c r="XED9" s="45" t="e" vm="1">
        <v>#VALUE!</v>
      </c>
      <c r="XEE9" s="45">
        <v>6.3739999999999997</v>
      </c>
      <c r="XEF9" s="46" cm="1">
        <f t="array" aca="1" ref="XEF9" ca="1">_FV(XED9,"Price")</f>
        <v>680.95</v>
      </c>
      <c r="XEG9" s="46">
        <f t="shared" ref="XEG9:XEG28" ca="1" si="4">XEE9*XEF9</f>
        <v>4340.3752999999997</v>
      </c>
      <c r="XEH9" s="28">
        <f t="shared" ref="XEH9:XEH28" ca="1" si="5">XEG9/$XEG$33</f>
        <v>0.10776749144677331</v>
      </c>
    </row>
    <row r="10" spans="1:25 16357:16362" ht="12.95" customHeight="1" x14ac:dyDescent="0.2">
      <c r="A10" s="4"/>
      <c r="B10" s="4" t="s">
        <v>11</v>
      </c>
      <c r="C10" s="45" t="e" vm="6">
        <v>#VALUE!</v>
      </c>
      <c r="D10" s="146">
        <v>18.275400000000001</v>
      </c>
      <c r="E10" s="46" cm="1">
        <f t="array" aca="1" ref="E10" ca="1">_FV(C10,"Price")</f>
        <v>104.06</v>
      </c>
      <c r="F10" s="46">
        <f t="shared" ca="1" si="0"/>
        <v>1901.7381240000002</v>
      </c>
      <c r="G10" s="28">
        <f t="shared" ca="1" si="1"/>
        <v>4.7208424710241385E-2</v>
      </c>
      <c r="H10" s="104"/>
      <c r="I10" s="295" t="s">
        <v>12</v>
      </c>
      <c r="J10" s="205">
        <f>'Data &amp; Analysis'!AC10</f>
        <v>-3.3746043752592436E-3</v>
      </c>
      <c r="K10" s="205">
        <f>'Data &amp; Analysis'!AD10</f>
        <v>0.35510337568379302</v>
      </c>
      <c r="L10" s="205">
        <f>'Data &amp; Analysis'!AE10</f>
        <v>0.21499874410117725</v>
      </c>
      <c r="M10" s="205">
        <f>'Data &amp; Analysis'!AF10</f>
        <v>-0.17896251936753757</v>
      </c>
      <c r="N10" s="205">
        <f>'Data &amp; Analysis'!AG10</f>
        <v>0.28265360070829865</v>
      </c>
      <c r="O10" s="205">
        <f>'Data &amp; Analysis'!AH10</f>
        <v>7.1207577426859445E-2</v>
      </c>
      <c r="P10" s="205">
        <f>'Data &amp; Analysis'!AI10</f>
        <v>-0.10759246782483552</v>
      </c>
      <c r="Q10" s="205">
        <f>'Data &amp; Analysis'!AJ10</f>
        <v>0.11423381018550922</v>
      </c>
      <c r="R10" s="206">
        <f ca="1">'Data &amp; Analysis'!AK10</f>
        <v>0.24007395911217688</v>
      </c>
      <c r="S10" s="209">
        <f t="shared" ca="1" si="2"/>
        <v>0.10981571951668691</v>
      </c>
      <c r="T10" s="209">
        <f t="shared" ca="1" si="3"/>
        <v>0.18133222060825482</v>
      </c>
      <c r="U10" s="210" cm="1">
        <f t="array" aca="1" ref="U10" ca="1">_FV('Data &amp; Analysis'!C10,"Beta")</f>
        <v>0.71050000000000002</v>
      </c>
      <c r="V10" s="28"/>
      <c r="W10" s="28"/>
      <c r="X10" s="28"/>
      <c r="Y10" s="151"/>
      <c r="XEC10" s="4" t="s">
        <v>10</v>
      </c>
      <c r="XED10" s="45" t="e" vm="2">
        <v>#VALUE!</v>
      </c>
      <c r="XEE10" s="45">
        <v>76.349199999999996</v>
      </c>
      <c r="XEF10" s="46" cm="1">
        <f t="array" aca="1" ref="XEF10" ca="1">_FV(XED10,"Price")</f>
        <v>57.875</v>
      </c>
      <c r="XEG10" s="46">
        <f t="shared" ca="1" si="4"/>
        <v>4418.7099499999995</v>
      </c>
      <c r="XEH10" s="28">
        <f t="shared" ca="1" si="5"/>
        <v>0.10971246812283654</v>
      </c>
    </row>
    <row r="11" spans="1:25 16357:16362" ht="12.95" customHeight="1" x14ac:dyDescent="0.2">
      <c r="A11" s="69"/>
      <c r="B11" s="4" t="s">
        <v>8</v>
      </c>
      <c r="C11" s="45" t="e" vm="7">
        <v>#VALUE!</v>
      </c>
      <c r="D11" s="146">
        <v>4.7869999999999999</v>
      </c>
      <c r="E11" s="46" cm="1">
        <f t="array" aca="1" ref="E11" ca="1">_FV(C11,"Price")</f>
        <v>521.71</v>
      </c>
      <c r="F11" s="46">
        <f t="shared" ca="1" si="0"/>
        <v>2497.4257700000003</v>
      </c>
      <c r="G11" s="28">
        <f t="shared" ca="1" si="1"/>
        <v>6.1995673823101852E-2</v>
      </c>
      <c r="H11" s="104"/>
      <c r="I11" s="295" t="s">
        <v>13</v>
      </c>
      <c r="J11" s="205">
        <f>'Data &amp; Analysis'!AC11</f>
        <v>0.20947156684940113</v>
      </c>
      <c r="K11" s="205">
        <f>'Data &amp; Analysis'!AD11</f>
        <v>0.12604109512438305</v>
      </c>
      <c r="L11" s="205">
        <f>'Data &amp; Analysis'!AE11</f>
        <v>0.17388833634346346</v>
      </c>
      <c r="M11" s="205">
        <f>'Data &amp; Analysis'!AF11</f>
        <v>1.977475506249712E-2</v>
      </c>
      <c r="N11" s="205">
        <f>'Data &amp; Analysis'!AG11</f>
        <v>7.5536227216874807E-2</v>
      </c>
      <c r="O11" s="205">
        <f>'Data &amp; Analysis'!AH11</f>
        <v>-0.12091900976282766</v>
      </c>
      <c r="P11" s="205">
        <f>'Data &amp; Analysis'!AI11</f>
        <v>0.15773565031481698</v>
      </c>
      <c r="Q11" s="205">
        <f>'Data &amp; Analysis'!AJ11</f>
        <v>6.1919009765984072E-2</v>
      </c>
      <c r="R11" s="206">
        <f ca="1">'Data &amp; Analysis'!AK11</f>
        <v>0.23916903861830588</v>
      </c>
      <c r="S11" s="209">
        <f t="shared" ca="1" si="2"/>
        <v>0.10473518550365542</v>
      </c>
      <c r="T11" s="209">
        <f t="shared" ca="1" si="3"/>
        <v>0.11062957019861097</v>
      </c>
      <c r="U11" s="210" cm="1">
        <f t="array" aca="1" ref="U11" ca="1">_FV('Data &amp; Analysis'!C11,"Beta")</f>
        <v>0.2253</v>
      </c>
      <c r="V11" s="28"/>
      <c r="W11" s="28"/>
      <c r="X11" s="28"/>
      <c r="Y11" s="151"/>
      <c r="XEC11" s="69" t="s">
        <v>97</v>
      </c>
      <c r="XED11" s="70" t="e" vm="3">
        <v>#VALUE!</v>
      </c>
      <c r="XEE11" s="70">
        <v>3</v>
      </c>
      <c r="XEF11" s="71" cm="1">
        <f t="array" aca="1" ref="XEF11" ca="1">_FV(XED11,"Price")</f>
        <v>946.68</v>
      </c>
      <c r="XEG11" s="72">
        <f t="shared" ca="1" si="4"/>
        <v>2840.04</v>
      </c>
      <c r="XEH11" s="28">
        <f t="shared" ca="1" si="5"/>
        <v>7.0515558045981433E-2</v>
      </c>
    </row>
    <row r="12" spans="1:25 16357:16362" ht="12.95" customHeight="1" x14ac:dyDescent="0.2">
      <c r="A12" s="4"/>
      <c r="B12" s="4" t="s">
        <v>13</v>
      </c>
      <c r="C12" s="45" t="e" vm="8">
        <v>#VALUE!</v>
      </c>
      <c r="D12" s="146">
        <v>50.424039999999998</v>
      </c>
      <c r="E12" s="46" cm="1">
        <f t="array" aca="1" ref="E12" ca="1">_FV(C12,"Price")</f>
        <v>44.08</v>
      </c>
      <c r="F12" s="46">
        <f t="shared" ca="1" si="0"/>
        <v>2222.6916831999997</v>
      </c>
      <c r="G12" s="28">
        <f t="shared" ca="1" si="1"/>
        <v>5.5175721439355695E-2</v>
      </c>
      <c r="H12" s="104"/>
      <c r="I12" s="295" t="s">
        <v>14</v>
      </c>
      <c r="J12" s="205">
        <f>'Data &amp; Analysis'!AC12</f>
        <v>0.56642829807294304</v>
      </c>
      <c r="K12" s="205">
        <f>'Data &amp; Analysis'!AD12</f>
        <v>0.16951124449209271</v>
      </c>
      <c r="L12" s="205">
        <f>'Data &amp; Analysis'!AE12</f>
        <v>0.15591115594253532</v>
      </c>
      <c r="M12" s="205">
        <f>'Data &amp; Analysis'!AF12</f>
        <v>0.46754890641219793</v>
      </c>
      <c r="N12" s="205">
        <f>'Data &amp; Analysis'!AG12</f>
        <v>-6.934493003034703E-2</v>
      </c>
      <c r="O12" s="205">
        <f>'Data &amp; Analysis'!AH12</f>
        <v>-0.3717741823432576</v>
      </c>
      <c r="P12" s="205">
        <f>'Data &amp; Analysis'!AI12</f>
        <v>0.40872427942114065</v>
      </c>
      <c r="Q12" s="205">
        <f>'Data &amp; Analysis'!AJ12</f>
        <v>0.42621062340523391</v>
      </c>
      <c r="R12" s="206">
        <f ca="1">'Data &amp; Analysis'!AK12</f>
        <v>1.0296855448219729E-2</v>
      </c>
      <c r="S12" s="209">
        <f t="shared" ca="1" si="2"/>
        <v>0.19594580564675093</v>
      </c>
      <c r="T12" s="209">
        <f t="shared" ca="1" si="3"/>
        <v>0.30388615011392461</v>
      </c>
      <c r="U12" s="210" cm="1">
        <f t="array" aca="1" ref="U12" ca="1">_FV('Data &amp; Analysis'!C12,"Beta")</f>
        <v>1.4742</v>
      </c>
      <c r="V12" s="28"/>
      <c r="W12" s="28"/>
      <c r="X12" s="28"/>
      <c r="Y12" s="151"/>
      <c r="XEC12" s="69" t="s">
        <v>98</v>
      </c>
      <c r="XED12" s="70" t="e" vm="9">
        <v>#VALUE!</v>
      </c>
      <c r="XEE12" s="70">
        <v>8</v>
      </c>
      <c r="XEF12" s="72" cm="1">
        <f t="array" aca="1" ref="XEF12" ca="1">_FV(XED12,"Price")</f>
        <v>341.59</v>
      </c>
      <c r="XEG12" s="72">
        <f t="shared" ca="1" si="4"/>
        <v>2732.72</v>
      </c>
      <c r="XEH12" s="28">
        <f t="shared" ca="1" si="5"/>
        <v>6.7850902023708956E-2</v>
      </c>
    </row>
    <row r="13" spans="1:25 16357:16362" ht="12.95" customHeight="1" x14ac:dyDescent="0.2">
      <c r="A13" s="4"/>
      <c r="B13" s="69" t="s">
        <v>98</v>
      </c>
      <c r="C13" s="70" t="e" vm="9">
        <v>#VALUE!</v>
      </c>
      <c r="D13" s="146">
        <v>8</v>
      </c>
      <c r="E13" s="72" cm="1">
        <f t="array" aca="1" ref="E13" ca="1">_FV(C13,"Price")</f>
        <v>341.59</v>
      </c>
      <c r="F13" s="72">
        <f t="shared" ca="1" si="0"/>
        <v>2732.72</v>
      </c>
      <c r="G13" s="28">
        <f t="shared" ca="1" si="1"/>
        <v>6.7836577889506949E-2</v>
      </c>
      <c r="H13" s="104"/>
      <c r="I13" s="295" t="s">
        <v>15</v>
      </c>
      <c r="J13" s="205">
        <f>'Data &amp; Analysis'!AC13</f>
        <v>0.36564514841577339</v>
      </c>
      <c r="K13" s="205">
        <f>'Data &amp; Analysis'!AD13</f>
        <v>-4.8866815037540708E-2</v>
      </c>
      <c r="L13" s="205">
        <f>'Data &amp; Analysis'!AE13</f>
        <v>0.24104706949730756</v>
      </c>
      <c r="M13" s="205">
        <f>'Data &amp; Analysis'!AF13</f>
        <v>0.24320794969995635</v>
      </c>
      <c r="N13" s="205">
        <f>'Data &amp; Analysis'!AG13</f>
        <v>0.39267333325618609</v>
      </c>
      <c r="O13" s="205">
        <f>'Data &amp; Analysis'!AH13</f>
        <v>-0.31407280708934787</v>
      </c>
      <c r="P13" s="205">
        <f>'Data &amp; Analysis'!AI13</f>
        <v>0.34888182009283913</v>
      </c>
      <c r="Q13" s="205">
        <f>'Data &amp; Analysis'!AJ13</f>
        <v>0.38244327569145992</v>
      </c>
      <c r="R13" s="206">
        <f ca="1">'Data &amp; Analysis'!AK13</f>
        <v>0.55502507112964583</v>
      </c>
      <c r="S13" s="209">
        <f t="shared" ca="1" si="2"/>
        <v>0.24066489396180885</v>
      </c>
      <c r="T13" s="209">
        <f t="shared" ca="1" si="3"/>
        <v>0.26479475634688404</v>
      </c>
      <c r="U13" s="210" cm="1">
        <f t="array" aca="1" ref="U13" ca="1">_FV('Data &amp; Analysis'!C13,"Beta")</f>
        <v>1.2645999999999999</v>
      </c>
      <c r="V13" s="28"/>
      <c r="W13" s="28"/>
      <c r="X13" s="28"/>
      <c r="Y13" s="151"/>
      <c r="XEC13" s="4" t="s">
        <v>14</v>
      </c>
      <c r="XED13" s="45" t="e" vm="4">
        <v>#VALUE!</v>
      </c>
      <c r="XEE13" s="45">
        <v>12</v>
      </c>
      <c r="XEF13" s="46" cm="1">
        <f t="array" aca="1" ref="XEF13" ca="1">_FV(XED13,"Price")</f>
        <v>240.14</v>
      </c>
      <c r="XEG13" s="46">
        <f t="shared" ca="1" si="4"/>
        <v>2881.68</v>
      </c>
      <c r="XEH13" s="28">
        <f t="shared" ca="1" si="5"/>
        <v>7.1549440609971607E-2</v>
      </c>
    </row>
    <row r="14" spans="1:25 16357:16362" ht="12.95" customHeight="1" x14ac:dyDescent="0.2">
      <c r="A14" s="4"/>
      <c r="B14" s="4" t="s">
        <v>9</v>
      </c>
      <c r="C14" s="45" t="e" vm="10">
        <v>#VALUE!</v>
      </c>
      <c r="D14" s="146">
        <v>2</v>
      </c>
      <c r="E14" s="46" cm="1">
        <f t="array" aca="1" ref="E14" ca="1">_FV(C14,"Price")</f>
        <v>411.84</v>
      </c>
      <c r="F14" s="46">
        <f t="shared" ca="1" si="0"/>
        <v>823.68</v>
      </c>
      <c r="G14" s="28">
        <f t="shared" ca="1" si="1"/>
        <v>2.0446892647629132E-2</v>
      </c>
      <c r="H14" s="104"/>
      <c r="I14" s="295" t="s">
        <v>16</v>
      </c>
      <c r="J14" s="205">
        <f>'Data &amp; Analysis'!AC14</f>
        <v>0.36461472506254927</v>
      </c>
      <c r="K14" s="205">
        <f>'Data &amp; Analysis'!AD14</f>
        <v>0.28832505235309686</v>
      </c>
      <c r="L14" s="205">
        <f>'Data &amp; Analysis'!AE14</f>
        <v>0.18200011852119002</v>
      </c>
      <c r="M14" s="205">
        <f>'Data &amp; Analysis'!AF14</f>
        <v>0.21288099390620929</v>
      </c>
      <c r="N14" s="205">
        <f>'Data &amp; Analysis'!AG14</f>
        <v>3.0878903459884276E-2</v>
      </c>
      <c r="O14" s="205">
        <f>'Data &amp; Analysis'!AH14</f>
        <v>-0.32567972370592485</v>
      </c>
      <c r="P14" s="205">
        <f>'Data &amp; Analysis'!AI14</f>
        <v>0.51488427557472571</v>
      </c>
      <c r="Q14" s="205">
        <f>'Data &amp; Analysis'!AJ14</f>
        <v>0.20553179237273292</v>
      </c>
      <c r="R14" s="206">
        <f ca="1">'Data &amp; Analysis'!AK14</f>
        <v>-0.75655115158948427</v>
      </c>
      <c r="S14" s="209">
        <f t="shared" ca="1" si="2"/>
        <v>7.9653887328331008E-2</v>
      </c>
      <c r="T14" s="209">
        <f t="shared" ca="1" si="3"/>
        <v>0.39117682819760885</v>
      </c>
      <c r="U14" s="210" cm="1">
        <f t="array" aca="1" ref="U14" ca="1">_FV('Data &amp; Analysis'!C14,"Beta")</f>
        <v>1.1916</v>
      </c>
      <c r="V14" s="28"/>
      <c r="W14" s="28"/>
      <c r="X14" s="28"/>
      <c r="Y14" s="151"/>
      <c r="XEC14" s="4" t="s">
        <v>12</v>
      </c>
      <c r="XED14" s="45" t="e" vm="5">
        <v>#VALUE!</v>
      </c>
      <c r="XEE14" s="45">
        <v>43.812269999999998</v>
      </c>
      <c r="XEF14" s="46" cm="1">
        <f t="array" aca="1" ref="XEF14" ca="1">_FV(XED14,"Price")</f>
        <v>63.024999999999999</v>
      </c>
      <c r="XEG14" s="46">
        <f t="shared" ca="1" si="4"/>
        <v>2761.2683167499999</v>
      </c>
      <c r="XEH14" s="28">
        <f t="shared" ca="1" si="5"/>
        <v>6.855973023982552E-2</v>
      </c>
    </row>
    <row r="15" spans="1:25 16357:16362" ht="12.95" customHeight="1" x14ac:dyDescent="0.2">
      <c r="A15" s="4"/>
      <c r="B15" s="4" t="s">
        <v>16</v>
      </c>
      <c r="C15" s="45" t="e" vm="11">
        <v>#VALUE!</v>
      </c>
      <c r="D15" s="146">
        <v>6</v>
      </c>
      <c r="E15" s="46" cm="1">
        <f t="array" aca="1" ref="E15" ca="1">_FV(C15,"Price")</f>
        <v>157.97</v>
      </c>
      <c r="F15" s="46">
        <f t="shared" ca="1" si="0"/>
        <v>947.81999999999994</v>
      </c>
      <c r="G15" s="28">
        <f t="shared" ca="1" si="1"/>
        <v>2.3528522957065662E-2</v>
      </c>
      <c r="H15" s="104"/>
      <c r="I15" s="295" t="s">
        <v>17</v>
      </c>
      <c r="J15" s="205">
        <f>'Data &amp; Analysis'!AC15</f>
        <v>0.20442237894609885</v>
      </c>
      <c r="K15" s="205">
        <f>'Data &amp; Analysis'!AD15</f>
        <v>-1.1143923787082781E-4</v>
      </c>
      <c r="L15" s="205">
        <f>'Data &amp; Analysis'!AE15</f>
        <v>2.7877578827036988E-2</v>
      </c>
      <c r="M15" s="205">
        <f>'Data &amp; Analysis'!AF15</f>
        <v>-0.10254983322124937</v>
      </c>
      <c r="N15" s="205">
        <f>'Data &amp; Analysis'!AG15</f>
        <v>0.52968203332771635</v>
      </c>
      <c r="O15" s="205">
        <f>'Data &amp; Analysis'!AH15</f>
        <v>0.35283572515359268</v>
      </c>
      <c r="P15" s="205">
        <f>'Data &amp; Analysis'!AI15</f>
        <v>-8.4009610540908941E-2</v>
      </c>
      <c r="Q15" s="205">
        <f>'Data &amp; Analysis'!AJ15</f>
        <v>9.8241008415262648E-2</v>
      </c>
      <c r="R15" s="206">
        <f ca="1">'Data &amp; Analysis'!AK15</f>
        <v>0.19563423098893165</v>
      </c>
      <c r="S15" s="209">
        <f t="shared" ca="1" si="2"/>
        <v>0.13578023029540112</v>
      </c>
      <c r="T15" s="209">
        <f t="shared" ca="1" si="3"/>
        <v>0.20832471012315112</v>
      </c>
      <c r="U15" s="210" cm="1">
        <f t="array" aca="1" ref="U15" ca="1">_FV('Data &amp; Analysis'!C15,"Beta")</f>
        <v>0.49009999999999998</v>
      </c>
      <c r="V15" s="28"/>
      <c r="W15" s="28"/>
      <c r="X15" s="28"/>
      <c r="Y15" s="151"/>
      <c r="XEC15" s="4" t="s">
        <v>8</v>
      </c>
      <c r="XED15" s="45" t="e" vm="7">
        <v>#VALUE!</v>
      </c>
      <c r="XEE15" s="45">
        <v>4.7869999999999999</v>
      </c>
      <c r="XEF15" s="46" cm="1">
        <f t="array" aca="1" ref="XEF15" ca="1">_FV(XED15,"Price")</f>
        <v>521.71</v>
      </c>
      <c r="XEG15" s="46">
        <f t="shared" ca="1" si="4"/>
        <v>2497.4257700000003</v>
      </c>
      <c r="XEH15" s="28">
        <f t="shared" ca="1" si="5"/>
        <v>6.2008764612457891E-2</v>
      </c>
    </row>
    <row r="16" spans="1:25 16357:16362" ht="12.95" customHeight="1" x14ac:dyDescent="0.2">
      <c r="A16" s="4"/>
      <c r="B16" s="4" t="s">
        <v>17</v>
      </c>
      <c r="C16" s="45" t="e" vm="12">
        <v>#VALUE!</v>
      </c>
      <c r="D16" s="146">
        <v>9.2263500000000001</v>
      </c>
      <c r="E16" s="46" cm="1">
        <f t="array" aca="1" ref="E16" ca="1">_FV(C16,"Price")</f>
        <v>168.43</v>
      </c>
      <c r="F16" s="46">
        <f t="shared" ca="1" si="0"/>
        <v>1553.9941305</v>
      </c>
      <c r="G16" s="28">
        <f t="shared" ca="1" si="1"/>
        <v>3.8576086782948812E-2</v>
      </c>
      <c r="H16" s="104"/>
      <c r="I16" s="295" t="s">
        <v>18</v>
      </c>
      <c r="J16" s="205">
        <f>'Data &amp; Analysis'!AC16</f>
        <v>0.28139426455276734</v>
      </c>
      <c r="K16" s="205">
        <f>'Data &amp; Analysis'!AD16</f>
        <v>0.5746815976106654</v>
      </c>
      <c r="L16" s="205">
        <f>'Data &amp; Analysis'!AE16</f>
        <v>0.65515471730518993</v>
      </c>
      <c r="M16" s="205">
        <f>'Data &amp; Analysis'!AF16</f>
        <v>0.60000486201142356</v>
      </c>
      <c r="N16" s="205">
        <f>'Data &amp; Analysis'!AG16</f>
        <v>0.28823656605283199</v>
      </c>
      <c r="O16" s="205">
        <f>'Data &amp; Analysis'!AH16</f>
        <v>-0.41890291357533044</v>
      </c>
      <c r="P16" s="205">
        <f>'Data &amp; Analysis'!AI16</f>
        <v>0.80263092056003449</v>
      </c>
      <c r="Q16" s="205">
        <f>'Data &amp; Analysis'!AJ16</f>
        <v>-0.36895797305747741</v>
      </c>
      <c r="R16" s="206">
        <f ca="1">'Data &amp; Analysis'!AK16</f>
        <v>1.5374651851436745</v>
      </c>
      <c r="S16" s="209">
        <f t="shared" ca="1" si="2"/>
        <v>0.43907858073375322</v>
      </c>
      <c r="T16" s="209">
        <f t="shared" ca="1" si="3"/>
        <v>0.59856816167104765</v>
      </c>
      <c r="U16" s="210" cm="1">
        <f t="array" aca="1" ref="U16" ca="1">_FV('Data &amp; Analysis'!C16,"Beta")</f>
        <v>2.4702999999999999</v>
      </c>
      <c r="V16" s="28"/>
      <c r="W16" s="28"/>
      <c r="X16" s="28"/>
      <c r="Y16" s="151"/>
      <c r="XEC16" s="4" t="s">
        <v>13</v>
      </c>
      <c r="XED16" s="45" t="e" vm="8">
        <v>#VALUE!</v>
      </c>
      <c r="XEE16" s="45">
        <v>50.424039999999998</v>
      </c>
      <c r="XEF16" s="46" cm="1">
        <f t="array" aca="1" ref="XEF16" ca="1">_FV(XED16,"Price")</f>
        <v>44.08</v>
      </c>
      <c r="XEG16" s="46">
        <f t="shared" ca="1" si="4"/>
        <v>2222.6916831999997</v>
      </c>
      <c r="XEH16" s="28">
        <f t="shared" ca="1" si="5"/>
        <v>5.5187372151452009E-2</v>
      </c>
    </row>
    <row r="17" spans="1:25 16357:16362" ht="12.95" customHeight="1" x14ac:dyDescent="0.2">
      <c r="A17" s="4"/>
      <c r="B17" s="4" t="s">
        <v>18</v>
      </c>
      <c r="C17" s="45" t="e" vm="13">
        <v>#VALUE!</v>
      </c>
      <c r="D17" s="146">
        <v>5</v>
      </c>
      <c r="E17" s="46" cm="1">
        <f t="array" aca="1" ref="E17" ca="1">_FV(C17,"Price")</f>
        <v>539.49</v>
      </c>
      <c r="F17" s="46">
        <f t="shared" ca="1" si="0"/>
        <v>2697.45</v>
      </c>
      <c r="G17" s="28">
        <f t="shared" ca="1" si="1"/>
        <v>6.6961041390281667E-2</v>
      </c>
      <c r="H17" s="104"/>
      <c r="I17" s="295" t="s">
        <v>19</v>
      </c>
      <c r="J17" s="207">
        <f>'Data &amp; Analysis'!AC17</f>
        <v>0.14712178155974073</v>
      </c>
      <c r="K17" s="207">
        <f>'Data &amp; Analysis'!AD17</f>
        <v>0.63653014861046142</v>
      </c>
      <c r="L17" s="207">
        <f>'Data &amp; Analysis'!AE17</f>
        <v>0.48216635593305218</v>
      </c>
      <c r="M17" s="207">
        <f>'Data &amp; Analysis'!AF17</f>
        <v>0.31699061190595357</v>
      </c>
      <c r="N17" s="207">
        <f>'Data &amp; Analysis'!AG17</f>
        <v>1.5337538749420435E-2</v>
      </c>
      <c r="O17" s="207">
        <f>'Data &amp; Analysis'!AH17</f>
        <v>-8.3965380117334218E-2</v>
      </c>
      <c r="P17" s="207">
        <f>'Data &amp; Analysis'!AI17</f>
        <v>0.39124385195805039</v>
      </c>
      <c r="Q17" s="207">
        <f>'Data &amp; Analysis'!AJ17</f>
        <v>-9.135169469164002E-2</v>
      </c>
      <c r="R17" s="206">
        <f ca="1">'Data &amp; Analysis'!AK17</f>
        <v>-1.287609871051977</v>
      </c>
      <c r="S17" s="209">
        <f t="shared" ca="1" si="2"/>
        <v>5.8495926983969722E-2</v>
      </c>
      <c r="T17" s="209">
        <f t="shared" ca="1" si="3"/>
        <v>0.56520222257921182</v>
      </c>
      <c r="U17" s="210" cm="1">
        <f t="array" aca="1" ref="U17" ca="1">_FV('Data &amp; Analysis'!C17,"Beta")</f>
        <v>0.87980000000000003</v>
      </c>
      <c r="V17" s="28"/>
      <c r="W17" s="28"/>
      <c r="X17" s="28"/>
      <c r="Y17" s="151"/>
      <c r="XEC17" s="4" t="s">
        <v>11</v>
      </c>
      <c r="XED17" s="45" t="e" vm="6">
        <v>#VALUE!</v>
      </c>
      <c r="XEE17" s="45">
        <v>18.275400000000001</v>
      </c>
      <c r="XEF17" s="46" cm="1">
        <f t="array" aca="1" ref="XEF17" ca="1">_FV(XED17,"Price")</f>
        <v>104.06</v>
      </c>
      <c r="XEG17" s="46">
        <f t="shared" ca="1" si="4"/>
        <v>1901.7381240000002</v>
      </c>
      <c r="XEH17" s="28">
        <f t="shared" ca="1" si="5"/>
        <v>4.7218393075864375E-2</v>
      </c>
    </row>
    <row r="18" spans="1:25 16357:16362" ht="12.95" customHeight="1" x14ac:dyDescent="0.2">
      <c r="A18" s="4"/>
      <c r="B18" s="4" t="s">
        <v>19</v>
      </c>
      <c r="C18" s="45" t="e" vm="14">
        <v>#VALUE!</v>
      </c>
      <c r="D18" s="146">
        <v>7</v>
      </c>
      <c r="E18" s="46" cm="1">
        <f t="array" aca="1" ref="E18" ca="1">_FV(C18,"Price")</f>
        <v>114.29</v>
      </c>
      <c r="F18" s="46">
        <f t="shared" ca="1" si="0"/>
        <v>800.03000000000009</v>
      </c>
      <c r="G18" s="28">
        <f t="shared" ca="1" si="1"/>
        <v>1.9859809057987007E-2</v>
      </c>
      <c r="H18" s="104"/>
      <c r="I18" s="295" t="s">
        <v>20</v>
      </c>
      <c r="J18" s="205">
        <f>'Data &amp; Analysis'!AC18</f>
        <v>0.39590723078654921</v>
      </c>
      <c r="K18" s="205">
        <f>'Data &amp; Analysis'!AD18</f>
        <v>-0.14416423548080515</v>
      </c>
      <c r="L18" s="205">
        <f>'Data &amp; Analysis'!AE18</f>
        <v>0.44031920396155472</v>
      </c>
      <c r="M18" s="205">
        <f>'Data &amp; Analysis'!AF18</f>
        <v>-0.22595726111858658</v>
      </c>
      <c r="N18" s="205">
        <f>'Data &amp; Analysis'!AG18</f>
        <v>0.249402043237967</v>
      </c>
      <c r="O18" s="205">
        <f>'Data &amp; Analysis'!AH18</f>
        <v>0.22644397792118978</v>
      </c>
      <c r="P18" s="205">
        <f>'Data &amp; Analysis'!AI18</f>
        <v>-1.9885851736502768E-2</v>
      </c>
      <c r="Q18" s="205">
        <f>'Data &amp; Analysis'!AJ18</f>
        <v>0.12880174709659242</v>
      </c>
      <c r="R18" s="206">
        <f ca="1">'Data &amp; Analysis'!AK18</f>
        <v>0.12960542753332202</v>
      </c>
      <c r="S18" s="209">
        <f t="shared" ca="1" si="2"/>
        <v>0.1311635869112534</v>
      </c>
      <c r="T18" s="209">
        <f t="shared" ca="1" si="3"/>
        <v>0.22773057736504035</v>
      </c>
      <c r="U18" s="210" cm="1">
        <f t="array" aca="1" ref="U18" ca="1">_FV('Data &amp; Analysis'!C18,"Beta")</f>
        <v>0.1212</v>
      </c>
      <c r="V18" s="28"/>
      <c r="W18" s="28"/>
      <c r="X18" s="28"/>
      <c r="Y18" s="151"/>
      <c r="XEC18" s="4" t="s">
        <v>16</v>
      </c>
      <c r="XED18" s="45" t="e" vm="11">
        <v>#VALUE!</v>
      </c>
      <c r="XEE18" s="45">
        <v>6</v>
      </c>
      <c r="XEF18" s="46" cm="1">
        <f t="array" aca="1" ref="XEF18" ca="1">_FV(XED18,"Price")</f>
        <v>157.97</v>
      </c>
      <c r="XEG18" s="46">
        <f t="shared" ca="1" si="4"/>
        <v>947.81999999999994</v>
      </c>
      <c r="XEH18" s="28">
        <f t="shared" ca="1" si="5"/>
        <v>2.3533491157568951E-2</v>
      </c>
    </row>
    <row r="19" spans="1:25 16357:16362" ht="12.95" customHeight="1" x14ac:dyDescent="0.2">
      <c r="A19" s="4"/>
      <c r="B19" s="4" t="s">
        <v>15</v>
      </c>
      <c r="C19" s="45" t="e" vm="15">
        <v>#VALUE!</v>
      </c>
      <c r="D19" s="146">
        <v>4.5722199999999997</v>
      </c>
      <c r="E19" s="46" cm="1">
        <f t="array" aca="1" ref="E19" ca="1">_FV(C19,"Price")</f>
        <v>353.65</v>
      </c>
      <c r="F19" s="46">
        <f t="shared" ca="1" si="0"/>
        <v>1616.9656029999999</v>
      </c>
      <c r="G19" s="28">
        <f t="shared" ca="1" si="1"/>
        <v>4.0139279938143341E-2</v>
      </c>
      <c r="H19" s="104"/>
      <c r="I19" s="295" t="s">
        <v>21</v>
      </c>
      <c r="J19" s="205">
        <f>'Data &amp; Analysis'!AC19</f>
        <v>0.2187724843094466</v>
      </c>
      <c r="K19" s="205">
        <f>'Data &amp; Analysis'!AD19</f>
        <v>-0.11318196092848448</v>
      </c>
      <c r="L19" s="205">
        <f>'Data &amp; Analysis'!AE19</f>
        <v>6.0653470605508818E-2</v>
      </c>
      <c r="M19" s="205">
        <f>'Data &amp; Analysis'!AF19</f>
        <v>0.46855365315796005</v>
      </c>
      <c r="N19" s="205">
        <f>'Data &amp; Analysis'!AG19</f>
        <v>0.31079914440866224</v>
      </c>
      <c r="O19" s="205">
        <f>'Data &amp; Analysis'!AH19</f>
        <v>-1.8299312356210625E-2</v>
      </c>
      <c r="P19" s="205">
        <f>'Data &amp; Analysis'!AI19</f>
        <v>-0.17837337152949639</v>
      </c>
      <c r="Q19" s="205">
        <f>'Data &amp; Analysis'!AJ19</f>
        <v>-0.11161369829177968</v>
      </c>
      <c r="R19" s="206">
        <f ca="1">'Data &amp; Analysis'!AK19</f>
        <v>5.6620972286526385E-2</v>
      </c>
      <c r="S19" s="209">
        <f t="shared" ca="1" si="2"/>
        <v>7.7103486851348102E-2</v>
      </c>
      <c r="T19" s="209">
        <f t="shared" ca="1" si="3"/>
        <v>0.21644860279367986</v>
      </c>
      <c r="U19" s="210" cm="1">
        <f t="array" aca="1" ref="U19" ca="1">_FV('Data &amp; Analysis'!C19,"Beta")</f>
        <v>1.0164</v>
      </c>
      <c r="V19" s="28"/>
      <c r="W19" s="28"/>
      <c r="X19" s="28"/>
      <c r="Y19" s="151"/>
      <c r="XEC19" s="4" t="s">
        <v>17</v>
      </c>
      <c r="XED19" s="45" t="e" vm="12">
        <v>#VALUE!</v>
      </c>
      <c r="XEE19" s="45">
        <v>9.2263500000000001</v>
      </c>
      <c r="XEF19" s="46" cm="1">
        <f t="array" aca="1" ref="XEF19" ca="1">_FV(XED19,"Price")</f>
        <v>168.43</v>
      </c>
      <c r="XEG19" s="46">
        <f t="shared" ca="1" si="4"/>
        <v>1553.9941305</v>
      </c>
      <c r="XEH19" s="28">
        <f t="shared" ca="1" si="5"/>
        <v>3.8584232374328252E-2</v>
      </c>
    </row>
    <row r="20" spans="1:25 16357:16362" ht="12.95" customHeight="1" x14ac:dyDescent="0.2">
      <c r="A20" s="4"/>
      <c r="B20" s="4" t="s">
        <v>20</v>
      </c>
      <c r="C20" s="45" t="e" vm="16">
        <v>#VALUE!</v>
      </c>
      <c r="D20" s="146">
        <v>2.0880999999999998</v>
      </c>
      <c r="E20" s="46" cm="1">
        <f t="array" aca="1" ref="E20" ca="1">_FV(C20,"Price")</f>
        <v>502.09</v>
      </c>
      <c r="F20" s="46">
        <f t="shared" ca="1" si="0"/>
        <v>1048.4141289999998</v>
      </c>
      <c r="G20" s="28">
        <f t="shared" ca="1" si="1"/>
        <v>2.6025654557498782E-2</v>
      </c>
      <c r="H20" s="104"/>
      <c r="I20" s="295" t="s">
        <v>22</v>
      </c>
      <c r="J20" s="205">
        <f>'Data &amp; Analysis'!AC20</f>
        <v>0.12596392089532724</v>
      </c>
      <c r="K20" s="205">
        <f>'Data &amp; Analysis'!AD20</f>
        <v>-7.5658467551289937E-2</v>
      </c>
      <c r="L20" s="205">
        <f>'Data &amp; Analysis'!AE20</f>
        <v>-4.8546702518121355E-2</v>
      </c>
      <c r="M20" s="205">
        <f>'Data &amp; Analysis'!AF20</f>
        <v>-0.1591882963849898</v>
      </c>
      <c r="N20" s="205">
        <f>'Data &amp; Analysis'!AG20</f>
        <v>0.63795980580926481</v>
      </c>
      <c r="O20" s="205">
        <f>'Data &amp; Analysis'!AH20</f>
        <v>0.49536374229183228</v>
      </c>
      <c r="P20" s="205">
        <f>'Data &amp; Analysis'!AI20</f>
        <v>-4.982338368777018E-2</v>
      </c>
      <c r="Q20" s="205">
        <f>'Data &amp; Analysis'!AJ20</f>
        <v>0.10815792239870006</v>
      </c>
      <c r="R20" s="206">
        <f ca="1">'Data &amp; Analysis'!AK20</f>
        <v>0.29773108504012707</v>
      </c>
      <c r="S20" s="209">
        <f t="shared" ca="1" si="2"/>
        <v>0.1479955140325645</v>
      </c>
      <c r="T20" s="209">
        <f t="shared" ca="1" si="3"/>
        <v>0.275537432867896</v>
      </c>
      <c r="U20" s="210" cm="1">
        <f t="array" aca="1" ref="U20" ca="1">_FV('Data &amp; Analysis'!C20,"Beta")</f>
        <v>0.17230000000000001</v>
      </c>
      <c r="V20" s="28"/>
      <c r="W20" s="28"/>
      <c r="X20" s="28"/>
      <c r="Y20" s="151"/>
      <c r="XEC20" s="4" t="s">
        <v>22</v>
      </c>
      <c r="XED20" s="45" t="e" vm="17">
        <v>#VALUE!</v>
      </c>
      <c r="XEE20" s="45">
        <v>10.9633</v>
      </c>
      <c r="XEF20" s="46" cm="1">
        <f t="array" aca="1" ref="XEF20" ca="1">_FV(XED20,"Price")</f>
        <v>136.04</v>
      </c>
      <c r="XEG20" s="46">
        <f t="shared" ca="1" si="4"/>
        <v>1491.447332</v>
      </c>
      <c r="XEH20" s="28">
        <f t="shared" ca="1" si="5"/>
        <v>3.7031253402124667E-2</v>
      </c>
    </row>
    <row r="21" spans="1:25 16357:16362" ht="12.95" customHeight="1" x14ac:dyDescent="0.2">
      <c r="A21" s="4"/>
      <c r="B21" s="4" t="s">
        <v>22</v>
      </c>
      <c r="C21" s="45" t="e" vm="17">
        <v>#VALUE!</v>
      </c>
      <c r="D21" s="146">
        <v>13.164350000000001</v>
      </c>
      <c r="E21" s="46" cm="1">
        <f t="array" aca="1" ref="E21" ca="1">_FV(C21,"Price")</f>
        <v>136.04</v>
      </c>
      <c r="F21" s="46">
        <f t="shared" ca="1" si="0"/>
        <v>1790.8781739999999</v>
      </c>
      <c r="G21" s="28">
        <f ca="1">F21/$F$27</f>
        <v>4.4456456110091407E-2</v>
      </c>
      <c r="H21" s="104"/>
      <c r="I21" s="296" t="s">
        <v>97</v>
      </c>
      <c r="J21" s="205">
        <f>'Data &amp; Analysis'!AC21</f>
        <v>0.27401024835307808</v>
      </c>
      <c r="K21" s="205">
        <f>'Data &amp; Analysis'!AD21</f>
        <v>0.11831671462303935</v>
      </c>
      <c r="L21" s="205">
        <f>'Data &amp; Analysis'!AE21</f>
        <v>0.37186299184836197</v>
      </c>
      <c r="M21" s="205">
        <f>'Data &amp; Analysis'!AF21</f>
        <v>0.21461306143047809</v>
      </c>
      <c r="N21" s="205">
        <f>'Data &amp; Analysis'!AG21</f>
        <v>0.37391828608467198</v>
      </c>
      <c r="O21" s="205">
        <f>'Data &amp; Analysis'!AH21</f>
        <v>2.5568673315498613E-2</v>
      </c>
      <c r="P21" s="205">
        <f>'Data &amp; Analysis'!AI21</f>
        <v>0.36430549612903168</v>
      </c>
      <c r="Q21" s="205">
        <f>'Data &amp; Analysis'!AJ21</f>
        <v>0.35411292714340964</v>
      </c>
      <c r="R21" s="206">
        <f ca="1">'Data &amp; Analysis'!AK21</f>
        <v>-2.5405629215867545E-2</v>
      </c>
      <c r="S21" s="209">
        <f t="shared" ca="1" si="2"/>
        <v>0.23014475219018907</v>
      </c>
      <c r="T21" s="209">
        <f t="shared" ca="1" si="3"/>
        <v>0.15650495070360057</v>
      </c>
      <c r="U21" s="210" cm="1">
        <f t="array" aca="1" ref="U21" ca="1">_FV('Data &amp; Analysis'!C21,"Beta")</f>
        <v>0.87080000000000002</v>
      </c>
      <c r="V21" s="152"/>
      <c r="W21" s="152"/>
      <c r="X21" s="152"/>
      <c r="Y21" s="152"/>
      <c r="XEC21" s="4" t="s">
        <v>9</v>
      </c>
      <c r="XED21" s="45" t="e" vm="10">
        <v>#VALUE!</v>
      </c>
      <c r="XEE21" s="45">
        <v>2.8605</v>
      </c>
      <c r="XEF21" s="46" cm="1">
        <f t="array" aca="1" ref="XEF21" ca="1">_FV(XED21,"Price")</f>
        <v>411.84</v>
      </c>
      <c r="XEG21" s="46">
        <f t="shared" ca="1" si="4"/>
        <v>1178.0683199999999</v>
      </c>
      <c r="XEH21" s="28">
        <f t="shared" ca="1" si="5"/>
        <v>2.9250343305408311E-2</v>
      </c>
    </row>
    <row r="22" spans="1:25 16357:16362" ht="12.95" customHeight="1" x14ac:dyDescent="0.2">
      <c r="A22" s="4"/>
      <c r="B22" s="4" t="s">
        <v>21</v>
      </c>
      <c r="C22" s="45" t="e" vm="18">
        <v>#VALUE!</v>
      </c>
      <c r="D22" s="146">
        <v>8.1309699999999996</v>
      </c>
      <c r="E22" s="46" cm="1">
        <f t="array" aca="1" ref="E22" ca="1">_FV(C22,"Price")</f>
        <v>107.98</v>
      </c>
      <c r="F22" s="46">
        <f t="shared" ca="1" si="0"/>
        <v>877.98214059999998</v>
      </c>
      <c r="G22" s="28">
        <f t="shared" ref="G22:G24" ca="1" si="6">F22/$F$27</f>
        <v>2.1794879777806708E-2</v>
      </c>
      <c r="H22" s="104"/>
      <c r="I22" s="295" t="s">
        <v>98</v>
      </c>
      <c r="J22" s="205">
        <f>'Data &amp; Analysis'!AC22</f>
        <v>0.41970703232478729</v>
      </c>
      <c r="K22" s="205">
        <f>'Data &amp; Analysis'!AD22</f>
        <v>9.6729626458551113E-2</v>
      </c>
      <c r="L22" s="205">
        <f>'Data &amp; Analysis'!AE22</f>
        <v>0.39965294851859434</v>
      </c>
      <c r="M22" s="205">
        <f>'Data &amp; Analysis'!AF22</f>
        <v>-1.6515347018664955E-2</v>
      </c>
      <c r="N22" s="205">
        <f>'Data &amp; Analysis'!AG22</f>
        <v>0.1694630080976339</v>
      </c>
      <c r="O22" s="205">
        <f>'Data &amp; Analysis'!AH22</f>
        <v>3.219697542127245E-2</v>
      </c>
      <c r="P22" s="205">
        <f>'Data &amp; Analysis'!AI22</f>
        <v>0.18626039926549542</v>
      </c>
      <c r="Q22" s="205">
        <f>'Data &amp; Analysis'!AJ22</f>
        <v>0.23770657612891552</v>
      </c>
      <c r="R22" s="206">
        <f ca="1">'Data &amp; Analysis'!AK22</f>
        <v>1.1705916546780337E-2</v>
      </c>
      <c r="S22" s="209">
        <f t="shared" ca="1" si="2"/>
        <v>0.17076745952704062</v>
      </c>
      <c r="T22" s="209">
        <f t="shared" ca="1" si="3"/>
        <v>0.15974231591692434</v>
      </c>
      <c r="U22" s="210" cm="1">
        <f t="array" aca="1" ref="U22" ca="1">_FV('Data &amp; Analysis'!C22,"Beta")</f>
        <v>0.74750000000000005</v>
      </c>
      <c r="V22" s="152"/>
      <c r="W22" s="152"/>
      <c r="X22" s="152"/>
      <c r="Y22" s="152"/>
      <c r="XEC22" s="4" t="s">
        <v>19</v>
      </c>
      <c r="XED22" s="45" t="e" vm="14">
        <v>#VALUE!</v>
      </c>
      <c r="XEE22" s="45">
        <v>7</v>
      </c>
      <c r="XEF22" s="46" cm="1">
        <f t="array" aca="1" ref="XEF22" ca="1">_FV(XED22,"Price")</f>
        <v>114.29</v>
      </c>
      <c r="XEG22" s="46">
        <f t="shared" ca="1" si="4"/>
        <v>800.03000000000009</v>
      </c>
      <c r="XEH22" s="28">
        <f t="shared" ca="1" si="5"/>
        <v>1.9864002585712363E-2</v>
      </c>
    </row>
    <row r="23" spans="1:25 16357:16362" ht="12.95" customHeight="1" x14ac:dyDescent="0.2">
      <c r="A23" s="132"/>
      <c r="B23" s="69" t="s">
        <v>100</v>
      </c>
      <c r="C23" s="70" t="e" vm="19">
        <v>#VALUE!</v>
      </c>
      <c r="D23" s="147">
        <v>10</v>
      </c>
      <c r="E23" s="72" cm="1">
        <f t="array" aca="1" ref="E23" ca="1">_FV(C23,"Price")</f>
        <v>128.31</v>
      </c>
      <c r="F23" s="72">
        <f t="shared" ca="1" si="0"/>
        <v>1283.0999999999999</v>
      </c>
      <c r="G23" s="28">
        <f t="shared" ca="1" si="6"/>
        <v>3.1851456823248032E-2</v>
      </c>
      <c r="H23" s="104"/>
      <c r="I23" s="295" t="s">
        <v>99</v>
      </c>
      <c r="J23" s="205">
        <f>'Data &amp; Analysis'!AC23</f>
        <v>2.3095714794649176E-2</v>
      </c>
      <c r="K23" s="205">
        <f>'Data &amp; Analysis'!AD23</f>
        <v>0.18896812227067405</v>
      </c>
      <c r="L23" s="205">
        <f>'Data &amp; Analysis'!AE23</f>
        <v>0.45795936699651568</v>
      </c>
      <c r="M23" s="205">
        <f>'Data &amp; Analysis'!AF23</f>
        <v>-8.5043348737514554E-2</v>
      </c>
      <c r="N23" s="205">
        <f>'Data &amp; Analysis'!AG23</f>
        <v>0.24864438098708047</v>
      </c>
      <c r="O23" s="205">
        <f>'Data &amp; Analysis'!AH23</f>
        <v>5.5520652973344534E-2</v>
      </c>
      <c r="P23" s="205">
        <f>'Data &amp; Analysis'!AI23</f>
        <v>0.10862422612665908</v>
      </c>
      <c r="Q23" s="205">
        <f>'Data &amp; Analysis'!AJ23</f>
        <v>0.25899571128986043</v>
      </c>
      <c r="R23" s="206">
        <f ca="1">'Data &amp; Analysis'!AK23</f>
        <v>0.19665352366079</v>
      </c>
      <c r="S23" s="209">
        <f t="shared" ca="1" si="2"/>
        <v>0.16149092781800653</v>
      </c>
      <c r="T23" s="209">
        <f t="shared" ca="1" si="3"/>
        <v>0.15848691538752926</v>
      </c>
      <c r="U23" s="210" cm="1">
        <f t="array" aca="1" ref="U23" ca="1">_FV('Data &amp; Analysis'!C23,"Beta")</f>
        <v>0.31919999999999998</v>
      </c>
      <c r="V23" s="152"/>
      <c r="W23" s="152"/>
      <c r="X23" s="152"/>
      <c r="Y23" s="152"/>
      <c r="XEC23" s="4" t="s">
        <v>18</v>
      </c>
      <c r="XED23" s="45" t="e" vm="13">
        <v>#VALUE!</v>
      </c>
      <c r="XEE23" s="45">
        <v>5</v>
      </c>
      <c r="XEF23" s="46" cm="1">
        <f t="array" aca="1" ref="XEF23" ca="1">_FV(XED23,"Price")</f>
        <v>539.49</v>
      </c>
      <c r="XEG23" s="46">
        <f t="shared" ca="1" si="4"/>
        <v>2697.45</v>
      </c>
      <c r="XEH23" s="28">
        <f t="shared" ca="1" si="5"/>
        <v>6.6975180649262903E-2</v>
      </c>
    </row>
    <row r="24" spans="1:25 16357:16362" s="25" customFormat="1" ht="12.95" customHeight="1" x14ac:dyDescent="0.2">
      <c r="A24" s="69"/>
      <c r="B24" s="69" t="s">
        <v>99</v>
      </c>
      <c r="C24" s="72" t="e" vm="20">
        <v>#VALUE!</v>
      </c>
      <c r="D24" s="146">
        <v>11.0205</v>
      </c>
      <c r="E24" s="72" cm="1">
        <f t="array" aca="1" ref="E24" ca="1">_FV(C24,"Price")</f>
        <v>96.75</v>
      </c>
      <c r="F24" s="72">
        <f t="shared" ca="1" si="0"/>
        <v>1066.233375</v>
      </c>
      <c r="G24" s="28">
        <f t="shared" ca="1" si="6"/>
        <v>2.6467996498572621E-2</v>
      </c>
      <c r="H24" s="104"/>
      <c r="I24" s="297" t="s">
        <v>100</v>
      </c>
      <c r="J24" s="205">
        <f>'Data &amp; Analysis'!AC24</f>
        <v>0.10045711004876699</v>
      </c>
      <c r="K24" s="205">
        <f>'Data &amp; Analysis'!AD24</f>
        <v>0.21050135400916892</v>
      </c>
      <c r="L24" s="205">
        <f>'Data &amp; Analysis'!AE24</f>
        <v>0.19606773304565306</v>
      </c>
      <c r="M24" s="205">
        <f>'Data &amp; Analysis'!AF24</f>
        <v>5.2736296080943136E-2</v>
      </c>
      <c r="N24" s="205">
        <f>'Data &amp; Analysis'!AG24</f>
        <v>0.19234302387047972</v>
      </c>
      <c r="O24" s="205">
        <f>'Data &amp; Analysis'!AH24</f>
        <v>5.5722028862860651E-2</v>
      </c>
      <c r="P24" s="205">
        <f>'Data &amp; Analysis'!AI24</f>
        <v>2.0597050996409509E-2</v>
      </c>
      <c r="Q24" s="205">
        <f>'Data &amp; Analysis'!AJ24</f>
        <v>0.23311266106409623</v>
      </c>
      <c r="R24" s="208">
        <f ca="1">'Data &amp; Analysis'!AK24</f>
        <v>0.19547871316216736</v>
      </c>
      <c r="S24" s="209">
        <f t="shared" ca="1" si="2"/>
        <v>0.13966844123783839</v>
      </c>
      <c r="T24" s="209">
        <f t="shared" ca="1" si="3"/>
        <v>8.1500862307307451E-2</v>
      </c>
      <c r="U24" s="210" cm="1">
        <f t="array" aca="1" ref="U24" ca="1">_FV('Data &amp; Analysis'!C24,"Beta")</f>
        <v>0.36099999999999999</v>
      </c>
      <c r="V24" s="152"/>
      <c r="W24" s="152"/>
      <c r="X24" s="152"/>
      <c r="Y24" s="152"/>
      <c r="XEC24" s="4" t="s">
        <v>15</v>
      </c>
      <c r="XED24" s="45" t="e" vm="15">
        <v>#VALUE!</v>
      </c>
      <c r="XEE24" s="45">
        <v>4.5722199999999997</v>
      </c>
      <c r="XEF24" s="46" cm="1">
        <f t="array" aca="1" ref="XEF24" ca="1">_FV(XED24,"Price")</f>
        <v>353.65</v>
      </c>
      <c r="XEG24" s="46">
        <f t="shared" ca="1" si="4"/>
        <v>1616.9656029999999</v>
      </c>
      <c r="XEH24" s="28">
        <f t="shared" ca="1" si="5"/>
        <v>4.0147755607914629E-2</v>
      </c>
    </row>
    <row r="25" spans="1:25 16357:16362" ht="12.95" customHeight="1" x14ac:dyDescent="0.2">
      <c r="B25" s="69" t="s">
        <v>101</v>
      </c>
      <c r="C25" s="70" t="s">
        <v>101</v>
      </c>
      <c r="D25" s="70" t="s">
        <v>101</v>
      </c>
      <c r="E25" s="70" t="s">
        <v>101</v>
      </c>
      <c r="F25" s="70" t="s">
        <v>101</v>
      </c>
      <c r="G25" s="28">
        <v>0</v>
      </c>
      <c r="H25" s="104"/>
      <c r="I25" s="42"/>
      <c r="J25" s="6"/>
      <c r="K25" s="6"/>
      <c r="L25" s="6"/>
      <c r="M25" s="6"/>
      <c r="N25" s="6"/>
      <c r="O25" s="6"/>
      <c r="P25" s="27"/>
      <c r="Q25" s="28"/>
      <c r="XEC25" s="4" t="s">
        <v>20</v>
      </c>
      <c r="XED25" s="45" t="e" vm="16">
        <v>#VALUE!</v>
      </c>
      <c r="XEE25" s="45">
        <v>2.0880999999999998</v>
      </c>
      <c r="XEF25" s="46" cm="1">
        <f t="array" aca="1" ref="XEF25" ca="1">_FV(XED25,"Price")</f>
        <v>502.09</v>
      </c>
      <c r="XEG25" s="46">
        <f t="shared" ca="1" si="4"/>
        <v>1048.4141289999998</v>
      </c>
      <c r="XEH25" s="28">
        <f t="shared" ca="1" si="5"/>
        <v>2.6031150043565075E-2</v>
      </c>
    </row>
    <row r="26" spans="1:25 16357:16362" ht="12.95" customHeight="1" thickBot="1" x14ac:dyDescent="0.25">
      <c r="B26" s="69" t="s">
        <v>101</v>
      </c>
      <c r="C26" s="70" t="s">
        <v>101</v>
      </c>
      <c r="D26" s="70" t="s">
        <v>101</v>
      </c>
      <c r="E26" s="70" t="s">
        <v>101</v>
      </c>
      <c r="F26" s="70" t="s">
        <v>101</v>
      </c>
      <c r="G26" s="28">
        <v>0</v>
      </c>
      <c r="H26" s="104"/>
      <c r="I26" s="5"/>
      <c r="J26" s="6"/>
      <c r="K26" s="6"/>
      <c r="L26" s="6"/>
      <c r="M26" s="6"/>
      <c r="N26" s="6"/>
      <c r="O26" s="6"/>
      <c r="P26" s="27"/>
      <c r="Q26" s="29"/>
      <c r="XEC26" s="69" t="s">
        <v>99</v>
      </c>
      <c r="XED26" s="72" t="e" vm="20">
        <v>#VALUE!</v>
      </c>
      <c r="XEE26" s="70">
        <v>9.2204999999999995</v>
      </c>
      <c r="XEF26" s="72" cm="1">
        <f t="array" aca="1" ref="XEF26" ca="1">_FV(XED26,"Price")</f>
        <v>96.75</v>
      </c>
      <c r="XEG26" s="72">
        <f t="shared" ca="1" si="4"/>
        <v>892.08337499999993</v>
      </c>
      <c r="XEH26" s="28">
        <f t="shared" ca="1" si="5"/>
        <v>2.2149602474495964E-2</v>
      </c>
    </row>
    <row r="27" spans="1:25 16357:16362" ht="12.95" customHeight="1" x14ac:dyDescent="0.2">
      <c r="B27" s="133"/>
      <c r="E27" s="74" t="s">
        <v>1</v>
      </c>
      <c r="F27" s="75">
        <f ca="1">SUM(F5:F24)</f>
        <v>40283.871696049995</v>
      </c>
      <c r="G27" s="131">
        <f ca="1">SUM(G5:G24)</f>
        <v>1.0000000000000002</v>
      </c>
      <c r="H27" s="101"/>
      <c r="I27" s="103"/>
      <c r="J27" s="102"/>
      <c r="K27" s="102"/>
      <c r="L27" s="6"/>
      <c r="M27" s="6"/>
      <c r="N27" s="6"/>
      <c r="O27" s="6"/>
      <c r="P27" s="6"/>
      <c r="Q27" s="30"/>
      <c r="XEC27" s="4" t="s">
        <v>21</v>
      </c>
      <c r="XED27" s="45" t="e" vm="18">
        <v>#VALUE!</v>
      </c>
      <c r="XEE27" s="3">
        <v>8.1309699999999996</v>
      </c>
      <c r="XEF27" s="46" cm="1">
        <f t="array" aca="1" ref="XEF27" ca="1">_FV(XED27,"Price")</f>
        <v>107.98</v>
      </c>
      <c r="XEG27" s="46">
        <f t="shared" ca="1" si="4"/>
        <v>877.98214059999998</v>
      </c>
      <c r="XEH27" s="28">
        <f t="shared" ca="1" si="5"/>
        <v>2.1799481908288027E-2</v>
      </c>
    </row>
    <row r="28" spans="1:25 16357:16362" ht="12.95" customHeight="1" x14ac:dyDescent="0.2">
      <c r="B28" s="133"/>
      <c r="E28" s="144" t="s">
        <v>126</v>
      </c>
      <c r="F28" s="76">
        <f ca="1">XEG31</f>
        <v>40275.367290549992</v>
      </c>
      <c r="G28" s="105"/>
      <c r="I28" s="5"/>
      <c r="J28" s="6"/>
      <c r="K28" s="6"/>
      <c r="L28" s="6"/>
      <c r="M28" s="6"/>
      <c r="N28" s="6"/>
      <c r="O28" s="6"/>
      <c r="P28" s="6"/>
      <c r="Q28" s="30"/>
      <c r="XEC28" s="69" t="s">
        <v>100</v>
      </c>
      <c r="XED28" s="70" t="e" vm="19">
        <v>#VALUE!</v>
      </c>
      <c r="XEE28" s="134">
        <v>4.47715</v>
      </c>
      <c r="XEF28" s="72" cm="1">
        <f t="array" aca="1" ref="XEF28" ca="1">_FV(XED28,"Price")</f>
        <v>128.31</v>
      </c>
      <c r="XEG28" s="72">
        <f t="shared" ca="1" si="4"/>
        <v>574.46311649999996</v>
      </c>
      <c r="XEH28" s="28">
        <f t="shared" ca="1" si="5"/>
        <v>1.4263386162459382E-2</v>
      </c>
    </row>
    <row r="29" spans="1:25 16357:16362" ht="12.95" customHeight="1" thickBot="1" x14ac:dyDescent="0.25">
      <c r="E29" s="145" t="s">
        <v>127</v>
      </c>
      <c r="F29" s="100">
        <f ca="1">F28-F27</f>
        <v>-8.5044055000034859</v>
      </c>
      <c r="G29" s="108"/>
      <c r="XEC29" s="69" t="s">
        <v>101</v>
      </c>
      <c r="XED29" s="70" t="s">
        <v>101</v>
      </c>
      <c r="XEE29" s="70" t="s">
        <v>101</v>
      </c>
      <c r="XEF29" s="70" t="s">
        <v>101</v>
      </c>
      <c r="XEG29" s="70" t="s">
        <v>101</v>
      </c>
      <c r="XEH29" s="28">
        <v>0</v>
      </c>
    </row>
    <row r="30" spans="1:25 16357:16362" ht="12.95" customHeight="1" thickBot="1" x14ac:dyDescent="0.25">
      <c r="XEC30" s="69" t="s">
        <v>101</v>
      </c>
      <c r="XED30" s="70" t="s">
        <v>101</v>
      </c>
      <c r="XEE30" s="70" t="s">
        <v>101</v>
      </c>
      <c r="XEF30" s="70" t="s">
        <v>101</v>
      </c>
      <c r="XEG30" s="70" t="s">
        <v>101</v>
      </c>
      <c r="XEH30" s="28">
        <v>0</v>
      </c>
    </row>
    <row r="31" spans="1:25 16357:16362" ht="12.95" customHeight="1" x14ac:dyDescent="0.2">
      <c r="B31" s="9" t="s">
        <v>60</v>
      </c>
      <c r="I31" s="9" t="s">
        <v>142</v>
      </c>
      <c r="O31" s="64"/>
      <c r="Q31" s="9"/>
      <c r="W31" s="9"/>
      <c r="XEF31" s="74" t="s">
        <v>1</v>
      </c>
      <c r="XEG31" s="75">
        <f ca="1">SUM(XEG9:XEG28)</f>
        <v>40275.367290549992</v>
      </c>
      <c r="XEH31" s="131">
        <f ca="1">SUM(XEH9:XEH28)</f>
        <v>1.0000000000000002</v>
      </c>
    </row>
    <row r="32" spans="1:25 16357:16362" ht="12.95" customHeight="1" x14ac:dyDescent="0.2">
      <c r="B32" s="8"/>
      <c r="C32" s="18" t="s">
        <v>66</v>
      </c>
      <c r="D32" s="16"/>
      <c r="E32" s="17" t="s">
        <v>4</v>
      </c>
      <c r="F32" s="19"/>
      <c r="G32" s="204"/>
      <c r="I32" s="38" t="s">
        <v>55</v>
      </c>
      <c r="J32" s="36" t="s">
        <v>36</v>
      </c>
      <c r="K32" s="77" t="s">
        <v>114</v>
      </c>
      <c r="L32" s="37" t="s">
        <v>37</v>
      </c>
      <c r="M32" s="37" t="s">
        <v>57</v>
      </c>
      <c r="N32" s="37" t="s">
        <v>57</v>
      </c>
      <c r="O32" s="37" t="s">
        <v>57</v>
      </c>
      <c r="P32" s="37" t="s">
        <v>57</v>
      </c>
      <c r="Q32" s="37" t="s">
        <v>85</v>
      </c>
      <c r="R32" s="37" t="s">
        <v>85</v>
      </c>
      <c r="S32" s="37" t="s">
        <v>85</v>
      </c>
      <c r="T32" s="121" t="s">
        <v>242</v>
      </c>
      <c r="U32" s="111" t="s">
        <v>85</v>
      </c>
      <c r="W32" s="153"/>
      <c r="XEF32" s="98" t="s">
        <v>115</v>
      </c>
      <c r="XEG32" s="76">
        <v>0</v>
      </c>
      <c r="XEH32" s="105"/>
    </row>
    <row r="33" spans="2:28 16360:16362" ht="12.95" customHeight="1" thickBot="1" x14ac:dyDescent="0.25">
      <c r="B33" s="15" t="s">
        <v>7</v>
      </c>
      <c r="C33" s="17" t="s">
        <v>61</v>
      </c>
      <c r="D33" s="16"/>
      <c r="E33" s="17" t="s">
        <v>77</v>
      </c>
      <c r="F33" s="16"/>
      <c r="I33" s="248" t="s">
        <v>202</v>
      </c>
      <c r="J33" s="31" t="s">
        <v>56</v>
      </c>
      <c r="K33" s="90" t="s">
        <v>56</v>
      </c>
      <c r="L33" s="106" t="s">
        <v>56</v>
      </c>
      <c r="M33" s="298" t="s">
        <v>288</v>
      </c>
      <c r="N33" s="247" t="s">
        <v>200</v>
      </c>
      <c r="O33" s="247" t="s">
        <v>112</v>
      </c>
      <c r="P33" s="247" t="s">
        <v>101</v>
      </c>
      <c r="Q33" s="247" t="s">
        <v>101</v>
      </c>
      <c r="R33" s="298" t="s">
        <v>116</v>
      </c>
      <c r="S33" s="109" t="s">
        <v>118</v>
      </c>
      <c r="T33" s="266" t="s">
        <v>101</v>
      </c>
      <c r="U33" s="299" t="s">
        <v>289</v>
      </c>
      <c r="W33" s="153"/>
      <c r="XEF33" s="99" t="s">
        <v>117</v>
      </c>
      <c r="XEG33" s="100">
        <f ca="1">XEG31+XEG32</f>
        <v>40275.367290549992</v>
      </c>
      <c r="XEH33" s="108"/>
    </row>
    <row r="34" spans="2:28 16360:16362" ht="12.95" customHeight="1" x14ac:dyDescent="0.2">
      <c r="B34" s="14" t="s">
        <v>10</v>
      </c>
      <c r="C34" s="17" t="s">
        <v>62</v>
      </c>
      <c r="D34" s="16"/>
      <c r="E34" s="17" t="s">
        <v>78</v>
      </c>
      <c r="F34" s="16"/>
      <c r="I34" s="38"/>
      <c r="J34" s="110" t="s">
        <v>119</v>
      </c>
      <c r="K34" s="78"/>
      <c r="L34" s="8"/>
      <c r="M34" s="8"/>
      <c r="N34" s="8"/>
      <c r="O34" s="8"/>
      <c r="P34" s="8"/>
      <c r="Q34" s="8"/>
      <c r="R34" s="8"/>
      <c r="S34" s="8"/>
      <c r="T34" s="122"/>
      <c r="U34" s="112"/>
      <c r="W34" s="154"/>
    </row>
    <row r="35" spans="2:28 16360:16362" ht="12.95" customHeight="1" x14ac:dyDescent="0.2">
      <c r="B35" s="14" t="s">
        <v>9</v>
      </c>
      <c r="C35" s="17" t="s">
        <v>63</v>
      </c>
      <c r="D35" s="16"/>
      <c r="E35" s="17" t="s">
        <v>79</v>
      </c>
      <c r="F35" s="16"/>
      <c r="I35" s="39" t="s">
        <v>7</v>
      </c>
      <c r="J35" s="32">
        <f ca="1">XEH9</f>
        <v>0.10776749144677331</v>
      </c>
      <c r="K35" s="79">
        <f ca="1">G5</f>
        <v>0.10774474044473714</v>
      </c>
      <c r="L35" s="91">
        <v>0.05</v>
      </c>
      <c r="M35" s="58">
        <v>0.11124071662512393</v>
      </c>
      <c r="N35" s="58">
        <v>1.5000000000000001E-2</v>
      </c>
      <c r="O35" s="58">
        <v>1.5000000000000001E-2</v>
      </c>
      <c r="P35" s="58">
        <v>6.5000000000000002E-2</v>
      </c>
      <c r="Q35" s="58">
        <v>6.2101470707168455E-2</v>
      </c>
      <c r="R35" s="91">
        <v>1.4999999999999999E-2</v>
      </c>
      <c r="S35" s="91">
        <v>3.3242566744126713E-2</v>
      </c>
      <c r="T35" s="123">
        <v>5.633741801981542E-2</v>
      </c>
      <c r="U35" s="113">
        <v>1.4999999999999999E-2</v>
      </c>
      <c r="W35" s="154"/>
    </row>
    <row r="36" spans="2:28 16360:16362" ht="12.95" customHeight="1" x14ac:dyDescent="0.2">
      <c r="B36" s="14" t="s">
        <v>12</v>
      </c>
      <c r="C36" s="17" t="s">
        <v>64</v>
      </c>
      <c r="D36" s="16"/>
      <c r="E36" s="17" t="s">
        <v>80</v>
      </c>
      <c r="F36" s="16"/>
      <c r="I36" s="38" t="s">
        <v>10</v>
      </c>
      <c r="J36" s="32">
        <f ca="1">XEH10</f>
        <v>0.10971246812283654</v>
      </c>
      <c r="K36" s="79">
        <f ca="1">G6</f>
        <v>0.10968930651303987</v>
      </c>
      <c r="L36" s="91">
        <v>0.05</v>
      </c>
      <c r="M36" s="58">
        <v>7.611790731115721E-2</v>
      </c>
      <c r="N36" s="58">
        <v>1.4999999999999999E-2</v>
      </c>
      <c r="O36" s="58">
        <v>1.4999999999999999E-2</v>
      </c>
      <c r="P36" s="58">
        <v>6.4999999999999988E-2</v>
      </c>
      <c r="Q36" s="58">
        <v>0.12</v>
      </c>
      <c r="R36" s="91">
        <v>1.4999999999999999E-2</v>
      </c>
      <c r="S36" s="91">
        <v>0.12</v>
      </c>
      <c r="T36" s="123">
        <v>0.12</v>
      </c>
      <c r="U36" s="113">
        <v>0.12</v>
      </c>
      <c r="W36" s="154"/>
    </row>
    <row r="37" spans="2:28 16360:16362" ht="12.95" customHeight="1" x14ac:dyDescent="0.2">
      <c r="B37" s="14" t="s">
        <v>13</v>
      </c>
      <c r="C37" s="17" t="s">
        <v>65</v>
      </c>
      <c r="D37" s="16"/>
      <c r="E37" s="17" t="s">
        <v>81</v>
      </c>
      <c r="F37" s="16"/>
      <c r="I37" s="38" t="s">
        <v>9</v>
      </c>
      <c r="J37" s="32">
        <f ca="1">XEH21</f>
        <v>2.9250343305408311E-2</v>
      </c>
      <c r="K37" s="79">
        <f ca="1">G14</f>
        <v>2.0446892647629132E-2</v>
      </c>
      <c r="L37" s="91">
        <v>0.05</v>
      </c>
      <c r="M37" s="58">
        <v>1.4999999999999999E-2</v>
      </c>
      <c r="N37" s="58">
        <v>0.12</v>
      </c>
      <c r="O37" s="58">
        <v>5.8251972050897639E-2</v>
      </c>
      <c r="P37" s="58">
        <v>0.12</v>
      </c>
      <c r="Q37" s="58">
        <v>1.4999999999999999E-2</v>
      </c>
      <c r="R37" s="91">
        <v>4.6767986160366037E-2</v>
      </c>
      <c r="S37" s="91">
        <v>1.4999999999999998E-2</v>
      </c>
      <c r="T37" s="123">
        <v>1.4999999999999999E-2</v>
      </c>
      <c r="U37" s="113">
        <v>1.4999999999999999E-2</v>
      </c>
      <c r="W37" s="154"/>
    </row>
    <row r="38" spans="2:28 16360:16362" ht="12.95" customHeight="1" x14ac:dyDescent="0.2">
      <c r="B38" s="14" t="s">
        <v>14</v>
      </c>
      <c r="C38" s="17" t="s">
        <v>63</v>
      </c>
      <c r="D38" s="16"/>
      <c r="E38" s="17" t="s">
        <v>67</v>
      </c>
      <c r="F38" s="16"/>
      <c r="I38" s="38" t="s">
        <v>12</v>
      </c>
      <c r="J38" s="32">
        <f ca="1">XEH14</f>
        <v>6.855973023982552E-2</v>
      </c>
      <c r="K38" s="79">
        <f ca="1">G9</f>
        <v>4.8206471597426317E-2</v>
      </c>
      <c r="L38" s="91">
        <v>0.05</v>
      </c>
      <c r="M38" s="58">
        <v>3.0359509559919354E-2</v>
      </c>
      <c r="N38" s="58">
        <v>1.4999999999999999E-2</v>
      </c>
      <c r="O38" s="58">
        <v>1.4999999999999999E-2</v>
      </c>
      <c r="P38" s="58">
        <v>0.12</v>
      </c>
      <c r="Q38" s="58">
        <v>1.4999999999999999E-2</v>
      </c>
      <c r="R38" s="91">
        <v>1.4999999999999999E-2</v>
      </c>
      <c r="S38" s="91">
        <v>1.4999999999999999E-2</v>
      </c>
      <c r="T38" s="123">
        <v>1.4999999999999999E-2</v>
      </c>
      <c r="U38" s="113">
        <v>1.4999999999999999E-2</v>
      </c>
      <c r="W38" s="154"/>
    </row>
    <row r="39" spans="2:28 16360:16362" ht="12.95" customHeight="1" x14ac:dyDescent="0.2">
      <c r="B39" s="14" t="s">
        <v>11</v>
      </c>
      <c r="C39" s="17" t="s">
        <v>63</v>
      </c>
      <c r="D39" s="16"/>
      <c r="E39" s="17" t="s">
        <v>82</v>
      </c>
      <c r="F39" s="16"/>
      <c r="I39" s="38" t="s">
        <v>13</v>
      </c>
      <c r="J39" s="32">
        <f ca="1">XEH16</f>
        <v>5.5187372151452009E-2</v>
      </c>
      <c r="K39" s="79">
        <f ca="1">G12</f>
        <v>5.5175721439355695E-2</v>
      </c>
      <c r="L39" s="91">
        <v>0.05</v>
      </c>
      <c r="M39" s="58">
        <v>3.4901223547230305E-2</v>
      </c>
      <c r="N39" s="58">
        <v>1.4999999999999999E-2</v>
      </c>
      <c r="O39" s="58">
        <v>3.8503825675737458E-2</v>
      </c>
      <c r="P39" s="58">
        <v>0.12</v>
      </c>
      <c r="Q39" s="58">
        <v>0.12</v>
      </c>
      <c r="R39" s="91">
        <v>8.9076084100953801E-2</v>
      </c>
      <c r="S39" s="91">
        <v>0.12</v>
      </c>
      <c r="T39" s="123">
        <v>0.12</v>
      </c>
      <c r="U39" s="113">
        <v>0.12</v>
      </c>
      <c r="W39" s="154"/>
    </row>
    <row r="40" spans="2:28 16360:16362" ht="12.95" customHeight="1" x14ac:dyDescent="0.2">
      <c r="B40" s="14" t="s">
        <v>8</v>
      </c>
      <c r="C40" s="17" t="s">
        <v>61</v>
      </c>
      <c r="D40" s="16"/>
      <c r="E40" s="17" t="s">
        <v>77</v>
      </c>
      <c r="F40" s="16"/>
      <c r="I40" s="38" t="s">
        <v>14</v>
      </c>
      <c r="J40" s="32">
        <f ca="1">XEH13</f>
        <v>7.1549440609971607E-2</v>
      </c>
      <c r="K40" s="79">
        <f ca="1">G8</f>
        <v>7.1534335670187355E-2</v>
      </c>
      <c r="L40" s="91">
        <v>0.05</v>
      </c>
      <c r="M40" s="58">
        <v>3.5230068488827121E-2</v>
      </c>
      <c r="N40" s="58">
        <v>1.4999999999999999E-2</v>
      </c>
      <c r="O40" s="58">
        <v>1.4999999999999998E-2</v>
      </c>
      <c r="P40" s="58">
        <v>0.12</v>
      </c>
      <c r="Q40" s="58">
        <v>3.500000008652164E-2</v>
      </c>
      <c r="R40" s="91">
        <v>1.5000000000000001E-2</v>
      </c>
      <c r="S40" s="91">
        <v>4.0273530247084917E-2</v>
      </c>
      <c r="T40" s="123">
        <v>5.1669184547378053E-2</v>
      </c>
      <c r="U40" s="113">
        <v>3.4999999999999996E-2</v>
      </c>
      <c r="W40" s="154"/>
    </row>
    <row r="41" spans="2:28 16360:16362" ht="12.95" customHeight="1" x14ac:dyDescent="0.2">
      <c r="B41" s="14" t="s">
        <v>15</v>
      </c>
      <c r="C41" s="17" t="s">
        <v>68</v>
      </c>
      <c r="D41" s="16"/>
      <c r="E41" s="17" t="s">
        <v>67</v>
      </c>
      <c r="F41" s="19"/>
      <c r="G41" s="204"/>
      <c r="I41" s="38" t="s">
        <v>11</v>
      </c>
      <c r="J41" s="32">
        <f ca="1">XEH17</f>
        <v>4.7218393075864375E-2</v>
      </c>
      <c r="K41" s="79">
        <f ca="1">G10</f>
        <v>4.7208424710241385E-2</v>
      </c>
      <c r="L41" s="91">
        <v>0.05</v>
      </c>
      <c r="M41" s="58">
        <v>3.5868161994945719E-2</v>
      </c>
      <c r="N41" s="58">
        <v>1.4999999999999999E-2</v>
      </c>
      <c r="O41" s="58">
        <v>1.4999999999999999E-2</v>
      </c>
      <c r="P41" s="58">
        <v>-0.13862171899229855</v>
      </c>
      <c r="Q41" s="58">
        <v>0.12</v>
      </c>
      <c r="R41" s="91">
        <v>1.4999999999999999E-2</v>
      </c>
      <c r="S41" s="91">
        <v>1.4999999999999999E-2</v>
      </c>
      <c r="T41" s="123">
        <v>1.4999999999999999E-2</v>
      </c>
      <c r="U41" s="113">
        <v>0.12</v>
      </c>
      <c r="W41" s="154"/>
    </row>
    <row r="42" spans="2:28 16360:16362" ht="12.95" customHeight="1" x14ac:dyDescent="0.2">
      <c r="B42" s="14" t="s">
        <v>16</v>
      </c>
      <c r="C42" s="17" t="s">
        <v>68</v>
      </c>
      <c r="D42" s="16"/>
      <c r="E42" s="17" t="s">
        <v>69</v>
      </c>
      <c r="F42" s="19"/>
      <c r="G42" s="204"/>
      <c r="I42" s="38" t="s">
        <v>8</v>
      </c>
      <c r="J42" s="32">
        <f ca="1">XEH15</f>
        <v>6.2008764612457891E-2</v>
      </c>
      <c r="K42" s="79">
        <f ca="1">G11</f>
        <v>6.1995673823101852E-2</v>
      </c>
      <c r="L42" s="91">
        <v>0.05</v>
      </c>
      <c r="M42" s="58">
        <v>7.3759283266242634E-2</v>
      </c>
      <c r="N42" s="58">
        <v>7.9231865816256061E-2</v>
      </c>
      <c r="O42" s="58">
        <v>1.4999999999999999E-2</v>
      </c>
      <c r="P42" s="58">
        <v>0.12</v>
      </c>
      <c r="Q42" s="58">
        <v>2.0489901978610177E-2</v>
      </c>
      <c r="R42" s="91">
        <v>1.4999999999999999E-2</v>
      </c>
      <c r="S42" s="91">
        <v>6.065075130485683E-2</v>
      </c>
      <c r="T42" s="123">
        <v>6.664723025204361E-2</v>
      </c>
      <c r="U42" s="113">
        <v>1.4999999999999999E-2</v>
      </c>
      <c r="W42" s="154"/>
    </row>
    <row r="43" spans="2:28 16360:16362" ht="12.95" customHeight="1" x14ac:dyDescent="0.2">
      <c r="B43" s="14" t="s">
        <v>17</v>
      </c>
      <c r="C43" s="17" t="s">
        <v>70</v>
      </c>
      <c r="D43" s="16"/>
      <c r="E43" s="17" t="s">
        <v>71</v>
      </c>
      <c r="F43" s="19"/>
      <c r="G43" s="204"/>
      <c r="I43" s="38" t="s">
        <v>15</v>
      </c>
      <c r="J43" s="32">
        <f ca="1">XEH24</f>
        <v>4.0147755607914629E-2</v>
      </c>
      <c r="K43" s="79">
        <f ca="1">G19</f>
        <v>4.0139279938143341E-2</v>
      </c>
      <c r="L43" s="91">
        <v>0.05</v>
      </c>
      <c r="M43" s="58">
        <v>7.0134177511049445E-2</v>
      </c>
      <c r="N43" s="58">
        <v>0.05</v>
      </c>
      <c r="O43" s="58">
        <v>4.090463659792011E-2</v>
      </c>
      <c r="P43" s="58">
        <v>0.12</v>
      </c>
      <c r="Q43" s="58">
        <v>1.4999999999999999E-2</v>
      </c>
      <c r="R43" s="91">
        <v>4.5848699826902116E-2</v>
      </c>
      <c r="S43" s="91">
        <v>1.4999999999999999E-2</v>
      </c>
      <c r="T43" s="123">
        <v>1.4999999999999999E-2</v>
      </c>
      <c r="U43" s="113">
        <v>1.4999999999999999E-2</v>
      </c>
      <c r="W43" s="154"/>
    </row>
    <row r="44" spans="2:28 16360:16362" ht="12.95" customHeight="1" x14ac:dyDescent="0.2">
      <c r="B44" s="14" t="s">
        <v>18</v>
      </c>
      <c r="C44" s="17" t="s">
        <v>68</v>
      </c>
      <c r="D44" s="16"/>
      <c r="E44" s="17" t="s">
        <v>72</v>
      </c>
      <c r="F44" s="19"/>
      <c r="G44" s="204"/>
      <c r="I44" s="38" t="s">
        <v>16</v>
      </c>
      <c r="J44" s="32">
        <f ca="1">XEH18</f>
        <v>2.3533491157568951E-2</v>
      </c>
      <c r="K44" s="79">
        <f ca="1">G15</f>
        <v>2.3528522957065662E-2</v>
      </c>
      <c r="L44" s="91">
        <v>0.05</v>
      </c>
      <c r="M44" s="58">
        <v>3.9059216882430907E-2</v>
      </c>
      <c r="N44" s="58">
        <v>1.4999999999999999E-2</v>
      </c>
      <c r="O44" s="58">
        <v>1.4999999999999999E-2</v>
      </c>
      <c r="P44" s="58">
        <v>-5.4999996230640565E-2</v>
      </c>
      <c r="Q44" s="58">
        <v>1.4999999999999999E-2</v>
      </c>
      <c r="R44" s="91">
        <v>1.4999999999999999E-2</v>
      </c>
      <c r="S44" s="91">
        <v>1.4999999999999999E-2</v>
      </c>
      <c r="T44" s="123">
        <v>1.4999999999999999E-2</v>
      </c>
      <c r="U44" s="113">
        <v>3.6148423786397578E-2</v>
      </c>
      <c r="W44" s="154"/>
    </row>
    <row r="45" spans="2:28 16360:16362" ht="12.95" customHeight="1" x14ac:dyDescent="0.2">
      <c r="B45" s="14" t="s">
        <v>19</v>
      </c>
      <c r="C45" s="17" t="s">
        <v>63</v>
      </c>
      <c r="D45" s="16"/>
      <c r="E45" s="17" t="s">
        <v>73</v>
      </c>
      <c r="F45" s="19"/>
      <c r="G45" s="204"/>
      <c r="I45" s="38" t="s">
        <v>17</v>
      </c>
      <c r="J45" s="32">
        <f ca="1">XEH19</f>
        <v>3.8584232374328252E-2</v>
      </c>
      <c r="K45" s="79">
        <f ca="1">G16</f>
        <v>3.8576086782948812E-2</v>
      </c>
      <c r="L45" s="91">
        <v>0.05</v>
      </c>
      <c r="M45" s="58">
        <v>3.1969033600961275E-2</v>
      </c>
      <c r="N45" s="58">
        <v>1.4999999999999999E-2</v>
      </c>
      <c r="O45" s="58">
        <v>6.5000000000000002E-2</v>
      </c>
      <c r="P45" s="58">
        <v>6.5000000000000016E-2</v>
      </c>
      <c r="Q45" s="58">
        <v>6.4999999999999988E-2</v>
      </c>
      <c r="R45" s="91">
        <v>6.4999999999999974E-2</v>
      </c>
      <c r="S45" s="91">
        <v>6.5000000009126827E-2</v>
      </c>
      <c r="T45" s="123">
        <v>6.4999999999999988E-2</v>
      </c>
      <c r="U45" s="113">
        <v>2.2467366621672896E-2</v>
      </c>
      <c r="W45" s="154"/>
    </row>
    <row r="46" spans="2:28 16360:16362" ht="12.95" customHeight="1" x14ac:dyDescent="0.2">
      <c r="B46" s="14" t="s">
        <v>20</v>
      </c>
      <c r="C46" s="17" t="s">
        <v>74</v>
      </c>
      <c r="D46" s="16"/>
      <c r="E46" s="17" t="s">
        <v>75</v>
      </c>
      <c r="F46" s="19"/>
      <c r="G46" s="204"/>
      <c r="I46" s="38" t="s">
        <v>18</v>
      </c>
      <c r="J46" s="32">
        <f ca="1">XEH23</f>
        <v>6.6975180649262903E-2</v>
      </c>
      <c r="K46" s="79">
        <f ca="1">G17</f>
        <v>6.6961041390281667E-2</v>
      </c>
      <c r="L46" s="91">
        <v>0.05</v>
      </c>
      <c r="M46" s="58">
        <v>1.4999999999999999E-2</v>
      </c>
      <c r="N46" s="58">
        <v>0.12</v>
      </c>
      <c r="O46" s="58">
        <v>0.12</v>
      </c>
      <c r="P46" s="58">
        <v>0.12</v>
      </c>
      <c r="Q46" s="58">
        <v>5.9702935849636353E-2</v>
      </c>
      <c r="R46" s="91">
        <v>0.12</v>
      </c>
      <c r="S46" s="91">
        <v>7.2397484404765428E-2</v>
      </c>
      <c r="T46" s="123">
        <v>6.5346170986507524E-2</v>
      </c>
      <c r="U46" s="113">
        <v>1.4999999999999998E-2</v>
      </c>
      <c r="V46" s="26"/>
      <c r="W46" s="154"/>
      <c r="AA46" s="26"/>
      <c r="AB46" s="26"/>
    </row>
    <row r="47" spans="2:28 16360:16362" ht="12.95" customHeight="1" x14ac:dyDescent="0.2">
      <c r="B47" s="14" t="s">
        <v>21</v>
      </c>
      <c r="C47" s="17" t="s">
        <v>74</v>
      </c>
      <c r="D47" s="16"/>
      <c r="E47" s="17" t="s">
        <v>76</v>
      </c>
      <c r="F47" s="19"/>
      <c r="G47" s="204"/>
      <c r="I47" s="38" t="s">
        <v>19</v>
      </c>
      <c r="J47" s="32">
        <f ca="1">XEH22</f>
        <v>1.9864002585712363E-2</v>
      </c>
      <c r="K47" s="79">
        <f ca="1">G18</f>
        <v>1.9859809057987007E-2</v>
      </c>
      <c r="L47" s="91">
        <v>0.05</v>
      </c>
      <c r="M47" s="58">
        <v>4.1675620036856847E-2</v>
      </c>
      <c r="N47" s="58">
        <v>1.4999999999999999E-2</v>
      </c>
      <c r="O47" s="58">
        <v>1.4999999999999999E-2</v>
      </c>
      <c r="P47" s="58">
        <v>8.3621718992298505E-2</v>
      </c>
      <c r="Q47" s="58">
        <v>1.4999999999999999E-2</v>
      </c>
      <c r="R47" s="91">
        <v>1.4999999999999998E-2</v>
      </c>
      <c r="S47" s="91">
        <v>1.4999999999999999E-2</v>
      </c>
      <c r="T47" s="123">
        <v>1.4999999999999999E-2</v>
      </c>
      <c r="U47" s="113">
        <v>1.4999999999999999E-2</v>
      </c>
      <c r="W47" s="154"/>
    </row>
    <row r="48" spans="2:28 16360:16362" ht="12.95" customHeight="1" x14ac:dyDescent="0.2">
      <c r="B48" s="14" t="s">
        <v>22</v>
      </c>
      <c r="C48" s="17" t="s">
        <v>70</v>
      </c>
      <c r="D48" s="16"/>
      <c r="E48" s="17" t="s">
        <v>71</v>
      </c>
      <c r="F48" s="19"/>
      <c r="G48" s="204"/>
      <c r="I48" s="38" t="s">
        <v>20</v>
      </c>
      <c r="J48" s="32">
        <f ca="1">XEH25</f>
        <v>2.6031150043565075E-2</v>
      </c>
      <c r="K48" s="79">
        <f ca="1">G20</f>
        <v>2.6025654557498782E-2</v>
      </c>
      <c r="L48" s="91">
        <v>0.05</v>
      </c>
      <c r="M48" s="58">
        <v>3.2548864683908323E-2</v>
      </c>
      <c r="N48" s="58">
        <v>1.4999999999999999E-2</v>
      </c>
      <c r="O48" s="58">
        <v>1.4999999999999999E-2</v>
      </c>
      <c r="P48" s="58">
        <v>0.12</v>
      </c>
      <c r="Q48" s="58">
        <v>1.4999999999999999E-2</v>
      </c>
      <c r="R48" s="91">
        <v>1.4999999999999999E-2</v>
      </c>
      <c r="S48" s="91">
        <v>1.4999999999999999E-2</v>
      </c>
      <c r="T48" s="123">
        <v>1.4999999999999999E-2</v>
      </c>
      <c r="U48" s="113">
        <v>1.4999999999999999E-2</v>
      </c>
      <c r="W48" s="154"/>
    </row>
    <row r="49" spans="2:43 16358:16374" ht="12.95" customHeight="1" x14ac:dyDescent="0.2">
      <c r="B49" s="38" t="s">
        <v>97</v>
      </c>
      <c r="C49" s="50" t="s">
        <v>107</v>
      </c>
      <c r="D49" s="16"/>
      <c r="E49" s="50" t="s">
        <v>108</v>
      </c>
      <c r="F49" s="19"/>
      <c r="G49" s="204"/>
      <c r="I49" s="38" t="s">
        <v>21</v>
      </c>
      <c r="J49" s="32">
        <f ca="1">XEH27</f>
        <v>2.1799481908288027E-2</v>
      </c>
      <c r="K49" s="79">
        <f ca="1">G22</f>
        <v>2.1794879777806708E-2</v>
      </c>
      <c r="L49" s="91">
        <v>0.05</v>
      </c>
      <c r="M49" s="58">
        <v>3.9338588151304435E-2</v>
      </c>
      <c r="N49" s="58">
        <v>1.4999999999999999E-2</v>
      </c>
      <c r="O49" s="58">
        <v>1.4999999999999999E-2</v>
      </c>
      <c r="P49" s="58">
        <v>-0.59000008038949281</v>
      </c>
      <c r="Q49" s="58">
        <v>1.4999999999999999E-2</v>
      </c>
      <c r="R49" s="91">
        <v>1.4999999999999999E-2</v>
      </c>
      <c r="S49" s="91">
        <v>1.4999999999999999E-2</v>
      </c>
      <c r="T49" s="123">
        <v>1.4999999999999999E-2</v>
      </c>
      <c r="U49" s="113">
        <v>0.10671308757880292</v>
      </c>
    </row>
    <row r="50" spans="2:43 16358:16374" ht="12.95" customHeight="1" x14ac:dyDescent="0.2">
      <c r="B50" s="49" t="s">
        <v>98</v>
      </c>
      <c r="C50" s="50" t="s">
        <v>62</v>
      </c>
      <c r="D50" s="16"/>
      <c r="E50" s="50" t="s">
        <v>109</v>
      </c>
      <c r="F50" s="19"/>
      <c r="G50" s="204"/>
      <c r="I50" s="53" t="s">
        <v>22</v>
      </c>
      <c r="J50" s="54">
        <f ca="1">XEH20</f>
        <v>3.7031253402124667E-2</v>
      </c>
      <c r="K50" s="79">
        <f ca="1">G21</f>
        <v>4.4456456110091407E-2</v>
      </c>
      <c r="L50" s="91">
        <v>0.05</v>
      </c>
      <c r="M50" s="58">
        <v>3.0434844905428506E-2</v>
      </c>
      <c r="N50" s="58">
        <v>0.12000000000000001</v>
      </c>
      <c r="O50" s="58">
        <v>0.12</v>
      </c>
      <c r="P50" s="58">
        <v>0.12</v>
      </c>
      <c r="Q50" s="58">
        <v>0.12</v>
      </c>
      <c r="R50" s="91">
        <v>0.12</v>
      </c>
      <c r="S50" s="91">
        <v>0.12</v>
      </c>
      <c r="T50" s="123">
        <v>0.12</v>
      </c>
      <c r="U50" s="113">
        <v>0.12</v>
      </c>
    </row>
    <row r="51" spans="2:43 16358:16374" ht="12.95" customHeight="1" x14ac:dyDescent="0.2">
      <c r="B51" s="38" t="s">
        <v>99</v>
      </c>
      <c r="C51" s="50" t="s">
        <v>110</v>
      </c>
      <c r="D51" s="16"/>
      <c r="E51" s="50" t="s">
        <v>111</v>
      </c>
      <c r="F51" s="19"/>
      <c r="G51" s="204"/>
      <c r="I51" s="38" t="s">
        <v>97</v>
      </c>
      <c r="J51" s="35">
        <f ca="1">XEH11</f>
        <v>7.0515558045981433E-2</v>
      </c>
      <c r="K51" s="79">
        <f ca="1">G7</f>
        <v>7.050067137113035E-2</v>
      </c>
      <c r="L51" s="91">
        <v>0.05</v>
      </c>
      <c r="M51" s="58">
        <v>2.7E-2</v>
      </c>
      <c r="N51" s="58">
        <v>0.11999999999999998</v>
      </c>
      <c r="O51" s="58">
        <v>0.12</v>
      </c>
      <c r="P51" s="58">
        <v>0.12</v>
      </c>
      <c r="Q51" s="58">
        <v>1.4999999999999999E-2</v>
      </c>
      <c r="R51" s="91">
        <v>0.12</v>
      </c>
      <c r="S51" s="91">
        <v>4.8435671812402326E-2</v>
      </c>
      <c r="T51" s="123">
        <v>1.4999999999999999E-2</v>
      </c>
      <c r="U51" s="113">
        <v>1.4999999999999999E-2</v>
      </c>
      <c r="W51" s="9" t="s">
        <v>243</v>
      </c>
    </row>
    <row r="52" spans="2:43 16358:16374" ht="12.95" customHeight="1" x14ac:dyDescent="0.2">
      <c r="B52" s="38" t="s">
        <v>100</v>
      </c>
      <c r="C52" s="50" t="s">
        <v>110</v>
      </c>
      <c r="D52" s="16"/>
      <c r="E52" s="50" t="s">
        <v>111</v>
      </c>
      <c r="F52" s="19"/>
      <c r="G52" s="204"/>
      <c r="I52" s="38" t="s">
        <v>98</v>
      </c>
      <c r="J52" s="32">
        <f ca="1">XEH12</f>
        <v>6.7850902023708956E-2</v>
      </c>
      <c r="K52" s="79">
        <f ca="1">G13</f>
        <v>6.7836577889506949E-2</v>
      </c>
      <c r="L52" s="91">
        <v>0.05</v>
      </c>
      <c r="M52" s="58">
        <v>0.10888209268884382</v>
      </c>
      <c r="N52" s="58">
        <v>0.12</v>
      </c>
      <c r="O52" s="58">
        <v>0.10233956568652838</v>
      </c>
      <c r="P52" s="58">
        <v>0.12</v>
      </c>
      <c r="Q52" s="58">
        <v>1.4999999999999999E-2</v>
      </c>
      <c r="R52" s="91">
        <v>5.8307171750508258E-2</v>
      </c>
      <c r="S52" s="91">
        <v>1.4999999999999999E-2</v>
      </c>
      <c r="T52" s="123">
        <v>1.4999999999999999E-2</v>
      </c>
      <c r="U52" s="113">
        <v>1.4999999999999999E-2</v>
      </c>
      <c r="W52" s="155"/>
      <c r="X52" s="156" t="s">
        <v>7</v>
      </c>
      <c r="Y52" s="156" t="s">
        <v>10</v>
      </c>
      <c r="Z52" s="156" t="s">
        <v>9</v>
      </c>
      <c r="AA52" s="156" t="s">
        <v>12</v>
      </c>
      <c r="AB52" s="156" t="s">
        <v>13</v>
      </c>
      <c r="AC52" s="156" t="s">
        <v>14</v>
      </c>
      <c r="AD52" s="156" t="s">
        <v>11</v>
      </c>
      <c r="AE52" s="156" t="s">
        <v>8</v>
      </c>
      <c r="AF52" s="156" t="s">
        <v>15</v>
      </c>
      <c r="AG52" s="156" t="s">
        <v>16</v>
      </c>
      <c r="AH52" s="156" t="s">
        <v>17</v>
      </c>
      <c r="AI52" s="156" t="s">
        <v>18</v>
      </c>
      <c r="AJ52" s="156" t="s">
        <v>19</v>
      </c>
      <c r="AK52" s="156" t="s">
        <v>20</v>
      </c>
      <c r="AL52" s="156" t="s">
        <v>21</v>
      </c>
      <c r="AM52" s="156" t="s">
        <v>22</v>
      </c>
      <c r="AN52" s="156" t="s">
        <v>97</v>
      </c>
      <c r="AO52" s="156" t="s">
        <v>98</v>
      </c>
      <c r="AP52" s="156" t="s">
        <v>99</v>
      </c>
      <c r="AQ52" s="156" t="s">
        <v>100</v>
      </c>
    </row>
    <row r="53" spans="2:43 16358:16374" ht="12.95" customHeight="1" x14ac:dyDescent="0.25">
      <c r="B53" s="1"/>
      <c r="C53" s="1"/>
      <c r="D53" s="48"/>
      <c r="I53" s="38" t="s">
        <v>99</v>
      </c>
      <c r="J53" s="55">
        <f ca="1">XEH26</f>
        <v>2.2149602474495964E-2</v>
      </c>
      <c r="K53" s="79">
        <f ca="1">G24</f>
        <v>2.6467996498572621E-2</v>
      </c>
      <c r="L53" s="91">
        <v>0.05</v>
      </c>
      <c r="M53" s="58">
        <v>0.12</v>
      </c>
      <c r="N53" s="58">
        <v>9.0768134183819765E-2</v>
      </c>
      <c r="O53" s="58">
        <v>6.4999999999999988E-2</v>
      </c>
      <c r="P53" s="58">
        <v>0.12</v>
      </c>
      <c r="Q53" s="58">
        <v>2.2705691471806146E-2</v>
      </c>
      <c r="R53" s="91">
        <v>6.5000000000000016E-2</v>
      </c>
      <c r="S53" s="91">
        <v>6.500000000000003E-2</v>
      </c>
      <c r="T53" s="123">
        <v>6.5000000277820699E-2</v>
      </c>
      <c r="U53" s="113">
        <v>4.967112200761517E-2</v>
      </c>
      <c r="V53" s="13"/>
      <c r="W53" s="155" t="s">
        <v>7</v>
      </c>
      <c r="X53" s="156">
        <f t="shared" ref="X53:X72" ca="1" si="7">XEA93</f>
        <v>1.2095617110034261E-2</v>
      </c>
      <c r="Y53" s="156">
        <f t="shared" ref="Y53:Y72" si="8">XEB93</f>
        <v>8.8007254021536339E-3</v>
      </c>
      <c r="Z53" s="156">
        <f t="shared" ref="Z53:Z72" si="9">XEC93</f>
        <v>3.9892829509037109E-2</v>
      </c>
      <c r="AA53" s="156">
        <f t="shared" ref="AA53:AA72" si="10">XED93</f>
        <v>1.9137672380153996E-2</v>
      </c>
      <c r="AB53" s="156">
        <f t="shared" ref="AB53:AB72" si="11">XEE93</f>
        <v>-2.5671379522052818E-3</v>
      </c>
      <c r="AC53" s="156">
        <f t="shared" ref="AC53:AC72" si="12">XEF93</f>
        <v>-4.4687939622309551E-3</v>
      </c>
      <c r="AD53" s="156">
        <f t="shared" ref="AD53:AD72" si="13">XEG93</f>
        <v>6.2369050711358785E-3</v>
      </c>
      <c r="AE53" s="156">
        <f t="shared" ref="AE53:AE72" si="14">XEH93</f>
        <v>2.0880218578225335E-2</v>
      </c>
      <c r="AF53" s="156">
        <f t="shared" ref="AF53:AF72" si="15">XEI93</f>
        <v>2.3376441295022136E-2</v>
      </c>
      <c r="AG53" s="156">
        <f t="shared" ref="AG53:AG72" si="16">XEJ93</f>
        <v>1.4521566159580331E-2</v>
      </c>
      <c r="AH53" s="156">
        <f t="shared" ref="AH53:AH72" si="17">XEK93</f>
        <v>-2.0846985732014111E-3</v>
      </c>
      <c r="AI53" s="156">
        <f t="shared" ref="AI53:AI72" si="18">XEL93</f>
        <v>1.1014965437578982E-2</v>
      </c>
      <c r="AJ53" s="156">
        <f t="shared" ref="AJ53:AJ72" si="19">XEM93</f>
        <v>-4.3980074631730988E-4</v>
      </c>
      <c r="AK53" s="156">
        <f t="shared" ref="AK53:AK72" si="20">XEN93</f>
        <v>6.790985365600995E-3</v>
      </c>
      <c r="AL53" s="156">
        <f t="shared" ref="AL53:AL72" si="21">XEO93</f>
        <v>6.9238614063915826E-3</v>
      </c>
      <c r="AM53" s="156">
        <f t="shared" ref="AM53:AM72" si="22">XEP93</f>
        <v>-4.7378143307145251E-3</v>
      </c>
      <c r="AN53" s="156">
        <f t="shared" ref="AN53:AN72" si="23">XEQ93</f>
        <v>1.2047011357766221E-2</v>
      </c>
      <c r="AO53" s="156">
        <f t="shared" ref="AO53:AO72" si="24">XER93</f>
        <v>9.6288345833004333E-3</v>
      </c>
      <c r="AP53" s="156">
        <f t="shared" ref="AP53:AP72" si="25">XES93</f>
        <v>3.4553938823693149E-3</v>
      </c>
      <c r="AQ53" s="156">
        <f t="shared" ref="AQ53:AQ72" si="26">XET93</f>
        <v>1.2340001404323312E-3</v>
      </c>
    </row>
    <row r="54" spans="2:43 16358:16374" ht="12.95" customHeight="1" thickBot="1" x14ac:dyDescent="0.3">
      <c r="B54" s="9" t="s">
        <v>83</v>
      </c>
      <c r="I54" s="41" t="s">
        <v>100</v>
      </c>
      <c r="J54" s="56">
        <f ca="1">XEH28</f>
        <v>1.4263386162459382E-2</v>
      </c>
      <c r="K54" s="80">
        <f ca="1">G23</f>
        <v>3.1851456823248032E-2</v>
      </c>
      <c r="L54" s="91">
        <v>0.05</v>
      </c>
      <c r="M54" s="59">
        <v>3.1480691883955497E-2</v>
      </c>
      <c r="N54" s="59">
        <v>1.4999999999999999E-2</v>
      </c>
      <c r="O54" s="59">
        <v>0.12</v>
      </c>
      <c r="P54" s="59">
        <v>6.4999999999999988E-2</v>
      </c>
      <c r="Q54" s="59">
        <v>0.12</v>
      </c>
      <c r="R54" s="92">
        <v>0.12</v>
      </c>
      <c r="S54" s="92">
        <v>0.12</v>
      </c>
      <c r="T54" s="124">
        <v>0.12</v>
      </c>
      <c r="U54" s="114">
        <v>0.12</v>
      </c>
      <c r="V54"/>
      <c r="W54" s="157" t="s">
        <v>10</v>
      </c>
      <c r="X54" s="156">
        <f t="shared" si="7"/>
        <v>8.8007254021536339E-3</v>
      </c>
      <c r="Y54" s="156">
        <f t="shared" ca="1" si="8"/>
        <v>8.6613715107137501E-3</v>
      </c>
      <c r="Z54" s="156">
        <f t="shared" si="9"/>
        <v>1.8848335815341559E-2</v>
      </c>
      <c r="AA54" s="156">
        <f t="shared" si="10"/>
        <v>1.6995268619140084E-2</v>
      </c>
      <c r="AB54" s="156">
        <f t="shared" si="11"/>
        <v>-1.4594891532462009E-3</v>
      </c>
      <c r="AC54" s="156">
        <f t="shared" si="12"/>
        <v>-3.7496198200416028E-3</v>
      </c>
      <c r="AD54" s="156">
        <f t="shared" si="13"/>
        <v>5.0572150607696735E-3</v>
      </c>
      <c r="AE54" s="156">
        <f t="shared" si="14"/>
        <v>1.6264436028343533E-2</v>
      </c>
      <c r="AF54" s="156">
        <f t="shared" si="15"/>
        <v>1.6576281009638802E-2</v>
      </c>
      <c r="AG54" s="156">
        <f t="shared" si="16"/>
        <v>1.1527224090156676E-2</v>
      </c>
      <c r="AH54" s="156">
        <f t="shared" si="17"/>
        <v>2.9220002555540628E-3</v>
      </c>
      <c r="AI54" s="156">
        <f t="shared" si="18"/>
        <v>-9.6950087762175577E-5</v>
      </c>
      <c r="AJ54" s="156">
        <f t="shared" si="19"/>
        <v>2.8828676577404857E-4</v>
      </c>
      <c r="AK54" s="156">
        <f t="shared" si="20"/>
        <v>1.1346479599090943E-2</v>
      </c>
      <c r="AL54" s="156">
        <f t="shared" si="21"/>
        <v>6.8607378032122957E-3</v>
      </c>
      <c r="AM54" s="156">
        <f t="shared" si="22"/>
        <v>1.0779278875844714E-3</v>
      </c>
      <c r="AN54" s="156">
        <f t="shared" si="23"/>
        <v>9.4057847562516866E-3</v>
      </c>
      <c r="AO54" s="156">
        <f t="shared" si="24"/>
        <v>1.088880189002586E-2</v>
      </c>
      <c r="AP54" s="156">
        <f t="shared" si="25"/>
        <v>1.0892993262537579E-3</v>
      </c>
      <c r="AQ54" s="156">
        <f t="shared" si="26"/>
        <v>2.4879583214267704E-4</v>
      </c>
    </row>
    <row r="55" spans="2:43 16358:16374" ht="12.95" customHeight="1" x14ac:dyDescent="0.25">
      <c r="B55" s="17"/>
      <c r="C55" s="141" t="s">
        <v>68</v>
      </c>
      <c r="D55" s="52">
        <f t="shared" ref="D55:D64" ca="1" si="27">J61</f>
        <v>0.13065642741474648</v>
      </c>
      <c r="I55" s="40" t="s">
        <v>1</v>
      </c>
      <c r="J55" s="33">
        <f ca="1">SUM(J35:J54)</f>
        <v>1.0000000000000002</v>
      </c>
      <c r="K55" s="81">
        <f ca="1">SUM(K35:K54)</f>
        <v>1</v>
      </c>
      <c r="L55" s="10">
        <f>SUM(L35:L54)</f>
        <v>1.0000000000000002</v>
      </c>
      <c r="M55" s="10">
        <f t="shared" ref="M55:O55" si="28">SUM(M35:M54)</f>
        <v>1.0000000011381853</v>
      </c>
      <c r="N55" s="10">
        <f t="shared" ref="N55" si="29">SUM(N35:N54)</f>
        <v>1.0000000000000759</v>
      </c>
      <c r="O55" s="10">
        <f t="shared" si="28"/>
        <v>1.0000000000110836</v>
      </c>
      <c r="P55" s="10">
        <f t="shared" ref="P55:Q55" si="30">SUM(P35:P54)</f>
        <v>0.99999992337986654</v>
      </c>
      <c r="Q55" s="10">
        <f t="shared" si="30"/>
        <v>1.0000000000937428</v>
      </c>
      <c r="R55" s="10">
        <f t="shared" ref="R55:S55" si="31">SUM(R35:R54)</f>
        <v>0.99999994183873031</v>
      </c>
      <c r="S55" s="10">
        <f t="shared" si="31"/>
        <v>1.0000000045223634</v>
      </c>
      <c r="T55" s="125">
        <f t="shared" ref="T55:U55" si="32">SUM(T35:T54)</f>
        <v>1.0000000040835655</v>
      </c>
      <c r="U55" s="115">
        <f t="shared" si="32"/>
        <v>0.99999999999448863</v>
      </c>
      <c r="V55"/>
      <c r="W55" s="157" t="s">
        <v>9</v>
      </c>
      <c r="X55" s="156">
        <f t="shared" si="7"/>
        <v>3.9892829509037109E-2</v>
      </c>
      <c r="Y55" s="156">
        <f t="shared" si="8"/>
        <v>1.8848335815341559E-2</v>
      </c>
      <c r="Z55" s="156">
        <f t="shared" ca="1" si="9"/>
        <v>0.42296395158389094</v>
      </c>
      <c r="AA55" s="156">
        <f t="shared" si="10"/>
        <v>2.637092097506806E-2</v>
      </c>
      <c r="AB55" s="156">
        <f t="shared" si="11"/>
        <v>2.754905467975979E-2</v>
      </c>
      <c r="AC55" s="156">
        <f t="shared" si="12"/>
        <v>-5.0742286140163767E-2</v>
      </c>
      <c r="AD55" s="156">
        <f t="shared" si="13"/>
        <v>7.9207887142823744E-3</v>
      </c>
      <c r="AE55" s="156">
        <f t="shared" si="14"/>
        <v>0.12038459547408481</v>
      </c>
      <c r="AF55" s="156">
        <f t="shared" si="15"/>
        <v>7.4407059788486107E-2</v>
      </c>
      <c r="AG55" s="156">
        <f t="shared" si="16"/>
        <v>6.1449048715682048E-2</v>
      </c>
      <c r="AH55" s="156">
        <f t="shared" si="17"/>
        <v>-6.1102640053816937E-2</v>
      </c>
      <c r="AI55" s="156">
        <f t="shared" si="18"/>
        <v>6.2466645510179011E-2</v>
      </c>
      <c r="AJ55" s="156">
        <f t="shared" si="19"/>
        <v>5.5901841570127564E-2</v>
      </c>
      <c r="AK55" s="156">
        <f t="shared" si="20"/>
        <v>-3.5901195512800486E-2</v>
      </c>
      <c r="AL55" s="156">
        <f t="shared" si="21"/>
        <v>8.4715689669600483E-2</v>
      </c>
      <c r="AM55" s="156">
        <f t="shared" si="22"/>
        <v>-8.7771248775531399E-2</v>
      </c>
      <c r="AN55" s="156">
        <f t="shared" si="23"/>
        <v>3.8660722913362026E-2</v>
      </c>
      <c r="AO55" s="156">
        <f t="shared" si="24"/>
        <v>5.320121002292854E-3</v>
      </c>
      <c r="AP55" s="156">
        <f t="shared" si="25"/>
        <v>-1.3390587934192085E-2</v>
      </c>
      <c r="AQ55" s="156">
        <f t="shared" si="26"/>
        <v>-1.1733513724119958E-3</v>
      </c>
    </row>
    <row r="56" spans="2:43 16358:16374" ht="12.95" customHeight="1" x14ac:dyDescent="0.25">
      <c r="B56" s="17"/>
      <c r="C56" s="142" t="s">
        <v>63</v>
      </c>
      <c r="D56" s="52">
        <f t="shared" ca="1" si="27"/>
        <v>0.16788217957695664</v>
      </c>
      <c r="G56" s="107"/>
      <c r="I56" s="38" t="s">
        <v>33</v>
      </c>
      <c r="J56" s="60" cm="1">
        <f t="array" aca="1" ref="J56" ca="1">MMULT(TRANSPOSE(J35:J54),$S$5:$S$24)</f>
        <v>0.17665578747748639</v>
      </c>
      <c r="K56" s="79" cm="1">
        <f t="array" aca="1" ref="K56" ca="1">MMULT(TRANSPOSE(K35:K54),$S$5:$S$24)</f>
        <v>0.1747241608489315</v>
      </c>
      <c r="L56" s="91" cm="1">
        <f t="array" aca="1" ref="L56" ca="1">MMULT(TRANSPOSE(L35:L54),$S$5:$S$24)</f>
        <v>0.16741127153947</v>
      </c>
      <c r="M56" s="58" cm="1">
        <f t="array" aca="1" ref="M56" ca="1">MMULT(TRANSPOSE(M35:M54),$S$5:$S$24)</f>
        <v>0.1588687709454509</v>
      </c>
      <c r="N56" s="58" cm="1">
        <f t="array" aca="1" ref="N56" ca="1">MMULT(TRANSPOSE(N35:N54),$S$5:$S$24)</f>
        <v>0.22453169969187112</v>
      </c>
      <c r="O56" s="58" cm="1">
        <f t="array" aca="1" ref="O56" ca="1">MMULT(TRANSPOSE(O35:O54),$S$5:$S$24)</f>
        <v>0.20472672966585753</v>
      </c>
      <c r="P56" s="58" cm="1">
        <f t="array" aca="1" ref="P56" ca="1">MMULT(TRANSPOSE(P35:P54),$S$5:$S$24)</f>
        <v>0.27173265399432939</v>
      </c>
      <c r="Q56" s="58" cm="1">
        <f t="array" aca="1" ref="Q56" ca="1">MMULT(TRANSPOSE(Q35:Q54),$S$5:$S$24)</f>
        <v>0.15716809466238116</v>
      </c>
      <c r="R56" s="91" cm="1">
        <f t="array" aca="1" ref="R56" ca="1">MMULT(TRANSPOSE(R35:R54),$S$5:$S$24)</f>
        <v>0.20000108745984874</v>
      </c>
      <c r="S56" s="91" cm="1">
        <f t="array" aca="1" ref="S56" ca="1">MMULT(TRANSPOSE(S35:S54),$S$5:$S$24)</f>
        <v>0.17000108819249704</v>
      </c>
      <c r="T56" s="123" cm="1">
        <f t="array" aca="1" ref="T56" ca="1">MMULT(TRANSPOSE(T35:T54),$S$5:$S$24)</f>
        <v>0.16541153277816778</v>
      </c>
      <c r="U56" s="113" cm="1">
        <f t="array" aca="1" ref="U56" ca="1">MMULT(TRANSPOSE(U35:U54),$S$5:$S$24)</f>
        <v>0.13610043817345999</v>
      </c>
      <c r="V56"/>
      <c r="W56" s="157" t="s">
        <v>12</v>
      </c>
      <c r="X56" s="156">
        <f t="shared" si="7"/>
        <v>1.9137672380153996E-2</v>
      </c>
      <c r="Y56" s="156">
        <f t="shared" si="8"/>
        <v>1.6995268619140084E-2</v>
      </c>
      <c r="Z56" s="156">
        <f t="shared" si="9"/>
        <v>2.637092097506806E-2</v>
      </c>
      <c r="AA56" s="156">
        <f t="shared" ca="1" si="10"/>
        <v>5.0753223175666468E-2</v>
      </c>
      <c r="AB56" s="156">
        <f t="shared" si="11"/>
        <v>-3.6313825488614557E-3</v>
      </c>
      <c r="AC56" s="156">
        <f t="shared" si="12"/>
        <v>9.0513799702502621E-3</v>
      </c>
      <c r="AD56" s="156">
        <f t="shared" si="13"/>
        <v>1.0417604782785604E-2</v>
      </c>
      <c r="AE56" s="156">
        <f t="shared" si="14"/>
        <v>1.8768827590282491E-2</v>
      </c>
      <c r="AF56" s="156">
        <f t="shared" si="15"/>
        <v>3.9562495811985572E-2</v>
      </c>
      <c r="AG56" s="156">
        <f t="shared" si="16"/>
        <v>1.0666937824941028E-2</v>
      </c>
      <c r="AH56" s="156">
        <f t="shared" si="17"/>
        <v>1.7890399044213079E-2</v>
      </c>
      <c r="AI56" s="156">
        <f t="shared" si="18"/>
        <v>-5.4466784132671539E-3</v>
      </c>
      <c r="AJ56" s="156">
        <f t="shared" si="19"/>
        <v>-2.0781047997188256E-2</v>
      </c>
      <c r="AK56" s="156">
        <f t="shared" si="20"/>
        <v>2.5344648070573857E-2</v>
      </c>
      <c r="AL56" s="156">
        <f t="shared" si="21"/>
        <v>1.1008951986851583E-2</v>
      </c>
      <c r="AM56" s="156">
        <f t="shared" si="22"/>
        <v>1.6730136130207664E-2</v>
      </c>
      <c r="AN56" s="156">
        <f t="shared" si="23"/>
        <v>1.8910592162802595E-2</v>
      </c>
      <c r="AO56" s="156">
        <f t="shared" si="24"/>
        <v>1.9936089756828736E-2</v>
      </c>
      <c r="AP56" s="156">
        <f t="shared" si="25"/>
        <v>1.3011205054372236E-2</v>
      </c>
      <c r="AQ56" s="156">
        <f t="shared" si="26"/>
        <v>8.6489277348454473E-3</v>
      </c>
    </row>
    <row r="57" spans="2:43 16358:16374" ht="12.95" customHeight="1" x14ac:dyDescent="0.25">
      <c r="B57" s="17"/>
      <c r="C57" s="141" t="s">
        <v>84</v>
      </c>
      <c r="D57" s="52">
        <f t="shared" ca="1" si="27"/>
        <v>0.16977625605923119</v>
      </c>
      <c r="I57" s="38" t="s">
        <v>35</v>
      </c>
      <c r="J57" s="60" cm="1">
        <f t="array" aca="1" ref="J57" ca="1">SQRT(MMULT(MMULT(TRANSPOSE(J35:J54),$X$53:$AQ$72),J35:J54))</f>
        <v>0.10194357231593064</v>
      </c>
      <c r="K57" s="79" cm="1">
        <f t="array" aca="1" ref="K57" ca="1">SQRT(MMULT(MMULT(TRANSPOSE(K35:K54),$X$53:$AQ$72),K35:K54))</f>
        <v>9.5937833875663056E-2</v>
      </c>
      <c r="L57" s="91" cm="1">
        <f t="array" aca="1" ref="L57" ca="1">SQRT(MMULT(MMULT(TRANSPOSE(L35:L54),$X$53:$AQ$72),L35:L54))</f>
        <v>0.1046777749973626</v>
      </c>
      <c r="M57" s="58" cm="1">
        <f t="array" aca="1" ref="M57" ca="1">SQRT(MMULT(MMULT(TRANSPOSE(M35:M54),$X$53:$AQ$72),M35:M54))</f>
        <v>0.10075475945597666</v>
      </c>
      <c r="N57" s="58" cm="1">
        <f t="array" aca="1" ref="N57" ca="1">SQRT(MMULT(MMULT(TRANSPOSE(N35:N54),$X$53:$AQ$72),N35:N54))</f>
        <v>0.14000003123567523</v>
      </c>
      <c r="O57" s="58" cm="1">
        <f t="array" aca="1" ref="O57" ca="1">SQRT(MMULT(MMULT(TRANSPOSE(O35:O54),$X$53:$AQ$72),O35:O54))</f>
        <v>0.10000011995081023</v>
      </c>
      <c r="P57" s="58" cm="1">
        <f t="array" aca="1" ref="P57" ca="1">SQRT(MMULT(MMULT(TRANSPOSE(P35:P54),$X$53:$AQ$72),P35:P54))</f>
        <v>0.16031710988387732</v>
      </c>
      <c r="Q57" s="58" cm="1">
        <f t="array" aca="1" ref="Q57" ca="1">SQRT(MMULT(MMULT(TRANSPOSE(Q35:Q54),$X$53:$AQ$72),Q35:Q54))</f>
        <v>6.5423899811946185E-2</v>
      </c>
      <c r="R57" s="91" cm="1">
        <f t="array" aca="1" ref="R57" ca="1">SQRT(MMULT(MMULT(TRANSPOSE(R35:R54),$X$53:$AQ$72),R35:R54))</f>
        <v>9.428064709002916E-2</v>
      </c>
      <c r="S57" s="91" cm="1">
        <f t="array" aca="1" ref="S57" ca="1">SQRT(MMULT(MMULT(TRANSPOSE(S35:S54),$X$53:$AQ$72),S35:S54))</f>
        <v>7.0150578534660626E-2</v>
      </c>
      <c r="T57" s="123" cm="1">
        <f t="array" aca="1" ref="T57" ca="1">SQRT(MMULT(MMULT(TRANSPOSE(T35:T54),$X$53:$AQ$72),T35:T54))</f>
        <v>6.8034766368351707E-2</v>
      </c>
      <c r="U57" s="113" cm="1">
        <f t="array" aca="1" ref="U57" ca="1">SQRT(MMULT(MMULT(TRANSPOSE(U35:U54),$X$53:$AQ$72),U35:U54))</f>
        <v>6.8049840509294773E-2</v>
      </c>
      <c r="V57"/>
      <c r="W57" s="157" t="s">
        <v>13</v>
      </c>
      <c r="X57" s="156">
        <f t="shared" si="7"/>
        <v>-2.5671379522052818E-3</v>
      </c>
      <c r="Y57" s="156">
        <f t="shared" si="8"/>
        <v>-1.4594891532462009E-3</v>
      </c>
      <c r="Z57" s="156">
        <f t="shared" si="9"/>
        <v>2.754905467975979E-2</v>
      </c>
      <c r="AA57" s="156">
        <f t="shared" si="10"/>
        <v>-3.6313825488614557E-3</v>
      </c>
      <c r="AB57" s="156">
        <f t="shared" ca="1" si="11"/>
        <v>1.258866117513386E-2</v>
      </c>
      <c r="AC57" s="156">
        <f t="shared" si="12"/>
        <v>4.8972259561557985E-3</v>
      </c>
      <c r="AD57" s="156">
        <f t="shared" si="13"/>
        <v>-3.1484893177755333E-3</v>
      </c>
      <c r="AE57" s="156">
        <f t="shared" si="14"/>
        <v>3.2777957172757835E-3</v>
      </c>
      <c r="AF57" s="156">
        <f t="shared" si="15"/>
        <v>-9.8527750209079397E-3</v>
      </c>
      <c r="AG57" s="156">
        <f t="shared" si="16"/>
        <v>5.527152716999436E-3</v>
      </c>
      <c r="AH57" s="156">
        <f t="shared" si="17"/>
        <v>-1.4666183946127785E-3</v>
      </c>
      <c r="AI57" s="156">
        <f t="shared" si="18"/>
        <v>-2.4446786180314737E-2</v>
      </c>
      <c r="AJ57" s="156">
        <f t="shared" si="19"/>
        <v>3.5635430865381755E-2</v>
      </c>
      <c r="AK57" s="156">
        <f t="shared" si="20"/>
        <v>2.3765658254911218E-3</v>
      </c>
      <c r="AL57" s="156">
        <f t="shared" si="21"/>
        <v>9.0556504616261073E-3</v>
      </c>
      <c r="AM57" s="156">
        <f t="shared" si="22"/>
        <v>-5.1612985469800888E-3</v>
      </c>
      <c r="AN57" s="156">
        <f t="shared" si="23"/>
        <v>5.2390246808406045E-3</v>
      </c>
      <c r="AO57" s="156">
        <f t="shared" si="24"/>
        <v>4.6324303999723078E-3</v>
      </c>
      <c r="AP57" s="156">
        <f t="shared" si="25"/>
        <v>4.6282722253808252E-3</v>
      </c>
      <c r="AQ57" s="156">
        <f t="shared" si="26"/>
        <v>3.1366947235491206E-3</v>
      </c>
      <c r="XED57" s="13"/>
      <c r="XEE57" s="13"/>
      <c r="XEF57" s="13"/>
      <c r="XEG57" s="13"/>
      <c r="XEH57" s="13"/>
      <c r="XEI57" s="13"/>
      <c r="XEJ57" s="13"/>
      <c r="XEK57" s="13"/>
      <c r="XEL57" s="13"/>
      <c r="XEM57" s="13"/>
      <c r="XEN57" s="13"/>
      <c r="XEO57" s="13"/>
      <c r="XEP57" s="13"/>
      <c r="XEQ57" s="13"/>
      <c r="XER57" s="13"/>
      <c r="XES57" s="13"/>
      <c r="XET57" s="13"/>
    </row>
    <row r="58" spans="2:43 16358:16374" ht="12.95" customHeight="1" x14ac:dyDescent="0.25">
      <c r="B58" s="17"/>
      <c r="C58" s="140" t="s">
        <v>65</v>
      </c>
      <c r="D58" s="52">
        <f t="shared" ca="1" si="27"/>
        <v>5.5187372151452009E-2</v>
      </c>
      <c r="I58" s="148" t="s">
        <v>34</v>
      </c>
      <c r="J58" s="61">
        <f t="shared" ref="J58" ca="1" si="33">J56/J57</f>
        <v>1.7328781350727744</v>
      </c>
      <c r="K58" s="82">
        <f t="shared" ref="K58" ca="1" si="34">K56/K57</f>
        <v>1.8212227000598822</v>
      </c>
      <c r="L58" s="93">
        <f t="shared" ref="L58" ca="1" si="35">L56/L57</f>
        <v>1.5993010124994345</v>
      </c>
      <c r="M58" s="62">
        <f t="shared" ref="M58:O58" ca="1" si="36">M56/M57</f>
        <v>1.5767867622657203</v>
      </c>
      <c r="N58" s="62">
        <f t="shared" ref="N58" ca="1" si="37">N56/N57</f>
        <v>1.603797497115524</v>
      </c>
      <c r="O58" s="62">
        <f t="shared" ca="1" si="36"/>
        <v>2.0472648409478111</v>
      </c>
      <c r="P58" s="62">
        <f t="shared" ref="P58:Q58" ca="1" si="38">P56/P57</f>
        <v>1.6949697645569697</v>
      </c>
      <c r="Q58" s="62">
        <f t="shared" ca="1" si="38"/>
        <v>2.4023039762860909</v>
      </c>
      <c r="R58" s="93">
        <f t="shared" ref="R58:S58" ca="1" si="39">R56/R57</f>
        <v>2.1213376618943491</v>
      </c>
      <c r="S58" s="93">
        <f t="shared" ca="1" si="39"/>
        <v>2.4233740012350915</v>
      </c>
      <c r="T58" s="126">
        <f t="shared" ref="T58" ca="1" si="40">T56/T57</f>
        <v>2.4312795002866889</v>
      </c>
      <c r="U58" s="116">
        <f t="shared" ref="U58" ca="1" si="41">U56/U57</f>
        <v>2.0000111264753122</v>
      </c>
      <c r="V58"/>
      <c r="W58" s="157" t="s">
        <v>14</v>
      </c>
      <c r="X58" s="156">
        <f t="shared" si="7"/>
        <v>-4.4687939622309551E-3</v>
      </c>
      <c r="Y58" s="156">
        <f t="shared" si="8"/>
        <v>-3.7496198200416028E-3</v>
      </c>
      <c r="Z58" s="156">
        <f t="shared" si="9"/>
        <v>-5.0742286140163767E-2</v>
      </c>
      <c r="AA58" s="156">
        <f t="shared" si="10"/>
        <v>9.0513799702502621E-3</v>
      </c>
      <c r="AB58" s="156">
        <f t="shared" si="11"/>
        <v>4.8972259561557985E-3</v>
      </c>
      <c r="AC58" s="156">
        <f t="shared" ca="1" si="12"/>
        <v>2.9227888205085151E-2</v>
      </c>
      <c r="AD58" s="156">
        <f t="shared" si="13"/>
        <v>2.0702354948832716E-3</v>
      </c>
      <c r="AE58" s="156">
        <f t="shared" si="14"/>
        <v>-2.461798297193744E-2</v>
      </c>
      <c r="AF58" s="156">
        <f t="shared" si="15"/>
        <v>-6.8914226757825344E-3</v>
      </c>
      <c r="AG58" s="156">
        <f t="shared" si="16"/>
        <v>-1.3708743450218249E-2</v>
      </c>
      <c r="AH58" s="156">
        <f t="shared" si="17"/>
        <v>1.3502948492984583E-2</v>
      </c>
      <c r="AI58" s="156">
        <f t="shared" si="18"/>
        <v>-2.6707614080674911E-3</v>
      </c>
      <c r="AJ58" s="156">
        <f t="shared" si="19"/>
        <v>-5.1217112425672E-3</v>
      </c>
      <c r="AK58" s="156">
        <f t="shared" si="20"/>
        <v>9.3659131097717733E-3</v>
      </c>
      <c r="AL58" s="156">
        <f t="shared" si="21"/>
        <v>-1.1021971946941598E-2</v>
      </c>
      <c r="AM58" s="156">
        <f t="shared" si="22"/>
        <v>1.4197490321488026E-2</v>
      </c>
      <c r="AN58" s="156">
        <f t="shared" si="23"/>
        <v>-3.4993484166299421E-3</v>
      </c>
      <c r="AO58" s="156">
        <f t="shared" si="24"/>
        <v>2.4535247079902505E-3</v>
      </c>
      <c r="AP58" s="156">
        <f t="shared" si="25"/>
        <v>1.7522646263750299E-2</v>
      </c>
      <c r="AQ58" s="156">
        <f t="shared" si="26"/>
        <v>1.0570991566441026E-2</v>
      </c>
      <c r="XED58"/>
      <c r="XEE58"/>
      <c r="XEF58"/>
      <c r="XEG58"/>
      <c r="XEH58"/>
      <c r="XEI58"/>
      <c r="XEJ58"/>
      <c r="XEK58"/>
      <c r="XEL58"/>
      <c r="XEM58"/>
      <c r="XEN58"/>
      <c r="XEO58"/>
      <c r="XEP58"/>
      <c r="XEQ58"/>
      <c r="XER58"/>
      <c r="XES58"/>
      <c r="XET58"/>
    </row>
    <row r="59" spans="2:43 16358:16374" ht="12.95" customHeight="1" thickBot="1" x14ac:dyDescent="0.3">
      <c r="B59" s="17"/>
      <c r="C59" s="141" t="s">
        <v>64</v>
      </c>
      <c r="D59" s="52">
        <f t="shared" ca="1" si="27"/>
        <v>6.855973023982552E-2</v>
      </c>
      <c r="I59" s="41" t="s">
        <v>59</v>
      </c>
      <c r="J59" s="34">
        <f ca="1">SUM((J35*$U$5),(J42*$U$6),(J37*$U$7),(J36*$U$8),(J41*$U$9),(J38*$U$10),(J39*$U$11),(J43*$U$13),(J40*$U$12),(J44*$U$14),(J45*$U$15),(J46*$U$16),(J47*$U$17),(J48*$U$18),(J49*$U$19),(J50*$U$20),(J51*$U$21),(J52*$U$22),(J53*$U$23),(J54*$U$24))</f>
        <v>0.99247421360189336</v>
      </c>
      <c r="K59" s="83">
        <f t="shared" ref="K59:U59" ca="1" si="42">SUM((K35*$U$5),(K42*$U$6),(K37*$U$7),(K36*$U$8),(K41*$U$9),(K38*$U$10),(K39*$U$11),(K43*$U$13),(K40*$U$12),(K44*$U$14),(K45*$U$15),(K46*$U$16),(K47*$U$17),(K48*$U$18),(K49*$U$19),(K50*$U$20),(K51*$U$21),(K52*$U$22),(K53*$U$23),(K54*$U$24))</f>
        <v>0.97077700766847341</v>
      </c>
      <c r="L59" s="57">
        <f t="shared" ca="1" si="42"/>
        <v>0.90814000000000006</v>
      </c>
      <c r="M59" s="57">
        <f t="shared" ca="1" si="42"/>
        <v>0.83815641711010391</v>
      </c>
      <c r="N59" s="57">
        <f t="shared" ca="1" si="42"/>
        <v>1.0397006337453891</v>
      </c>
      <c r="O59" s="57">
        <f t="shared" ca="1" si="42"/>
        <v>0.90195998813240086</v>
      </c>
      <c r="P59" s="57">
        <f t="shared" ca="1" si="42"/>
        <v>0.80749478372031258</v>
      </c>
      <c r="Q59" s="57">
        <f t="shared" ca="1" si="42"/>
        <v>0.79080468675340687</v>
      </c>
      <c r="R59" s="57">
        <f t="shared" ca="1" si="42"/>
        <v>0.86574287878629008</v>
      </c>
      <c r="S59" s="57">
        <f t="shared" ca="1" si="42"/>
        <v>0.78160104840124622</v>
      </c>
      <c r="T59" s="127">
        <f t="shared" ca="1" si="42"/>
        <v>0.78055295793896717</v>
      </c>
      <c r="U59" s="117">
        <f t="shared" ca="1" si="42"/>
        <v>0.73433092252507937</v>
      </c>
      <c r="V59"/>
      <c r="W59" s="157" t="s">
        <v>11</v>
      </c>
      <c r="X59" s="156">
        <f t="shared" si="7"/>
        <v>6.2369050711358785E-3</v>
      </c>
      <c r="Y59" s="156">
        <f t="shared" si="8"/>
        <v>5.0572150607696735E-3</v>
      </c>
      <c r="Z59" s="156">
        <f t="shared" si="9"/>
        <v>7.9207887142823744E-3</v>
      </c>
      <c r="AA59" s="156">
        <f t="shared" si="10"/>
        <v>1.0417604782785604E-2</v>
      </c>
      <c r="AB59" s="156">
        <f t="shared" si="11"/>
        <v>-3.1484893177755333E-3</v>
      </c>
      <c r="AC59" s="156">
        <f t="shared" si="12"/>
        <v>2.0702354948832716E-3</v>
      </c>
      <c r="AD59" s="156">
        <f t="shared" ca="1" si="13"/>
        <v>1.0879023824292795E-2</v>
      </c>
      <c r="AE59" s="156">
        <f t="shared" si="14"/>
        <v>1.5839843958522171E-2</v>
      </c>
      <c r="AF59" s="156">
        <f t="shared" si="15"/>
        <v>1.37338823334577E-2</v>
      </c>
      <c r="AG59" s="156">
        <f t="shared" si="16"/>
        <v>1.5254069263525806E-2</v>
      </c>
      <c r="AH59" s="156">
        <f t="shared" si="17"/>
        <v>-6.1053442827411174E-3</v>
      </c>
      <c r="AI59" s="156">
        <f t="shared" si="18"/>
        <v>2.6525225199350785E-2</v>
      </c>
      <c r="AJ59" s="156">
        <f t="shared" si="19"/>
        <v>7.6903935877357449E-3</v>
      </c>
      <c r="AK59" s="156">
        <f t="shared" si="20"/>
        <v>4.3661656173625647E-3</v>
      </c>
      <c r="AL59" s="156">
        <f t="shared" si="21"/>
        <v>-2.5307651124317643E-3</v>
      </c>
      <c r="AM59" s="156">
        <f t="shared" si="22"/>
        <v>-1.0929633426973947E-2</v>
      </c>
      <c r="AN59" s="156">
        <f t="shared" si="23"/>
        <v>5.571284277736472E-3</v>
      </c>
      <c r="AO59" s="156">
        <f t="shared" si="24"/>
        <v>9.125337515518514E-3</v>
      </c>
      <c r="AP59" s="156">
        <f t="shared" si="25"/>
        <v>4.7058734579515787E-3</v>
      </c>
      <c r="AQ59" s="156">
        <f t="shared" si="26"/>
        <v>1.8618656290099189E-3</v>
      </c>
      <c r="XED59"/>
      <c r="XEE59"/>
      <c r="XEF59"/>
      <c r="XEG59"/>
      <c r="XEH59"/>
      <c r="XEI59"/>
      <c r="XEJ59"/>
      <c r="XEK59"/>
      <c r="XEL59"/>
      <c r="XEM59"/>
      <c r="XEN59"/>
      <c r="XEO59"/>
      <c r="XEP59"/>
      <c r="XEQ59"/>
      <c r="XER59"/>
      <c r="XES59"/>
      <c r="XET59"/>
    </row>
    <row r="60" spans="2:43 16358:16374" ht="12.95" customHeight="1" x14ac:dyDescent="0.25">
      <c r="B60" s="17"/>
      <c r="C60" s="140" t="s">
        <v>62</v>
      </c>
      <c r="D60" s="52">
        <f t="shared" ca="1" si="27"/>
        <v>0.1775633701465455</v>
      </c>
      <c r="I60" s="40"/>
      <c r="J60" s="110" t="s">
        <v>120</v>
      </c>
      <c r="K60" s="78"/>
      <c r="L60" s="8"/>
      <c r="M60" s="8"/>
      <c r="N60" s="8"/>
      <c r="O60" s="8"/>
      <c r="P60" s="8"/>
      <c r="Q60" s="8"/>
      <c r="R60" s="8"/>
      <c r="S60" s="8"/>
      <c r="T60" s="122"/>
      <c r="U60" s="112"/>
      <c r="V60"/>
      <c r="W60" s="157" t="s">
        <v>8</v>
      </c>
      <c r="X60" s="156">
        <f t="shared" si="7"/>
        <v>2.0880218578225335E-2</v>
      </c>
      <c r="Y60" s="156">
        <f t="shared" si="8"/>
        <v>1.6264436028343533E-2</v>
      </c>
      <c r="Z60" s="156">
        <f t="shared" si="9"/>
        <v>0.12038459547408481</v>
      </c>
      <c r="AA60" s="156">
        <f t="shared" si="10"/>
        <v>1.8768827590282491E-2</v>
      </c>
      <c r="AB60" s="156">
        <f t="shared" si="11"/>
        <v>3.2777957172757835E-3</v>
      </c>
      <c r="AC60" s="156">
        <f t="shared" si="12"/>
        <v>-2.461798297193744E-2</v>
      </c>
      <c r="AD60" s="156">
        <f t="shared" si="13"/>
        <v>1.5839843958522171E-2</v>
      </c>
      <c r="AE60" s="156">
        <f t="shared" ca="1" si="14"/>
        <v>8.2086037538722414E-2</v>
      </c>
      <c r="AF60" s="156">
        <f t="shared" si="15"/>
        <v>4.2294992115257078E-2</v>
      </c>
      <c r="AG60" s="156">
        <f t="shared" si="16"/>
        <v>6.579232379088279E-2</v>
      </c>
      <c r="AH60" s="156">
        <f t="shared" si="17"/>
        <v>-3.4425729589551729E-2</v>
      </c>
      <c r="AI60" s="156">
        <f t="shared" si="18"/>
        <v>3.3372021892371574E-2</v>
      </c>
      <c r="AJ60" s="156">
        <f t="shared" si="19"/>
        <v>4.7878609745981945E-2</v>
      </c>
      <c r="AK60" s="156">
        <f t="shared" si="20"/>
        <v>-1.2509141242974295E-2</v>
      </c>
      <c r="AL60" s="156">
        <f t="shared" si="21"/>
        <v>1.2905637838507702E-2</v>
      </c>
      <c r="AM60" s="156">
        <f t="shared" si="22"/>
        <v>-5.0446595160890048E-2</v>
      </c>
      <c r="AN60" s="156">
        <f t="shared" si="23"/>
        <v>2.363947562572144E-2</v>
      </c>
      <c r="AO60" s="156">
        <f t="shared" si="24"/>
        <v>1.8675044329243422E-2</v>
      </c>
      <c r="AP60" s="156">
        <f t="shared" si="25"/>
        <v>-9.8297075882106816E-3</v>
      </c>
      <c r="AQ60" s="156">
        <f t="shared" si="26"/>
        <v>-2.6375617434120043E-3</v>
      </c>
      <c r="XED60"/>
      <c r="XEE60"/>
      <c r="XEF60"/>
      <c r="XEG60"/>
      <c r="XEH60"/>
      <c r="XEI60"/>
      <c r="XEJ60"/>
      <c r="XEK60"/>
      <c r="XEL60"/>
      <c r="XEM60"/>
      <c r="XEN60"/>
      <c r="XEO60"/>
      <c r="XEP60"/>
      <c r="XEQ60"/>
      <c r="XER60"/>
      <c r="XES60"/>
      <c r="XET60"/>
    </row>
    <row r="61" spans="2:43 16358:16374" ht="12.95" customHeight="1" x14ac:dyDescent="0.25">
      <c r="B61" s="17"/>
      <c r="C61" s="141" t="s">
        <v>70</v>
      </c>
      <c r="D61" s="52">
        <f t="shared" ca="1" si="27"/>
        <v>7.5615485776452912E-2</v>
      </c>
      <c r="I61" s="39" t="s">
        <v>68</v>
      </c>
      <c r="J61" s="35">
        <f ca="1">SUM(J43,J44,J46)</f>
        <v>0.13065642741474648</v>
      </c>
      <c r="K61" s="84">
        <f t="shared" ref="K61" ca="1" si="43">SUM(K43,K44,K46)</f>
        <v>0.13062884428549065</v>
      </c>
      <c r="L61" s="94">
        <f t="shared" ref="L61" si="44">SUM(L43,L44,L46)</f>
        <v>0.15000000000000002</v>
      </c>
      <c r="M61" s="7">
        <f t="shared" ref="M61:O61" si="45">SUM(M43,M44,M46)</f>
        <v>0.12419339439348036</v>
      </c>
      <c r="N61" s="7">
        <f t="shared" ref="N61" si="46">SUM(N43,N44,N46)</f>
        <v>0.185</v>
      </c>
      <c r="O61" s="7">
        <f t="shared" si="45"/>
        <v>0.17590463659792011</v>
      </c>
      <c r="P61" s="7">
        <f t="shared" ref="P61:Q61" si="47">SUM(P43,P44,P46)</f>
        <v>0.18500000376935943</v>
      </c>
      <c r="Q61" s="7">
        <f t="shared" si="47"/>
        <v>8.9702935849636345E-2</v>
      </c>
      <c r="R61" s="94">
        <f t="shared" ref="R61:S61" si="48">SUM(R43,R44,R46)</f>
        <v>0.1808486998269021</v>
      </c>
      <c r="S61" s="94">
        <f t="shared" si="48"/>
        <v>0.10239748440476543</v>
      </c>
      <c r="T61" s="128">
        <f t="shared" ref="T61:U61" si="49">SUM(T43,T44,T46)</f>
        <v>9.5346170986507522E-2</v>
      </c>
      <c r="U61" s="118">
        <f t="shared" si="49"/>
        <v>6.614842378639757E-2</v>
      </c>
      <c r="W61" s="157" t="s">
        <v>15</v>
      </c>
      <c r="X61" s="156">
        <f t="shared" si="7"/>
        <v>2.3376441295022136E-2</v>
      </c>
      <c r="Y61" s="156">
        <f t="shared" si="8"/>
        <v>1.6576281009638802E-2</v>
      </c>
      <c r="Z61" s="156">
        <f t="shared" si="9"/>
        <v>7.4407059788486107E-2</v>
      </c>
      <c r="AA61" s="156">
        <f t="shared" si="10"/>
        <v>3.9562495811985572E-2</v>
      </c>
      <c r="AB61" s="156">
        <f t="shared" si="11"/>
        <v>-9.8527750209079397E-3</v>
      </c>
      <c r="AC61" s="156">
        <f t="shared" si="12"/>
        <v>-6.8914226757825344E-3</v>
      </c>
      <c r="AD61" s="156">
        <f t="shared" si="13"/>
        <v>1.37338823334577E-2</v>
      </c>
      <c r="AE61" s="156">
        <f t="shared" si="14"/>
        <v>4.2294992115257078E-2</v>
      </c>
      <c r="AF61" s="156">
        <f t="shared" ca="1" si="15"/>
        <v>6.2325567101160599E-2</v>
      </c>
      <c r="AG61" s="156">
        <f t="shared" si="16"/>
        <v>3.0131848897647071E-2</v>
      </c>
      <c r="AH61" s="156">
        <f t="shared" si="17"/>
        <v>-5.03115458105418E-3</v>
      </c>
      <c r="AI61" s="156">
        <f t="shared" si="18"/>
        <v>3.2902048507137918E-2</v>
      </c>
      <c r="AJ61" s="156">
        <f t="shared" si="19"/>
        <v>-6.6987904820230088E-3</v>
      </c>
      <c r="AK61" s="156">
        <f t="shared" si="20"/>
        <v>6.5408409966737262E-3</v>
      </c>
      <c r="AL61" s="156">
        <f t="shared" si="21"/>
        <v>1.0972325518515395E-2</v>
      </c>
      <c r="AM61" s="156">
        <f t="shared" si="22"/>
        <v>-9.978244394111508E-3</v>
      </c>
      <c r="AN61" s="156">
        <f t="shared" si="23"/>
        <v>2.2515836796813328E-2</v>
      </c>
      <c r="AO61" s="156">
        <f t="shared" si="24"/>
        <v>1.5491636679518203E-2</v>
      </c>
      <c r="AP61" s="156">
        <f t="shared" si="25"/>
        <v>6.015050025548651E-3</v>
      </c>
      <c r="AQ61" s="156">
        <f t="shared" si="26"/>
        <v>3.2552747543380632E-3</v>
      </c>
      <c r="XED61"/>
      <c r="XEE61"/>
      <c r="XEF61"/>
      <c r="XEG61"/>
      <c r="XEH61"/>
      <c r="XEI61"/>
      <c r="XEJ61"/>
      <c r="XEK61"/>
      <c r="XEL61"/>
      <c r="XEM61"/>
      <c r="XEN61"/>
      <c r="XEO61"/>
      <c r="XEP61"/>
      <c r="XEQ61"/>
      <c r="XER61"/>
      <c r="XES61"/>
      <c r="XET61"/>
    </row>
    <row r="62" spans="2:43 16358:16374" ht="12.95" customHeight="1" x14ac:dyDescent="0.25">
      <c r="B62" s="17"/>
      <c r="C62" s="141" t="s">
        <v>74</v>
      </c>
      <c r="D62" s="52">
        <f t="shared" ca="1" si="27"/>
        <v>4.7830631951853102E-2</v>
      </c>
      <c r="I62" s="39" t="s">
        <v>63</v>
      </c>
      <c r="J62" s="35">
        <f ca="1">SUM(J37,J40,J41,J47)</f>
        <v>0.16788217957695664</v>
      </c>
      <c r="K62" s="84">
        <f t="shared" ref="K62" ca="1" si="50">SUM(K37,K40,K41,K47)</f>
        <v>0.1590494620860449</v>
      </c>
      <c r="L62" s="94">
        <f t="shared" ref="L62" si="51">SUM(L37,L40,L41,L47)</f>
        <v>0.2</v>
      </c>
      <c r="M62" s="7">
        <f t="shared" ref="M62:O62" si="52">SUM(M37,M40,M41,M47)</f>
        <v>0.12777385052062967</v>
      </c>
      <c r="N62" s="7">
        <f t="shared" ref="N62" si="53">SUM(N37,N40,N41,N47)</f>
        <v>0.16500000000000004</v>
      </c>
      <c r="O62" s="7">
        <f t="shared" si="52"/>
        <v>0.10325197205089763</v>
      </c>
      <c r="P62" s="7">
        <f t="shared" ref="P62:Q62" si="54">SUM(P37,P40,P41,P47)</f>
        <v>0.18499999999999994</v>
      </c>
      <c r="Q62" s="7">
        <f t="shared" si="54"/>
        <v>0.18500000008652162</v>
      </c>
      <c r="R62" s="94">
        <f t="shared" ref="R62:S62" si="55">SUM(R37,R40,R41,R47)</f>
        <v>9.1767986160366036E-2</v>
      </c>
      <c r="S62" s="94">
        <f t="shared" si="55"/>
        <v>8.5273530247084908E-2</v>
      </c>
      <c r="T62" s="128">
        <f t="shared" ref="T62:U62" si="56">SUM(T37,T40,T41,T47)</f>
        <v>9.6669184547378051E-2</v>
      </c>
      <c r="U62" s="118">
        <f t="shared" si="56"/>
        <v>0.185</v>
      </c>
      <c r="W62" s="157" t="s">
        <v>16</v>
      </c>
      <c r="X62" s="156">
        <f t="shared" si="7"/>
        <v>1.4521566159580331E-2</v>
      </c>
      <c r="Y62" s="156">
        <f t="shared" si="8"/>
        <v>1.1527224090156676E-2</v>
      </c>
      <c r="Z62" s="156">
        <f t="shared" si="9"/>
        <v>6.1449048715682048E-2</v>
      </c>
      <c r="AA62" s="156">
        <f t="shared" si="10"/>
        <v>1.0666937824941028E-2</v>
      </c>
      <c r="AB62" s="156">
        <f t="shared" si="11"/>
        <v>5.527152716999436E-3</v>
      </c>
      <c r="AC62" s="156">
        <f t="shared" si="12"/>
        <v>-1.3708743450218249E-2</v>
      </c>
      <c r="AD62" s="156">
        <f t="shared" si="13"/>
        <v>1.5254069263525806E-2</v>
      </c>
      <c r="AE62" s="156">
        <f t="shared" si="14"/>
        <v>6.579232379088279E-2</v>
      </c>
      <c r="AF62" s="156">
        <f t="shared" si="15"/>
        <v>3.0131848897647071E-2</v>
      </c>
      <c r="AG62" s="156">
        <f t="shared" ca="1" si="16"/>
        <v>0.13601716526110363</v>
      </c>
      <c r="AH62" s="156">
        <f t="shared" si="17"/>
        <v>-2.747766756003522E-2</v>
      </c>
      <c r="AI62" s="156">
        <f t="shared" si="18"/>
        <v>3.9471180926412747E-2</v>
      </c>
      <c r="AJ62" s="156">
        <f t="shared" si="19"/>
        <v>7.9466590021948821E-2</v>
      </c>
      <c r="AK62" s="156">
        <f t="shared" si="20"/>
        <v>-1.0245535175608987E-2</v>
      </c>
      <c r="AL62" s="156">
        <f t="shared" si="21"/>
        <v>4.3889326848397057E-3</v>
      </c>
      <c r="AM62" s="156">
        <f t="shared" si="22"/>
        <v>-3.9580918888127793E-2</v>
      </c>
      <c r="AN62" s="156">
        <f t="shared" si="23"/>
        <v>2.7889737090857489E-2</v>
      </c>
      <c r="AO62" s="156">
        <f t="shared" si="24"/>
        <v>1.9612460507059195E-2</v>
      </c>
      <c r="AP62" s="156">
        <f t="shared" si="25"/>
        <v>-1.7718769922647928E-3</v>
      </c>
      <c r="AQ62" s="156">
        <f t="shared" si="26"/>
        <v>-2.9370354296142324E-3</v>
      </c>
      <c r="XED62"/>
      <c r="XEE62"/>
      <c r="XEF62"/>
      <c r="XEG62"/>
      <c r="XEH62"/>
      <c r="XEI62"/>
      <c r="XEJ62"/>
      <c r="XEK62"/>
      <c r="XEL62"/>
      <c r="XEM62"/>
      <c r="XEN62"/>
      <c r="XEO62"/>
      <c r="XEP62"/>
      <c r="XEQ62"/>
      <c r="XER62"/>
      <c r="XES62"/>
      <c r="XET62"/>
    </row>
    <row r="63" spans="2:43 16358:16374" ht="12.95" customHeight="1" x14ac:dyDescent="0.25">
      <c r="B63" s="50"/>
      <c r="C63" s="143" t="s">
        <v>107</v>
      </c>
      <c r="D63" s="52">
        <f t="shared" ca="1" si="27"/>
        <v>7.0515558045981433E-2</v>
      </c>
      <c r="I63" s="39" t="s">
        <v>84</v>
      </c>
      <c r="J63" s="35">
        <f ca="1">SUM(J35,J42)</f>
        <v>0.16977625605923119</v>
      </c>
      <c r="K63" s="84">
        <f t="shared" ref="K63" ca="1" si="57">SUM(K35,K42)</f>
        <v>0.16974041426783898</v>
      </c>
      <c r="L63" s="94">
        <f t="shared" ref="L63" si="58">SUM(L35,L42)</f>
        <v>0.1</v>
      </c>
      <c r="M63" s="7">
        <f t="shared" ref="M63:O63" si="59">SUM(M35,M42)</f>
        <v>0.18499999989136656</v>
      </c>
      <c r="N63" s="7">
        <f t="shared" ref="N63" si="60">SUM(N35,N42)</f>
        <v>9.4231865816256061E-2</v>
      </c>
      <c r="O63" s="7">
        <f t="shared" si="59"/>
        <v>0.03</v>
      </c>
      <c r="P63" s="7">
        <f t="shared" ref="P63:Q63" si="61">SUM(P35,P42)</f>
        <v>0.185</v>
      </c>
      <c r="Q63" s="7">
        <f t="shared" si="61"/>
        <v>8.2591372685778625E-2</v>
      </c>
      <c r="R63" s="94">
        <f t="shared" ref="R63:S63" si="62">SUM(R35,R42)</f>
        <v>0.03</v>
      </c>
      <c r="S63" s="94">
        <f t="shared" si="62"/>
        <v>9.3893318048983543E-2</v>
      </c>
      <c r="T63" s="128">
        <f t="shared" ref="T63:U63" si="63">SUM(T35,T42)</f>
        <v>0.12298464827185904</v>
      </c>
      <c r="U63" s="118">
        <f t="shared" si="63"/>
        <v>0.03</v>
      </c>
      <c r="W63" s="157" t="s">
        <v>17</v>
      </c>
      <c r="X63" s="156">
        <f t="shared" si="7"/>
        <v>-2.0846985732014111E-3</v>
      </c>
      <c r="Y63" s="156">
        <f t="shared" si="8"/>
        <v>2.9220002555540628E-3</v>
      </c>
      <c r="Z63" s="156">
        <f t="shared" si="9"/>
        <v>-6.1102640053816937E-2</v>
      </c>
      <c r="AA63" s="156">
        <f t="shared" si="10"/>
        <v>1.7890399044213079E-2</v>
      </c>
      <c r="AB63" s="156">
        <f t="shared" si="11"/>
        <v>-1.4666183946127785E-3</v>
      </c>
      <c r="AC63" s="156">
        <f t="shared" si="12"/>
        <v>1.3502948492984583E-2</v>
      </c>
      <c r="AD63" s="156">
        <f t="shared" si="13"/>
        <v>-6.1053442827411174E-3</v>
      </c>
      <c r="AE63" s="156">
        <f t="shared" si="14"/>
        <v>-3.4425729589551729E-2</v>
      </c>
      <c r="AF63" s="156">
        <f t="shared" si="15"/>
        <v>-5.03115458105418E-3</v>
      </c>
      <c r="AG63" s="156">
        <f t="shared" si="16"/>
        <v>-2.747766756003522E-2</v>
      </c>
      <c r="AH63" s="156">
        <f t="shared" ca="1" si="17"/>
        <v>3.857705319812884E-2</v>
      </c>
      <c r="AI63" s="156">
        <f t="shared" si="18"/>
        <v>-4.4451180518185626E-2</v>
      </c>
      <c r="AJ63" s="156">
        <f t="shared" si="19"/>
        <v>-3.0255136631697259E-2</v>
      </c>
      <c r="AK63" s="156">
        <f t="shared" si="20"/>
        <v>2.3151808269735324E-2</v>
      </c>
      <c r="AL63" s="156">
        <f t="shared" si="21"/>
        <v>9.0693778285495016E-3</v>
      </c>
      <c r="AM63" s="156">
        <f t="shared" si="22"/>
        <v>4.8387648277294658E-2</v>
      </c>
      <c r="AN63" s="156">
        <f t="shared" si="23"/>
        <v>-1.0832544821810543E-3</v>
      </c>
      <c r="AO63" s="156">
        <f t="shared" si="24"/>
        <v>1.5242987616017223E-3</v>
      </c>
      <c r="AP63" s="156">
        <f t="shared" si="25"/>
        <v>3.5811227780478037E-3</v>
      </c>
      <c r="AQ63" s="156">
        <f t="shared" si="26"/>
        <v>2.9411956215923819E-3</v>
      </c>
      <c r="XED63"/>
      <c r="XEE63"/>
      <c r="XEF63"/>
      <c r="XEG63"/>
      <c r="XEH63"/>
      <c r="XEI63"/>
      <c r="XEJ63"/>
      <c r="XEK63"/>
      <c r="XEL63"/>
      <c r="XEM63"/>
      <c r="XEN63"/>
      <c r="XEO63"/>
      <c r="XEP63"/>
      <c r="XEQ63"/>
      <c r="XER63"/>
      <c r="XES63"/>
      <c r="XET63"/>
    </row>
    <row r="64" spans="2:43 16358:16374" ht="12.95" customHeight="1" x14ac:dyDescent="0.25">
      <c r="B64" s="50"/>
      <c r="C64" s="143" t="s">
        <v>110</v>
      </c>
      <c r="D64" s="52">
        <f t="shared" ca="1" si="27"/>
        <v>3.6412988636955343E-2</v>
      </c>
      <c r="I64" s="39" t="s">
        <v>65</v>
      </c>
      <c r="J64" s="35">
        <f ca="1">SUM(J39)</f>
        <v>5.5187372151452009E-2</v>
      </c>
      <c r="K64" s="84">
        <f t="shared" ref="K64" ca="1" si="64">SUM(K39)</f>
        <v>5.5175721439355695E-2</v>
      </c>
      <c r="L64" s="94">
        <f t="shared" ref="L64" si="65">SUM(L39)</f>
        <v>0.05</v>
      </c>
      <c r="M64" s="7">
        <f t="shared" ref="M64:O64" si="66">SUM(M39)</f>
        <v>3.4901223547230305E-2</v>
      </c>
      <c r="N64" s="7">
        <f t="shared" ref="N64" si="67">SUM(N39)</f>
        <v>1.4999999999999999E-2</v>
      </c>
      <c r="O64" s="7">
        <f t="shared" si="66"/>
        <v>3.8503825675737458E-2</v>
      </c>
      <c r="P64" s="7">
        <f t="shared" ref="P64:Q64" si="68">SUM(P39)</f>
        <v>0.12</v>
      </c>
      <c r="Q64" s="7">
        <f t="shared" si="68"/>
        <v>0.12</v>
      </c>
      <c r="R64" s="94">
        <f t="shared" ref="R64:S64" si="69">SUM(R39)</f>
        <v>8.9076084100953801E-2</v>
      </c>
      <c r="S64" s="94">
        <f t="shared" si="69"/>
        <v>0.12</v>
      </c>
      <c r="T64" s="128">
        <f t="shared" ref="T64:U64" si="70">SUM(T39)</f>
        <v>0.12</v>
      </c>
      <c r="U64" s="118">
        <f t="shared" si="70"/>
        <v>0.12</v>
      </c>
      <c r="W64" s="157" t="s">
        <v>18</v>
      </c>
      <c r="X64" s="156">
        <f t="shared" si="7"/>
        <v>1.1014965437578982E-2</v>
      </c>
      <c r="Y64" s="156">
        <f t="shared" si="8"/>
        <v>-9.6950087762175577E-5</v>
      </c>
      <c r="Z64" s="156">
        <f t="shared" si="9"/>
        <v>6.2466645510179011E-2</v>
      </c>
      <c r="AA64" s="156">
        <f t="shared" si="10"/>
        <v>-5.4466784132671539E-3</v>
      </c>
      <c r="AB64" s="156">
        <f t="shared" si="11"/>
        <v>-2.4446786180314737E-2</v>
      </c>
      <c r="AC64" s="156">
        <f t="shared" si="12"/>
        <v>-2.6707614080674911E-3</v>
      </c>
      <c r="AD64" s="156">
        <f t="shared" si="13"/>
        <v>2.6525225199350785E-2</v>
      </c>
      <c r="AE64" s="156">
        <f t="shared" si="14"/>
        <v>3.3372021892371574E-2</v>
      </c>
      <c r="AF64" s="156">
        <f t="shared" si="15"/>
        <v>3.2902048507137918E-2</v>
      </c>
      <c r="AG64" s="156">
        <f t="shared" si="16"/>
        <v>3.9471180926412747E-2</v>
      </c>
      <c r="AH64" s="156">
        <f t="shared" si="17"/>
        <v>-4.4451180518185626E-2</v>
      </c>
      <c r="AI64" s="156">
        <f t="shared" ca="1" si="18"/>
        <v>0.31847452814778443</v>
      </c>
      <c r="AJ64" s="156">
        <f t="shared" si="19"/>
        <v>3.3280479921811539E-2</v>
      </c>
      <c r="AK64" s="156">
        <f t="shared" si="20"/>
        <v>-2.65242344342843E-2</v>
      </c>
      <c r="AL64" s="156">
        <f t="shared" si="21"/>
        <v>2.2834365988841938E-3</v>
      </c>
      <c r="AM64" s="156">
        <f t="shared" si="22"/>
        <v>-6.0985533153637368E-2</v>
      </c>
      <c r="AN64" s="156">
        <f t="shared" si="23"/>
        <v>1.7012462727240675E-3</v>
      </c>
      <c r="AO64" s="156">
        <f t="shared" si="24"/>
        <v>-7.0856380908185094E-4</v>
      </c>
      <c r="AP64" s="156">
        <f t="shared" si="25"/>
        <v>4.0489904765917406E-3</v>
      </c>
      <c r="AQ64" s="156">
        <f t="shared" si="26"/>
        <v>-2.9539931258303477E-3</v>
      </c>
      <c r="XED64"/>
      <c r="XEE64"/>
      <c r="XEF64"/>
      <c r="XEG64"/>
      <c r="XEH64"/>
      <c r="XEI64"/>
      <c r="XEJ64"/>
      <c r="XEK64"/>
      <c r="XEL64"/>
      <c r="XEM64"/>
      <c r="XEN64"/>
      <c r="XEO64"/>
      <c r="XEP64"/>
      <c r="XEQ64"/>
      <c r="XER64"/>
      <c r="XES64"/>
      <c r="XET64"/>
    </row>
    <row r="65" spans="2:43 16353:16374" ht="12.95" customHeight="1" x14ac:dyDescent="0.25">
      <c r="B65" s="50"/>
      <c r="C65" s="51"/>
      <c r="D65" s="52">
        <f ca="1">SUM(D55:D64)</f>
        <v>1</v>
      </c>
      <c r="I65" s="39" t="s">
        <v>64</v>
      </c>
      <c r="J65" s="63">
        <f ca="1">SUM(J38)</f>
        <v>6.855973023982552E-2</v>
      </c>
      <c r="K65" s="84">
        <f t="shared" ref="K65" ca="1" si="71">SUM(K38)</f>
        <v>4.8206471597426317E-2</v>
      </c>
      <c r="L65" s="94">
        <f t="shared" ref="L65" si="72">SUM(L38)</f>
        <v>0.05</v>
      </c>
      <c r="M65" s="7">
        <f t="shared" ref="M65:O65" si="73">SUM(M38)</f>
        <v>3.0359509559919354E-2</v>
      </c>
      <c r="N65" s="7">
        <f t="shared" ref="N65" si="74">SUM(N38)</f>
        <v>1.4999999999999999E-2</v>
      </c>
      <c r="O65" s="7">
        <f t="shared" si="73"/>
        <v>1.4999999999999999E-2</v>
      </c>
      <c r="P65" s="7">
        <f t="shared" ref="P65:Q65" si="75">SUM(P38)</f>
        <v>0.12</v>
      </c>
      <c r="Q65" s="7">
        <f t="shared" si="75"/>
        <v>1.4999999999999999E-2</v>
      </c>
      <c r="R65" s="94">
        <f t="shared" ref="R65:S65" si="76">SUM(R38)</f>
        <v>1.4999999999999999E-2</v>
      </c>
      <c r="S65" s="94">
        <f t="shared" si="76"/>
        <v>1.4999999999999999E-2</v>
      </c>
      <c r="T65" s="128">
        <f t="shared" ref="T65:U65" si="77">SUM(T38)</f>
        <v>1.4999999999999999E-2</v>
      </c>
      <c r="U65" s="118">
        <f t="shared" si="77"/>
        <v>1.4999999999999999E-2</v>
      </c>
      <c r="V65"/>
      <c r="W65" s="157" t="s">
        <v>19</v>
      </c>
      <c r="X65" s="156">
        <f t="shared" si="7"/>
        <v>-4.3980074631730988E-4</v>
      </c>
      <c r="Y65" s="156">
        <f t="shared" si="8"/>
        <v>2.8828676577404857E-4</v>
      </c>
      <c r="Z65" s="156">
        <f t="shared" si="9"/>
        <v>5.5901841570127564E-2</v>
      </c>
      <c r="AA65" s="156">
        <f t="shared" si="10"/>
        <v>-2.0781047997188256E-2</v>
      </c>
      <c r="AB65" s="156">
        <f t="shared" si="11"/>
        <v>3.5635430865381755E-2</v>
      </c>
      <c r="AC65" s="156">
        <f t="shared" si="12"/>
        <v>-5.1217112425672E-3</v>
      </c>
      <c r="AD65" s="156">
        <f t="shared" si="13"/>
        <v>7.6903935877357449E-3</v>
      </c>
      <c r="AE65" s="156">
        <f t="shared" si="14"/>
        <v>4.7878609745981945E-2</v>
      </c>
      <c r="AF65" s="156">
        <f t="shared" si="15"/>
        <v>-6.6987904820230088E-3</v>
      </c>
      <c r="AG65" s="156">
        <f t="shared" si="16"/>
        <v>7.9466590021948821E-2</v>
      </c>
      <c r="AH65" s="156">
        <f t="shared" si="17"/>
        <v>-3.0255136631697259E-2</v>
      </c>
      <c r="AI65" s="156">
        <f t="shared" si="18"/>
        <v>3.3280479921811539E-2</v>
      </c>
      <c r="AJ65" s="156">
        <f t="shared" ca="1" si="19"/>
        <v>0.28395871325198302</v>
      </c>
      <c r="AK65" s="156">
        <f t="shared" si="20"/>
        <v>-1.4275700757852696E-2</v>
      </c>
      <c r="AL65" s="156">
        <f t="shared" si="21"/>
        <v>1.8324361905395527E-2</v>
      </c>
      <c r="AM65" s="156">
        <f t="shared" si="22"/>
        <v>-4.488485160898819E-2</v>
      </c>
      <c r="AN65" s="156">
        <f t="shared" si="23"/>
        <v>3.2251640617862065E-2</v>
      </c>
      <c r="AO65" s="156">
        <f t="shared" si="24"/>
        <v>1.9018292702687536E-2</v>
      </c>
      <c r="AP65" s="156">
        <f t="shared" si="25"/>
        <v>2.7201234647523591E-3</v>
      </c>
      <c r="AQ65" s="156">
        <f t="shared" si="26"/>
        <v>-4.9768775397337163E-3</v>
      </c>
      <c r="XED65"/>
      <c r="XEE65"/>
      <c r="XEF65"/>
      <c r="XEG65"/>
      <c r="XEH65"/>
      <c r="XEI65"/>
      <c r="XEJ65"/>
      <c r="XEK65"/>
      <c r="XEL65"/>
      <c r="XEM65"/>
      <c r="XEN65"/>
      <c r="XEO65"/>
      <c r="XEP65"/>
      <c r="XEQ65"/>
      <c r="XER65"/>
      <c r="XES65"/>
      <c r="XET65"/>
    </row>
    <row r="66" spans="2:43 16353:16374" ht="12.95" customHeight="1" x14ac:dyDescent="0.25">
      <c r="I66" s="39" t="s">
        <v>62</v>
      </c>
      <c r="J66" s="35">
        <f ca="1">SUM(J52,J36)</f>
        <v>0.1775633701465455</v>
      </c>
      <c r="K66" s="84">
        <f t="shared" ref="K66" ca="1" si="78">SUM(K52,K36)</f>
        <v>0.17752588440254682</v>
      </c>
      <c r="L66" s="94">
        <f t="shared" ref="L66" si="79">SUM(L52,L36)</f>
        <v>0.1</v>
      </c>
      <c r="M66" s="7">
        <f t="shared" ref="M66:O66" si="80">SUM(M52,M36)</f>
        <v>0.18500000000000102</v>
      </c>
      <c r="N66" s="7">
        <f t="shared" ref="N66" si="81">SUM(N52,N36)</f>
        <v>0.13500000000000001</v>
      </c>
      <c r="O66" s="7">
        <f t="shared" si="80"/>
        <v>0.11733956568652838</v>
      </c>
      <c r="P66" s="7">
        <f t="shared" ref="P66:Q66" si="82">SUM(P52,P36)</f>
        <v>0.185</v>
      </c>
      <c r="Q66" s="7">
        <f t="shared" si="82"/>
        <v>0.13500000000000001</v>
      </c>
      <c r="R66" s="94">
        <f t="shared" ref="R66:S66" si="83">SUM(R52,R36)</f>
        <v>7.3307171750508257E-2</v>
      </c>
      <c r="S66" s="94">
        <f t="shared" si="83"/>
        <v>0.13500000000000001</v>
      </c>
      <c r="T66" s="128">
        <f t="shared" ref="T66:U66" si="84">SUM(T52,T36)</f>
        <v>0.13500000000000001</v>
      </c>
      <c r="U66" s="118">
        <f t="shared" si="84"/>
        <v>0.13500000000000001</v>
      </c>
      <c r="V66"/>
      <c r="W66" s="157" t="s">
        <v>20</v>
      </c>
      <c r="X66" s="156">
        <f t="shared" si="7"/>
        <v>6.790985365600995E-3</v>
      </c>
      <c r="Y66" s="156">
        <f t="shared" si="8"/>
        <v>1.1346479599090943E-2</v>
      </c>
      <c r="Z66" s="156">
        <f t="shared" si="9"/>
        <v>-3.5901195512800486E-2</v>
      </c>
      <c r="AA66" s="156">
        <f t="shared" si="10"/>
        <v>2.5344648070573857E-2</v>
      </c>
      <c r="AB66" s="156">
        <f t="shared" si="11"/>
        <v>2.3765658254911218E-3</v>
      </c>
      <c r="AC66" s="156">
        <f t="shared" si="12"/>
        <v>9.3659131097717733E-3</v>
      </c>
      <c r="AD66" s="156">
        <f t="shared" si="13"/>
        <v>4.3661656173625647E-3</v>
      </c>
      <c r="AE66" s="156">
        <f t="shared" si="14"/>
        <v>-1.2509141242974295E-2</v>
      </c>
      <c r="AF66" s="156">
        <f t="shared" si="15"/>
        <v>6.5408409966737262E-3</v>
      </c>
      <c r="AG66" s="156">
        <f t="shared" si="16"/>
        <v>-1.0245535175608987E-2</v>
      </c>
      <c r="AH66" s="156">
        <f t="shared" si="17"/>
        <v>2.3151808269735324E-2</v>
      </c>
      <c r="AI66" s="156">
        <f t="shared" si="18"/>
        <v>-2.65242344342843E-2</v>
      </c>
      <c r="AJ66" s="156">
        <f t="shared" si="19"/>
        <v>-1.4275700757852696E-2</v>
      </c>
      <c r="AK66" s="156">
        <f t="shared" ca="1" si="20"/>
        <v>4.6098858548457453E-2</v>
      </c>
      <c r="AL66" s="156">
        <f t="shared" si="21"/>
        <v>1.2013038563749552E-3</v>
      </c>
      <c r="AM66" s="156">
        <f t="shared" si="22"/>
        <v>2.5060495542862524E-2</v>
      </c>
      <c r="AN66" s="156">
        <f t="shared" si="23"/>
        <v>8.8035329760526079E-3</v>
      </c>
      <c r="AO66" s="156">
        <f t="shared" si="24"/>
        <v>2.3746980567287464E-2</v>
      </c>
      <c r="AP66" s="156">
        <f t="shared" si="25"/>
        <v>1.5834412668160495E-2</v>
      </c>
      <c r="AQ66" s="156">
        <f t="shared" si="26"/>
        <v>3.6451751743927885E-3</v>
      </c>
      <c r="XED66"/>
      <c r="XEE66"/>
      <c r="XEF66"/>
      <c r="XEG66"/>
      <c r="XEH66"/>
      <c r="XEI66"/>
      <c r="XEJ66"/>
      <c r="XEK66"/>
      <c r="XEL66"/>
      <c r="XEM66"/>
      <c r="XEN66"/>
      <c r="XEO66"/>
      <c r="XEP66"/>
      <c r="XEQ66"/>
      <c r="XER66"/>
      <c r="XES66"/>
      <c r="XET66"/>
    </row>
    <row r="67" spans="2:43 16353:16374" ht="12.95" customHeight="1" x14ac:dyDescent="0.25">
      <c r="I67" s="39" t="s">
        <v>70</v>
      </c>
      <c r="J67" s="35">
        <f ca="1">SUM(J45,J50)</f>
        <v>7.5615485776452912E-2</v>
      </c>
      <c r="K67" s="84">
        <f t="shared" ref="K67" ca="1" si="85">SUM(K45,K50)</f>
        <v>8.3032542893040212E-2</v>
      </c>
      <c r="L67" s="94">
        <f t="shared" ref="L67" si="86">SUM(L45,L50)</f>
        <v>0.1</v>
      </c>
      <c r="M67" s="7">
        <f t="shared" ref="M67:O67" si="87">SUM(M45,M50)</f>
        <v>6.240387850638978E-2</v>
      </c>
      <c r="N67" s="7">
        <f t="shared" ref="N67" si="88">SUM(N45,N50)</f>
        <v>0.13500000000000001</v>
      </c>
      <c r="O67" s="7">
        <f t="shared" si="87"/>
        <v>0.185</v>
      </c>
      <c r="P67" s="7">
        <f t="shared" ref="P67:Q67" si="89">SUM(P45,P50)</f>
        <v>0.185</v>
      </c>
      <c r="Q67" s="7">
        <f t="shared" si="89"/>
        <v>0.185</v>
      </c>
      <c r="R67" s="94">
        <f t="shared" ref="R67:S67" si="90">SUM(R45,R50)</f>
        <v>0.18499999999999997</v>
      </c>
      <c r="S67" s="94">
        <f t="shared" si="90"/>
        <v>0.18500000000912681</v>
      </c>
      <c r="T67" s="128">
        <f t="shared" ref="T67:U67" si="91">SUM(T45,T50)</f>
        <v>0.185</v>
      </c>
      <c r="U67" s="118">
        <f t="shared" si="91"/>
        <v>0.14246736662167289</v>
      </c>
      <c r="V67"/>
      <c r="W67" s="157" t="s">
        <v>21</v>
      </c>
      <c r="X67" s="156">
        <f t="shared" si="7"/>
        <v>6.9238614063915826E-3</v>
      </c>
      <c r="Y67" s="156">
        <f t="shared" si="8"/>
        <v>6.8607378032122957E-3</v>
      </c>
      <c r="Z67" s="156">
        <f t="shared" si="9"/>
        <v>8.4715689669600483E-2</v>
      </c>
      <c r="AA67" s="156">
        <f t="shared" si="10"/>
        <v>1.1008951986851583E-2</v>
      </c>
      <c r="AB67" s="156">
        <f t="shared" si="11"/>
        <v>9.0556504616261073E-3</v>
      </c>
      <c r="AC67" s="156">
        <f t="shared" si="12"/>
        <v>-1.1021971946941598E-2</v>
      </c>
      <c r="AD67" s="156">
        <f t="shared" si="13"/>
        <v>-2.5307651124317643E-3</v>
      </c>
      <c r="AE67" s="156">
        <f t="shared" si="14"/>
        <v>1.2905637838507702E-2</v>
      </c>
      <c r="AF67" s="156">
        <f t="shared" si="15"/>
        <v>1.0972325518515395E-2</v>
      </c>
      <c r="AG67" s="156">
        <f t="shared" si="16"/>
        <v>4.3889326848397057E-3</v>
      </c>
      <c r="AH67" s="156">
        <f t="shared" si="17"/>
        <v>9.0693778285495016E-3</v>
      </c>
      <c r="AI67" s="156">
        <f t="shared" si="18"/>
        <v>2.2834365988841938E-3</v>
      </c>
      <c r="AJ67" s="156">
        <f t="shared" si="19"/>
        <v>1.8324361905395527E-2</v>
      </c>
      <c r="AK67" s="156">
        <f t="shared" si="20"/>
        <v>1.2013038563749552E-3</v>
      </c>
      <c r="AL67" s="156">
        <f t="shared" ca="1" si="21"/>
        <v>4.1644442356743284E-2</v>
      </c>
      <c r="AM67" s="156">
        <f t="shared" si="22"/>
        <v>6.7974480303530848E-3</v>
      </c>
      <c r="AN67" s="156">
        <f t="shared" si="23"/>
        <v>8.6037887419667079E-3</v>
      </c>
      <c r="AO67" s="156">
        <f t="shared" si="24"/>
        <v>2.5843335837946388E-4</v>
      </c>
      <c r="AP67" s="156">
        <f t="shared" si="25"/>
        <v>-1.1808583293463577E-2</v>
      </c>
      <c r="AQ67" s="156">
        <f t="shared" si="26"/>
        <v>-3.5056900091793974E-3</v>
      </c>
      <c r="XED67"/>
      <c r="XEE67"/>
      <c r="XEF67"/>
      <c r="XEG67"/>
      <c r="XEH67"/>
      <c r="XEI67"/>
      <c r="XEJ67"/>
      <c r="XEK67"/>
      <c r="XEL67"/>
      <c r="XEM67"/>
      <c r="XEN67"/>
      <c r="XEO67"/>
      <c r="XEP67"/>
      <c r="XEQ67"/>
      <c r="XER67"/>
      <c r="XES67"/>
      <c r="XET67"/>
    </row>
    <row r="68" spans="2:43 16353:16374" ht="12.95" customHeight="1" x14ac:dyDescent="0.25">
      <c r="I68" s="39" t="s">
        <v>74</v>
      </c>
      <c r="J68" s="35">
        <f ca="1">SUM(J48,J49)</f>
        <v>4.7830631951853102E-2</v>
      </c>
      <c r="K68" s="84">
        <f t="shared" ref="K68" ca="1" si="92">SUM(K48,K49)</f>
        <v>4.782053433530549E-2</v>
      </c>
      <c r="L68" s="94">
        <f t="shared" ref="L68" si="93">SUM(L48,L49)</f>
        <v>0.1</v>
      </c>
      <c r="M68" s="7">
        <f t="shared" ref="M68:O68" si="94">SUM(M48,M49)</f>
        <v>7.1887452835212751E-2</v>
      </c>
      <c r="N68" s="7">
        <f t="shared" ref="N68" si="95">SUM(N48,N49)</f>
        <v>0.03</v>
      </c>
      <c r="O68" s="7">
        <f t="shared" si="94"/>
        <v>0.03</v>
      </c>
      <c r="P68" s="7">
        <f t="shared" ref="P68:Q68" si="96">SUM(P48,P49)</f>
        <v>-0.47000008038949281</v>
      </c>
      <c r="Q68" s="7">
        <f t="shared" si="96"/>
        <v>0.03</v>
      </c>
      <c r="R68" s="94">
        <f t="shared" ref="R68:S68" si="97">SUM(R48,R49)</f>
        <v>0.03</v>
      </c>
      <c r="S68" s="94">
        <f t="shared" si="97"/>
        <v>0.03</v>
      </c>
      <c r="T68" s="128">
        <f t="shared" ref="T68:U68" si="98">SUM(T48,T49)</f>
        <v>0.03</v>
      </c>
      <c r="U68" s="118">
        <f t="shared" si="98"/>
        <v>0.12171308757880292</v>
      </c>
      <c r="V68"/>
      <c r="W68" s="157" t="s">
        <v>22</v>
      </c>
      <c r="X68" s="156">
        <f t="shared" si="7"/>
        <v>-4.7378143307145251E-3</v>
      </c>
      <c r="Y68" s="156">
        <f t="shared" si="8"/>
        <v>1.0779278875844714E-3</v>
      </c>
      <c r="Z68" s="156">
        <f t="shared" si="9"/>
        <v>-8.7771248775531399E-2</v>
      </c>
      <c r="AA68" s="156">
        <f t="shared" si="10"/>
        <v>1.6730136130207664E-2</v>
      </c>
      <c r="AB68" s="156">
        <f t="shared" si="11"/>
        <v>-5.1612985469800888E-3</v>
      </c>
      <c r="AC68" s="156">
        <f t="shared" si="12"/>
        <v>1.4197490321488026E-2</v>
      </c>
      <c r="AD68" s="156">
        <f t="shared" si="13"/>
        <v>-1.0929633426973947E-2</v>
      </c>
      <c r="AE68" s="156">
        <f t="shared" si="14"/>
        <v>-5.0446595160890048E-2</v>
      </c>
      <c r="AF68" s="156">
        <f t="shared" si="15"/>
        <v>-9.978244394111508E-3</v>
      </c>
      <c r="AG68" s="156">
        <f t="shared" si="16"/>
        <v>-3.9580918888127793E-2</v>
      </c>
      <c r="AH68" s="156">
        <f t="shared" si="17"/>
        <v>4.8387648277294658E-2</v>
      </c>
      <c r="AI68" s="156">
        <f t="shared" si="18"/>
        <v>-6.0985533153637368E-2</v>
      </c>
      <c r="AJ68" s="156">
        <f t="shared" si="19"/>
        <v>-4.488485160898819E-2</v>
      </c>
      <c r="AK68" s="156">
        <f t="shared" si="20"/>
        <v>2.5060495542862524E-2</v>
      </c>
      <c r="AL68" s="156">
        <f t="shared" si="21"/>
        <v>6.7974480303530848E-3</v>
      </c>
      <c r="AM68" s="156">
        <f t="shared" ca="1" si="22"/>
        <v>6.7485223921271376E-2</v>
      </c>
      <c r="AN68" s="156">
        <f t="shared" si="23"/>
        <v>-3.0777465200587609E-3</v>
      </c>
      <c r="AO68" s="156">
        <f t="shared" si="24"/>
        <v>-3.1814428378044426E-3</v>
      </c>
      <c r="AP68" s="156">
        <f t="shared" si="25"/>
        <v>2.9216526087816985E-3</v>
      </c>
      <c r="AQ68" s="156">
        <f t="shared" si="26"/>
        <v>1.8117700567558855E-3</v>
      </c>
      <c r="XED68"/>
      <c r="XEE68"/>
      <c r="XEF68"/>
      <c r="XEG68"/>
      <c r="XEH68"/>
      <c r="XEI68"/>
      <c r="XEJ68"/>
      <c r="XEK68"/>
      <c r="XEL68"/>
      <c r="XEM68"/>
      <c r="XEN68"/>
      <c r="XEO68"/>
      <c r="XEP68"/>
      <c r="XEQ68"/>
      <c r="XER68"/>
      <c r="XES68"/>
      <c r="XET68"/>
    </row>
    <row r="69" spans="2:43 16353:16374" ht="12.95" customHeight="1" x14ac:dyDescent="0.25">
      <c r="I69" s="248" t="s">
        <v>201</v>
      </c>
      <c r="J69" s="35">
        <f ca="1">SUM(J51)</f>
        <v>7.0515558045981433E-2</v>
      </c>
      <c r="K69" s="84">
        <f ca="1">SUM(K51)</f>
        <v>7.050067137113035E-2</v>
      </c>
      <c r="L69" s="94">
        <f t="shared" ref="L69" si="99">SUM(L51)</f>
        <v>0.05</v>
      </c>
      <c r="M69" s="7">
        <f t="shared" ref="M69:O69" si="100">SUM(M51)</f>
        <v>2.7E-2</v>
      </c>
      <c r="N69" s="7">
        <f t="shared" ref="N69" si="101">SUM(N51)</f>
        <v>0.11999999999999998</v>
      </c>
      <c r="O69" s="7">
        <f t="shared" si="100"/>
        <v>0.12</v>
      </c>
      <c r="P69" s="7">
        <f t="shared" ref="P69:Q69" si="102">SUM(P51)</f>
        <v>0.12</v>
      </c>
      <c r="Q69" s="7">
        <f t="shared" si="102"/>
        <v>1.4999999999999999E-2</v>
      </c>
      <c r="R69" s="94">
        <f t="shared" ref="R69:S69" si="103">SUM(R51)</f>
        <v>0.12</v>
      </c>
      <c r="S69" s="94">
        <f t="shared" si="103"/>
        <v>4.8435671812402326E-2</v>
      </c>
      <c r="T69" s="128">
        <f t="shared" ref="T69:U69" si="104">SUM(T51)</f>
        <v>1.4999999999999999E-2</v>
      </c>
      <c r="U69" s="118">
        <f t="shared" si="104"/>
        <v>1.4999999999999999E-2</v>
      </c>
      <c r="V69"/>
      <c r="W69" s="157" t="s">
        <v>97</v>
      </c>
      <c r="X69" s="156">
        <f t="shared" si="7"/>
        <v>1.2047011357766221E-2</v>
      </c>
      <c r="Y69" s="156">
        <f t="shared" si="8"/>
        <v>9.4057847562516866E-3</v>
      </c>
      <c r="Z69" s="156">
        <f t="shared" si="9"/>
        <v>3.8660722913362026E-2</v>
      </c>
      <c r="AA69" s="156">
        <f t="shared" si="10"/>
        <v>1.8910592162802595E-2</v>
      </c>
      <c r="AB69" s="156">
        <f t="shared" si="11"/>
        <v>5.2390246808406045E-3</v>
      </c>
      <c r="AC69" s="156">
        <f t="shared" si="12"/>
        <v>-3.4993484166299421E-3</v>
      </c>
      <c r="AD69" s="156">
        <f t="shared" si="13"/>
        <v>5.571284277736472E-3</v>
      </c>
      <c r="AE69" s="156">
        <f t="shared" si="14"/>
        <v>2.363947562572144E-2</v>
      </c>
      <c r="AF69" s="156">
        <f t="shared" si="15"/>
        <v>2.2515836796813328E-2</v>
      </c>
      <c r="AG69" s="156">
        <f t="shared" si="16"/>
        <v>2.7889737090857489E-2</v>
      </c>
      <c r="AH69" s="156">
        <f t="shared" si="17"/>
        <v>-1.0832544821810543E-3</v>
      </c>
      <c r="AI69" s="156">
        <f t="shared" si="18"/>
        <v>1.7012462727240675E-3</v>
      </c>
      <c r="AJ69" s="156">
        <f t="shared" si="19"/>
        <v>3.2251640617862065E-2</v>
      </c>
      <c r="AK69" s="156">
        <f t="shared" si="20"/>
        <v>8.8035329760526079E-3</v>
      </c>
      <c r="AL69" s="156">
        <f t="shared" si="21"/>
        <v>8.6037887419667079E-3</v>
      </c>
      <c r="AM69" s="156">
        <f t="shared" si="22"/>
        <v>-3.0777465200587609E-3</v>
      </c>
      <c r="AN69" s="156">
        <f t="shared" ca="1" si="23"/>
        <v>2.1772266306432395E-2</v>
      </c>
      <c r="AO69" s="156">
        <f t="shared" si="24"/>
        <v>1.4652848315878798E-2</v>
      </c>
      <c r="AP69" s="156">
        <f t="shared" si="25"/>
        <v>7.7399203923588615E-3</v>
      </c>
      <c r="AQ69" s="156">
        <f t="shared" si="26"/>
        <v>8.8314385862369761E-4</v>
      </c>
      <c r="XED69"/>
      <c r="XEE69"/>
      <c r="XEF69"/>
      <c r="XEG69"/>
      <c r="XEH69"/>
      <c r="XEI69"/>
      <c r="XEJ69"/>
      <c r="XEK69"/>
      <c r="XEL69"/>
      <c r="XEM69"/>
      <c r="XEN69"/>
      <c r="XEO69"/>
      <c r="XEP69"/>
      <c r="XEQ69"/>
      <c r="XER69"/>
      <c r="XES69"/>
      <c r="XET69"/>
    </row>
    <row r="70" spans="2:43 16353:16374" ht="12.95" customHeight="1" thickBot="1" x14ac:dyDescent="0.3">
      <c r="I70" s="66" t="s">
        <v>110</v>
      </c>
      <c r="J70" s="67">
        <f ca="1">SUM(J53,J54)</f>
        <v>3.6412988636955343E-2</v>
      </c>
      <c r="K70" s="85">
        <f t="shared" ref="K70" ca="1" si="105">SUM(K53,K54)</f>
        <v>5.8319453321820654E-2</v>
      </c>
      <c r="L70" s="95">
        <f t="shared" ref="L70" si="106">SUM(L53,L54)</f>
        <v>0.1</v>
      </c>
      <c r="M70" s="68">
        <f t="shared" ref="M70:O70" si="107">SUM(M53,M54)</f>
        <v>0.15148069188395549</v>
      </c>
      <c r="N70" s="68">
        <f t="shared" ref="N70" si="108">SUM(N53,N54)</f>
        <v>0.10576813418381976</v>
      </c>
      <c r="O70" s="68">
        <f t="shared" si="107"/>
        <v>0.185</v>
      </c>
      <c r="P70" s="68">
        <f t="shared" ref="P70:Q70" si="109">SUM(P53,P54)</f>
        <v>0.185</v>
      </c>
      <c r="Q70" s="68">
        <f t="shared" si="109"/>
        <v>0.14270569147180615</v>
      </c>
      <c r="R70" s="95">
        <f t="shared" ref="R70:S70" si="110">SUM(R53,R54)</f>
        <v>0.185</v>
      </c>
      <c r="S70" s="95">
        <f t="shared" si="110"/>
        <v>0.18500000000000003</v>
      </c>
      <c r="T70" s="129">
        <f t="shared" ref="T70:U70" si="111">SUM(T53,T54)</f>
        <v>0.18500000027782071</v>
      </c>
      <c r="U70" s="119">
        <f t="shared" si="111"/>
        <v>0.16967112200761517</v>
      </c>
      <c r="V70"/>
      <c r="W70" s="157" t="s">
        <v>98</v>
      </c>
      <c r="X70" s="156">
        <f t="shared" si="7"/>
        <v>9.6288345833004333E-3</v>
      </c>
      <c r="Y70" s="156">
        <f t="shared" si="8"/>
        <v>1.088880189002586E-2</v>
      </c>
      <c r="Z70" s="156">
        <f t="shared" si="9"/>
        <v>5.320121002292854E-3</v>
      </c>
      <c r="AA70" s="156">
        <f t="shared" si="10"/>
        <v>1.9936089756828736E-2</v>
      </c>
      <c r="AB70" s="156">
        <f t="shared" si="11"/>
        <v>4.6324303999723078E-3</v>
      </c>
      <c r="AC70" s="156">
        <f t="shared" si="12"/>
        <v>2.4535247079902505E-3</v>
      </c>
      <c r="AD70" s="156">
        <f t="shared" si="13"/>
        <v>9.125337515518514E-3</v>
      </c>
      <c r="AE70" s="156">
        <f t="shared" si="14"/>
        <v>1.8675044329243422E-2</v>
      </c>
      <c r="AF70" s="156">
        <f t="shared" si="15"/>
        <v>1.5491636679518203E-2</v>
      </c>
      <c r="AG70" s="156">
        <f t="shared" si="16"/>
        <v>1.9612460507059195E-2</v>
      </c>
      <c r="AH70" s="156">
        <f t="shared" si="17"/>
        <v>1.5242987616017223E-3</v>
      </c>
      <c r="AI70" s="156">
        <f t="shared" si="18"/>
        <v>-7.0856380908185094E-4</v>
      </c>
      <c r="AJ70" s="156">
        <f t="shared" si="19"/>
        <v>1.9018292702687536E-2</v>
      </c>
      <c r="AK70" s="156">
        <f t="shared" si="20"/>
        <v>2.3746980567287464E-2</v>
      </c>
      <c r="AL70" s="156">
        <f t="shared" si="21"/>
        <v>2.5843335837946388E-4</v>
      </c>
      <c r="AM70" s="156">
        <f t="shared" si="22"/>
        <v>-3.1814428378044426E-3</v>
      </c>
      <c r="AN70" s="156">
        <f t="shared" si="23"/>
        <v>1.4652848315878798E-2</v>
      </c>
      <c r="AO70" s="156">
        <f t="shared" ca="1" si="24"/>
        <v>2.2682317772891071E-2</v>
      </c>
      <c r="AP70" s="156">
        <f t="shared" si="25"/>
        <v>1.0507032376321414E-2</v>
      </c>
      <c r="AQ70" s="156">
        <f t="shared" si="26"/>
        <v>2.6453400762382496E-3</v>
      </c>
      <c r="XED70"/>
      <c r="XEE70"/>
      <c r="XEF70"/>
      <c r="XEG70"/>
      <c r="XEH70"/>
      <c r="XEI70"/>
      <c r="XEJ70"/>
      <c r="XEK70"/>
      <c r="XEL70"/>
      <c r="XEM70"/>
      <c r="XEN70"/>
      <c r="XEO70"/>
      <c r="XEP70"/>
      <c r="XEQ70"/>
      <c r="XER70"/>
      <c r="XES70"/>
      <c r="XET70"/>
    </row>
    <row r="71" spans="2:43 16353:16374" ht="12.95" customHeight="1" x14ac:dyDescent="0.25">
      <c r="I71" s="40" t="s">
        <v>1</v>
      </c>
      <c r="J71" s="33">
        <f ca="1">SUM(J61:J70)</f>
        <v>1</v>
      </c>
      <c r="K71" s="86">
        <f t="shared" ref="K71" ca="1" si="112">SUM(K61:K70)</f>
        <v>1.0000000000000002</v>
      </c>
      <c r="L71" s="96">
        <f t="shared" ref="L71" si="113">SUM(L61:L70)</f>
        <v>1.0000000000000002</v>
      </c>
      <c r="M71" s="65">
        <f t="shared" ref="M71:O71" si="114">SUM(M61:M70)</f>
        <v>1.0000000011381853</v>
      </c>
      <c r="N71" s="65">
        <f t="shared" ref="N71" si="115">SUM(N61:N70)</f>
        <v>1.0000000000000759</v>
      </c>
      <c r="O71" s="65">
        <f t="shared" si="114"/>
        <v>1.0000000000110836</v>
      </c>
      <c r="P71" s="65">
        <f t="shared" ref="P71:Q71" si="116">SUM(P61:P70)</f>
        <v>0.99999992337986665</v>
      </c>
      <c r="Q71" s="65">
        <f t="shared" si="116"/>
        <v>1.0000000000937428</v>
      </c>
      <c r="R71" s="96">
        <f t="shared" ref="R71:S71" si="117">SUM(R61:R70)</f>
        <v>0.9999999418387302</v>
      </c>
      <c r="S71" s="96">
        <f t="shared" si="117"/>
        <v>1.0000000045223632</v>
      </c>
      <c r="T71" s="130">
        <f t="shared" ref="T71:U71" si="118">SUM(T61:T70)</f>
        <v>1.0000000040835655</v>
      </c>
      <c r="U71" s="120">
        <f t="shared" si="118"/>
        <v>0.99999999999448863</v>
      </c>
      <c r="V71"/>
      <c r="W71" s="157" t="s">
        <v>99</v>
      </c>
      <c r="X71" s="156">
        <f t="shared" si="7"/>
        <v>3.4553938823693149E-3</v>
      </c>
      <c r="Y71" s="156">
        <f t="shared" si="8"/>
        <v>1.0892993262537579E-3</v>
      </c>
      <c r="Z71" s="156">
        <f t="shared" si="9"/>
        <v>-1.3390587934192085E-2</v>
      </c>
      <c r="AA71" s="156">
        <f t="shared" si="10"/>
        <v>1.3011205054372236E-2</v>
      </c>
      <c r="AB71" s="156">
        <f t="shared" si="11"/>
        <v>4.6282722253808252E-3</v>
      </c>
      <c r="AC71" s="156">
        <f t="shared" si="12"/>
        <v>1.7522646263750299E-2</v>
      </c>
      <c r="AD71" s="156">
        <f t="shared" si="13"/>
        <v>4.7058734579515787E-3</v>
      </c>
      <c r="AE71" s="156">
        <f t="shared" si="14"/>
        <v>-9.8297075882106816E-3</v>
      </c>
      <c r="AF71" s="156">
        <f t="shared" si="15"/>
        <v>6.015050025548651E-3</v>
      </c>
      <c r="AG71" s="156">
        <f t="shared" si="16"/>
        <v>-1.7718769922647928E-3</v>
      </c>
      <c r="AH71" s="156">
        <f t="shared" si="17"/>
        <v>3.5811227780478037E-3</v>
      </c>
      <c r="AI71" s="156">
        <f t="shared" si="18"/>
        <v>4.0489904765917406E-3</v>
      </c>
      <c r="AJ71" s="156">
        <f t="shared" si="19"/>
        <v>2.7201234647523591E-3</v>
      </c>
      <c r="AK71" s="156">
        <f t="shared" si="20"/>
        <v>1.5834412668160495E-2</v>
      </c>
      <c r="AL71" s="156">
        <f t="shared" si="21"/>
        <v>-1.1808583293463577E-2</v>
      </c>
      <c r="AM71" s="156">
        <f t="shared" si="22"/>
        <v>2.9216526087816985E-3</v>
      </c>
      <c r="AN71" s="156">
        <f t="shared" si="23"/>
        <v>7.7399203923588615E-3</v>
      </c>
      <c r="AO71" s="156">
        <f t="shared" si="24"/>
        <v>1.0507032376321414E-2</v>
      </c>
      <c r="AP71" s="156">
        <f t="shared" ca="1" si="25"/>
        <v>2.2327202088047875E-2</v>
      </c>
      <c r="AQ71" s="156">
        <f t="shared" si="26"/>
        <v>8.3806339231562513E-3</v>
      </c>
      <c r="XED71"/>
      <c r="XEE71"/>
      <c r="XEF71"/>
      <c r="XEG71"/>
      <c r="XEH71"/>
      <c r="XEI71"/>
      <c r="XEJ71"/>
      <c r="XEK71"/>
      <c r="XEL71"/>
      <c r="XEM71"/>
      <c r="XEN71"/>
      <c r="XEO71"/>
      <c r="XEP71"/>
      <c r="XEQ71"/>
      <c r="XER71"/>
      <c r="XES71"/>
      <c r="XET71"/>
    </row>
    <row r="72" spans="2:43 16353:16374" ht="12.95" customHeight="1" x14ac:dyDescent="0.25">
      <c r="W72" s="157" t="s">
        <v>100</v>
      </c>
      <c r="X72" s="156">
        <f t="shared" si="7"/>
        <v>1.2340001404323312E-3</v>
      </c>
      <c r="Y72" s="156">
        <f t="shared" si="8"/>
        <v>2.4879583214267704E-4</v>
      </c>
      <c r="Z72" s="156">
        <f t="shared" si="9"/>
        <v>-1.1733513724119958E-3</v>
      </c>
      <c r="AA72" s="156">
        <f t="shared" si="10"/>
        <v>8.6489277348454473E-3</v>
      </c>
      <c r="AB72" s="156">
        <f t="shared" si="11"/>
        <v>3.1366947235491206E-3</v>
      </c>
      <c r="AC72" s="156">
        <f t="shared" si="12"/>
        <v>1.0570991566441026E-2</v>
      </c>
      <c r="AD72" s="156">
        <f t="shared" si="13"/>
        <v>1.8618656290099189E-3</v>
      </c>
      <c r="AE72" s="156">
        <f t="shared" si="14"/>
        <v>-2.6375617434120043E-3</v>
      </c>
      <c r="AF72" s="156">
        <f t="shared" si="15"/>
        <v>3.2552747543380632E-3</v>
      </c>
      <c r="AG72" s="156">
        <f t="shared" si="16"/>
        <v>-2.9370354296142324E-3</v>
      </c>
      <c r="AH72" s="156">
        <f t="shared" si="17"/>
        <v>2.9411956215923819E-3</v>
      </c>
      <c r="AI72" s="156">
        <f t="shared" si="18"/>
        <v>-2.9539931258303477E-3</v>
      </c>
      <c r="AJ72" s="156">
        <f t="shared" si="19"/>
        <v>-4.9768775397337163E-3</v>
      </c>
      <c r="AK72" s="156">
        <f t="shared" si="20"/>
        <v>3.6451751743927885E-3</v>
      </c>
      <c r="AL72" s="156">
        <f t="shared" si="21"/>
        <v>-3.5056900091793974E-3</v>
      </c>
      <c r="AM72" s="156">
        <f t="shared" si="22"/>
        <v>1.8117700567558855E-3</v>
      </c>
      <c r="AN72" s="156">
        <f t="shared" si="23"/>
        <v>8.8314385862369761E-4</v>
      </c>
      <c r="AO72" s="156">
        <f t="shared" si="24"/>
        <v>2.6453400762382496E-3</v>
      </c>
      <c r="AP72" s="156">
        <f t="shared" si="25"/>
        <v>8.3806339231562513E-3</v>
      </c>
      <c r="AQ72" s="156">
        <f t="shared" ca="1" si="26"/>
        <v>5.904347161630831E-3</v>
      </c>
      <c r="XED72"/>
      <c r="XEE72"/>
      <c r="XEF72"/>
      <c r="XEG72"/>
      <c r="XEH72"/>
      <c r="XEI72"/>
      <c r="XEJ72"/>
      <c r="XEK72"/>
      <c r="XEL72"/>
      <c r="XEM72"/>
      <c r="XEN72"/>
      <c r="XEO72"/>
      <c r="XEP72"/>
      <c r="XEQ72"/>
      <c r="XER72"/>
      <c r="XES72"/>
      <c r="XET72"/>
    </row>
    <row r="73" spans="2:43 16353:16374" ht="12.95" customHeight="1" x14ac:dyDescent="0.25">
      <c r="XED73"/>
      <c r="XEE73"/>
      <c r="XEF73"/>
      <c r="XEG73"/>
      <c r="XEH73"/>
      <c r="XEI73"/>
      <c r="XEJ73"/>
      <c r="XEK73"/>
      <c r="XEL73"/>
      <c r="XEM73"/>
      <c r="XEN73"/>
      <c r="XEO73"/>
      <c r="XEP73"/>
      <c r="XEQ73"/>
      <c r="XER73"/>
      <c r="XES73"/>
      <c r="XET73"/>
    </row>
    <row r="76" spans="2:43 16353:16374" ht="12.95" customHeight="1" x14ac:dyDescent="0.25">
      <c r="B76" s="9"/>
      <c r="XEE76"/>
      <c r="XEF76"/>
      <c r="XEG76"/>
      <c r="XEH76"/>
      <c r="XEI76"/>
      <c r="XEJ76"/>
      <c r="XEK76"/>
      <c r="XEL76"/>
      <c r="XEM76"/>
      <c r="XEN76"/>
      <c r="XEO76"/>
      <c r="XEP76"/>
      <c r="XEQ76"/>
      <c r="XER76"/>
      <c r="XES76"/>
      <c r="XET76"/>
    </row>
    <row r="77" spans="2:43 16353:16374" ht="12.95" customHeight="1" x14ac:dyDescent="0.25">
      <c r="B77" s="135"/>
      <c r="C77" s="135"/>
      <c r="D77" s="135"/>
      <c r="E77" s="135"/>
      <c r="F77" s="135"/>
      <c r="H77" s="136"/>
      <c r="I77" s="136"/>
      <c r="J77" s="136"/>
      <c r="XDY77" s="47"/>
      <c r="XEE77"/>
      <c r="XEF77"/>
      <c r="XEG77"/>
      <c r="XEH77"/>
      <c r="XEI77"/>
      <c r="XEJ77"/>
      <c r="XEK77"/>
      <c r="XEL77"/>
      <c r="XEM77"/>
      <c r="XEN77"/>
      <c r="XEO77"/>
      <c r="XEP77"/>
      <c r="XEQ77"/>
      <c r="XER77"/>
      <c r="XES77"/>
      <c r="XET77"/>
    </row>
    <row r="78" spans="2:43 16353:16374" ht="12.95" customHeight="1" x14ac:dyDescent="0.25">
      <c r="B78" s="135"/>
      <c r="D78" s="26"/>
      <c r="E78" s="26"/>
      <c r="F78" s="137"/>
      <c r="H78" s="97"/>
      <c r="I78" s="97"/>
      <c r="J78" s="138"/>
      <c r="XEE78"/>
      <c r="XEF78"/>
      <c r="XEG78"/>
      <c r="XEH78"/>
      <c r="XEI78"/>
      <c r="XEJ78"/>
      <c r="XEK78"/>
      <c r="XEL78"/>
      <c r="XEM78"/>
      <c r="XEN78"/>
      <c r="XEO78"/>
      <c r="XEP78"/>
      <c r="XEQ78"/>
      <c r="XER78"/>
      <c r="XES78"/>
      <c r="XET78"/>
    </row>
    <row r="79" spans="2:43 16353:16374" ht="12.95" customHeight="1" x14ac:dyDescent="0.25">
      <c r="B79" s="135"/>
      <c r="D79" s="26"/>
      <c r="E79" s="26"/>
      <c r="F79" s="137"/>
      <c r="H79" s="97"/>
      <c r="I79" s="97"/>
      <c r="J79" s="138"/>
      <c r="XDY79" s="47" t="s">
        <v>102</v>
      </c>
      <c r="XEE79"/>
      <c r="XEF79"/>
      <c r="XEG79"/>
      <c r="XEH79"/>
      <c r="XEI79"/>
      <c r="XEJ79"/>
      <c r="XEK79"/>
      <c r="XEL79"/>
      <c r="XEM79"/>
      <c r="XEN79"/>
      <c r="XEO79"/>
      <c r="XEP79"/>
      <c r="XEQ79"/>
      <c r="XER79"/>
      <c r="XES79"/>
      <c r="XET79"/>
    </row>
    <row r="80" spans="2:43 16353:16374" ht="12.95" customHeight="1" x14ac:dyDescent="0.25">
      <c r="B80" s="135"/>
      <c r="D80" s="26"/>
      <c r="E80" s="26"/>
      <c r="F80" s="137"/>
      <c r="H80" s="97"/>
      <c r="I80" s="138"/>
      <c r="J80" s="138"/>
      <c r="XDZ80" s="3" t="str" cm="1">
        <f t="array" ref="XDZ80:XES80">TRANSPOSE(I5:I24)</f>
        <v>VOO</v>
      </c>
      <c r="XEA80" s="3" t="str">
        <v>DIA</v>
      </c>
      <c r="XEB80" s="3" t="str">
        <v>TSLA</v>
      </c>
      <c r="XEC80" s="3" t="str">
        <v>BAC</v>
      </c>
      <c r="XED80" s="3" t="str">
        <v>SBUX</v>
      </c>
      <c r="XEE80" t="str">
        <v>O</v>
      </c>
      <c r="XEF80" t="str">
        <v>VZ</v>
      </c>
      <c r="XEG80" t="str">
        <v>AMZN</v>
      </c>
      <c r="XEH80" t="str">
        <v>GOOGL</v>
      </c>
      <c r="XEI80" t="str">
        <v>CRM</v>
      </c>
      <c r="XEJ80" t="str">
        <v>CVX</v>
      </c>
      <c r="XEK80" t="str">
        <v>AMD</v>
      </c>
      <c r="XEL80" t="str">
        <v>LULU</v>
      </c>
      <c r="XEM80" t="str">
        <v>LMT</v>
      </c>
      <c r="XEN80" t="str">
        <v>UPS</v>
      </c>
      <c r="XEO80" t="str">
        <v>XOM</v>
      </c>
      <c r="XEP80" t="str">
        <v>COST</v>
      </c>
      <c r="XEQ80" t="str">
        <v>V</v>
      </c>
      <c r="XER80" t="str">
        <v>SO</v>
      </c>
      <c r="XES80" t="str">
        <v>DUK</v>
      </c>
      <c r="XET80"/>
    </row>
    <row r="81" spans="2:15 16353:16374" ht="12.95" customHeight="1" x14ac:dyDescent="0.25">
      <c r="B81" s="135"/>
      <c r="D81" s="26"/>
      <c r="E81" s="26"/>
      <c r="F81" s="137"/>
      <c r="H81" s="138"/>
      <c r="I81" s="97"/>
      <c r="J81" s="138"/>
      <c r="XDY81" s="3">
        <v>2017</v>
      </c>
      <c r="XDZ81" s="3" cm="1">
        <f t="array" aca="1" ref="XDZ81:XES89" ca="1">TRANSPOSE('Data &amp; Analysis'!AC5:AK24)</f>
        <v>0.25263355588108849</v>
      </c>
      <c r="XEA81" s="3">
        <f ca="1"/>
        <v>0.31990621950783027</v>
      </c>
      <c r="XEB81" s="3">
        <f ca="1"/>
        <v>0.34071492436000295</v>
      </c>
      <c r="XEC81" s="3">
        <f ca="1"/>
        <v>0.37630852381670882</v>
      </c>
      <c r="XED81" s="3">
        <f ca="1"/>
        <v>6.846940262139492E-2</v>
      </c>
      <c r="XEE81">
        <f ca="1"/>
        <v>-3.3746043752592436E-3</v>
      </c>
      <c r="XEF81">
        <f ca="1"/>
        <v>0.20947156684940113</v>
      </c>
      <c r="XEG81">
        <f ca="1"/>
        <v>0.56642829807294304</v>
      </c>
      <c r="XEH81">
        <f ca="1"/>
        <v>0.36564514841577339</v>
      </c>
      <c r="XEI81">
        <f ca="1"/>
        <v>0.36461472506254927</v>
      </c>
      <c r="XEJ81">
        <f ca="1"/>
        <v>0.20442237894609885</v>
      </c>
      <c r="XEK81">
        <f ca="1"/>
        <v>0.28139426455276734</v>
      </c>
      <c r="XEL81">
        <f ca="1"/>
        <v>0.14712178155974073</v>
      </c>
      <c r="XEM81">
        <f ca="1"/>
        <v>0.39590723078654921</v>
      </c>
      <c r="XEN81">
        <f ca="1"/>
        <v>0.2187724843094466</v>
      </c>
      <c r="XEO81">
        <f ca="1"/>
        <v>0.12596392089532724</v>
      </c>
      <c r="XEP81">
        <f ca="1"/>
        <v>0.27401024835307808</v>
      </c>
      <c r="XEQ81">
        <f ca="1"/>
        <v>0.41970703232478729</v>
      </c>
      <c r="XER81">
        <f ca="1"/>
        <v>2.3095714794649176E-2</v>
      </c>
      <c r="XES81">
        <f ca="1"/>
        <v>0.10045711004876699</v>
      </c>
      <c r="XET81"/>
    </row>
    <row r="82" spans="2:15 16353:16374" ht="12.95" customHeight="1" x14ac:dyDescent="0.25">
      <c r="B82" s="135"/>
      <c r="D82" s="26"/>
      <c r="E82" s="26"/>
      <c r="F82" s="137"/>
      <c r="H82" s="138"/>
      <c r="I82" s="138"/>
      <c r="J82" s="138"/>
      <c r="XDY82" s="3">
        <f>XDY81+1</f>
        <v>2018</v>
      </c>
      <c r="XDZ82" s="3">
        <f ca="1"/>
        <v>-3.1294808792647322E-3</v>
      </c>
      <c r="XEA82" s="3">
        <f ca="1"/>
        <v>9.7742590523052522E-5</v>
      </c>
      <c r="XEB82" s="3">
        <f ca="1"/>
        <v>-0.14313341109601821</v>
      </c>
      <c r="XEC82" s="3">
        <f ca="1"/>
        <v>-7.6390847254765443E-2</v>
      </c>
      <c r="XED82" s="3">
        <f ca="1"/>
        <v>0.22688187342481686</v>
      </c>
      <c r="XEE82">
        <f ca="1"/>
        <v>0.35510337568379302</v>
      </c>
      <c r="XEF82">
        <f ca="1"/>
        <v>0.12604109512438305</v>
      </c>
      <c r="XEG82">
        <f ca="1"/>
        <v>0.16951124449209271</v>
      </c>
      <c r="XEH82">
        <f ca="1"/>
        <v>-4.8866815037540708E-2</v>
      </c>
      <c r="XEI82">
        <f ca="1"/>
        <v>0.28832505235309686</v>
      </c>
      <c r="XEJ82">
        <f ca="1"/>
        <v>-1.1143923787082781E-4</v>
      </c>
      <c r="XEK82">
        <f ca="1"/>
        <v>0.5746815976106654</v>
      </c>
      <c r="XEL82">
        <f ca="1"/>
        <v>0.63653014861046142</v>
      </c>
      <c r="XEM82">
        <f ca="1"/>
        <v>-0.14416423548080515</v>
      </c>
      <c r="XEN82">
        <f ca="1"/>
        <v>-0.11318196092848448</v>
      </c>
      <c r="XEO82">
        <f ca="1"/>
        <v>-7.5658467551289937E-2</v>
      </c>
      <c r="XEP82">
        <f ca="1"/>
        <v>0.11831671462303935</v>
      </c>
      <c r="XEQ82">
        <f ca="1"/>
        <v>9.6729626458551113E-2</v>
      </c>
      <c r="XER82">
        <f ca="1"/>
        <v>0.18896812227067405</v>
      </c>
      <c r="XES82">
        <f ca="1"/>
        <v>0.21050135400916892</v>
      </c>
      <c r="XET82"/>
    </row>
    <row r="83" spans="2:15 16353:16374" ht="12.95" customHeight="1" x14ac:dyDescent="0.25">
      <c r="B83" s="135"/>
      <c r="D83" s="26"/>
      <c r="E83" s="26"/>
      <c r="F83" s="137"/>
      <c r="H83" s="138"/>
      <c r="I83" s="138"/>
      <c r="J83" s="138"/>
      <c r="K83" s="2"/>
      <c r="L83" s="2"/>
      <c r="M83" s="2"/>
      <c r="N83" s="2"/>
      <c r="O83" s="2"/>
      <c r="XDY83" s="3">
        <f t="shared" ref="XDY83:XDY88" si="119">XDY82+1</f>
        <v>2019</v>
      </c>
      <c r="XDZ83" s="3">
        <f ca="1"/>
        <v>0.21657086258816338</v>
      </c>
      <c r="XEA83" s="3">
        <f ca="1"/>
        <v>0.16704113986729743</v>
      </c>
      <c r="XEB83" s="3">
        <f ca="1"/>
        <v>0.75080755817407663</v>
      </c>
      <c r="XEC83" s="3">
        <f ca="1"/>
        <v>0.18782742066847716</v>
      </c>
      <c r="XED83" s="3">
        <f ca="1"/>
        <v>0.2573434647150078</v>
      </c>
      <c r="XEE83">
        <f ca="1"/>
        <v>0.21499874410117725</v>
      </c>
      <c r="XEF83">
        <f ca="1"/>
        <v>0.17388833634346346</v>
      </c>
      <c r="XEG83">
        <f ca="1"/>
        <v>0.15591115594253532</v>
      </c>
      <c r="XEH83">
        <f ca="1"/>
        <v>0.24104706949730756</v>
      </c>
      <c r="XEI83">
        <f ca="1"/>
        <v>0.18200011852119002</v>
      </c>
      <c r="XEJ83">
        <f ca="1"/>
        <v>2.7877578827036988E-2</v>
      </c>
      <c r="XEK83">
        <f ca="1"/>
        <v>0.65515471730518993</v>
      </c>
      <c r="XEL83">
        <f ca="1"/>
        <v>0.48216635593305218</v>
      </c>
      <c r="XEM83">
        <f ca="1"/>
        <v>0.44031920396155472</v>
      </c>
      <c r="XEN83">
        <f ca="1"/>
        <v>6.0653470605508818E-2</v>
      </c>
      <c r="XEO83">
        <f ca="1"/>
        <v>-4.8546702518121355E-2</v>
      </c>
      <c r="XEP83">
        <f ca="1"/>
        <v>0.37186299184836197</v>
      </c>
      <c r="XEQ83">
        <f ca="1"/>
        <v>0.39965294851859434</v>
      </c>
      <c r="XER83">
        <f ca="1"/>
        <v>0.45795936699651568</v>
      </c>
      <c r="XES83">
        <f ca="1"/>
        <v>0.19606773304565306</v>
      </c>
      <c r="XET83"/>
    </row>
    <row r="84" spans="2:15 16353:16374" ht="12.95" customHeight="1" x14ac:dyDescent="0.25">
      <c r="B84" s="135"/>
      <c r="D84" s="26"/>
      <c r="E84" s="26"/>
      <c r="F84" s="137"/>
      <c r="H84" s="138"/>
      <c r="I84" s="138"/>
      <c r="J84" s="138"/>
      <c r="K84" s="87"/>
      <c r="L84" s="87"/>
      <c r="M84" s="88"/>
      <c r="N84" s="88"/>
      <c r="O84" s="89"/>
      <c r="XDY84" s="3">
        <f t="shared" si="119"/>
        <v>2020</v>
      </c>
      <c r="XDZ84" s="3">
        <f ca="1"/>
        <v>0.17493662108200664</v>
      </c>
      <c r="XEA84" s="3">
        <f ca="1"/>
        <v>0.1018734076638106</v>
      </c>
      <c r="XEB84" s="3">
        <f ca="1"/>
        <v>1.8081110999197705</v>
      </c>
      <c r="XEC84" s="3">
        <f ca="1"/>
        <v>-4.8561959872934726E-2</v>
      </c>
      <c r="XED84" s="3">
        <f ca="1"/>
        <v>0.17168137128998132</v>
      </c>
      <c r="XEE84">
        <f ca="1"/>
        <v>-0.17896251936753757</v>
      </c>
      <c r="XEF84">
        <f ca="1"/>
        <v>1.977475506249712E-2</v>
      </c>
      <c r="XEG84">
        <f ca="1"/>
        <v>0.46754890641219793</v>
      </c>
      <c r="XEH84">
        <f ca="1"/>
        <v>0.24320794969995635</v>
      </c>
      <c r="XEI84">
        <f ca="1"/>
        <v>0.21288099390620929</v>
      </c>
      <c r="XEJ84">
        <f ca="1"/>
        <v>-0.10254983322124937</v>
      </c>
      <c r="XEK84">
        <f ca="1"/>
        <v>0.60000486201142356</v>
      </c>
      <c r="XEL84">
        <f ca="1"/>
        <v>0.31699061190595357</v>
      </c>
      <c r="XEM84">
        <f ca="1"/>
        <v>-0.22595726111858658</v>
      </c>
      <c r="XEN84">
        <f ca="1"/>
        <v>0.46855365315796005</v>
      </c>
      <c r="XEO84">
        <f ca="1"/>
        <v>-0.1591882963849898</v>
      </c>
      <c r="XEP84">
        <f ca="1"/>
        <v>0.21461306143047809</v>
      </c>
      <c r="XEQ84">
        <f ca="1"/>
        <v>-1.6515347018664955E-2</v>
      </c>
      <c r="XER84">
        <f ca="1"/>
        <v>-8.5043348737514554E-2</v>
      </c>
      <c r="XES84">
        <f ca="1"/>
        <v>5.2736296080943136E-2</v>
      </c>
      <c r="XET84"/>
    </row>
    <row r="85" spans="2:15 16353:16374" ht="12.95" customHeight="1" x14ac:dyDescent="0.25">
      <c r="B85" s="135"/>
      <c r="D85" s="26"/>
      <c r="E85" s="26"/>
      <c r="F85" s="137"/>
      <c r="I85" s="138"/>
      <c r="J85" s="138"/>
      <c r="XDY85" s="3">
        <f t="shared" si="119"/>
        <v>2021</v>
      </c>
      <c r="XDZ85" s="3">
        <f ca="1"/>
        <v>0.22327454985074047</v>
      </c>
      <c r="XEA85" s="3">
        <f ca="1"/>
        <v>0.1920301370262722</v>
      </c>
      <c r="XEB85" s="3">
        <f ca="1"/>
        <v>0.16589306510531424</v>
      </c>
      <c r="XEC85" s="3">
        <f ca="1"/>
        <v>0.47975337089086773</v>
      </c>
      <c r="XED85" s="3">
        <f ca="1"/>
        <v>5.2102102987804329E-2</v>
      </c>
      <c r="XEE85">
        <f ca="1"/>
        <v>0.28265360070829865</v>
      </c>
      <c r="XEF85">
        <f ca="1"/>
        <v>7.5536227216874807E-2</v>
      </c>
      <c r="XEG85">
        <f ca="1"/>
        <v>-6.934493003034703E-2</v>
      </c>
      <c r="XEH85">
        <f ca="1"/>
        <v>0.39267333325618609</v>
      </c>
      <c r="XEI85">
        <f ca="1"/>
        <v>3.0878903459884276E-2</v>
      </c>
      <c r="XEJ85">
        <f ca="1"/>
        <v>0.52968203332771635</v>
      </c>
      <c r="XEK85">
        <f ca="1"/>
        <v>0.28823656605283199</v>
      </c>
      <c r="XEL85">
        <f ca="1"/>
        <v>1.5337538749420435E-2</v>
      </c>
      <c r="XEM85">
        <f ca="1"/>
        <v>0.249402043237967</v>
      </c>
      <c r="XEN85">
        <f ca="1"/>
        <v>0.31079914440866224</v>
      </c>
      <c r="XEO85">
        <f ca="1"/>
        <v>0.63795980580926481</v>
      </c>
      <c r="XEP85">
        <f ca="1"/>
        <v>0.37391828608467198</v>
      </c>
      <c r="XEQ85">
        <f ca="1"/>
        <v>0.1694630080976339</v>
      </c>
      <c r="XER85">
        <f ca="1"/>
        <v>0.24864438098708047</v>
      </c>
      <c r="XES85">
        <f ca="1"/>
        <v>0.19234302387047972</v>
      </c>
      <c r="XET85"/>
    </row>
    <row r="86" spans="2:15 16353:16374" ht="12.95" customHeight="1" x14ac:dyDescent="0.25">
      <c r="B86" s="135"/>
      <c r="D86" s="26"/>
      <c r="E86" s="26"/>
      <c r="F86" s="137"/>
      <c r="I86" s="138"/>
      <c r="J86" s="138"/>
      <c r="XDY86" s="3">
        <f t="shared" si="119"/>
        <v>2022</v>
      </c>
      <c r="XDZ86" s="3">
        <f ca="1"/>
        <v>-6.9349585398425354E-2</v>
      </c>
      <c r="XEA86" s="3">
        <f ca="1"/>
        <v>9.1121920158711792E-3</v>
      </c>
      <c r="XEB86" s="3">
        <f ca="1"/>
        <v>-0.58920965996946095</v>
      </c>
      <c r="XEC86" s="3">
        <f ca="1"/>
        <v>-0.2136991521663264</v>
      </c>
      <c r="XED86" s="3">
        <f ca="1"/>
        <v>0.14725008908452636</v>
      </c>
      <c r="XEE86">
        <f ca="1"/>
        <v>7.1207577426859445E-2</v>
      </c>
      <c r="XEF86">
        <f ca="1"/>
        <v>-0.12091900976282766</v>
      </c>
      <c r="XEG86">
        <f ca="1"/>
        <v>-0.3717741823432576</v>
      </c>
      <c r="XEH86">
        <f ca="1"/>
        <v>-0.31407280708934787</v>
      </c>
      <c r="XEI86">
        <f ca="1"/>
        <v>-0.32567972370592485</v>
      </c>
      <c r="XEJ86">
        <f ca="1"/>
        <v>0.35283572515359268</v>
      </c>
      <c r="XEK86">
        <f ca="1"/>
        <v>-0.41890291357533044</v>
      </c>
      <c r="XEL86">
        <f ca="1"/>
        <v>-8.3965380117334218E-2</v>
      </c>
      <c r="XEM86">
        <f ca="1"/>
        <v>0.22644397792118978</v>
      </c>
      <c r="XEN86">
        <f ca="1"/>
        <v>-1.8299312356210625E-2</v>
      </c>
      <c r="XEO86">
        <f ca="1"/>
        <v>0.49536374229183228</v>
      </c>
      <c r="XEP86">
        <f ca="1"/>
        <v>2.5568673315498613E-2</v>
      </c>
      <c r="XEQ86">
        <f ca="1"/>
        <v>3.219697542127245E-2</v>
      </c>
      <c r="XER86">
        <f ca="1"/>
        <v>5.5520652973344534E-2</v>
      </c>
      <c r="XES86">
        <f ca="1"/>
        <v>5.5722028862860651E-2</v>
      </c>
      <c r="XET86"/>
    </row>
    <row r="87" spans="2:15 16353:16374" ht="12.95" customHeight="1" x14ac:dyDescent="0.25">
      <c r="B87" s="135"/>
      <c r="D87" s="26"/>
      <c r="E87" s="26"/>
      <c r="F87" s="137"/>
      <c r="I87" s="138"/>
      <c r="J87" s="138"/>
      <c r="XDY87" s="3">
        <f t="shared" si="119"/>
        <v>2023</v>
      </c>
      <c r="XDZ87" s="3">
        <f ca="1"/>
        <v>0.20317025050489138</v>
      </c>
      <c r="XEA87" s="3">
        <f ca="1"/>
        <v>0.15036945690201267</v>
      </c>
      <c r="XEB87" s="3">
        <f ca="1"/>
        <v>7.8095754838863676E-2</v>
      </c>
      <c r="XEC87" s="3">
        <f ca="1"/>
        <v>1.5947381747380997E-2</v>
      </c>
      <c r="XED87" s="3">
        <f ca="1"/>
        <v>-0.11495003420120686</v>
      </c>
      <c r="XEE87">
        <f ca="1"/>
        <v>-0.10759246782483552</v>
      </c>
      <c r="XEF87">
        <f ca="1"/>
        <v>0.15773565031481698</v>
      </c>
      <c r="XEG87">
        <f ca="1"/>
        <v>0.40872427942114065</v>
      </c>
      <c r="XEH87">
        <f ca="1"/>
        <v>0.34888182009283913</v>
      </c>
      <c r="XEI87">
        <f ca="1"/>
        <v>0.51488427557472571</v>
      </c>
      <c r="XEJ87">
        <f ca="1"/>
        <v>-8.4009610540908941E-2</v>
      </c>
      <c r="XEK87">
        <f ca="1"/>
        <v>0.80263092056003449</v>
      </c>
      <c r="XEL87">
        <f ca="1"/>
        <v>0.39124385195805039</v>
      </c>
      <c r="XEM87">
        <f ca="1"/>
        <v>-1.9885851736502768E-2</v>
      </c>
      <c r="XEN87">
        <f ca="1"/>
        <v>-0.17837337152949639</v>
      </c>
      <c r="XEO87">
        <f ca="1"/>
        <v>-4.982338368777018E-2</v>
      </c>
      <c r="XEP87">
        <f ca="1"/>
        <v>0.36430549612903168</v>
      </c>
      <c r="XEQ87">
        <f ca="1"/>
        <v>0.18626039926549542</v>
      </c>
      <c r="XER87">
        <f ca="1"/>
        <v>0.10862422612665908</v>
      </c>
      <c r="XES87">
        <f ca="1"/>
        <v>2.0597050996409509E-2</v>
      </c>
      <c r="XET87"/>
    </row>
    <row r="88" spans="2:15 16353:16374" ht="12.95" customHeight="1" x14ac:dyDescent="0.25">
      <c r="B88" s="135"/>
      <c r="D88" s="26"/>
      <c r="E88" s="26"/>
      <c r="F88" s="137"/>
      <c r="I88" s="139"/>
      <c r="J88" s="139"/>
      <c r="XDY88" s="3">
        <f t="shared" si="119"/>
        <v>2024</v>
      </c>
      <c r="XDZ88" s="3">
        <f ca="1"/>
        <v>0.24575445439625451</v>
      </c>
      <c r="XEA88" s="3">
        <f ca="1"/>
        <v>0.18746588611297929</v>
      </c>
      <c r="XEB88" s="3">
        <f ca="1"/>
        <v>0.77024070699188263</v>
      </c>
      <c r="XEC88" s="3">
        <f ca="1"/>
        <v>0.35553863252859436</v>
      </c>
      <c r="XED88" s="3">
        <f ca="1"/>
        <v>0.1936665802567768</v>
      </c>
      <c r="XEE88">
        <f ca="1"/>
        <v>0.11423381018550922</v>
      </c>
      <c r="XEF88">
        <f ca="1"/>
        <v>6.1919009765984072E-2</v>
      </c>
      <c r="XEG88">
        <f ca="1"/>
        <v>0.42621062340523391</v>
      </c>
      <c r="XEH88">
        <f ca="1"/>
        <v>0.38244327569145992</v>
      </c>
      <c r="XEI88">
        <f ca="1"/>
        <v>0.20553179237273292</v>
      </c>
      <c r="XEJ88">
        <f ca="1"/>
        <v>9.8241008415262648E-2</v>
      </c>
      <c r="XEK88">
        <f ca="1"/>
        <v>-0.36895797305747741</v>
      </c>
      <c r="XEL88">
        <f ca="1"/>
        <v>-9.135169469164002E-2</v>
      </c>
      <c r="XEM88">
        <f ca="1"/>
        <v>0.12880174709659242</v>
      </c>
      <c r="XEN88">
        <f ca="1"/>
        <v>-0.11161369829177968</v>
      </c>
      <c r="XEO88">
        <f ca="1"/>
        <v>0.10815792239870006</v>
      </c>
      <c r="XEP88">
        <f ca="1"/>
        <v>0.35411292714340964</v>
      </c>
      <c r="XEQ88">
        <f ca="1"/>
        <v>0.23770657612891552</v>
      </c>
      <c r="XER88">
        <f ca="1"/>
        <v>0.25899571128986043</v>
      </c>
      <c r="XES88">
        <f ca="1"/>
        <v>0.23311266106409623</v>
      </c>
      <c r="XET88"/>
    </row>
    <row r="89" spans="2:15 16353:16374" ht="12.95" customHeight="1" x14ac:dyDescent="0.25">
      <c r="B89" s="135"/>
      <c r="D89" s="26"/>
      <c r="E89" s="26"/>
      <c r="F89" s="137"/>
      <c r="I89" s="139"/>
      <c r="J89" s="139"/>
      <c r="XDY89" s="3">
        <v>2025</v>
      </c>
      <c r="XDZ89" s="3">
        <f ca="1"/>
        <v>0.22730931231228607</v>
      </c>
      <c r="XEA89" s="3">
        <f ca="1"/>
        <v>0.18390246775292696</v>
      </c>
      <c r="XEB89" s="3">
        <f ca="1"/>
        <v>1.773599967411674E-2</v>
      </c>
      <c r="XEC89" s="3">
        <f ca="1"/>
        <v>0.26063473202851067</v>
      </c>
      <c r="XED89" s="3">
        <f ca="1"/>
        <v>9.4611099157888325E-3</v>
      </c>
      <c r="XEE89">
        <f ca="1"/>
        <v>0.24007395911217688</v>
      </c>
      <c r="XEF89">
        <f ca="1"/>
        <v>0.23916903861830588</v>
      </c>
      <c r="XEG89">
        <f ca="1"/>
        <v>1.0296855448219729E-2</v>
      </c>
      <c r="XEH89">
        <f ca="1"/>
        <v>0.55502507112964583</v>
      </c>
      <c r="XEI89">
        <f ca="1"/>
        <v>-0.75655115158948427</v>
      </c>
      <c r="XEJ89">
        <f ca="1"/>
        <v>0.19563423098893165</v>
      </c>
      <c r="XEK89">
        <f ca="1"/>
        <v>1.5374651851436745</v>
      </c>
      <c r="XEL89">
        <f ca="1"/>
        <v>-1.287609871051977</v>
      </c>
      <c r="XEM89">
        <f ca="1"/>
        <v>0.12960542753332202</v>
      </c>
      <c r="XEN89">
        <f ca="1"/>
        <v>5.6620972286526385E-2</v>
      </c>
      <c r="XEO89">
        <f ca="1"/>
        <v>0.29773108504012707</v>
      </c>
      <c r="XEP89">
        <f ca="1"/>
        <v>-2.5405629215867545E-2</v>
      </c>
      <c r="XEQ89">
        <f ca="1"/>
        <v>1.1705916546780337E-2</v>
      </c>
      <c r="XER89">
        <f ca="1"/>
        <v>0.19665352366079</v>
      </c>
      <c r="XES89">
        <f ca="1"/>
        <v>0.19547871316216736</v>
      </c>
      <c r="XET89"/>
    </row>
    <row r="90" spans="2:15 16353:16374" ht="12.95" customHeight="1" x14ac:dyDescent="0.25">
      <c r="D90" s="135"/>
      <c r="E90" s="135"/>
      <c r="XEE90"/>
      <c r="XEF90"/>
      <c r="XEG90"/>
      <c r="XEH90"/>
      <c r="XEI90"/>
      <c r="XEJ90"/>
      <c r="XEK90"/>
      <c r="XEL90"/>
      <c r="XEM90"/>
      <c r="XEN90"/>
      <c r="XEO90"/>
      <c r="XEP90"/>
      <c r="XEQ90"/>
      <c r="XER90"/>
      <c r="XES90"/>
      <c r="XET90"/>
    </row>
    <row r="91" spans="2:15 16353:16374" ht="12.95" customHeight="1" thickBot="1" x14ac:dyDescent="0.25"/>
    <row r="92" spans="2:15 16353:16374" ht="12.95" customHeight="1" x14ac:dyDescent="0.25">
      <c r="XDZ92" s="12"/>
      <c r="XEA92" s="12" t="s">
        <v>38</v>
      </c>
      <c r="XEB92" s="12" t="s">
        <v>39</v>
      </c>
      <c r="XEC92" s="12" t="s">
        <v>40</v>
      </c>
      <c r="XED92" s="12" t="s">
        <v>41</v>
      </c>
      <c r="XEE92" s="12" t="s">
        <v>42</v>
      </c>
      <c r="XEF92" s="12" t="s">
        <v>43</v>
      </c>
      <c r="XEG92" s="12" t="s">
        <v>44</v>
      </c>
      <c r="XEH92" s="12" t="s">
        <v>46</v>
      </c>
      <c r="XEI92" s="12" t="s">
        <v>47</v>
      </c>
      <c r="XEJ92" s="12" t="s">
        <v>48</v>
      </c>
      <c r="XEK92" s="12" t="s">
        <v>49</v>
      </c>
      <c r="XEL92" s="12" t="s">
        <v>50</v>
      </c>
      <c r="XEM92" s="12" t="s">
        <v>51</v>
      </c>
      <c r="XEN92" s="12" t="s">
        <v>52</v>
      </c>
      <c r="XEO92" s="12" t="s">
        <v>53</v>
      </c>
      <c r="XEP92" s="12" t="s">
        <v>54</v>
      </c>
      <c r="XEQ92" s="12" t="s">
        <v>103</v>
      </c>
      <c r="XER92" s="12" t="s">
        <v>104</v>
      </c>
      <c r="XES92" s="12" t="s">
        <v>105</v>
      </c>
      <c r="XET92" s="12" t="s">
        <v>106</v>
      </c>
    </row>
    <row r="93" spans="2:15 16353:16374" ht="12.95" customHeight="1" x14ac:dyDescent="0.25">
      <c r="XDZ93" t="s">
        <v>38</v>
      </c>
      <c r="XEA93">
        <f ca="1">VARP(Optimization!$XDZ$81:$XDZ$89)</f>
        <v>1.2095617110034261E-2</v>
      </c>
      <c r="XEB93">
        <v>8.8007254021536339E-3</v>
      </c>
      <c r="XEC93">
        <v>3.9892829509037109E-2</v>
      </c>
      <c r="XED93">
        <v>1.9137672380153996E-2</v>
      </c>
      <c r="XEE93">
        <v>-2.5671379522052818E-3</v>
      </c>
      <c r="XEF93">
        <v>-4.4687939622309551E-3</v>
      </c>
      <c r="XEG93">
        <v>6.2369050711358785E-3</v>
      </c>
      <c r="XEH93">
        <v>2.0880218578225335E-2</v>
      </c>
      <c r="XEI93">
        <v>2.3376441295022136E-2</v>
      </c>
      <c r="XEJ93">
        <v>1.4521566159580331E-2</v>
      </c>
      <c r="XEK93">
        <v>-2.0846985732014111E-3</v>
      </c>
      <c r="XEL93">
        <v>1.1014965437578982E-2</v>
      </c>
      <c r="XEM93">
        <v>-4.3980074631730988E-4</v>
      </c>
      <c r="XEN93">
        <v>6.790985365600995E-3</v>
      </c>
      <c r="XEO93">
        <v>6.9238614063915826E-3</v>
      </c>
      <c r="XEP93">
        <v>-4.7378143307145251E-3</v>
      </c>
      <c r="XEQ93">
        <v>1.2047011357766221E-2</v>
      </c>
      <c r="XER93">
        <v>9.6288345833004333E-3</v>
      </c>
      <c r="XES93">
        <v>3.4553938823693149E-3</v>
      </c>
      <c r="XET93">
        <v>1.2340001404323312E-3</v>
      </c>
    </row>
    <row r="94" spans="2:15 16353:16374" ht="12.95" customHeight="1" x14ac:dyDescent="0.25">
      <c r="XDZ94" t="s">
        <v>39</v>
      </c>
      <c r="XEA94">
        <v>8.8007254021536339E-3</v>
      </c>
      <c r="XEB94">
        <f ca="1">VARP(Optimization!$XEA$81:$XEA$89)</f>
        <v>8.6613715107137501E-3</v>
      </c>
      <c r="XEC94">
        <v>1.8848335815341559E-2</v>
      </c>
      <c r="XED94">
        <v>1.6995268619140084E-2</v>
      </c>
      <c r="XEE94">
        <v>-1.4594891532462009E-3</v>
      </c>
      <c r="XEF94">
        <v>-3.7496198200416028E-3</v>
      </c>
      <c r="XEG94">
        <v>5.0572150607696735E-3</v>
      </c>
      <c r="XEH94">
        <v>1.6264436028343533E-2</v>
      </c>
      <c r="XEI94">
        <v>1.6576281009638802E-2</v>
      </c>
      <c r="XEJ94">
        <v>1.1527224090156676E-2</v>
      </c>
      <c r="XEK94">
        <v>2.9220002555540628E-3</v>
      </c>
      <c r="XEL94">
        <v>-9.6950087762175577E-5</v>
      </c>
      <c r="XEM94">
        <v>2.8828676577404857E-4</v>
      </c>
      <c r="XEN94">
        <v>1.1346479599090943E-2</v>
      </c>
      <c r="XEO94">
        <v>6.8607378032122957E-3</v>
      </c>
      <c r="XEP94">
        <v>1.0779278875844714E-3</v>
      </c>
      <c r="XEQ94">
        <v>9.4057847562516866E-3</v>
      </c>
      <c r="XER94">
        <v>1.088880189002586E-2</v>
      </c>
      <c r="XES94">
        <v>1.0892993262537579E-3</v>
      </c>
      <c r="XET94">
        <v>2.4879583214267704E-4</v>
      </c>
    </row>
    <row r="95" spans="2:15 16353:16374" ht="12.95" customHeight="1" x14ac:dyDescent="0.25">
      <c r="XDZ95" t="s">
        <v>40</v>
      </c>
      <c r="XEA95">
        <v>3.9892829509037109E-2</v>
      </c>
      <c r="XEB95">
        <v>1.8848335815341559E-2</v>
      </c>
      <c r="XEC95">
        <f ca="1">VARP(Optimization!$XEB$81:$XEB$89)</f>
        <v>0.42296395158389094</v>
      </c>
      <c r="XED95">
        <v>2.637092097506806E-2</v>
      </c>
      <c r="XEE95">
        <v>2.754905467975979E-2</v>
      </c>
      <c r="XEF95">
        <v>-5.0742286140163767E-2</v>
      </c>
      <c r="XEG95">
        <v>7.9207887142823744E-3</v>
      </c>
      <c r="XEH95">
        <v>0.12038459547408481</v>
      </c>
      <c r="XEI95">
        <v>7.4407059788486107E-2</v>
      </c>
      <c r="XEJ95">
        <v>6.1449048715682048E-2</v>
      </c>
      <c r="XEK95">
        <v>-6.1102640053816937E-2</v>
      </c>
      <c r="XEL95">
        <v>6.2466645510179011E-2</v>
      </c>
      <c r="XEM95">
        <v>5.5901841570127564E-2</v>
      </c>
      <c r="XEN95">
        <v>-3.5901195512800486E-2</v>
      </c>
      <c r="XEO95">
        <v>8.4715689669600483E-2</v>
      </c>
      <c r="XEP95">
        <v>-8.7771248775531399E-2</v>
      </c>
      <c r="XEQ95">
        <v>3.8660722913362026E-2</v>
      </c>
      <c r="XER95">
        <v>5.320121002292854E-3</v>
      </c>
      <c r="XES95">
        <v>-1.3390587934192085E-2</v>
      </c>
      <c r="XET95">
        <v>-1.1733513724119958E-3</v>
      </c>
    </row>
    <row r="96" spans="2:15 16353:16374" ht="12.95" customHeight="1" x14ac:dyDescent="0.25">
      <c r="XDZ96" t="s">
        <v>41</v>
      </c>
      <c r="XEA96">
        <v>1.9137672380153996E-2</v>
      </c>
      <c r="XEB96">
        <v>1.6995268619140084E-2</v>
      </c>
      <c r="XEC96">
        <v>2.637092097506806E-2</v>
      </c>
      <c r="XED96">
        <f ca="1">VARP(Optimization!$XEC$81:$XEC$89)</f>
        <v>5.0753223175666468E-2</v>
      </c>
      <c r="XEE96">
        <v>-3.6313825488614557E-3</v>
      </c>
      <c r="XEF96">
        <v>9.0513799702502621E-3</v>
      </c>
      <c r="XEG96">
        <v>1.0417604782785604E-2</v>
      </c>
      <c r="XEH96">
        <v>1.8768827590282491E-2</v>
      </c>
      <c r="XEI96">
        <v>3.9562495811985572E-2</v>
      </c>
      <c r="XEJ96">
        <v>1.0666937824941028E-2</v>
      </c>
      <c r="XEK96">
        <v>1.7890399044213079E-2</v>
      </c>
      <c r="XEL96">
        <v>-5.4466784132671539E-3</v>
      </c>
      <c r="XEM96">
        <v>-2.0781047997188256E-2</v>
      </c>
      <c r="XEN96">
        <v>2.5344648070573857E-2</v>
      </c>
      <c r="XEO96">
        <v>1.1008951986851583E-2</v>
      </c>
      <c r="XEP96">
        <v>1.6730136130207664E-2</v>
      </c>
      <c r="XEQ96">
        <v>1.8910592162802595E-2</v>
      </c>
      <c r="XER96">
        <v>1.9936089756828736E-2</v>
      </c>
      <c r="XES96">
        <v>1.3011205054372236E-2</v>
      </c>
      <c r="XET96">
        <v>8.6489277348454473E-3</v>
      </c>
    </row>
    <row r="97" spans="16354:16374" ht="12.95" customHeight="1" x14ac:dyDescent="0.25">
      <c r="XDZ97" t="s">
        <v>42</v>
      </c>
      <c r="XEA97">
        <v>-2.5671379522052818E-3</v>
      </c>
      <c r="XEB97">
        <v>-1.4594891532462009E-3</v>
      </c>
      <c r="XEC97">
        <v>2.754905467975979E-2</v>
      </c>
      <c r="XED97">
        <v>-3.6313825488614557E-3</v>
      </c>
      <c r="XEE97">
        <f ca="1">VARP(Optimization!$XED$81:$XED$89)</f>
        <v>1.258866117513386E-2</v>
      </c>
      <c r="XEF97">
        <v>4.8972259561557985E-3</v>
      </c>
      <c r="XEG97">
        <v>-3.1484893177755333E-3</v>
      </c>
      <c r="XEH97">
        <v>3.2777957172757835E-3</v>
      </c>
      <c r="XEI97">
        <v>-9.8527750209079397E-3</v>
      </c>
      <c r="XEJ97">
        <v>5.527152716999436E-3</v>
      </c>
      <c r="XEK97">
        <v>-1.4666183946127785E-3</v>
      </c>
      <c r="XEL97">
        <v>-2.4446786180314737E-2</v>
      </c>
      <c r="XEM97">
        <v>3.5635430865381755E-2</v>
      </c>
      <c r="XEN97">
        <v>2.3765658254911218E-3</v>
      </c>
      <c r="XEO97">
        <v>9.0556504616261073E-3</v>
      </c>
      <c r="XEP97">
        <v>-5.1612985469800888E-3</v>
      </c>
      <c r="XEQ97">
        <v>5.2390246808406045E-3</v>
      </c>
      <c r="XER97">
        <v>4.6324303999723078E-3</v>
      </c>
      <c r="XES97">
        <v>4.6282722253808252E-3</v>
      </c>
      <c r="XET97">
        <v>3.1366947235491206E-3</v>
      </c>
    </row>
    <row r="98" spans="16354:16374" ht="12.95" customHeight="1" x14ac:dyDescent="0.25">
      <c r="XDZ98" t="s">
        <v>43</v>
      </c>
      <c r="XEA98">
        <v>-4.4687939622309551E-3</v>
      </c>
      <c r="XEB98">
        <v>-3.7496198200416028E-3</v>
      </c>
      <c r="XEC98">
        <v>-5.0742286140163767E-2</v>
      </c>
      <c r="XED98">
        <v>9.0513799702502621E-3</v>
      </c>
      <c r="XEE98">
        <v>4.8972259561557985E-3</v>
      </c>
      <c r="XEF98">
        <f ca="1">VARP(Optimization!$XEE$81:$XEE$89)</f>
        <v>2.9227888205085151E-2</v>
      </c>
      <c r="XEG98">
        <v>2.0702354948832716E-3</v>
      </c>
      <c r="XEH98">
        <v>-2.461798297193744E-2</v>
      </c>
      <c r="XEI98">
        <v>-6.8914226757825344E-3</v>
      </c>
      <c r="XEJ98">
        <v>-1.3708743450218249E-2</v>
      </c>
      <c r="XEK98">
        <v>1.3502948492984583E-2</v>
      </c>
      <c r="XEL98">
        <v>-2.6707614080674911E-3</v>
      </c>
      <c r="XEM98">
        <v>-5.1217112425672E-3</v>
      </c>
      <c r="XEN98">
        <v>9.3659131097717733E-3</v>
      </c>
      <c r="XEO98">
        <v>-1.1021971946941598E-2</v>
      </c>
      <c r="XEP98">
        <v>1.4197490321488026E-2</v>
      </c>
      <c r="XEQ98">
        <v>-3.4993484166299421E-3</v>
      </c>
      <c r="XER98">
        <v>2.4535247079902505E-3</v>
      </c>
      <c r="XES98">
        <v>1.7522646263750299E-2</v>
      </c>
      <c r="XET98">
        <v>1.0570991566441026E-2</v>
      </c>
    </row>
    <row r="99" spans="16354:16374" ht="12.95" customHeight="1" x14ac:dyDescent="0.25">
      <c r="XDZ99" t="s">
        <v>44</v>
      </c>
      <c r="XEA99">
        <v>6.2369050711358785E-3</v>
      </c>
      <c r="XEB99">
        <v>5.0572150607696735E-3</v>
      </c>
      <c r="XEC99">
        <v>7.9207887142823744E-3</v>
      </c>
      <c r="XED99">
        <v>1.0417604782785604E-2</v>
      </c>
      <c r="XEE99">
        <v>-3.1484893177755333E-3</v>
      </c>
      <c r="XEF99">
        <v>2.0702354948832716E-3</v>
      </c>
      <c r="XEG99">
        <f ca="1">VARP(Optimization!$XEF$81:$XEF$89)</f>
        <v>1.0879023824292795E-2</v>
      </c>
      <c r="XEH99">
        <v>1.5839843958522171E-2</v>
      </c>
      <c r="XEI99">
        <v>1.37338823334577E-2</v>
      </c>
      <c r="XEJ99">
        <v>1.5254069263525806E-2</v>
      </c>
      <c r="XEK99">
        <v>-6.1053442827411174E-3</v>
      </c>
      <c r="XEL99">
        <v>2.6525225199350785E-2</v>
      </c>
      <c r="XEM99">
        <v>7.6903935877357449E-3</v>
      </c>
      <c r="XEN99">
        <v>4.3661656173625647E-3</v>
      </c>
      <c r="XEO99">
        <v>-2.5307651124317643E-3</v>
      </c>
      <c r="XEP99">
        <v>-1.0929633426973947E-2</v>
      </c>
      <c r="XEQ99">
        <v>5.571284277736472E-3</v>
      </c>
      <c r="XER99">
        <v>9.125337515518514E-3</v>
      </c>
      <c r="XES99">
        <v>4.7058734579515787E-3</v>
      </c>
      <c r="XET99">
        <v>1.8618656290099189E-3</v>
      </c>
    </row>
    <row r="100" spans="16354:16374" ht="12.95" customHeight="1" x14ac:dyDescent="0.25">
      <c r="XDZ100" t="s">
        <v>46</v>
      </c>
      <c r="XEA100">
        <v>2.0880218578225335E-2</v>
      </c>
      <c r="XEB100">
        <v>1.6264436028343533E-2</v>
      </c>
      <c r="XEC100">
        <v>0.12038459547408481</v>
      </c>
      <c r="XED100">
        <v>1.8768827590282491E-2</v>
      </c>
      <c r="XEE100">
        <v>3.2777957172757835E-3</v>
      </c>
      <c r="XEF100">
        <v>-2.461798297193744E-2</v>
      </c>
      <c r="XEG100">
        <v>1.5839843958522171E-2</v>
      </c>
      <c r="XEH100">
        <f ca="1">VARP(Optimization!$XEG$81:$XEG$89)</f>
        <v>8.2086037538722414E-2</v>
      </c>
      <c r="XEI100">
        <v>4.2294992115257078E-2</v>
      </c>
      <c r="XEJ100">
        <v>6.579232379088279E-2</v>
      </c>
      <c r="XEK100">
        <v>-3.4425729589551729E-2</v>
      </c>
      <c r="XEL100">
        <v>3.3372021892371574E-2</v>
      </c>
      <c r="XEM100">
        <v>4.7878609745981945E-2</v>
      </c>
      <c r="XEN100">
        <v>-1.2509141242974295E-2</v>
      </c>
      <c r="XEO100">
        <v>1.2905637838507702E-2</v>
      </c>
      <c r="XEP100">
        <v>-5.0446595160890048E-2</v>
      </c>
      <c r="XEQ100">
        <v>2.363947562572144E-2</v>
      </c>
      <c r="XER100">
        <v>1.8675044329243422E-2</v>
      </c>
      <c r="XES100">
        <v>-9.8297075882106816E-3</v>
      </c>
      <c r="XET100">
        <v>-2.6375617434120043E-3</v>
      </c>
    </row>
    <row r="101" spans="16354:16374" ht="12.95" customHeight="1" x14ac:dyDescent="0.25">
      <c r="XDZ101" t="s">
        <v>47</v>
      </c>
      <c r="XEA101">
        <v>2.3376441295022136E-2</v>
      </c>
      <c r="XEB101">
        <v>1.6576281009638802E-2</v>
      </c>
      <c r="XEC101">
        <v>7.4407059788486107E-2</v>
      </c>
      <c r="XED101">
        <v>3.9562495811985572E-2</v>
      </c>
      <c r="XEE101">
        <v>-9.8527750209079397E-3</v>
      </c>
      <c r="XEF101">
        <v>-6.8914226757825344E-3</v>
      </c>
      <c r="XEG101">
        <v>1.37338823334577E-2</v>
      </c>
      <c r="XEH101">
        <v>4.2294992115257078E-2</v>
      </c>
      <c r="XEI101">
        <f ca="1">VARP(Optimization!$XEH$81:$XEH$89)</f>
        <v>6.2325567101160599E-2</v>
      </c>
      <c r="XEJ101">
        <v>3.0131848897647071E-2</v>
      </c>
      <c r="XEK101">
        <v>-5.03115458105418E-3</v>
      </c>
      <c r="XEL101">
        <v>3.2902048507137918E-2</v>
      </c>
      <c r="XEM101">
        <v>-6.6987904820230088E-3</v>
      </c>
      <c r="XEN101">
        <v>6.5408409966737262E-3</v>
      </c>
      <c r="XEO101">
        <v>1.0972325518515395E-2</v>
      </c>
      <c r="XEP101">
        <v>-9.978244394111508E-3</v>
      </c>
      <c r="XEQ101">
        <v>2.2515836796813328E-2</v>
      </c>
      <c r="XER101">
        <v>1.5491636679518203E-2</v>
      </c>
      <c r="XES101">
        <v>6.015050025548651E-3</v>
      </c>
      <c r="XET101">
        <v>3.2552747543380632E-3</v>
      </c>
    </row>
    <row r="102" spans="16354:16374" ht="12.95" customHeight="1" x14ac:dyDescent="0.25">
      <c r="XDZ102" t="s">
        <v>48</v>
      </c>
      <c r="XEA102">
        <v>1.4521566159580331E-2</v>
      </c>
      <c r="XEB102">
        <v>1.1527224090156676E-2</v>
      </c>
      <c r="XEC102">
        <v>6.1449048715682048E-2</v>
      </c>
      <c r="XED102">
        <v>1.0666937824941028E-2</v>
      </c>
      <c r="XEE102">
        <v>5.527152716999436E-3</v>
      </c>
      <c r="XEF102">
        <v>-1.3708743450218249E-2</v>
      </c>
      <c r="XEG102">
        <v>1.5254069263525806E-2</v>
      </c>
      <c r="XEH102">
        <v>6.579232379088279E-2</v>
      </c>
      <c r="XEI102">
        <v>3.0131848897647071E-2</v>
      </c>
      <c r="XEJ102">
        <f ca="1">VARP(Optimization!$XEI$81:$XEI$89)</f>
        <v>0.13601716526110363</v>
      </c>
      <c r="XEK102">
        <v>-2.747766756003522E-2</v>
      </c>
      <c r="XEL102">
        <v>3.9471180926412747E-2</v>
      </c>
      <c r="XEM102">
        <v>7.9466590021948821E-2</v>
      </c>
      <c r="XEN102">
        <v>-1.0245535175608987E-2</v>
      </c>
      <c r="XEO102">
        <v>4.3889326848397057E-3</v>
      </c>
      <c r="XEP102">
        <v>-3.9580918888127793E-2</v>
      </c>
      <c r="XEQ102">
        <v>2.7889737090857489E-2</v>
      </c>
      <c r="XER102">
        <v>1.9612460507059195E-2</v>
      </c>
      <c r="XES102">
        <v>-1.7718769922647928E-3</v>
      </c>
      <c r="XET102">
        <v>-2.9370354296142324E-3</v>
      </c>
    </row>
    <row r="103" spans="16354:16374" ht="12.95" customHeight="1" x14ac:dyDescent="0.25">
      <c r="XDZ103" t="s">
        <v>49</v>
      </c>
      <c r="XEA103">
        <v>-2.0846985732014111E-3</v>
      </c>
      <c r="XEB103">
        <v>2.9220002555540628E-3</v>
      </c>
      <c r="XEC103">
        <v>-6.1102640053816937E-2</v>
      </c>
      <c r="XED103">
        <v>1.7890399044213079E-2</v>
      </c>
      <c r="XEE103">
        <v>-1.4666183946127785E-3</v>
      </c>
      <c r="XEF103">
        <v>1.3502948492984583E-2</v>
      </c>
      <c r="XEG103">
        <v>-6.1053442827411174E-3</v>
      </c>
      <c r="XEH103">
        <v>-3.4425729589551729E-2</v>
      </c>
      <c r="XEI103">
        <v>-5.03115458105418E-3</v>
      </c>
      <c r="XEJ103">
        <v>-2.747766756003522E-2</v>
      </c>
      <c r="XEK103">
        <f ca="1">VARP(Optimization!$XEJ$81:$XEJ$89)</f>
        <v>3.857705319812884E-2</v>
      </c>
      <c r="XEL103">
        <v>-4.4451180518185626E-2</v>
      </c>
      <c r="XEM103">
        <v>-3.0255136631697259E-2</v>
      </c>
      <c r="XEN103">
        <v>2.3151808269735324E-2</v>
      </c>
      <c r="XEO103">
        <v>9.0693778285495016E-3</v>
      </c>
      <c r="XEP103">
        <v>4.8387648277294658E-2</v>
      </c>
      <c r="XEQ103">
        <v>-1.0832544821810543E-3</v>
      </c>
      <c r="XER103">
        <v>1.5242987616017223E-3</v>
      </c>
      <c r="XES103">
        <v>3.5811227780478037E-3</v>
      </c>
      <c r="XET103">
        <v>2.9411956215923819E-3</v>
      </c>
    </row>
    <row r="104" spans="16354:16374" ht="12.95" customHeight="1" x14ac:dyDescent="0.25">
      <c r="XDZ104" t="s">
        <v>50</v>
      </c>
      <c r="XEA104">
        <v>1.1014965437578982E-2</v>
      </c>
      <c r="XEB104">
        <v>-9.6950087762175577E-5</v>
      </c>
      <c r="XEC104">
        <v>6.2466645510179011E-2</v>
      </c>
      <c r="XED104">
        <v>-5.4466784132671539E-3</v>
      </c>
      <c r="XEE104">
        <v>-2.4446786180314737E-2</v>
      </c>
      <c r="XEF104">
        <v>-2.6707614080674911E-3</v>
      </c>
      <c r="XEG104">
        <v>2.6525225199350785E-2</v>
      </c>
      <c r="XEH104">
        <v>3.3372021892371574E-2</v>
      </c>
      <c r="XEI104">
        <v>3.2902048507137918E-2</v>
      </c>
      <c r="XEJ104">
        <v>3.9471180926412747E-2</v>
      </c>
      <c r="XEK104">
        <v>-4.4451180518185626E-2</v>
      </c>
      <c r="XEL104">
        <f ca="1">VARP(Optimization!$XEK$81:$XEK$89)</f>
        <v>0.31847452814778443</v>
      </c>
      <c r="XEM104">
        <v>3.3280479921811539E-2</v>
      </c>
      <c r="XEN104">
        <v>-2.65242344342843E-2</v>
      </c>
      <c r="XEO104">
        <v>2.2834365988841938E-3</v>
      </c>
      <c r="XEP104">
        <v>-6.0985533153637368E-2</v>
      </c>
      <c r="XEQ104">
        <v>1.7012462727240675E-3</v>
      </c>
      <c r="XER104">
        <v>-7.0856380908185094E-4</v>
      </c>
      <c r="XES104">
        <v>4.0489904765917406E-3</v>
      </c>
      <c r="XET104">
        <v>-2.9539931258303477E-3</v>
      </c>
    </row>
    <row r="105" spans="16354:16374" ht="12.95" customHeight="1" x14ac:dyDescent="0.25">
      <c r="XDZ105" t="s">
        <v>51</v>
      </c>
      <c r="XEA105">
        <v>-4.3980074631730988E-4</v>
      </c>
      <c r="XEB105">
        <v>2.8828676577404857E-4</v>
      </c>
      <c r="XEC105">
        <v>5.5901841570127564E-2</v>
      </c>
      <c r="XED105">
        <v>-2.0781047997188256E-2</v>
      </c>
      <c r="XEE105">
        <v>3.5635430865381755E-2</v>
      </c>
      <c r="XEF105">
        <v>-5.1217112425672E-3</v>
      </c>
      <c r="XEG105">
        <v>7.6903935877357449E-3</v>
      </c>
      <c r="XEH105">
        <v>4.7878609745981945E-2</v>
      </c>
      <c r="XEI105">
        <v>-6.6987904820230088E-3</v>
      </c>
      <c r="XEJ105">
        <v>7.9466590021948821E-2</v>
      </c>
      <c r="XEK105">
        <v>-3.0255136631697259E-2</v>
      </c>
      <c r="XEL105">
        <v>3.3280479921811539E-2</v>
      </c>
      <c r="XEM105">
        <f ca="1">VARP(Optimization!$XEL$81:$XEL$89)</f>
        <v>0.28395871325198302</v>
      </c>
      <c r="XEN105">
        <v>-1.4275700757852696E-2</v>
      </c>
      <c r="XEO105">
        <v>1.8324361905395527E-2</v>
      </c>
      <c r="XEP105">
        <v>-4.488485160898819E-2</v>
      </c>
      <c r="XEQ105">
        <v>3.2251640617862065E-2</v>
      </c>
      <c r="XER105">
        <v>1.9018292702687536E-2</v>
      </c>
      <c r="XES105">
        <v>2.7201234647523591E-3</v>
      </c>
      <c r="XET105">
        <v>-4.9768775397337163E-3</v>
      </c>
    </row>
    <row r="106" spans="16354:16374" ht="12.95" customHeight="1" x14ac:dyDescent="0.25">
      <c r="XDZ106" t="s">
        <v>52</v>
      </c>
      <c r="XEA106">
        <v>6.790985365600995E-3</v>
      </c>
      <c r="XEB106">
        <v>1.1346479599090943E-2</v>
      </c>
      <c r="XEC106">
        <v>-3.5901195512800486E-2</v>
      </c>
      <c r="XED106">
        <v>2.5344648070573857E-2</v>
      </c>
      <c r="XEE106">
        <v>2.3765658254911218E-3</v>
      </c>
      <c r="XEF106">
        <v>9.3659131097717733E-3</v>
      </c>
      <c r="XEG106">
        <v>4.3661656173625647E-3</v>
      </c>
      <c r="XEH106">
        <v>-1.2509141242974295E-2</v>
      </c>
      <c r="XEI106">
        <v>6.5408409966737262E-3</v>
      </c>
      <c r="XEJ106">
        <v>-1.0245535175608987E-2</v>
      </c>
      <c r="XEK106">
        <v>2.3151808269735324E-2</v>
      </c>
      <c r="XEL106">
        <v>-2.65242344342843E-2</v>
      </c>
      <c r="XEM106">
        <v>-1.4275700757852696E-2</v>
      </c>
      <c r="XEN106">
        <f ca="1">VARP(Optimization!$XEM$81:$XEM$89)</f>
        <v>4.6098858548457453E-2</v>
      </c>
      <c r="XEO106">
        <v>1.2013038563749552E-3</v>
      </c>
      <c r="XEP106">
        <v>2.5060495542862524E-2</v>
      </c>
      <c r="XEQ106">
        <v>8.8035329760526079E-3</v>
      </c>
      <c r="XER106">
        <v>2.3746980567287464E-2</v>
      </c>
      <c r="XES106">
        <v>1.5834412668160495E-2</v>
      </c>
      <c r="XET106">
        <v>3.6451751743927885E-3</v>
      </c>
    </row>
    <row r="107" spans="16354:16374" ht="12.95" customHeight="1" x14ac:dyDescent="0.25">
      <c r="XDZ107" t="s">
        <v>53</v>
      </c>
      <c r="XEA107">
        <v>6.9238614063915826E-3</v>
      </c>
      <c r="XEB107">
        <v>6.8607378032122957E-3</v>
      </c>
      <c r="XEC107">
        <v>8.4715689669600483E-2</v>
      </c>
      <c r="XED107">
        <v>1.1008951986851583E-2</v>
      </c>
      <c r="XEE107">
        <v>9.0556504616261073E-3</v>
      </c>
      <c r="XEF107">
        <v>-1.1021971946941598E-2</v>
      </c>
      <c r="XEG107">
        <v>-2.5307651124317643E-3</v>
      </c>
      <c r="XEH107">
        <v>1.2905637838507702E-2</v>
      </c>
      <c r="XEI107">
        <v>1.0972325518515395E-2</v>
      </c>
      <c r="XEJ107">
        <v>4.3889326848397057E-3</v>
      </c>
      <c r="XEK107">
        <v>9.0693778285495016E-3</v>
      </c>
      <c r="XEL107">
        <v>2.2834365988841938E-3</v>
      </c>
      <c r="XEM107">
        <v>1.8324361905395527E-2</v>
      </c>
      <c r="XEN107">
        <v>1.2013038563749552E-3</v>
      </c>
      <c r="XEO107">
        <f ca="1">VARP(Optimization!$XEN$81:$XEN$89)</f>
        <v>4.1644442356743284E-2</v>
      </c>
      <c r="XEP107">
        <v>6.7974480303530848E-3</v>
      </c>
      <c r="XEQ107">
        <v>8.6037887419667079E-3</v>
      </c>
      <c r="XER107">
        <v>2.5843335837946388E-4</v>
      </c>
      <c r="XES107">
        <v>-1.1808583293463577E-2</v>
      </c>
      <c r="XET107">
        <v>-3.5056900091793974E-3</v>
      </c>
    </row>
    <row r="108" spans="16354:16374" ht="12.95" customHeight="1" x14ac:dyDescent="0.25">
      <c r="XDZ108" t="s">
        <v>54</v>
      </c>
      <c r="XEA108">
        <v>-4.7378143307145251E-3</v>
      </c>
      <c r="XEB108">
        <v>1.0779278875844714E-3</v>
      </c>
      <c r="XEC108">
        <v>-8.7771248775531399E-2</v>
      </c>
      <c r="XED108">
        <v>1.6730136130207664E-2</v>
      </c>
      <c r="XEE108">
        <v>-5.1612985469800888E-3</v>
      </c>
      <c r="XEF108">
        <v>1.4197490321488026E-2</v>
      </c>
      <c r="XEG108">
        <v>-1.0929633426973947E-2</v>
      </c>
      <c r="XEH108">
        <v>-5.0446595160890048E-2</v>
      </c>
      <c r="XEI108">
        <v>-9.978244394111508E-3</v>
      </c>
      <c r="XEJ108">
        <v>-3.9580918888127793E-2</v>
      </c>
      <c r="XEK108">
        <v>4.8387648277294658E-2</v>
      </c>
      <c r="XEL108">
        <v>-6.0985533153637368E-2</v>
      </c>
      <c r="XEM108">
        <v>-4.488485160898819E-2</v>
      </c>
      <c r="XEN108">
        <v>2.5060495542862524E-2</v>
      </c>
      <c r="XEO108">
        <v>6.7974480303530848E-3</v>
      </c>
      <c r="XEP108">
        <f ca="1">VARP(Optimization!$XEO$81:$XEO$89)</f>
        <v>6.7485223921271376E-2</v>
      </c>
      <c r="XEQ108">
        <v>-3.0777465200587609E-3</v>
      </c>
      <c r="XER108">
        <v>-3.1814428378044426E-3</v>
      </c>
      <c r="XES108">
        <v>2.9216526087816985E-3</v>
      </c>
      <c r="XET108">
        <v>1.8117700567558855E-3</v>
      </c>
    </row>
    <row r="109" spans="16354:16374" ht="12.95" customHeight="1" x14ac:dyDescent="0.25">
      <c r="XDZ109" t="s">
        <v>103</v>
      </c>
      <c r="XEA109">
        <v>1.2047011357766221E-2</v>
      </c>
      <c r="XEB109">
        <v>9.4057847562516866E-3</v>
      </c>
      <c r="XEC109">
        <v>3.8660722913362026E-2</v>
      </c>
      <c r="XED109">
        <v>1.8910592162802595E-2</v>
      </c>
      <c r="XEE109">
        <v>5.2390246808406045E-3</v>
      </c>
      <c r="XEF109">
        <v>-3.4993484166299421E-3</v>
      </c>
      <c r="XEG109">
        <v>5.571284277736472E-3</v>
      </c>
      <c r="XEH109">
        <v>2.363947562572144E-2</v>
      </c>
      <c r="XEI109">
        <v>2.2515836796813328E-2</v>
      </c>
      <c r="XEJ109">
        <v>2.7889737090857489E-2</v>
      </c>
      <c r="XEK109">
        <v>-1.0832544821810543E-3</v>
      </c>
      <c r="XEL109">
        <v>1.7012462727240675E-3</v>
      </c>
      <c r="XEM109">
        <v>3.2251640617862065E-2</v>
      </c>
      <c r="XEN109">
        <v>8.8035329760526079E-3</v>
      </c>
      <c r="XEO109">
        <v>8.6037887419667079E-3</v>
      </c>
      <c r="XEP109">
        <v>-3.0777465200587609E-3</v>
      </c>
      <c r="XEQ109">
        <f ca="1">VARP(Optimization!$XEP$81:$XEP$89)</f>
        <v>2.1772266306432395E-2</v>
      </c>
      <c r="XER109">
        <v>1.4652848315878798E-2</v>
      </c>
      <c r="XES109">
        <v>7.7399203923588615E-3</v>
      </c>
      <c r="XET109">
        <v>8.8314385862369761E-4</v>
      </c>
    </row>
    <row r="110" spans="16354:16374" ht="12.95" customHeight="1" x14ac:dyDescent="0.25">
      <c r="XDZ110" t="s">
        <v>104</v>
      </c>
      <c r="XEA110">
        <v>9.6288345833004333E-3</v>
      </c>
      <c r="XEB110">
        <v>1.088880189002586E-2</v>
      </c>
      <c r="XEC110">
        <v>5.320121002292854E-3</v>
      </c>
      <c r="XED110">
        <v>1.9936089756828736E-2</v>
      </c>
      <c r="XEE110">
        <v>4.6324303999723078E-3</v>
      </c>
      <c r="XEF110">
        <v>2.4535247079902505E-3</v>
      </c>
      <c r="XEG110">
        <v>9.125337515518514E-3</v>
      </c>
      <c r="XEH110">
        <v>1.8675044329243422E-2</v>
      </c>
      <c r="XEI110">
        <v>1.5491636679518203E-2</v>
      </c>
      <c r="XEJ110">
        <v>1.9612460507059195E-2</v>
      </c>
      <c r="XEK110">
        <v>1.5242987616017223E-3</v>
      </c>
      <c r="XEL110">
        <v>-7.0856380908185094E-4</v>
      </c>
      <c r="XEM110">
        <v>1.9018292702687536E-2</v>
      </c>
      <c r="XEN110">
        <v>2.3746980567287464E-2</v>
      </c>
      <c r="XEO110">
        <v>2.5843335837946388E-4</v>
      </c>
      <c r="XEP110">
        <v>-3.1814428378044426E-3</v>
      </c>
      <c r="XEQ110">
        <v>1.4652848315878798E-2</v>
      </c>
      <c r="XER110">
        <f ca="1">VARP(Optimization!$XEQ$81:$XEQ$89)</f>
        <v>2.2682317772891071E-2</v>
      </c>
      <c r="XES110">
        <v>1.0507032376321414E-2</v>
      </c>
      <c r="XET110">
        <v>2.6453400762382496E-3</v>
      </c>
    </row>
    <row r="111" spans="16354:16374" ht="12.95" customHeight="1" x14ac:dyDescent="0.25">
      <c r="XDZ111" t="s">
        <v>105</v>
      </c>
      <c r="XEA111">
        <v>3.4553938823693149E-3</v>
      </c>
      <c r="XEB111">
        <v>1.0892993262537579E-3</v>
      </c>
      <c r="XEC111">
        <v>-1.3390587934192085E-2</v>
      </c>
      <c r="XED111">
        <v>1.3011205054372236E-2</v>
      </c>
      <c r="XEE111">
        <v>4.6282722253808252E-3</v>
      </c>
      <c r="XEF111">
        <v>1.7522646263750299E-2</v>
      </c>
      <c r="XEG111">
        <v>4.7058734579515787E-3</v>
      </c>
      <c r="XEH111">
        <v>-9.8297075882106816E-3</v>
      </c>
      <c r="XEI111">
        <v>6.015050025548651E-3</v>
      </c>
      <c r="XEJ111">
        <v>-1.7718769922647928E-3</v>
      </c>
      <c r="XEK111">
        <v>3.5811227780478037E-3</v>
      </c>
      <c r="XEL111">
        <v>4.0489904765917406E-3</v>
      </c>
      <c r="XEM111">
        <v>2.7201234647523591E-3</v>
      </c>
      <c r="XEN111">
        <v>1.5834412668160495E-2</v>
      </c>
      <c r="XEO111">
        <v>-1.1808583293463577E-2</v>
      </c>
      <c r="XEP111">
        <v>2.9216526087816985E-3</v>
      </c>
      <c r="XEQ111">
        <v>7.7399203923588615E-3</v>
      </c>
      <c r="XER111">
        <v>1.0507032376321414E-2</v>
      </c>
      <c r="XES111">
        <f ca="1">VARP(Optimization!$XER$81:$XER$89)</f>
        <v>2.2327202088047875E-2</v>
      </c>
      <c r="XET111">
        <v>8.3806339231562513E-3</v>
      </c>
    </row>
    <row r="112" spans="16354:16374" ht="12.95" customHeight="1" thickBot="1" x14ac:dyDescent="0.3">
      <c r="XDZ112" s="11" t="s">
        <v>106</v>
      </c>
      <c r="XEA112" s="11">
        <v>1.2340001404323312E-3</v>
      </c>
      <c r="XEB112" s="11">
        <v>2.4879583214267704E-4</v>
      </c>
      <c r="XEC112" s="11">
        <v>-1.1733513724119958E-3</v>
      </c>
      <c r="XED112" s="11">
        <v>8.6489277348454473E-3</v>
      </c>
      <c r="XEE112" s="11">
        <v>3.1366947235491206E-3</v>
      </c>
      <c r="XEF112" s="11">
        <v>1.0570991566441026E-2</v>
      </c>
      <c r="XEG112" s="11">
        <v>1.8618656290099189E-3</v>
      </c>
      <c r="XEH112" s="11">
        <v>-2.6375617434120043E-3</v>
      </c>
      <c r="XEI112" s="11">
        <v>3.2552747543380632E-3</v>
      </c>
      <c r="XEJ112" s="11">
        <v>-2.9370354296142324E-3</v>
      </c>
      <c r="XEK112" s="11">
        <v>2.9411956215923819E-3</v>
      </c>
      <c r="XEL112" s="11">
        <v>-2.9539931258303477E-3</v>
      </c>
      <c r="XEM112" s="11">
        <v>-4.9768775397337163E-3</v>
      </c>
      <c r="XEN112" s="11">
        <v>3.6451751743927885E-3</v>
      </c>
      <c r="XEO112" s="11">
        <v>-3.5056900091793974E-3</v>
      </c>
      <c r="XEP112" s="11">
        <v>1.8117700567558855E-3</v>
      </c>
      <c r="XEQ112" s="11">
        <v>8.8314385862369761E-4</v>
      </c>
      <c r="XER112" s="11">
        <v>2.6453400762382496E-3</v>
      </c>
      <c r="XES112" s="11">
        <v>8.3806339231562513E-3</v>
      </c>
      <c r="XET112" s="11">
        <f ca="1">VARP(Optimization!$XES$81:$XES$89)</f>
        <v>5.904347161630831E-3</v>
      </c>
    </row>
    <row r="116" spans="16354:16374" ht="12.95" customHeight="1" x14ac:dyDescent="0.25">
      <c r="XEA116"/>
      <c r="XEB116"/>
      <c r="XEC116"/>
      <c r="XED116"/>
      <c r="XEE116"/>
      <c r="XEF116"/>
      <c r="XEG116"/>
      <c r="XEH116"/>
      <c r="XEI116"/>
      <c r="XEJ116"/>
      <c r="XEK116"/>
      <c r="XEL116"/>
      <c r="XEM116"/>
      <c r="XEN116"/>
      <c r="XEO116"/>
      <c r="XEP116"/>
      <c r="XEQ116"/>
      <c r="XER116"/>
      <c r="XES116"/>
      <c r="XET116"/>
    </row>
    <row r="117" spans="16354:16374" ht="12.95" customHeight="1" x14ac:dyDescent="0.25">
      <c r="XEA117"/>
      <c r="XEB117"/>
      <c r="XEC117"/>
      <c r="XED117"/>
      <c r="XEE117"/>
      <c r="XEF117"/>
      <c r="XEG117"/>
      <c r="XEH117"/>
      <c r="XEI117"/>
      <c r="XEJ117"/>
      <c r="XEK117"/>
      <c r="XEL117"/>
      <c r="XEM117"/>
      <c r="XEN117"/>
      <c r="XEO117"/>
      <c r="XEP117"/>
      <c r="XEQ117"/>
      <c r="XER117"/>
      <c r="XES117"/>
      <c r="XET117"/>
    </row>
    <row r="118" spans="16354:16374" ht="12.95" customHeight="1" x14ac:dyDescent="0.25">
      <c r="XEA118"/>
      <c r="XEB118"/>
      <c r="XEC118"/>
      <c r="XED118"/>
      <c r="XEE118"/>
      <c r="XEF118"/>
      <c r="XEG118"/>
      <c r="XEH118"/>
      <c r="XEI118"/>
      <c r="XEJ118"/>
      <c r="XEK118"/>
      <c r="XEL118"/>
      <c r="XEM118"/>
      <c r="XEN118"/>
      <c r="XEO118"/>
      <c r="XEP118"/>
      <c r="XEQ118"/>
      <c r="XER118"/>
      <c r="XES118"/>
      <c r="XET118"/>
    </row>
    <row r="119" spans="16354:16374" ht="12.95" customHeight="1" x14ac:dyDescent="0.25">
      <c r="XEA119"/>
      <c r="XEB119"/>
      <c r="XEC119"/>
      <c r="XED119"/>
      <c r="XEE119"/>
      <c r="XEF119"/>
      <c r="XEG119"/>
      <c r="XEH119"/>
      <c r="XEI119"/>
      <c r="XEJ119"/>
      <c r="XEK119"/>
      <c r="XEL119"/>
      <c r="XEM119"/>
      <c r="XEN119"/>
      <c r="XEO119"/>
      <c r="XEP119"/>
      <c r="XEQ119"/>
      <c r="XER119"/>
      <c r="XES119"/>
      <c r="XET119"/>
    </row>
    <row r="120" spans="16354:16374" ht="12.95" customHeight="1" x14ac:dyDescent="0.25">
      <c r="XEA120"/>
      <c r="XEB120"/>
      <c r="XEC120"/>
      <c r="XED120"/>
      <c r="XEE120"/>
      <c r="XEF120"/>
      <c r="XEG120"/>
      <c r="XEH120"/>
      <c r="XEI120"/>
      <c r="XEJ120"/>
      <c r="XEK120"/>
      <c r="XEL120"/>
      <c r="XEM120"/>
      <c r="XEN120"/>
      <c r="XEO120"/>
      <c r="XEP120"/>
      <c r="XEQ120"/>
      <c r="XER120"/>
      <c r="XES120"/>
      <c r="XET120"/>
    </row>
    <row r="121" spans="16354:16374" ht="12.95" customHeight="1" x14ac:dyDescent="0.25">
      <c r="XDZ121"/>
      <c r="XEA121"/>
      <c r="XEB121"/>
      <c r="XEC121"/>
      <c r="XED121"/>
      <c r="XEE121"/>
      <c r="XEF121"/>
      <c r="XEG121"/>
      <c r="XEH121"/>
      <c r="XEI121"/>
      <c r="XEJ121"/>
      <c r="XEK121"/>
      <c r="XEL121"/>
      <c r="XEM121"/>
      <c r="XEN121"/>
      <c r="XEO121"/>
      <c r="XEP121"/>
      <c r="XEQ121"/>
      <c r="XER121"/>
      <c r="XES121"/>
      <c r="XET121"/>
    </row>
    <row r="122" spans="16354:16374" ht="12.95" customHeight="1" x14ac:dyDescent="0.25">
      <c r="XDZ122"/>
      <c r="XEA122"/>
      <c r="XEB122"/>
      <c r="XEC122"/>
      <c r="XED122"/>
      <c r="XEE122"/>
      <c r="XEF122"/>
      <c r="XEG122"/>
      <c r="XEH122"/>
      <c r="XEI122"/>
      <c r="XEJ122"/>
      <c r="XEK122"/>
      <c r="XEL122"/>
      <c r="XEM122"/>
      <c r="XEN122"/>
      <c r="XEO122"/>
      <c r="XEP122"/>
      <c r="XEQ122"/>
      <c r="XER122"/>
      <c r="XES122"/>
      <c r="XET122"/>
    </row>
    <row r="123" spans="16354:16374" ht="12.95" customHeight="1" x14ac:dyDescent="0.25">
      <c r="XDZ123"/>
      <c r="XEA123"/>
      <c r="XEB123"/>
      <c r="XEC123"/>
      <c r="XED123"/>
      <c r="XEE123"/>
      <c r="XEF123"/>
      <c r="XEG123"/>
      <c r="XEH123"/>
      <c r="XEI123"/>
      <c r="XEJ123"/>
      <c r="XEK123"/>
      <c r="XEL123"/>
      <c r="XEM123"/>
      <c r="XEN123"/>
      <c r="XEO123"/>
      <c r="XEP123"/>
      <c r="XEQ123"/>
      <c r="XER123"/>
      <c r="XES123"/>
      <c r="XET123"/>
    </row>
    <row r="124" spans="16354:16374" ht="12.95" customHeight="1" x14ac:dyDescent="0.25">
      <c r="XDZ124"/>
      <c r="XEA124"/>
      <c r="XEB124"/>
      <c r="XEC124"/>
      <c r="XED124"/>
      <c r="XEE124"/>
      <c r="XEF124"/>
      <c r="XEG124"/>
      <c r="XEH124"/>
      <c r="XEI124"/>
      <c r="XEJ124"/>
      <c r="XEK124"/>
      <c r="XEL124"/>
      <c r="XEM124"/>
      <c r="XEN124"/>
      <c r="XEO124"/>
      <c r="XEP124"/>
      <c r="XEQ124"/>
      <c r="XER124"/>
      <c r="XES124"/>
      <c r="XET124"/>
    </row>
    <row r="125" spans="16354:16374" ht="12.95" customHeight="1" x14ac:dyDescent="0.25">
      <c r="XDZ125"/>
      <c r="XEA125"/>
      <c r="XEB125"/>
      <c r="XEC125"/>
      <c r="XED125"/>
      <c r="XEE125"/>
      <c r="XEF125"/>
      <c r="XEG125"/>
      <c r="XEH125"/>
      <c r="XEI125"/>
      <c r="XEJ125"/>
      <c r="XEK125"/>
      <c r="XEL125"/>
      <c r="XEM125"/>
      <c r="XEN125"/>
      <c r="XEO125"/>
      <c r="XEP125"/>
      <c r="XEQ125"/>
      <c r="XER125"/>
      <c r="XES125"/>
      <c r="XET125"/>
    </row>
    <row r="126" spans="16354:16374" ht="12.95" customHeight="1" x14ac:dyDescent="0.25">
      <c r="XDZ126"/>
      <c r="XEA126"/>
      <c r="XEB126"/>
      <c r="XEC126"/>
      <c r="XED126"/>
      <c r="XEE126"/>
      <c r="XEF126"/>
      <c r="XEG126"/>
      <c r="XEH126"/>
      <c r="XEI126"/>
      <c r="XEJ126"/>
      <c r="XEK126"/>
      <c r="XEL126"/>
      <c r="XEM126"/>
      <c r="XEN126"/>
      <c r="XEO126"/>
      <c r="XEP126"/>
      <c r="XEQ126"/>
      <c r="XER126"/>
      <c r="XES126"/>
      <c r="XET126"/>
    </row>
    <row r="127" spans="16354:16374" ht="12.95" customHeight="1" x14ac:dyDescent="0.25">
      <c r="XDZ127"/>
      <c r="XEA127"/>
      <c r="XEB127"/>
      <c r="XEC127"/>
      <c r="XED127"/>
      <c r="XEE127"/>
      <c r="XEF127"/>
      <c r="XEG127"/>
      <c r="XEH127"/>
      <c r="XEI127"/>
      <c r="XEJ127"/>
      <c r="XEK127"/>
      <c r="XEL127"/>
      <c r="XEM127"/>
      <c r="XEN127"/>
      <c r="XEO127"/>
      <c r="XEP127"/>
      <c r="XEQ127"/>
      <c r="XER127"/>
      <c r="XES127"/>
      <c r="XET127"/>
    </row>
    <row r="128" spans="16354:16374" ht="12.95" customHeight="1" x14ac:dyDescent="0.25">
      <c r="XDZ128"/>
      <c r="XEA128"/>
      <c r="XEB128"/>
      <c r="XEC128"/>
      <c r="XED128"/>
      <c r="XEE128"/>
      <c r="XEF128"/>
      <c r="XEG128"/>
      <c r="XEH128"/>
      <c r="XEI128"/>
      <c r="XEJ128"/>
      <c r="XEK128"/>
      <c r="XEL128"/>
      <c r="XEM128"/>
      <c r="XEN128"/>
      <c r="XEO128"/>
      <c r="XEP128"/>
      <c r="XEQ128"/>
      <c r="XER128"/>
      <c r="XES128"/>
      <c r="XET128"/>
    </row>
    <row r="129" spans="16354:16374" ht="12.95" customHeight="1" x14ac:dyDescent="0.25">
      <c r="XDZ129"/>
      <c r="XEA129"/>
      <c r="XEB129"/>
      <c r="XEC129"/>
      <c r="XED129"/>
      <c r="XEE129"/>
      <c r="XEF129"/>
      <c r="XEG129"/>
      <c r="XEH129"/>
      <c r="XEI129"/>
      <c r="XEJ129"/>
      <c r="XEK129"/>
      <c r="XEL129"/>
      <c r="XEM129"/>
      <c r="XEN129"/>
      <c r="XEO129"/>
      <c r="XEP129"/>
      <c r="XEQ129"/>
      <c r="XER129"/>
      <c r="XES129"/>
      <c r="XET129"/>
    </row>
    <row r="130" spans="16354:16374" ht="12.95" customHeight="1" x14ac:dyDescent="0.25">
      <c r="XDZ130"/>
      <c r="XEA130"/>
      <c r="XEB130"/>
      <c r="XEC130"/>
      <c r="XED130"/>
      <c r="XEE130"/>
      <c r="XEF130"/>
      <c r="XEG130"/>
      <c r="XEH130"/>
      <c r="XEI130"/>
      <c r="XEJ130"/>
      <c r="XEK130"/>
      <c r="XEL130"/>
      <c r="XEM130"/>
      <c r="XEN130"/>
      <c r="XEO130"/>
      <c r="XEP130"/>
      <c r="XEQ130"/>
      <c r="XER130"/>
      <c r="XES130"/>
      <c r="XET130"/>
    </row>
    <row r="131" spans="16354:16374" ht="12.95" customHeight="1" x14ac:dyDescent="0.25">
      <c r="XDZ131"/>
      <c r="XEA131"/>
      <c r="XEB131"/>
      <c r="XEC131"/>
      <c r="XED131"/>
      <c r="XEE131"/>
      <c r="XEF131"/>
      <c r="XEG131"/>
      <c r="XEH131"/>
      <c r="XEI131"/>
      <c r="XEJ131"/>
      <c r="XEK131"/>
      <c r="XEL131"/>
      <c r="XEM131"/>
      <c r="XEN131"/>
      <c r="XEO131"/>
      <c r="XEP131"/>
      <c r="XEQ131"/>
      <c r="XER131"/>
      <c r="XES131"/>
      <c r="XET131"/>
    </row>
    <row r="132" spans="16354:16374" ht="12.95" customHeight="1" x14ac:dyDescent="0.25">
      <c r="XDZ132"/>
      <c r="XEA132"/>
      <c r="XEB132"/>
      <c r="XEC132"/>
      <c r="XED132"/>
      <c r="XEE132"/>
      <c r="XEF132"/>
      <c r="XEG132"/>
      <c r="XEH132"/>
      <c r="XEI132"/>
      <c r="XEJ132"/>
      <c r="XEK132"/>
      <c r="XEL132"/>
      <c r="XEM132"/>
      <c r="XEN132"/>
      <c r="XEO132"/>
      <c r="XEP132"/>
      <c r="XEQ132"/>
      <c r="XER132"/>
      <c r="XES132"/>
      <c r="XET132"/>
    </row>
    <row r="133" spans="16354:16374" ht="12.95" customHeight="1" x14ac:dyDescent="0.25">
      <c r="XDZ133"/>
      <c r="XEA133"/>
      <c r="XEB133"/>
      <c r="XEC133"/>
      <c r="XED133"/>
      <c r="XEE133"/>
      <c r="XEF133"/>
      <c r="XEG133"/>
      <c r="XEH133"/>
      <c r="XEI133"/>
      <c r="XEJ133"/>
      <c r="XEK133"/>
      <c r="XEL133"/>
      <c r="XEM133"/>
      <c r="XEN133"/>
      <c r="XEO133"/>
      <c r="XEP133"/>
      <c r="XEQ133"/>
      <c r="XER133"/>
      <c r="XES133"/>
      <c r="XET133"/>
    </row>
    <row r="134" spans="16354:16374" ht="12.95" customHeight="1" x14ac:dyDescent="0.25">
      <c r="XDZ134"/>
      <c r="XEA134"/>
      <c r="XEB134"/>
      <c r="XEC134"/>
      <c r="XED134"/>
      <c r="XEE134"/>
      <c r="XEF134"/>
      <c r="XEG134"/>
      <c r="XEH134"/>
      <c r="XEI134"/>
      <c r="XEJ134"/>
      <c r="XEK134"/>
      <c r="XEL134"/>
      <c r="XEM134"/>
      <c r="XEN134"/>
      <c r="XEO134"/>
      <c r="XEP134"/>
      <c r="XEQ134"/>
      <c r="XER134"/>
      <c r="XES134"/>
      <c r="XET134"/>
    </row>
    <row r="135" spans="16354:16374" ht="12.95" customHeight="1" x14ac:dyDescent="0.25">
      <c r="XDZ135"/>
      <c r="XEA135"/>
      <c r="XEB135"/>
      <c r="XEC135"/>
      <c r="XED135"/>
      <c r="XEE135"/>
      <c r="XEF135"/>
      <c r="XEG135"/>
      <c r="XEH135"/>
      <c r="XEI135"/>
      <c r="XEJ135"/>
      <c r="XEK135"/>
      <c r="XEL135"/>
      <c r="XEM135"/>
      <c r="XEN135"/>
      <c r="XEO135"/>
      <c r="XEP135"/>
      <c r="XEQ135"/>
      <c r="XER135"/>
      <c r="XES135"/>
      <c r="XET135"/>
    </row>
    <row r="136" spans="16354:16374" ht="12.95" customHeight="1" x14ac:dyDescent="0.25">
      <c r="XDZ136"/>
      <c r="XEA136"/>
      <c r="XEB136"/>
      <c r="XEC136"/>
      <c r="XED136"/>
      <c r="XEE136"/>
      <c r="XEF136"/>
      <c r="XEG136"/>
      <c r="XEH136"/>
      <c r="XEI136"/>
      <c r="XEJ136"/>
      <c r="XEK136"/>
      <c r="XEL136"/>
      <c r="XEM136"/>
      <c r="XEN136"/>
      <c r="XEO136"/>
      <c r="XEP136"/>
      <c r="XEQ136"/>
      <c r="XER136"/>
      <c r="XES136"/>
      <c r="XET136"/>
    </row>
    <row r="137" spans="16354:16374" ht="12.95" customHeight="1" x14ac:dyDescent="0.25">
      <c r="XDZ137"/>
      <c r="XEA137"/>
      <c r="XEB137"/>
      <c r="XEC137"/>
      <c r="XED137"/>
      <c r="XEE137"/>
      <c r="XEF137"/>
      <c r="XEG137"/>
      <c r="XEH137"/>
      <c r="XEI137"/>
      <c r="XEJ137"/>
      <c r="XEK137"/>
      <c r="XEL137"/>
      <c r="XEM137"/>
      <c r="XEN137"/>
      <c r="XEO137"/>
      <c r="XEP137"/>
      <c r="XEQ137"/>
      <c r="XER137"/>
      <c r="XES137"/>
      <c r="XET137"/>
    </row>
    <row r="138" spans="16354:16374" ht="12.95" customHeight="1" x14ac:dyDescent="0.25">
      <c r="XDZ138"/>
      <c r="XEA138"/>
      <c r="XEB138"/>
      <c r="XEC138"/>
      <c r="XED138"/>
      <c r="XEE138"/>
      <c r="XEF138"/>
      <c r="XEG138"/>
      <c r="XEH138"/>
      <c r="XEI138"/>
      <c r="XEJ138"/>
      <c r="XEK138"/>
      <c r="XEL138"/>
      <c r="XEM138"/>
      <c r="XEN138"/>
      <c r="XEO138"/>
      <c r="XEP138"/>
      <c r="XEQ138"/>
      <c r="XER138"/>
      <c r="XES138"/>
      <c r="XET138"/>
    </row>
    <row r="139" spans="16354:16374" ht="12.95" customHeight="1" x14ac:dyDescent="0.25">
      <c r="XDZ139"/>
      <c r="XEA139"/>
      <c r="XEB139"/>
      <c r="XEC139"/>
      <c r="XED139"/>
      <c r="XEE139"/>
      <c r="XEF139"/>
      <c r="XEG139"/>
      <c r="XEH139"/>
      <c r="XEI139"/>
      <c r="XEJ139"/>
      <c r="XEK139"/>
      <c r="XEL139"/>
      <c r="XEM139"/>
      <c r="XEN139"/>
      <c r="XEO139"/>
      <c r="XEP139"/>
      <c r="XEQ139"/>
      <c r="XER139"/>
      <c r="XES139"/>
    </row>
    <row r="140" spans="16354:16374" ht="12.95" customHeight="1" x14ac:dyDescent="0.25">
      <c r="XDZ140"/>
      <c r="XEA140"/>
      <c r="XEB140"/>
      <c r="XEC140"/>
      <c r="XED140"/>
      <c r="XEE140"/>
      <c r="XEF140"/>
      <c r="XEG140"/>
      <c r="XEH140"/>
      <c r="XEI140"/>
      <c r="XEJ140"/>
      <c r="XEK140"/>
      <c r="XEL140"/>
      <c r="XEM140"/>
      <c r="XEN140"/>
      <c r="XEO140"/>
      <c r="XEP140"/>
      <c r="XEQ140"/>
      <c r="XER140"/>
      <c r="XES140"/>
    </row>
  </sheetData>
  <conditionalFormatting sqref="S5:S24">
    <cfRule type="colorScale" priority="3">
      <colorScale>
        <cfvo type="min"/>
        <cfvo type="max"/>
        <color rgb="FFFCFCFF"/>
        <color rgb="FF63BE7B"/>
      </colorScale>
    </cfRule>
  </conditionalFormatting>
  <conditionalFormatting sqref="T5:T24">
    <cfRule type="colorScale" priority="2">
      <colorScale>
        <cfvo type="min"/>
        <cfvo type="percentile" val="50"/>
        <cfvo type="max"/>
        <color rgb="FF63BE7B"/>
        <color rgb="FFFCFCFF"/>
        <color rgb="FFF8696B"/>
      </colorScale>
    </cfRule>
  </conditionalFormatting>
  <conditionalFormatting sqref="U5:U24">
    <cfRule type="colorScale" priority="1">
      <colorScale>
        <cfvo type="min"/>
        <cfvo type="percentile" val="50"/>
        <cfvo type="max"/>
        <color rgb="FF63BE7B"/>
        <color rgb="FFFCFCFF"/>
        <color rgb="FFF8696B"/>
      </colorScale>
    </cfRule>
  </conditionalFormatting>
  <pageMargins left="0.25" right="0.25" top="0.25" bottom="0.25" header="0" footer="0"/>
  <pageSetup scale="75" fitToHeight="0" orientation="landscape" r:id="rId1"/>
  <drawing r:id="rId2"/>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28550-D357-43C4-9CA2-CABD6D37BBF8}">
  <dimension ref="C1:CX143"/>
  <sheetViews>
    <sheetView topLeftCell="A33" zoomScaleNormal="100" workbookViewId="0">
      <selection activeCell="AC31" sqref="AC31"/>
    </sheetView>
  </sheetViews>
  <sheetFormatPr defaultColWidth="10.5703125" defaultRowHeight="12.75" x14ac:dyDescent="0.2"/>
  <cols>
    <col min="1" max="3" width="9.140625" style="149" customWidth="1"/>
    <col min="4" max="14" width="10.7109375" style="149" customWidth="1"/>
    <col min="15" max="15" width="8.28515625" style="149" bestFit="1" customWidth="1"/>
    <col min="16" max="26" width="10.7109375" style="149" customWidth="1"/>
    <col min="27" max="27" width="5.7109375" style="149" customWidth="1"/>
    <col min="28" max="38" width="10.7109375" style="149" customWidth="1"/>
    <col min="39" max="39" width="12.7109375" style="149" customWidth="1"/>
    <col min="40" max="40" width="9.140625" style="149" customWidth="1"/>
    <col min="41" max="41" width="17.7109375" style="149" customWidth="1"/>
    <col min="42" max="61" width="10.7109375" style="149" customWidth="1"/>
    <col min="62" max="62" width="14.85546875" style="149" customWidth="1"/>
    <col min="63" max="65" width="13.140625" style="149" customWidth="1"/>
    <col min="66" max="68" width="13.140625" style="241" customWidth="1"/>
    <col min="69" max="69" width="13.140625" style="149" customWidth="1"/>
    <col min="70" max="70" width="15" style="149" customWidth="1"/>
    <col min="71" max="74" width="9.7109375" style="149" bestFit="1" customWidth="1"/>
    <col min="75" max="75" width="9.140625" style="149" customWidth="1"/>
    <col min="76" max="76" width="9.7109375" style="149" bestFit="1" customWidth="1"/>
    <col min="77" max="86" width="9.140625" style="149" customWidth="1"/>
    <col min="87" max="87" width="5.140625" style="224" bestFit="1" customWidth="1"/>
    <col min="88" max="95" width="10.5703125" style="149"/>
    <col min="96" max="96" width="17.85546875" style="149" bestFit="1" customWidth="1"/>
    <col min="97" max="97" width="10.5703125" style="149"/>
    <col min="98" max="98" width="19.85546875" style="149" bestFit="1" customWidth="1"/>
    <col min="99" max="99" width="20.42578125" style="149" bestFit="1" customWidth="1"/>
    <col min="100" max="100" width="10.5703125" style="149"/>
    <col min="101" max="101" width="18.28515625" style="149" bestFit="1" customWidth="1"/>
    <col min="102" max="102" width="19" style="149" bestFit="1" customWidth="1"/>
    <col min="103" max="16384" width="10.5703125" style="149"/>
  </cols>
  <sheetData>
    <row r="1" spans="3:102" x14ac:dyDescent="0.2">
      <c r="BK1" s="212"/>
      <c r="BL1" s="212"/>
      <c r="BM1" s="212"/>
      <c r="BN1" s="212"/>
      <c r="BO1" s="212"/>
      <c r="BP1" s="212"/>
      <c r="BQ1" s="212"/>
      <c r="BR1" s="212"/>
      <c r="BS1" s="212"/>
      <c r="BT1" s="212"/>
      <c r="BU1" s="212"/>
      <c r="BV1" s="212"/>
      <c r="CI1" s="149"/>
    </row>
    <row r="2" spans="3:102" x14ac:dyDescent="0.2">
      <c r="W2" s="149" t="s">
        <v>130</v>
      </c>
      <c r="BK2" s="211"/>
      <c r="BL2" s="211"/>
      <c r="BM2" s="211"/>
      <c r="BN2" s="211"/>
      <c r="BO2" s="211"/>
      <c r="BP2" s="211"/>
      <c r="BQ2" s="211"/>
      <c r="BR2" s="211"/>
      <c r="BS2" s="211"/>
      <c r="BT2" s="211"/>
      <c r="BU2" s="211"/>
      <c r="BV2" s="211"/>
      <c r="CI2" s="149"/>
    </row>
    <row r="3" spans="3:102" x14ac:dyDescent="0.2">
      <c r="D3" s="166" t="s">
        <v>129</v>
      </c>
      <c r="P3" s="166" t="s">
        <v>131</v>
      </c>
      <c r="AB3" s="176" t="s">
        <v>132</v>
      </c>
      <c r="AC3" s="175"/>
      <c r="AD3" s="174"/>
      <c r="BK3" s="1" t="s">
        <v>193</v>
      </c>
      <c r="BL3" s="150"/>
      <c r="BN3" s="214"/>
      <c r="BO3" s="214"/>
      <c r="BP3" s="214"/>
      <c r="BQ3" s="214"/>
      <c r="BR3" s="1" t="s">
        <v>194</v>
      </c>
      <c r="BS3" s="214"/>
      <c r="BT3" s="214"/>
      <c r="BU3" s="214"/>
      <c r="BV3" s="214"/>
      <c r="BW3" s="1" t="s">
        <v>195</v>
      </c>
      <c r="CI3" s="149"/>
    </row>
    <row r="4" spans="3:102" ht="15" customHeight="1" x14ac:dyDescent="0.2">
      <c r="D4" s="156"/>
      <c r="E4" s="158">
        <v>2016</v>
      </c>
      <c r="F4" s="158">
        <v>2017</v>
      </c>
      <c r="G4" s="158">
        <f>F4+1</f>
        <v>2018</v>
      </c>
      <c r="H4" s="158">
        <f t="shared" ref="H4:N4" si="0">G4+1</f>
        <v>2019</v>
      </c>
      <c r="I4" s="158">
        <f t="shared" si="0"/>
        <v>2020</v>
      </c>
      <c r="J4" s="158">
        <f t="shared" si="0"/>
        <v>2021</v>
      </c>
      <c r="K4" s="158">
        <f t="shared" si="0"/>
        <v>2022</v>
      </c>
      <c r="L4" s="158">
        <f t="shared" si="0"/>
        <v>2023</v>
      </c>
      <c r="M4" s="158">
        <f t="shared" si="0"/>
        <v>2024</v>
      </c>
      <c r="N4" s="158">
        <f t="shared" si="0"/>
        <v>2025</v>
      </c>
      <c r="P4" s="156"/>
      <c r="Q4" s="158">
        <v>2016</v>
      </c>
      <c r="R4" s="158">
        <v>2017</v>
      </c>
      <c r="S4" s="158">
        <f>R4+1</f>
        <v>2018</v>
      </c>
      <c r="T4" s="158">
        <f t="shared" ref="T4" si="1">S4+1</f>
        <v>2019</v>
      </c>
      <c r="U4" s="158">
        <f t="shared" ref="U4" si="2">T4+1</f>
        <v>2020</v>
      </c>
      <c r="V4" s="158">
        <f t="shared" ref="V4" si="3">U4+1</f>
        <v>2021</v>
      </c>
      <c r="W4" s="158">
        <f t="shared" ref="W4" si="4">V4+1</f>
        <v>2022</v>
      </c>
      <c r="X4" s="158">
        <f t="shared" ref="X4" si="5">W4+1</f>
        <v>2023</v>
      </c>
      <c r="Y4" s="158">
        <f t="shared" ref="Y4:Z4" si="6">X4+1</f>
        <v>2024</v>
      </c>
      <c r="Z4" s="158">
        <f t="shared" si="6"/>
        <v>2025</v>
      </c>
      <c r="AB4" s="156"/>
      <c r="AC4" s="158">
        <v>2017</v>
      </c>
      <c r="AD4" s="158">
        <f>AC4+1</f>
        <v>2018</v>
      </c>
      <c r="AE4" s="158">
        <f t="shared" ref="AE4" si="7">AD4+1</f>
        <v>2019</v>
      </c>
      <c r="AF4" s="158">
        <f t="shared" ref="AF4" si="8">AE4+1</f>
        <v>2020</v>
      </c>
      <c r="AG4" s="158">
        <f t="shared" ref="AG4" si="9">AF4+1</f>
        <v>2021</v>
      </c>
      <c r="AH4" s="158">
        <f t="shared" ref="AH4" si="10">AG4+1</f>
        <v>2022</v>
      </c>
      <c r="AI4" s="158">
        <f t="shared" ref="AI4" si="11">AH4+1</f>
        <v>2023</v>
      </c>
      <c r="AJ4" s="158">
        <f t="shared" ref="AJ4" si="12">AI4+1</f>
        <v>2024</v>
      </c>
      <c r="AK4" s="159" t="s">
        <v>141</v>
      </c>
      <c r="AL4" s="36" t="s">
        <v>133</v>
      </c>
      <c r="AM4" s="263" t="s">
        <v>241</v>
      </c>
      <c r="AO4" s="156"/>
      <c r="AP4" s="37" t="str" cm="1">
        <f t="array" ref="AP4:BI4">TRANSPOSE(AB5:AB24)</f>
        <v>VOO</v>
      </c>
      <c r="AQ4" s="37" t="str">
        <v>DIA</v>
      </c>
      <c r="AR4" s="37" t="str">
        <v>TSLA</v>
      </c>
      <c r="AS4" s="37" t="str">
        <v>BAC</v>
      </c>
      <c r="AT4" s="37" t="str">
        <v>SBUX</v>
      </c>
      <c r="AU4" s="37" t="str">
        <v>O</v>
      </c>
      <c r="AV4" s="37" t="str">
        <v>VZ</v>
      </c>
      <c r="AW4" s="37" t="str">
        <v>AMZN</v>
      </c>
      <c r="AX4" s="37" t="str">
        <v>GOOGL</v>
      </c>
      <c r="AY4" s="37" t="str">
        <v>CRM</v>
      </c>
      <c r="AZ4" s="37" t="str">
        <v>CVX</v>
      </c>
      <c r="BA4" s="37" t="str">
        <v>AMD</v>
      </c>
      <c r="BB4" s="37" t="str">
        <v>LULU</v>
      </c>
      <c r="BC4" s="37" t="str">
        <v>LMT</v>
      </c>
      <c r="BD4" s="37" t="str">
        <v>UPS</v>
      </c>
      <c r="BE4" s="37" t="str">
        <v>XOM</v>
      </c>
      <c r="BF4" s="37" t="str">
        <v>COST</v>
      </c>
      <c r="BG4" s="37" t="str">
        <v>V</v>
      </c>
      <c r="BH4" s="37" t="str">
        <v>SO</v>
      </c>
      <c r="BI4" s="37" t="str">
        <v>DUK</v>
      </c>
      <c r="BK4" s="236" t="s">
        <v>144</v>
      </c>
      <c r="BL4" s="220" t="s">
        <v>145</v>
      </c>
      <c r="BM4" s="220" t="s">
        <v>143</v>
      </c>
      <c r="BN4" s="221" t="s">
        <v>192</v>
      </c>
      <c r="BO4" s="221" t="s">
        <v>196</v>
      </c>
      <c r="BP4" s="218"/>
      <c r="BQ4" s="215"/>
      <c r="BR4" s="221" t="s">
        <v>181</v>
      </c>
      <c r="BS4" s="221" t="s">
        <v>182</v>
      </c>
      <c r="BT4" s="222"/>
      <c r="BU4" s="215"/>
      <c r="BV4" s="216"/>
      <c r="BW4" s="234" t="s">
        <v>188</v>
      </c>
      <c r="BX4" s="235" t="s">
        <v>190</v>
      </c>
      <c r="BY4" s="235" t="s">
        <v>189</v>
      </c>
      <c r="CI4" s="245"/>
      <c r="CJ4" s="1" t="s">
        <v>203</v>
      </c>
    </row>
    <row r="5" spans="3:102" x14ac:dyDescent="0.2">
      <c r="C5" s="189" t="e" vm="1">
        <v>#VALUE!</v>
      </c>
      <c r="D5" s="159" t="s">
        <v>7</v>
      </c>
      <c r="E5" s="163">
        <v>180.64</v>
      </c>
      <c r="F5" s="163">
        <v>228.19</v>
      </c>
      <c r="G5" s="163">
        <v>222.74</v>
      </c>
      <c r="H5" s="163">
        <v>271.02999999999997</v>
      </c>
      <c r="I5" s="163">
        <v>317.54000000000002</v>
      </c>
      <c r="J5" s="163">
        <v>391.54</v>
      </c>
      <c r="K5" s="163">
        <v>359.36</v>
      </c>
      <c r="L5" s="163">
        <v>433.96</v>
      </c>
      <c r="M5" s="163">
        <v>548.15</v>
      </c>
      <c r="N5" s="163" cm="1">
        <f t="array" aca="1" ref="N5" ca="1">_FV(C5,"Price")</f>
        <v>680.95</v>
      </c>
      <c r="P5" s="159" t="s">
        <v>7</v>
      </c>
      <c r="Q5" s="167">
        <v>4.1379999999999999</v>
      </c>
      <c r="R5" s="169">
        <v>4.3680000000000003</v>
      </c>
      <c r="S5" s="167">
        <v>4.7370000000000001</v>
      </c>
      <c r="T5" s="167">
        <v>5.5709999999999997</v>
      </c>
      <c r="U5" s="167">
        <v>5.3029999999999999</v>
      </c>
      <c r="V5" s="167">
        <v>5.4370000000000003</v>
      </c>
      <c r="W5" s="167">
        <v>5.947000000000001</v>
      </c>
      <c r="X5" s="167">
        <v>6.3570000000000002</v>
      </c>
      <c r="Y5" s="167">
        <f>SUM(1.739, 1.639,1.784,1.543)</f>
        <v>6.7050000000000001</v>
      </c>
      <c r="Z5" s="167">
        <v>5.2970000000000006</v>
      </c>
      <c r="AB5" s="159" t="s">
        <v>7</v>
      </c>
      <c r="AC5" s="160">
        <f>LN((F5+R5)/E5)</f>
        <v>0.25263355588108849</v>
      </c>
      <c r="AD5" s="160">
        <f t="shared" ref="AD5:AD24" si="13">LN((G5+S5)/F5)</f>
        <v>-3.1294808792647322E-3</v>
      </c>
      <c r="AE5" s="160">
        <f t="shared" ref="AE5:AE24" si="14">LN((H5+T5)/G5)</f>
        <v>0.21657086258816338</v>
      </c>
      <c r="AF5" s="160">
        <f t="shared" ref="AF5:AF24" si="15">LN((I5+U5)/H5)</f>
        <v>0.17493662108200664</v>
      </c>
      <c r="AG5" s="160">
        <f t="shared" ref="AG5:AG24" si="16">LN((J5+V5)/I5)</f>
        <v>0.22327454985074047</v>
      </c>
      <c r="AH5" s="160">
        <f t="shared" ref="AH5:AH24" si="17">LN((K5+W5)/J5)</f>
        <v>-6.9349585398425354E-2</v>
      </c>
      <c r="AI5" s="197">
        <f t="shared" ref="AI5:AI24" si="18">LN((L5+X5)/K5)</f>
        <v>0.20317025050489138</v>
      </c>
      <c r="AJ5" s="160">
        <f t="shared" ref="AJ5:AJ24" si="19">LN((M5+Y5)/L5)</f>
        <v>0.24575445439625451</v>
      </c>
      <c r="AK5" s="160">
        <f ca="1">LN((N5+(Y5*(1+Z26)))/M5)</f>
        <v>0.22730931231228607</v>
      </c>
      <c r="AL5" s="264">
        <f ca="1">AVERAGE(AC5:AK5)</f>
        <v>0.16346339337086008</v>
      </c>
      <c r="AM5" s="264">
        <f>AVERAGE(AC5:AJ5)</f>
        <v>0.15548265350318183</v>
      </c>
      <c r="AO5" s="158" t="s">
        <v>135</v>
      </c>
      <c r="AP5" s="160" cm="1">
        <f t="array" aca="1" ref="AP5:BI5" ca="1">TRANSPOSE(AL5:AL24)</f>
        <v>0.16346339337086008</v>
      </c>
      <c r="AQ5" s="160">
        <f ca="1"/>
        <v>0.14575540549328039</v>
      </c>
      <c r="AR5" s="160">
        <f ca="1"/>
        <v>0.35547289311094976</v>
      </c>
      <c r="AS5" s="160">
        <f ca="1"/>
        <v>0.14859534470961255</v>
      </c>
      <c r="AT5" s="160">
        <f ca="1"/>
        <v>0.11243399556609893</v>
      </c>
      <c r="AU5" s="160">
        <f ca="1"/>
        <v>0.10981571951668691</v>
      </c>
      <c r="AV5" s="160">
        <f ca="1"/>
        <v>0.10473518550365542</v>
      </c>
      <c r="AW5" s="160">
        <f ca="1"/>
        <v>0.19594580564675093</v>
      </c>
      <c r="AX5" s="160">
        <f ca="1"/>
        <v>0.24066489396180885</v>
      </c>
      <c r="AY5" s="160">
        <f ca="1"/>
        <v>7.9653887328331008E-2</v>
      </c>
      <c r="AZ5" s="160">
        <f ca="1"/>
        <v>0.13578023029540112</v>
      </c>
      <c r="BA5" s="160">
        <f ca="1"/>
        <v>0.43907858073375322</v>
      </c>
      <c r="BB5" s="160">
        <f ca="1"/>
        <v>5.8495926983969722E-2</v>
      </c>
      <c r="BC5" s="160">
        <f ca="1"/>
        <v>0.1311635869112534</v>
      </c>
      <c r="BD5" s="160">
        <f ca="1"/>
        <v>7.7103486851348102E-2</v>
      </c>
      <c r="BE5" s="160">
        <f ca="1"/>
        <v>0.1479955140325645</v>
      </c>
      <c r="BF5" s="160">
        <f ca="1"/>
        <v>0.23014475219018907</v>
      </c>
      <c r="BG5" s="160">
        <f ca="1"/>
        <v>0.17076745952704062</v>
      </c>
      <c r="BH5" s="160">
        <f ca="1"/>
        <v>0.16149092781800653</v>
      </c>
      <c r="BI5" s="160">
        <f ca="1"/>
        <v>0.13966844123783839</v>
      </c>
      <c r="BJ5" s="149">
        <v>1</v>
      </c>
      <c r="BK5" s="237">
        <v>42397</v>
      </c>
      <c r="BL5" s="149">
        <v>0.192829</v>
      </c>
      <c r="BM5" s="203"/>
      <c r="BN5" s="239"/>
      <c r="BO5" s="239"/>
      <c r="BP5" s="239"/>
      <c r="BQ5" s="216"/>
      <c r="BR5" s="219" t="s">
        <v>146</v>
      </c>
      <c r="BS5" s="217">
        <v>1.6736579023170133E-3</v>
      </c>
      <c r="BT5" s="216"/>
      <c r="BU5" s="216"/>
      <c r="BW5" s="232">
        <v>2016</v>
      </c>
      <c r="BX5" s="230">
        <v>2.3313899999999999</v>
      </c>
      <c r="BY5" s="223" t="s">
        <v>101</v>
      </c>
      <c r="BZ5" s="213"/>
      <c r="CA5" s="213"/>
      <c r="CB5" s="213"/>
      <c r="CI5" s="246"/>
    </row>
    <row r="6" spans="3:102" x14ac:dyDescent="0.2">
      <c r="C6" s="189" t="e" vm="7">
        <v>#VALUE!</v>
      </c>
      <c r="D6" s="159" t="s">
        <v>8</v>
      </c>
      <c r="E6" s="163">
        <v>166.99</v>
      </c>
      <c r="F6" s="163">
        <v>225.07</v>
      </c>
      <c r="G6" s="163">
        <v>219.87</v>
      </c>
      <c r="H6" s="163">
        <v>253.89</v>
      </c>
      <c r="I6" s="163">
        <v>275.39</v>
      </c>
      <c r="J6" s="163">
        <v>327.95</v>
      </c>
      <c r="K6" s="163">
        <v>324.62</v>
      </c>
      <c r="L6" s="163">
        <v>370.49</v>
      </c>
      <c r="M6" s="163">
        <v>440.05</v>
      </c>
      <c r="N6" s="163" cm="1">
        <f t="array" aca="1" ref="N6" ca="1">_FV(C6,"Price")</f>
        <v>521.71</v>
      </c>
      <c r="P6" s="159" t="s">
        <v>8</v>
      </c>
      <c r="Q6" s="167">
        <v>4.4610000000000003</v>
      </c>
      <c r="R6" s="167">
        <v>4.875</v>
      </c>
      <c r="S6" s="167">
        <v>5.2220000000000004</v>
      </c>
      <c r="T6" s="167">
        <v>5.9530000000000003</v>
      </c>
      <c r="U6" s="167">
        <v>5.7279999999999998</v>
      </c>
      <c r="V6" s="167">
        <v>5.742</v>
      </c>
      <c r="W6" s="167">
        <v>6.3319999999999999</v>
      </c>
      <c r="X6" s="167">
        <v>6.8040000000000003</v>
      </c>
      <c r="Y6" s="167">
        <v>6.8310000000000004</v>
      </c>
      <c r="Z6" s="167">
        <v>5.2600000000000007</v>
      </c>
      <c r="AB6" s="159" t="s">
        <v>8</v>
      </c>
      <c r="AC6" s="160">
        <f t="shared" ref="AC6:AC24" si="20">LN((F6+R6)/E6)</f>
        <v>0.31990621950783027</v>
      </c>
      <c r="AD6" s="160">
        <f t="shared" si="13"/>
        <v>9.7742590523052522E-5</v>
      </c>
      <c r="AE6" s="160">
        <f t="shared" si="14"/>
        <v>0.16704113986729743</v>
      </c>
      <c r="AF6" s="160">
        <f t="shared" si="15"/>
        <v>0.1018734076638106</v>
      </c>
      <c r="AG6" s="160">
        <f t="shared" si="16"/>
        <v>0.1920301370262722</v>
      </c>
      <c r="AH6" s="160">
        <f t="shared" si="17"/>
        <v>9.1121920158711792E-3</v>
      </c>
      <c r="AI6" s="160">
        <f t="shared" si="18"/>
        <v>0.15036945690201267</v>
      </c>
      <c r="AJ6" s="160">
        <f t="shared" si="19"/>
        <v>0.18746588611297929</v>
      </c>
      <c r="AK6" s="160">
        <f t="shared" ref="AK6:AK24" ca="1" si="21">LN((N6+(Y6*(1+Z27)))/M6)</f>
        <v>0.18390246775292696</v>
      </c>
      <c r="AL6" s="264">
        <f t="shared" ref="AL6:AL24" ca="1" si="22">AVERAGE(AC6:AK6)</f>
        <v>0.14575540549328039</v>
      </c>
      <c r="AM6" s="264">
        <f t="shared" ref="AM6:AM24" si="23">AVERAGE(AC6:AJ6)</f>
        <v>0.14098702271082458</v>
      </c>
      <c r="AO6" s="158" t="s">
        <v>134</v>
      </c>
      <c r="AP6" s="160" cm="1">
        <f t="array" aca="1" ref="AP6:BI6" ca="1">TRANSPOSE(O26:O45)</f>
        <v>0.14744253129040163</v>
      </c>
      <c r="AQ6" s="160">
        <f ca="1"/>
        <v>0.12657532750717496</v>
      </c>
      <c r="AR6" s="160">
        <f ca="1"/>
        <v>0.35547289311094976</v>
      </c>
      <c r="AS6" s="160">
        <f ca="1"/>
        <v>0.12636408722759374</v>
      </c>
      <c r="AT6" s="160">
        <f ca="1"/>
        <v>9.104159760359988E-2</v>
      </c>
      <c r="AU6" s="160">
        <f ca="1"/>
        <v>5.5574726029095189E-2</v>
      </c>
      <c r="AV6" s="160">
        <f ca="1"/>
        <v>4.1284839603609236E-2</v>
      </c>
      <c r="AW6" s="160">
        <f ca="1"/>
        <v>0.19594580564675093</v>
      </c>
      <c r="AX6" s="160">
        <f ca="1"/>
        <v>0.24014920020240865</v>
      </c>
      <c r="AY6" s="160">
        <f ca="1"/>
        <v>7.8012555450347812E-2</v>
      </c>
      <c r="AZ6" s="160">
        <f ca="1"/>
        <v>8.7445526182165736E-2</v>
      </c>
      <c r="BA6" s="160">
        <f ca="1"/>
        <v>0.43907858073375322</v>
      </c>
      <c r="BB6" s="160">
        <f ca="1"/>
        <v>5.8495926983969722E-2</v>
      </c>
      <c r="BC6" s="160">
        <f ca="1"/>
        <v>0.10261296451913272</v>
      </c>
      <c r="BD6" s="160">
        <f ca="1"/>
        <v>3.425885083069214E-2</v>
      </c>
      <c r="BE6" s="160">
        <f ca="1"/>
        <v>9.7555623097061173E-2</v>
      </c>
      <c r="BF6" s="160">
        <f ca="1"/>
        <v>0.21257528597452155</v>
      </c>
      <c r="BG6" s="160">
        <f ca="1"/>
        <v>0.1643141432445813</v>
      </c>
      <c r="BH6" s="160">
        <f ca="1"/>
        <v>0.11541508673737222</v>
      </c>
      <c r="BI6" s="160">
        <f ca="1"/>
        <v>9.4549057261844746E-2</v>
      </c>
      <c r="BJ6" s="149">
        <v>2</v>
      </c>
      <c r="BK6" s="237">
        <v>42426</v>
      </c>
      <c r="BL6" s="149">
        <v>0.192829</v>
      </c>
      <c r="BM6" s="203">
        <f>LN(BL6/BL5)</f>
        <v>0</v>
      </c>
      <c r="BN6" s="240" t="str">
        <f t="shared" ref="BN6:BN37" si="24">IF(BM6=0, "No Growth", "Growth")</f>
        <v>No Growth</v>
      </c>
      <c r="BO6" s="243">
        <f>IF(BM6=0,1,2)</f>
        <v>1</v>
      </c>
      <c r="BP6" s="243"/>
      <c r="BQ6" s="217"/>
      <c r="BR6" s="2" t="s">
        <v>147</v>
      </c>
      <c r="BS6" s="217">
        <v>9.9835468438410711E-3</v>
      </c>
      <c r="BT6" s="217"/>
      <c r="BU6" s="217"/>
      <c r="BV6" s="217"/>
      <c r="BW6" s="232">
        <f>BW5+1</f>
        <v>2017</v>
      </c>
      <c r="BX6" s="224">
        <v>2.4612360000000009</v>
      </c>
      <c r="BY6" s="225">
        <f t="shared" ref="BY6:BY13" si="25">LN(BX6/BX5)</f>
        <v>5.4199006562293893E-2</v>
      </c>
      <c r="CH6" s="149">
        <v>4</v>
      </c>
      <c r="CI6" s="246" t="s">
        <v>205</v>
      </c>
      <c r="CJ6" s="212">
        <v>42410</v>
      </c>
      <c r="CK6" s="250">
        <v>1.6</v>
      </c>
      <c r="CL6" s="149" t="s">
        <v>101</v>
      </c>
      <c r="CS6" s="245"/>
    </row>
    <row r="7" spans="3:102" x14ac:dyDescent="0.2">
      <c r="C7" s="189" t="e" vm="10">
        <v>#VALUE!</v>
      </c>
      <c r="D7" s="159" t="s">
        <v>9</v>
      </c>
      <c r="E7" s="163">
        <v>16.8</v>
      </c>
      <c r="F7" s="163">
        <v>23.62</v>
      </c>
      <c r="G7" s="163">
        <v>20.47</v>
      </c>
      <c r="H7" s="163">
        <v>43.37</v>
      </c>
      <c r="I7" s="163">
        <v>264.51</v>
      </c>
      <c r="J7" s="163">
        <v>312.24</v>
      </c>
      <c r="K7" s="163">
        <v>173.22</v>
      </c>
      <c r="L7" s="163">
        <v>187.29</v>
      </c>
      <c r="M7" s="163">
        <v>404.6</v>
      </c>
      <c r="N7" s="163" cm="1">
        <f t="array" aca="1" ref="N7" ca="1">_FV(C7,"Price")</f>
        <v>411.84</v>
      </c>
      <c r="P7" s="159" t="s">
        <v>9</v>
      </c>
      <c r="Q7" s="167">
        <v>0</v>
      </c>
      <c r="R7" s="167">
        <v>0</v>
      </c>
      <c r="S7" s="167">
        <v>0</v>
      </c>
      <c r="T7" s="167">
        <v>0</v>
      </c>
      <c r="U7" s="167">
        <v>0</v>
      </c>
      <c r="V7" s="167">
        <v>0</v>
      </c>
      <c r="W7" s="167">
        <v>0</v>
      </c>
      <c r="X7" s="167">
        <v>0</v>
      </c>
      <c r="Y7" s="167">
        <v>0</v>
      </c>
      <c r="Z7" s="167">
        <v>0</v>
      </c>
      <c r="AB7" s="159" t="s">
        <v>9</v>
      </c>
      <c r="AC7" s="160">
        <f t="shared" si="20"/>
        <v>0.34071492436000295</v>
      </c>
      <c r="AD7" s="160">
        <f t="shared" si="13"/>
        <v>-0.14313341109601821</v>
      </c>
      <c r="AE7" s="160">
        <f t="shared" si="14"/>
        <v>0.75080755817407663</v>
      </c>
      <c r="AF7" s="160">
        <f t="shared" si="15"/>
        <v>1.8081110999197705</v>
      </c>
      <c r="AG7" s="160">
        <f t="shared" si="16"/>
        <v>0.16589306510531424</v>
      </c>
      <c r="AH7" s="160">
        <f t="shared" si="17"/>
        <v>-0.58920965996946095</v>
      </c>
      <c r="AI7" s="160">
        <f t="shared" si="18"/>
        <v>7.8095754838863676E-2</v>
      </c>
      <c r="AJ7" s="160">
        <f t="shared" si="19"/>
        <v>0.77024070699188263</v>
      </c>
      <c r="AK7" s="160">
        <f t="shared" ca="1" si="21"/>
        <v>1.773599967411674E-2</v>
      </c>
      <c r="AL7" s="264">
        <f t="shared" ca="1" si="22"/>
        <v>0.35547289311094976</v>
      </c>
      <c r="AM7" s="264">
        <f t="shared" si="23"/>
        <v>0.39769000479055389</v>
      </c>
      <c r="AO7" s="184" t="s">
        <v>136</v>
      </c>
      <c r="AP7" s="185">
        <f ca="1">AP5-AP6</f>
        <v>1.6020862080458442E-2</v>
      </c>
      <c r="AQ7" s="185">
        <f t="shared" ref="AQ7:BI7" ca="1" si="26">AQ5-AQ6</f>
        <v>1.9180077986105437E-2</v>
      </c>
      <c r="AR7" s="185">
        <f t="shared" ca="1" si="26"/>
        <v>0</v>
      </c>
      <c r="AS7" s="185">
        <f t="shared" ca="1" si="26"/>
        <v>2.2231257482018818E-2</v>
      </c>
      <c r="AT7" s="185">
        <f t="shared" ca="1" si="26"/>
        <v>2.1392397962499046E-2</v>
      </c>
      <c r="AU7" s="185">
        <f t="shared" ca="1" si="26"/>
        <v>5.4240993487591718E-2</v>
      </c>
      <c r="AV7" s="185">
        <f t="shared" ca="1" si="26"/>
        <v>6.3450345900046182E-2</v>
      </c>
      <c r="AW7" s="185">
        <f t="shared" ca="1" si="26"/>
        <v>0</v>
      </c>
      <c r="AX7" s="185">
        <f t="shared" ca="1" si="26"/>
        <v>5.1569375940019313E-4</v>
      </c>
      <c r="AY7" s="185">
        <f t="shared" ca="1" si="26"/>
        <v>1.6413318779831959E-3</v>
      </c>
      <c r="AZ7" s="185">
        <f t="shared" ca="1" si="26"/>
        <v>4.8334704113235386E-2</v>
      </c>
      <c r="BA7" s="185">
        <f t="shared" ca="1" si="26"/>
        <v>0</v>
      </c>
      <c r="BB7" s="185">
        <f t="shared" ca="1" si="26"/>
        <v>0</v>
      </c>
      <c r="BC7" s="185">
        <f t="shared" ca="1" si="26"/>
        <v>2.8550622392120681E-2</v>
      </c>
      <c r="BD7" s="185">
        <f t="shared" ca="1" si="26"/>
        <v>4.2844636020655961E-2</v>
      </c>
      <c r="BE7" s="185">
        <f t="shared" ca="1" si="26"/>
        <v>5.0439890935503329E-2</v>
      </c>
      <c r="BF7" s="185">
        <f t="shared" ca="1" si="26"/>
        <v>1.7569466215667517E-2</v>
      </c>
      <c r="BG7" s="185">
        <f t="shared" ca="1" si="26"/>
        <v>6.4533162824593204E-3</v>
      </c>
      <c r="BH7" s="185">
        <f t="shared" ca="1" si="26"/>
        <v>4.6075841080634311E-2</v>
      </c>
      <c r="BI7" s="185">
        <f t="shared" ca="1" si="26"/>
        <v>4.5119383975993646E-2</v>
      </c>
      <c r="BJ7" s="149">
        <v>3</v>
      </c>
      <c r="BK7" s="237">
        <v>42459</v>
      </c>
      <c r="BL7" s="149">
        <v>0.192829</v>
      </c>
      <c r="BM7" s="203">
        <f>LN(BL7/BL6)</f>
        <v>0</v>
      </c>
      <c r="BN7" s="240" t="str">
        <f t="shared" si="24"/>
        <v>No Growth</v>
      </c>
      <c r="BO7" s="243">
        <f t="shared" ref="BO7:BO70" si="27">IF(BM7=0,1,2)</f>
        <v>1</v>
      </c>
      <c r="BP7" s="243"/>
      <c r="BR7" s="2" t="s">
        <v>148</v>
      </c>
      <c r="BS7" s="203">
        <v>4.9546437919574171E-3</v>
      </c>
      <c r="BW7" s="232">
        <f t="shared" ref="BW7:BW13" si="28">BW6+1</f>
        <v>2018</v>
      </c>
      <c r="BX7" s="224">
        <v>2.5600740000000006</v>
      </c>
      <c r="BY7" s="225">
        <f t="shared" si="25"/>
        <v>3.9372501535254838E-2</v>
      </c>
      <c r="CH7" s="149">
        <v>1</v>
      </c>
      <c r="CI7" s="246" t="s">
        <v>204</v>
      </c>
      <c r="CJ7" s="212">
        <v>42503</v>
      </c>
      <c r="CK7" s="250">
        <v>1.6</v>
      </c>
      <c r="CL7" s="249">
        <f>LN(CK7/CK6)</f>
        <v>0</v>
      </c>
      <c r="CM7" s="241" t="str">
        <f t="shared" ref="CM7:CM22" si="29">IF(CL7&lt;=0, "No Growth", "Growth")</f>
        <v>No Growth</v>
      </c>
    </row>
    <row r="8" spans="3:102" x14ac:dyDescent="0.2">
      <c r="C8" s="189" t="e" vm="2">
        <v>#VALUE!</v>
      </c>
      <c r="D8" s="159" t="s">
        <v>10</v>
      </c>
      <c r="E8" s="163">
        <v>18.559999999999999</v>
      </c>
      <c r="F8" s="163">
        <v>26.65</v>
      </c>
      <c r="G8" s="163">
        <v>24.15</v>
      </c>
      <c r="H8" s="163">
        <v>28.48</v>
      </c>
      <c r="I8" s="163">
        <v>26.41</v>
      </c>
      <c r="J8" s="163">
        <v>41.89</v>
      </c>
      <c r="K8" s="163">
        <v>32.97</v>
      </c>
      <c r="L8" s="163">
        <v>32.58</v>
      </c>
      <c r="M8" s="163">
        <v>45.49</v>
      </c>
      <c r="N8" s="163" cm="1">
        <f t="array" aca="1" ref="N8" ca="1">_FV(C8,"Price")</f>
        <v>57.875</v>
      </c>
      <c r="P8" s="159" t="s">
        <v>10</v>
      </c>
      <c r="Q8" s="167">
        <v>0.25</v>
      </c>
      <c r="R8" s="167">
        <v>0.39</v>
      </c>
      <c r="S8" s="167">
        <v>0.54</v>
      </c>
      <c r="T8" s="167">
        <v>0.66</v>
      </c>
      <c r="U8" s="167">
        <v>0.72</v>
      </c>
      <c r="V8" s="167">
        <v>0.78</v>
      </c>
      <c r="W8" s="167">
        <v>0.86</v>
      </c>
      <c r="X8" s="167">
        <v>0.92</v>
      </c>
      <c r="Y8" s="167">
        <f>SUM((0.26*2),(0.24*2))</f>
        <v>1</v>
      </c>
      <c r="Z8" s="167">
        <v>0.8</v>
      </c>
      <c r="AB8" s="159" t="s">
        <v>10</v>
      </c>
      <c r="AC8" s="160">
        <f t="shared" si="20"/>
        <v>0.37630852381670882</v>
      </c>
      <c r="AD8" s="160">
        <f t="shared" si="13"/>
        <v>-7.6390847254765443E-2</v>
      </c>
      <c r="AE8" s="160">
        <f t="shared" si="14"/>
        <v>0.18782742066847716</v>
      </c>
      <c r="AF8" s="160">
        <f t="shared" si="15"/>
        <v>-4.8561959872934726E-2</v>
      </c>
      <c r="AG8" s="160">
        <f t="shared" si="16"/>
        <v>0.47975337089086773</v>
      </c>
      <c r="AH8" s="160">
        <f t="shared" si="17"/>
        <v>-0.2136991521663264</v>
      </c>
      <c r="AI8" s="160">
        <f t="shared" si="18"/>
        <v>1.5947381747380997E-2</v>
      </c>
      <c r="AJ8" s="160">
        <f t="shared" si="19"/>
        <v>0.35553863252859436</v>
      </c>
      <c r="AK8" s="160">
        <f t="shared" ca="1" si="21"/>
        <v>0.26063473202851067</v>
      </c>
      <c r="AL8" s="264">
        <f t="shared" ca="1" si="22"/>
        <v>0.14859534470961255</v>
      </c>
      <c r="AM8" s="264">
        <f t="shared" si="23"/>
        <v>0.1345904212947503</v>
      </c>
      <c r="BJ8" s="149">
        <v>4</v>
      </c>
      <c r="BK8" s="237">
        <v>42488</v>
      </c>
      <c r="BL8" s="149">
        <v>0.192829</v>
      </c>
      <c r="BM8" s="203">
        <f t="shared" ref="BM8:BM71" si="30">LN(BL8/BL7)</f>
        <v>0</v>
      </c>
      <c r="BN8" s="240" t="str">
        <f t="shared" si="24"/>
        <v>No Growth</v>
      </c>
      <c r="BO8" s="243">
        <f t="shared" si="27"/>
        <v>1</v>
      </c>
      <c r="BP8" s="243"/>
      <c r="BR8" s="2" t="s">
        <v>149</v>
      </c>
      <c r="BS8" s="203">
        <v>4.1942050083459005E-2</v>
      </c>
      <c r="BW8" s="232">
        <f t="shared" si="28"/>
        <v>2019</v>
      </c>
      <c r="BX8" s="224">
        <v>2.6356560000000004</v>
      </c>
      <c r="BY8" s="225">
        <f t="shared" si="25"/>
        <v>2.9095943041876873E-2</v>
      </c>
      <c r="CH8" s="149">
        <v>2</v>
      </c>
      <c r="CI8" s="246" t="s">
        <v>146</v>
      </c>
      <c r="CJ8" s="212">
        <v>42597</v>
      </c>
      <c r="CK8" s="250">
        <v>1.65</v>
      </c>
      <c r="CL8" s="249">
        <f t="shared" ref="CL8:CL44" si="31">LN(CK8/CK7)</f>
        <v>3.0771658666753472E-2</v>
      </c>
      <c r="CM8" s="241" t="str">
        <f t="shared" si="29"/>
        <v>Growth</v>
      </c>
    </row>
    <row r="9" spans="3:102" x14ac:dyDescent="0.2">
      <c r="C9" s="189" t="e" vm="6">
        <v>#VALUE!</v>
      </c>
      <c r="D9" s="159" t="s">
        <v>11</v>
      </c>
      <c r="E9" s="163">
        <v>45.86</v>
      </c>
      <c r="F9" s="163">
        <v>48.06</v>
      </c>
      <c r="G9" s="163">
        <v>58.98</v>
      </c>
      <c r="H9" s="163">
        <v>74.8</v>
      </c>
      <c r="I9" s="163">
        <v>87.13</v>
      </c>
      <c r="J9" s="163">
        <v>89.95</v>
      </c>
      <c r="K9" s="163">
        <v>102.22</v>
      </c>
      <c r="L9" s="163">
        <v>88.96</v>
      </c>
      <c r="M9" s="163">
        <v>105.65</v>
      </c>
      <c r="N9" s="163" cm="1">
        <f t="array" aca="1" ref="N9" ca="1">_FV(C9,"Price")</f>
        <v>104.06</v>
      </c>
      <c r="P9" s="159" t="s">
        <v>11</v>
      </c>
      <c r="Q9" s="167">
        <v>0.85</v>
      </c>
      <c r="R9" s="167">
        <v>1.05</v>
      </c>
      <c r="S9" s="167">
        <v>1.32</v>
      </c>
      <c r="T9" s="167">
        <v>1.49</v>
      </c>
      <c r="U9" s="167">
        <v>1.68</v>
      </c>
      <c r="V9" s="167">
        <v>1.84</v>
      </c>
      <c r="W9" s="167">
        <v>2</v>
      </c>
      <c r="X9" s="167">
        <v>2.16</v>
      </c>
      <c r="Y9" s="167">
        <v>2.3199999999999998</v>
      </c>
      <c r="Z9" s="167">
        <v>1.83</v>
      </c>
      <c r="AB9" s="159" t="s">
        <v>11</v>
      </c>
      <c r="AC9" s="160">
        <f t="shared" si="20"/>
        <v>6.846940262139492E-2</v>
      </c>
      <c r="AD9" s="160">
        <f t="shared" si="13"/>
        <v>0.22688187342481686</v>
      </c>
      <c r="AE9" s="160">
        <f t="shared" si="14"/>
        <v>0.2573434647150078</v>
      </c>
      <c r="AF9" s="160">
        <f t="shared" si="15"/>
        <v>0.17168137128998132</v>
      </c>
      <c r="AG9" s="160">
        <f t="shared" si="16"/>
        <v>5.2102102987804329E-2</v>
      </c>
      <c r="AH9" s="160">
        <f t="shared" si="17"/>
        <v>0.14725008908452636</v>
      </c>
      <c r="AI9" s="160">
        <f t="shared" si="18"/>
        <v>-0.11495003420120686</v>
      </c>
      <c r="AJ9" s="160">
        <f t="shared" si="19"/>
        <v>0.1936665802567768</v>
      </c>
      <c r="AK9" s="160">
        <f t="shared" ca="1" si="21"/>
        <v>9.4611099157888325E-3</v>
      </c>
      <c r="AL9" s="264">
        <f t="shared" ca="1" si="22"/>
        <v>0.11243399556609893</v>
      </c>
      <c r="AM9" s="264">
        <f t="shared" si="23"/>
        <v>0.12530560627238768</v>
      </c>
      <c r="BJ9" s="149">
        <v>5</v>
      </c>
      <c r="BK9" s="237">
        <v>42517</v>
      </c>
      <c r="BL9" s="149">
        <v>0.192829</v>
      </c>
      <c r="BM9" s="203">
        <f t="shared" si="30"/>
        <v>0</v>
      </c>
      <c r="BN9" s="240" t="str">
        <f t="shared" si="24"/>
        <v>No Growth</v>
      </c>
      <c r="BO9" s="243">
        <f t="shared" si="27"/>
        <v>1</v>
      </c>
      <c r="BP9" s="243"/>
      <c r="BR9" s="2" t="s">
        <v>150</v>
      </c>
      <c r="BS9" s="203">
        <v>1.5785477220842099E-3</v>
      </c>
      <c r="BW9" s="232">
        <f t="shared" si="28"/>
        <v>2020</v>
      </c>
      <c r="BX9" s="224">
        <v>2.7170520000000002</v>
      </c>
      <c r="BY9" s="225">
        <f t="shared" si="25"/>
        <v>3.0415361651477343E-2</v>
      </c>
      <c r="CH9" s="149">
        <v>3</v>
      </c>
      <c r="CI9" s="246" t="s">
        <v>147</v>
      </c>
      <c r="CJ9" s="212">
        <v>42688</v>
      </c>
      <c r="CK9" s="250">
        <v>1.65</v>
      </c>
      <c r="CL9" s="249">
        <f t="shared" si="31"/>
        <v>0</v>
      </c>
      <c r="CM9" s="241" t="str">
        <f t="shared" si="29"/>
        <v>No Growth</v>
      </c>
    </row>
    <row r="10" spans="3:102" x14ac:dyDescent="0.2">
      <c r="C10" s="189" t="e" vm="5">
        <v>#VALUE!</v>
      </c>
      <c r="D10" s="159" t="s">
        <v>12</v>
      </c>
      <c r="E10" s="163">
        <v>38.22</v>
      </c>
      <c r="F10" s="163">
        <v>35.630000000000003</v>
      </c>
      <c r="G10" s="163">
        <v>48.26</v>
      </c>
      <c r="H10" s="163">
        <v>57.2</v>
      </c>
      <c r="I10" s="163">
        <v>45.11</v>
      </c>
      <c r="J10" s="163">
        <v>57.07</v>
      </c>
      <c r="K10" s="163">
        <v>58.31</v>
      </c>
      <c r="L10" s="163">
        <v>49.3</v>
      </c>
      <c r="M10" s="163">
        <v>52.13</v>
      </c>
      <c r="N10" s="163" cm="1">
        <f t="array" aca="1" ref="N10" ca="1">_FV(C10,"Price")</f>
        <v>63.024999999999999</v>
      </c>
      <c r="P10" s="159" t="s">
        <v>12</v>
      </c>
      <c r="Q10" s="167">
        <v>2.3313899999999999</v>
      </c>
      <c r="R10" s="167">
        <v>2.4612400000000001</v>
      </c>
      <c r="S10" s="167">
        <v>2.5600700000000001</v>
      </c>
      <c r="T10" s="167">
        <v>2.6356600000000001</v>
      </c>
      <c r="U10" s="167">
        <v>2.71705</v>
      </c>
      <c r="V10" s="167">
        <v>2.7749799999999998</v>
      </c>
      <c r="W10" s="167">
        <v>2.972</v>
      </c>
      <c r="X10" s="167">
        <v>3.0619999999999998</v>
      </c>
      <c r="Y10" s="167">
        <v>3.1360000000000001</v>
      </c>
      <c r="Z10" s="167">
        <v>2.6800000000000006</v>
      </c>
      <c r="AB10" s="159" t="s">
        <v>12</v>
      </c>
      <c r="AC10" s="160">
        <f t="shared" si="20"/>
        <v>-3.3746043752592436E-3</v>
      </c>
      <c r="AD10" s="160">
        <f t="shared" si="13"/>
        <v>0.35510337568379302</v>
      </c>
      <c r="AE10" s="160">
        <f t="shared" si="14"/>
        <v>0.21499874410117725</v>
      </c>
      <c r="AF10" s="160">
        <f t="shared" si="15"/>
        <v>-0.17896251936753757</v>
      </c>
      <c r="AG10" s="160">
        <f t="shared" si="16"/>
        <v>0.28265360070829865</v>
      </c>
      <c r="AH10" s="160">
        <f t="shared" si="17"/>
        <v>7.1207577426859445E-2</v>
      </c>
      <c r="AI10" s="160">
        <f t="shared" si="18"/>
        <v>-0.10759246782483552</v>
      </c>
      <c r="AJ10" s="160">
        <f t="shared" si="19"/>
        <v>0.11423381018550922</v>
      </c>
      <c r="AK10" s="160">
        <f t="shared" ca="1" si="21"/>
        <v>0.24007395911217688</v>
      </c>
      <c r="AL10" s="264">
        <f t="shared" ca="1" si="22"/>
        <v>0.10981571951668691</v>
      </c>
      <c r="AM10" s="264">
        <f t="shared" si="23"/>
        <v>9.3533439567250659E-2</v>
      </c>
      <c r="BJ10" s="149">
        <v>6</v>
      </c>
      <c r="BK10" s="237">
        <v>42550</v>
      </c>
      <c r="BL10" s="149">
        <v>0.193798</v>
      </c>
      <c r="BM10" s="203">
        <f t="shared" si="30"/>
        <v>5.0125936829623838E-3</v>
      </c>
      <c r="BN10" s="240" t="str">
        <f t="shared" si="24"/>
        <v>Growth</v>
      </c>
      <c r="BO10" s="243">
        <f t="shared" si="27"/>
        <v>2</v>
      </c>
      <c r="BP10" s="243"/>
      <c r="BR10" s="2" t="s">
        <v>151</v>
      </c>
      <c r="BS10" s="203">
        <v>3.1496396154076455E-3</v>
      </c>
      <c r="BU10" s="214" t="s">
        <v>186</v>
      </c>
      <c r="BV10" s="150">
        <f>AVERAGE(BS5:BS42)</f>
        <v>8.7280229141426732E-3</v>
      </c>
      <c r="BW10" s="232">
        <f t="shared" si="28"/>
        <v>2021</v>
      </c>
      <c r="BX10" s="224">
        <v>2.774975</v>
      </c>
      <c r="BY10" s="225">
        <f t="shared" si="25"/>
        <v>2.1094269131759456E-2</v>
      </c>
      <c r="CH10" s="149">
        <v>4</v>
      </c>
      <c r="CI10" s="246" t="s">
        <v>148</v>
      </c>
      <c r="CJ10" s="212">
        <v>42776</v>
      </c>
      <c r="CK10" s="250">
        <v>1.75</v>
      </c>
      <c r="CL10" s="249">
        <f t="shared" si="31"/>
        <v>5.8840500022933395E-2</v>
      </c>
      <c r="CM10" s="241" t="str">
        <f t="shared" si="29"/>
        <v>Growth</v>
      </c>
    </row>
    <row r="11" spans="3:102" x14ac:dyDescent="0.2">
      <c r="C11" s="189" t="e" vm="8">
        <v>#VALUE!</v>
      </c>
      <c r="D11" s="159" t="s">
        <v>13</v>
      </c>
      <c r="E11" s="163">
        <v>30.4</v>
      </c>
      <c r="F11" s="163">
        <v>35.159999999999997</v>
      </c>
      <c r="G11" s="163">
        <v>37.51</v>
      </c>
      <c r="H11" s="163">
        <v>42.21</v>
      </c>
      <c r="I11" s="163">
        <v>40.58</v>
      </c>
      <c r="J11" s="163">
        <v>41.24</v>
      </c>
      <c r="K11" s="163">
        <v>33.97</v>
      </c>
      <c r="L11" s="163">
        <v>37.15</v>
      </c>
      <c r="M11" s="163">
        <v>36.85</v>
      </c>
      <c r="N11" s="163" cm="1">
        <f t="array" aca="1" ref="N11" ca="1">_FV(C11,"Price")</f>
        <v>44.08</v>
      </c>
      <c r="P11" s="159" t="s">
        <v>13</v>
      </c>
      <c r="Q11" s="167">
        <v>2.2729999999999997</v>
      </c>
      <c r="R11" s="167">
        <v>2.3239999999999998</v>
      </c>
      <c r="S11" s="170">
        <v>2.3729999999999998</v>
      </c>
      <c r="T11" s="167">
        <v>2.4239999999999999</v>
      </c>
      <c r="U11" s="167">
        <v>2.4729999999999999</v>
      </c>
      <c r="V11" s="167">
        <v>2.524</v>
      </c>
      <c r="W11" s="167">
        <v>2.5730000000000004</v>
      </c>
      <c r="X11" s="167">
        <v>2.6240000000000001</v>
      </c>
      <c r="Y11" s="167">
        <v>2.673</v>
      </c>
      <c r="Z11" s="167">
        <v>2.7240000000000002</v>
      </c>
      <c r="AB11" s="159" t="s">
        <v>13</v>
      </c>
      <c r="AC11" s="160">
        <f t="shared" si="20"/>
        <v>0.20947156684940113</v>
      </c>
      <c r="AD11" s="160">
        <f t="shared" si="13"/>
        <v>0.12604109512438305</v>
      </c>
      <c r="AE11" s="160">
        <f t="shared" si="14"/>
        <v>0.17388833634346346</v>
      </c>
      <c r="AF11" s="160">
        <f t="shared" si="15"/>
        <v>1.977475506249712E-2</v>
      </c>
      <c r="AG11" s="160">
        <f t="shared" si="16"/>
        <v>7.5536227216874807E-2</v>
      </c>
      <c r="AH11" s="160">
        <f t="shared" si="17"/>
        <v>-0.12091900976282766</v>
      </c>
      <c r="AI11" s="160">
        <f t="shared" si="18"/>
        <v>0.15773565031481698</v>
      </c>
      <c r="AJ11" s="160">
        <f t="shared" si="19"/>
        <v>6.1919009765984072E-2</v>
      </c>
      <c r="AK11" s="160">
        <f t="shared" ca="1" si="21"/>
        <v>0.23916903861830588</v>
      </c>
      <c r="AL11" s="264">
        <f t="shared" ca="1" si="22"/>
        <v>0.10473518550365542</v>
      </c>
      <c r="AM11" s="264">
        <f t="shared" si="23"/>
        <v>8.7930953864324118E-2</v>
      </c>
      <c r="BJ11" s="149">
        <v>7</v>
      </c>
      <c r="BK11" s="237">
        <v>42579</v>
      </c>
      <c r="BL11" s="149">
        <v>0.193798</v>
      </c>
      <c r="BM11" s="203">
        <f t="shared" si="30"/>
        <v>0</v>
      </c>
      <c r="BN11" s="240" t="str">
        <f t="shared" si="24"/>
        <v>No Growth</v>
      </c>
      <c r="BO11" s="243">
        <f t="shared" si="27"/>
        <v>1</v>
      </c>
      <c r="BP11" s="243"/>
      <c r="BR11" s="2" t="s">
        <v>152</v>
      </c>
      <c r="BS11" s="203">
        <v>1.5711075159750263E-3</v>
      </c>
      <c r="BU11" s="214" t="s">
        <v>187</v>
      </c>
      <c r="BV11" s="203">
        <f>_xlfn.STDEV.S(BS5:BS42)</f>
        <v>1.2164491800377087E-2</v>
      </c>
      <c r="BW11" s="232">
        <f t="shared" si="28"/>
        <v>2022</v>
      </c>
      <c r="BX11" s="224">
        <v>2.972</v>
      </c>
      <c r="BY11" s="225">
        <f t="shared" si="25"/>
        <v>6.8593388706705213E-2</v>
      </c>
      <c r="CH11" s="149">
        <v>1</v>
      </c>
      <c r="CI11" s="246" t="s">
        <v>149</v>
      </c>
      <c r="CJ11" s="212">
        <v>42870</v>
      </c>
      <c r="CK11" s="250">
        <v>1.75</v>
      </c>
      <c r="CL11" s="249">
        <f t="shared" si="31"/>
        <v>0</v>
      </c>
      <c r="CM11" s="241" t="str">
        <f t="shared" si="29"/>
        <v>No Growth</v>
      </c>
    </row>
    <row r="12" spans="3:102" x14ac:dyDescent="0.2">
      <c r="C12" s="189" t="e" vm="4">
        <v>#VALUE!</v>
      </c>
      <c r="D12" s="159" t="s">
        <v>14</v>
      </c>
      <c r="E12" s="163">
        <v>41.17</v>
      </c>
      <c r="F12" s="163">
        <v>72.540000000000006</v>
      </c>
      <c r="G12" s="163">
        <v>85.94</v>
      </c>
      <c r="H12" s="163">
        <v>100.44</v>
      </c>
      <c r="I12" s="163">
        <v>160.31</v>
      </c>
      <c r="J12" s="163">
        <v>149.57</v>
      </c>
      <c r="K12" s="163">
        <v>103.13</v>
      </c>
      <c r="L12" s="163">
        <v>155.19999999999999</v>
      </c>
      <c r="M12" s="163">
        <v>237.68</v>
      </c>
      <c r="N12" s="163" cm="1">
        <f t="array" aca="1" ref="N12" ca="1">_FV(C12,"Price")</f>
        <v>240.14</v>
      </c>
      <c r="P12" s="159" t="s">
        <v>14</v>
      </c>
      <c r="Q12" s="167">
        <v>0</v>
      </c>
      <c r="R12" s="167">
        <v>0</v>
      </c>
      <c r="S12" s="167">
        <v>0</v>
      </c>
      <c r="T12" s="167">
        <v>0</v>
      </c>
      <c r="U12" s="167">
        <v>0</v>
      </c>
      <c r="V12" s="167">
        <v>0</v>
      </c>
      <c r="W12" s="167">
        <v>0</v>
      </c>
      <c r="X12" s="167">
        <v>0</v>
      </c>
      <c r="Y12" s="167">
        <v>0</v>
      </c>
      <c r="Z12" s="167">
        <v>0</v>
      </c>
      <c r="AB12" s="159" t="s">
        <v>14</v>
      </c>
      <c r="AC12" s="160">
        <f t="shared" si="20"/>
        <v>0.56642829807294304</v>
      </c>
      <c r="AD12" s="160">
        <f t="shared" si="13"/>
        <v>0.16951124449209271</v>
      </c>
      <c r="AE12" s="160">
        <f t="shared" si="14"/>
        <v>0.15591115594253532</v>
      </c>
      <c r="AF12" s="160">
        <f t="shared" si="15"/>
        <v>0.46754890641219793</v>
      </c>
      <c r="AG12" s="160">
        <f t="shared" si="16"/>
        <v>-6.934493003034703E-2</v>
      </c>
      <c r="AH12" s="160">
        <f t="shared" si="17"/>
        <v>-0.3717741823432576</v>
      </c>
      <c r="AI12" s="160">
        <f t="shared" si="18"/>
        <v>0.40872427942114065</v>
      </c>
      <c r="AJ12" s="160">
        <f t="shared" si="19"/>
        <v>0.42621062340523391</v>
      </c>
      <c r="AK12" s="160">
        <f t="shared" ca="1" si="21"/>
        <v>1.0296855448219729E-2</v>
      </c>
      <c r="AL12" s="264">
        <f t="shared" ca="1" si="22"/>
        <v>0.19594580564675093</v>
      </c>
      <c r="AM12" s="264">
        <f t="shared" si="23"/>
        <v>0.21915192442156733</v>
      </c>
      <c r="BJ12" s="149">
        <v>8</v>
      </c>
      <c r="BK12" s="237">
        <v>42612</v>
      </c>
      <c r="BL12" s="149">
        <v>0.19573599999999999</v>
      </c>
      <c r="BM12" s="203">
        <f t="shared" si="30"/>
        <v>9.9504330316177881E-3</v>
      </c>
      <c r="BN12" s="240" t="str">
        <f t="shared" si="24"/>
        <v>Growth</v>
      </c>
      <c r="BO12" s="243">
        <f t="shared" si="27"/>
        <v>2</v>
      </c>
      <c r="BP12" s="243"/>
      <c r="BR12" s="2" t="s">
        <v>153</v>
      </c>
      <c r="BS12" s="203">
        <v>3.2435585984442239E-2</v>
      </c>
      <c r="BW12" s="232">
        <f t="shared" si="28"/>
        <v>2023</v>
      </c>
      <c r="BX12" s="224">
        <v>3.0620000000000007</v>
      </c>
      <c r="BY12" s="225">
        <f t="shared" si="25"/>
        <v>2.9833170379979502E-2</v>
      </c>
      <c r="CH12" s="149">
        <v>2</v>
      </c>
      <c r="CI12" s="246" t="s">
        <v>150</v>
      </c>
      <c r="CJ12" s="212">
        <v>42962</v>
      </c>
      <c r="CK12" s="250">
        <v>1.8</v>
      </c>
      <c r="CL12" s="249">
        <f t="shared" si="31"/>
        <v>2.8170876966696439E-2</v>
      </c>
      <c r="CM12" s="241" t="str">
        <f t="shared" si="29"/>
        <v>Growth</v>
      </c>
    </row>
    <row r="13" spans="3:102" ht="13.5" thickBot="1" x14ac:dyDescent="0.25">
      <c r="C13" s="189" t="e" vm="15">
        <v>#VALUE!</v>
      </c>
      <c r="D13" s="159" t="s">
        <v>15</v>
      </c>
      <c r="E13" s="163">
        <v>40.729999999999997</v>
      </c>
      <c r="F13" s="163">
        <v>58.71</v>
      </c>
      <c r="G13" s="163">
        <v>55.91</v>
      </c>
      <c r="H13" s="163">
        <v>71.150000000000006</v>
      </c>
      <c r="I13" s="163">
        <v>90.74</v>
      </c>
      <c r="J13" s="163">
        <v>134.38</v>
      </c>
      <c r="K13" s="163">
        <v>98.16</v>
      </c>
      <c r="L13" s="163">
        <v>139.13999999999999</v>
      </c>
      <c r="M13" s="163">
        <v>203.36</v>
      </c>
      <c r="N13" s="163" cm="1">
        <f t="array" aca="1" ref="N13" ca="1">_FV(C13,"Price")</f>
        <v>353.65</v>
      </c>
      <c r="P13" s="159" t="s">
        <v>15</v>
      </c>
      <c r="Q13" s="167">
        <v>0</v>
      </c>
      <c r="R13" s="167">
        <v>0</v>
      </c>
      <c r="S13" s="167">
        <v>0</v>
      </c>
      <c r="T13" s="167">
        <v>0</v>
      </c>
      <c r="U13" s="167">
        <v>0</v>
      </c>
      <c r="V13" s="167">
        <v>0</v>
      </c>
      <c r="W13" s="167">
        <v>0</v>
      </c>
      <c r="X13" s="167">
        <v>0</v>
      </c>
      <c r="Y13" s="167">
        <v>0.6</v>
      </c>
      <c r="Z13" s="167">
        <v>0.62</v>
      </c>
      <c r="AB13" s="159" t="s">
        <v>15</v>
      </c>
      <c r="AC13" s="160">
        <f t="shared" si="20"/>
        <v>0.36564514841577339</v>
      </c>
      <c r="AD13" s="160">
        <f t="shared" si="13"/>
        <v>-4.8866815037540708E-2</v>
      </c>
      <c r="AE13" s="160">
        <f t="shared" si="14"/>
        <v>0.24104706949730756</v>
      </c>
      <c r="AF13" s="160">
        <f t="shared" si="15"/>
        <v>0.24320794969995635</v>
      </c>
      <c r="AG13" s="160">
        <f t="shared" si="16"/>
        <v>0.39267333325618609</v>
      </c>
      <c r="AH13" s="160">
        <f t="shared" si="17"/>
        <v>-0.31407280708934787</v>
      </c>
      <c r="AI13" s="160">
        <f t="shared" si="18"/>
        <v>0.34888182009283913</v>
      </c>
      <c r="AJ13" s="160">
        <f t="shared" si="19"/>
        <v>0.38244327569145992</v>
      </c>
      <c r="AK13" s="160">
        <f t="shared" ca="1" si="21"/>
        <v>0.55502507112964583</v>
      </c>
      <c r="AL13" s="264">
        <f t="shared" ca="1" si="22"/>
        <v>0.24066489396180885</v>
      </c>
      <c r="AM13" s="264">
        <f t="shared" si="23"/>
        <v>0.20136987181582924</v>
      </c>
      <c r="BJ13" s="149">
        <v>9</v>
      </c>
      <c r="BK13" s="237">
        <v>42642</v>
      </c>
      <c r="BL13" s="149">
        <v>0.19573599999999999</v>
      </c>
      <c r="BM13" s="203">
        <f t="shared" si="30"/>
        <v>0</v>
      </c>
      <c r="BN13" s="240" t="str">
        <f t="shared" si="24"/>
        <v>No Growth</v>
      </c>
      <c r="BO13" s="243">
        <f t="shared" si="27"/>
        <v>1</v>
      </c>
      <c r="BP13" s="243"/>
      <c r="BR13" s="2" t="s">
        <v>154</v>
      </c>
      <c r="BS13" s="203">
        <v>3.0349322113585962E-3</v>
      </c>
      <c r="BW13" s="233">
        <f t="shared" si="28"/>
        <v>2024</v>
      </c>
      <c r="BX13" s="231">
        <v>3.1360000000000001</v>
      </c>
      <c r="BY13" s="227">
        <f t="shared" si="25"/>
        <v>2.3879805252669126E-2</v>
      </c>
      <c r="CH13" s="149">
        <v>3</v>
      </c>
      <c r="CI13" s="246" t="s">
        <v>151</v>
      </c>
      <c r="CJ13" s="212">
        <v>43054</v>
      </c>
      <c r="CK13" s="250">
        <v>1.85</v>
      </c>
      <c r="CL13" s="249">
        <f t="shared" si="31"/>
        <v>2.7398974188114562E-2</v>
      </c>
      <c r="CM13" s="241" t="str">
        <f t="shared" si="29"/>
        <v>Growth</v>
      </c>
    </row>
    <row r="14" spans="3:102" x14ac:dyDescent="0.2">
      <c r="C14" s="189" t="e" vm="11">
        <v>#VALUE!</v>
      </c>
      <c r="D14" s="159" t="s">
        <v>16</v>
      </c>
      <c r="E14" s="163">
        <v>78.28</v>
      </c>
      <c r="F14" s="163">
        <v>112.72</v>
      </c>
      <c r="G14" s="163">
        <v>150.38999999999999</v>
      </c>
      <c r="H14" s="163">
        <v>180.41</v>
      </c>
      <c r="I14" s="163">
        <v>223.21</v>
      </c>
      <c r="J14" s="163">
        <v>230.21</v>
      </c>
      <c r="K14" s="163">
        <v>166.22</v>
      </c>
      <c r="L14" s="163">
        <v>278.16000000000003</v>
      </c>
      <c r="M14" s="163">
        <v>340.03</v>
      </c>
      <c r="N14" s="163" cm="1">
        <f t="array" aca="1" ref="N14" ca="1">_FV(C14,"Price")</f>
        <v>157.97</v>
      </c>
      <c r="P14" s="159" t="s">
        <v>16</v>
      </c>
      <c r="Q14" s="167">
        <v>0</v>
      </c>
      <c r="R14" s="167">
        <v>0</v>
      </c>
      <c r="S14" s="167">
        <v>0</v>
      </c>
      <c r="T14" s="167">
        <v>0</v>
      </c>
      <c r="U14" s="167">
        <v>0</v>
      </c>
      <c r="V14" s="167">
        <v>0</v>
      </c>
      <c r="W14" s="167">
        <v>0</v>
      </c>
      <c r="X14" s="167">
        <v>0</v>
      </c>
      <c r="Y14" s="167">
        <v>1.6</v>
      </c>
      <c r="Z14" s="193">
        <v>1.248</v>
      </c>
      <c r="AB14" s="159" t="s">
        <v>16</v>
      </c>
      <c r="AC14" s="160">
        <f t="shared" si="20"/>
        <v>0.36461472506254927</v>
      </c>
      <c r="AD14" s="160">
        <f t="shared" si="13"/>
        <v>0.28832505235309686</v>
      </c>
      <c r="AE14" s="160">
        <f t="shared" si="14"/>
        <v>0.18200011852119002</v>
      </c>
      <c r="AF14" s="160">
        <f t="shared" si="15"/>
        <v>0.21288099390620929</v>
      </c>
      <c r="AG14" s="160">
        <f t="shared" si="16"/>
        <v>3.0878903459884276E-2</v>
      </c>
      <c r="AH14" s="160">
        <f t="shared" si="17"/>
        <v>-0.32567972370592485</v>
      </c>
      <c r="AI14" s="160">
        <f t="shared" si="18"/>
        <v>0.51488427557472571</v>
      </c>
      <c r="AJ14" s="160">
        <f t="shared" si="19"/>
        <v>0.20553179237273292</v>
      </c>
      <c r="AK14" s="160">
        <f t="shared" ca="1" si="21"/>
        <v>-0.75655115158948427</v>
      </c>
      <c r="AL14" s="264">
        <f t="shared" ca="1" si="22"/>
        <v>7.9653887328331008E-2</v>
      </c>
      <c r="AM14" s="264">
        <f t="shared" si="23"/>
        <v>0.18417951719305792</v>
      </c>
      <c r="BJ14" s="149">
        <v>10</v>
      </c>
      <c r="BK14" s="237">
        <v>42671</v>
      </c>
      <c r="BL14" s="149">
        <v>0.19573599999999999</v>
      </c>
      <c r="BM14" s="203">
        <f t="shared" si="30"/>
        <v>0</v>
      </c>
      <c r="BN14" s="240" t="str">
        <f t="shared" si="24"/>
        <v>No Growth</v>
      </c>
      <c r="BO14" s="243">
        <f t="shared" si="27"/>
        <v>1</v>
      </c>
      <c r="BP14" s="243"/>
      <c r="BR14" s="2" t="s">
        <v>155</v>
      </c>
      <c r="BS14" s="203">
        <v>1.5140190246054784E-3</v>
      </c>
      <c r="BX14" s="214" t="s">
        <v>186</v>
      </c>
      <c r="BY14" s="226">
        <f>AVERAGE(BY6:BY13)</f>
        <v>3.7060430782752035E-2</v>
      </c>
      <c r="CH14" s="149">
        <v>4</v>
      </c>
      <c r="CI14" s="246" t="s">
        <v>152</v>
      </c>
      <c r="CJ14" s="212">
        <v>43144</v>
      </c>
      <c r="CK14" s="250">
        <v>1.95</v>
      </c>
      <c r="CL14" s="249">
        <f t="shared" si="31"/>
        <v>5.2643733485421881E-2</v>
      </c>
      <c r="CM14" s="241" t="str">
        <f t="shared" si="29"/>
        <v>Growth</v>
      </c>
    </row>
    <row r="15" spans="3:102" x14ac:dyDescent="0.2">
      <c r="C15" s="189" t="e" vm="12">
        <v>#VALUE!</v>
      </c>
      <c r="D15" s="159" t="s">
        <v>17</v>
      </c>
      <c r="E15" s="163">
        <v>76.67</v>
      </c>
      <c r="F15" s="163">
        <v>89.74</v>
      </c>
      <c r="G15" s="163">
        <v>85.25</v>
      </c>
      <c r="H15" s="163">
        <v>82.9</v>
      </c>
      <c r="I15" s="163">
        <v>69.66</v>
      </c>
      <c r="J15" s="163">
        <v>113</v>
      </c>
      <c r="K15" s="163">
        <v>155.13</v>
      </c>
      <c r="L15" s="163">
        <v>136.59</v>
      </c>
      <c r="M15" s="163">
        <v>144.16999999999999</v>
      </c>
      <c r="N15" s="163" cm="1">
        <f t="array" aca="1" ref="N15" ca="1">_FV(C15,"Price")</f>
        <v>168.43</v>
      </c>
      <c r="P15" s="159" t="s">
        <v>17</v>
      </c>
      <c r="Q15" s="167">
        <v>4.2900000000000009</v>
      </c>
      <c r="R15" s="167">
        <v>4.32</v>
      </c>
      <c r="S15" s="167">
        <v>4.4800000000000004</v>
      </c>
      <c r="T15" s="167">
        <v>4.76</v>
      </c>
      <c r="U15" s="167">
        <v>5.16</v>
      </c>
      <c r="V15" s="167">
        <v>5.3100000000000005</v>
      </c>
      <c r="W15" s="167">
        <v>5.68</v>
      </c>
      <c r="X15" s="167">
        <v>6.04</v>
      </c>
      <c r="Y15" s="167">
        <v>6.52</v>
      </c>
      <c r="Z15" s="193">
        <v>5.13</v>
      </c>
      <c r="AB15" s="159" t="s">
        <v>17</v>
      </c>
      <c r="AC15" s="160">
        <f t="shared" si="20"/>
        <v>0.20442237894609885</v>
      </c>
      <c r="AD15" s="160">
        <f t="shared" si="13"/>
        <v>-1.1143923787082781E-4</v>
      </c>
      <c r="AE15" s="160">
        <f t="shared" si="14"/>
        <v>2.7877578827036988E-2</v>
      </c>
      <c r="AF15" s="160">
        <f t="shared" si="15"/>
        <v>-0.10254983322124937</v>
      </c>
      <c r="AG15" s="160">
        <f t="shared" si="16"/>
        <v>0.52968203332771635</v>
      </c>
      <c r="AH15" s="160">
        <f t="shared" si="17"/>
        <v>0.35283572515359268</v>
      </c>
      <c r="AI15" s="160">
        <f t="shared" si="18"/>
        <v>-8.4009610540908941E-2</v>
      </c>
      <c r="AJ15" s="160">
        <f t="shared" si="19"/>
        <v>9.8241008415262648E-2</v>
      </c>
      <c r="AK15" s="160">
        <f t="shared" ca="1" si="21"/>
        <v>0.19563423098893165</v>
      </c>
      <c r="AL15" s="264">
        <f t="shared" ca="1" si="22"/>
        <v>0.13578023029540112</v>
      </c>
      <c r="AM15" s="264">
        <f t="shared" si="23"/>
        <v>0.12829848020870982</v>
      </c>
      <c r="BJ15" s="149">
        <v>11</v>
      </c>
      <c r="BK15" s="237">
        <v>42703</v>
      </c>
      <c r="BL15" s="149">
        <v>0.19573599999999999</v>
      </c>
      <c r="BM15" s="203">
        <f t="shared" si="30"/>
        <v>0</v>
      </c>
      <c r="BN15" s="240" t="str">
        <f t="shared" si="24"/>
        <v>No Growth</v>
      </c>
      <c r="BO15" s="243">
        <f t="shared" si="27"/>
        <v>1</v>
      </c>
      <c r="BP15" s="243"/>
      <c r="BR15" s="2" t="s">
        <v>156</v>
      </c>
      <c r="BS15" s="203">
        <v>3.0211785925095868E-3</v>
      </c>
      <c r="BX15" s="214" t="s">
        <v>191</v>
      </c>
      <c r="BY15" s="226">
        <f>_xlfn.STDEV.S(BY6:BY13)</f>
        <v>1.6396316638818742E-2</v>
      </c>
      <c r="CH15" s="149">
        <v>1</v>
      </c>
      <c r="CI15" s="246" t="s">
        <v>153</v>
      </c>
      <c r="CJ15" s="212">
        <v>43236</v>
      </c>
      <c r="CK15" s="250">
        <v>1.95</v>
      </c>
      <c r="CL15" s="249">
        <f t="shared" si="31"/>
        <v>0</v>
      </c>
      <c r="CM15" s="241" t="str">
        <f t="shared" si="29"/>
        <v>No Growth</v>
      </c>
    </row>
    <row r="16" spans="3:102" x14ac:dyDescent="0.2">
      <c r="C16" s="189" t="e" vm="13">
        <v>#VALUE!</v>
      </c>
      <c r="D16" s="159" t="s">
        <v>18</v>
      </c>
      <c r="E16" s="163">
        <v>10.37</v>
      </c>
      <c r="F16" s="163">
        <v>13.74</v>
      </c>
      <c r="G16" s="163">
        <v>24.41</v>
      </c>
      <c r="H16" s="163">
        <v>47</v>
      </c>
      <c r="I16" s="163">
        <v>85.64</v>
      </c>
      <c r="J16" s="163">
        <v>114.25</v>
      </c>
      <c r="K16" s="163">
        <v>75.150000000000006</v>
      </c>
      <c r="L16" s="163">
        <v>167.69</v>
      </c>
      <c r="M16" s="163">
        <v>115.95</v>
      </c>
      <c r="N16" s="163" cm="1">
        <f t="array" aca="1" ref="N16" ca="1">_FV(C16,"Price")</f>
        <v>539.49</v>
      </c>
      <c r="P16" s="159" t="s">
        <v>18</v>
      </c>
      <c r="Q16" s="167">
        <v>0</v>
      </c>
      <c r="R16" s="167">
        <v>0</v>
      </c>
      <c r="S16" s="167">
        <v>0</v>
      </c>
      <c r="T16" s="167">
        <v>0</v>
      </c>
      <c r="U16" s="167">
        <v>0</v>
      </c>
      <c r="V16" s="167">
        <v>0</v>
      </c>
      <c r="W16" s="167">
        <v>0</v>
      </c>
      <c r="X16" s="167">
        <v>0</v>
      </c>
      <c r="Y16" s="167">
        <v>0</v>
      </c>
      <c r="Z16" s="167">
        <v>0</v>
      </c>
      <c r="AB16" s="159" t="s">
        <v>18</v>
      </c>
      <c r="AC16" s="160">
        <f t="shared" si="20"/>
        <v>0.28139426455276734</v>
      </c>
      <c r="AD16" s="160">
        <f t="shared" si="13"/>
        <v>0.5746815976106654</v>
      </c>
      <c r="AE16" s="160">
        <f t="shared" si="14"/>
        <v>0.65515471730518993</v>
      </c>
      <c r="AF16" s="160">
        <f t="shared" si="15"/>
        <v>0.60000486201142356</v>
      </c>
      <c r="AG16" s="160">
        <f t="shared" si="16"/>
        <v>0.28823656605283199</v>
      </c>
      <c r="AH16" s="160">
        <f>LN((K16+W16)/J16)</f>
        <v>-0.41890291357533044</v>
      </c>
      <c r="AI16" s="160">
        <f t="shared" si="18"/>
        <v>0.80263092056003449</v>
      </c>
      <c r="AJ16" s="160">
        <f t="shared" si="19"/>
        <v>-0.36895797305747741</v>
      </c>
      <c r="AK16" s="160">
        <f t="shared" ca="1" si="21"/>
        <v>1.5374651851436745</v>
      </c>
      <c r="AL16" s="264">
        <f t="shared" ca="1" si="22"/>
        <v>0.43907858073375322</v>
      </c>
      <c r="AM16" s="264">
        <f t="shared" si="23"/>
        <v>0.30178025518251311</v>
      </c>
      <c r="BJ16" s="149">
        <v>12</v>
      </c>
      <c r="BK16" s="237">
        <v>42733</v>
      </c>
      <c r="BL16" s="149">
        <v>0.19670499999999999</v>
      </c>
      <c r="BM16" s="203">
        <f t="shared" si="30"/>
        <v>4.9383319747904235E-3</v>
      </c>
      <c r="BN16" s="240" t="str">
        <f t="shared" si="24"/>
        <v>Growth</v>
      </c>
      <c r="BO16" s="243">
        <f t="shared" si="27"/>
        <v>2</v>
      </c>
      <c r="BP16" s="243"/>
      <c r="BR16" s="2" t="s">
        <v>157</v>
      </c>
      <c r="BS16" s="203">
        <v>2.2372504377941478E-2</v>
      </c>
      <c r="CH16" s="149">
        <v>2</v>
      </c>
      <c r="CI16" s="246" t="s">
        <v>154</v>
      </c>
      <c r="CJ16" s="212">
        <v>43328</v>
      </c>
      <c r="CK16" s="250">
        <v>2</v>
      </c>
      <c r="CL16" s="249">
        <f t="shared" si="31"/>
        <v>2.5317807984290001E-2</v>
      </c>
      <c r="CM16" s="241" t="str">
        <f t="shared" si="29"/>
        <v>Growth</v>
      </c>
      <c r="CR16" s="156"/>
      <c r="CS16" s="253" t="s">
        <v>207</v>
      </c>
      <c r="CT16" s="253" t="s">
        <v>216</v>
      </c>
      <c r="CU16" s="253" t="s">
        <v>217</v>
      </c>
      <c r="CV16" s="253" t="s">
        <v>218</v>
      </c>
      <c r="CW16" s="253" t="s">
        <v>219</v>
      </c>
      <c r="CX16" s="253" t="s">
        <v>220</v>
      </c>
    </row>
    <row r="17" spans="3:102" x14ac:dyDescent="0.2">
      <c r="C17" s="189" t="e" vm="14">
        <v>#VALUE!</v>
      </c>
      <c r="D17" s="159" t="s">
        <v>19</v>
      </c>
      <c r="E17" s="163">
        <v>67.510000000000005</v>
      </c>
      <c r="F17" s="163">
        <v>78.209999999999994</v>
      </c>
      <c r="G17" s="163">
        <v>147.81</v>
      </c>
      <c r="H17" s="163">
        <v>239.39</v>
      </c>
      <c r="I17" s="163">
        <v>328.68</v>
      </c>
      <c r="J17" s="163">
        <v>333.76</v>
      </c>
      <c r="K17" s="163">
        <v>306.88</v>
      </c>
      <c r="L17" s="163">
        <v>453.82</v>
      </c>
      <c r="M17" s="163">
        <v>414.2</v>
      </c>
      <c r="N17" s="163" cm="1">
        <f t="array" aca="1" ref="N17" ca="1">_FV(C17,"Price")</f>
        <v>114.29</v>
      </c>
      <c r="P17" s="159" t="s">
        <v>19</v>
      </c>
      <c r="Q17" s="167">
        <v>0</v>
      </c>
      <c r="R17" s="167">
        <v>0</v>
      </c>
      <c r="S17" s="167">
        <v>0</v>
      </c>
      <c r="T17" s="167">
        <v>0</v>
      </c>
      <c r="U17" s="167">
        <v>0</v>
      </c>
      <c r="V17" s="167">
        <v>0</v>
      </c>
      <c r="W17" s="167">
        <v>0</v>
      </c>
      <c r="X17" s="167">
        <v>0</v>
      </c>
      <c r="Y17" s="167">
        <v>0</v>
      </c>
      <c r="Z17" s="167">
        <v>0</v>
      </c>
      <c r="AB17" s="159" t="s">
        <v>19</v>
      </c>
      <c r="AC17" s="160">
        <f t="shared" si="20"/>
        <v>0.14712178155974073</v>
      </c>
      <c r="AD17" s="160">
        <f t="shared" si="13"/>
        <v>0.63653014861046142</v>
      </c>
      <c r="AE17" s="160">
        <f t="shared" si="14"/>
        <v>0.48216635593305218</v>
      </c>
      <c r="AF17" s="160">
        <f t="shared" si="15"/>
        <v>0.31699061190595357</v>
      </c>
      <c r="AG17" s="160">
        <f t="shared" si="16"/>
        <v>1.5337538749420435E-2</v>
      </c>
      <c r="AH17" s="160">
        <f t="shared" si="17"/>
        <v>-8.3965380117334218E-2</v>
      </c>
      <c r="AI17" s="160">
        <f t="shared" si="18"/>
        <v>0.39124385195805039</v>
      </c>
      <c r="AJ17" s="160">
        <f t="shared" si="19"/>
        <v>-9.135169469164002E-2</v>
      </c>
      <c r="AK17" s="160">
        <f t="shared" ca="1" si="21"/>
        <v>-1.287609871051977</v>
      </c>
      <c r="AL17" s="264">
        <f t="shared" ca="1" si="22"/>
        <v>5.8495926983969722E-2</v>
      </c>
      <c r="AM17" s="264">
        <f t="shared" si="23"/>
        <v>0.22675915173846306</v>
      </c>
      <c r="BJ17" s="149">
        <v>1</v>
      </c>
      <c r="BK17" s="237">
        <v>42765</v>
      </c>
      <c r="BL17" s="149">
        <v>0.204457</v>
      </c>
      <c r="BM17" s="203">
        <f t="shared" si="30"/>
        <v>3.8652539932203925E-2</v>
      </c>
      <c r="BN17" s="240" t="str">
        <f t="shared" si="24"/>
        <v>Growth</v>
      </c>
      <c r="BO17" s="243">
        <f t="shared" si="27"/>
        <v>2</v>
      </c>
      <c r="BP17" s="243"/>
      <c r="BR17" s="2" t="s">
        <v>158</v>
      </c>
      <c r="BS17" s="203">
        <v>1.4738530686005699E-3</v>
      </c>
      <c r="CH17" s="149">
        <v>3</v>
      </c>
      <c r="CI17" s="246" t="s">
        <v>155</v>
      </c>
      <c r="CJ17" s="212">
        <v>43419</v>
      </c>
      <c r="CK17" s="250">
        <v>2</v>
      </c>
      <c r="CL17" s="249">
        <f t="shared" si="31"/>
        <v>0</v>
      </c>
      <c r="CM17" s="241" t="str">
        <f t="shared" si="29"/>
        <v>No Growth</v>
      </c>
      <c r="CQ17" s="245"/>
      <c r="CR17" s="253" t="s">
        <v>212</v>
      </c>
      <c r="CS17" s="160">
        <f>SUMIF(CH7:CH44, "4", CL7:CL44)</f>
        <v>0.16215233250198741</v>
      </c>
      <c r="CT17" s="156">
        <f>COUNTIFS(CH7:CH44, "4", CM7:CM44, "Growth")</f>
        <v>4</v>
      </c>
      <c r="CU17" s="156">
        <f>COUNTIFS(CH7:CH44, "4", CM7:CM44, "No Growth")</f>
        <v>5</v>
      </c>
      <c r="CV17" s="156">
        <f>SUM(CT17:CU17)</f>
        <v>9</v>
      </c>
      <c r="CW17" s="254">
        <f t="shared" ref="CW17:CX20" si="32">CT17/$CV17</f>
        <v>0.44444444444444442</v>
      </c>
      <c r="CX17" s="254">
        <f t="shared" si="32"/>
        <v>0.55555555555555558</v>
      </c>
    </row>
    <row r="18" spans="3:102" x14ac:dyDescent="0.2">
      <c r="C18" s="189" t="e" vm="16">
        <v>#VALUE!</v>
      </c>
      <c r="D18" s="159" t="s">
        <v>20</v>
      </c>
      <c r="E18" s="163">
        <v>199.39</v>
      </c>
      <c r="F18" s="163">
        <v>288.77999999999997</v>
      </c>
      <c r="G18" s="163">
        <v>241.81</v>
      </c>
      <c r="H18" s="163">
        <v>366.58</v>
      </c>
      <c r="I18" s="163">
        <v>282.64</v>
      </c>
      <c r="J18" s="163">
        <v>352.1</v>
      </c>
      <c r="K18" s="163">
        <v>430.18</v>
      </c>
      <c r="L18" s="163">
        <v>409.56</v>
      </c>
      <c r="M18" s="163">
        <v>453.11</v>
      </c>
      <c r="N18" s="163" cm="1">
        <f t="array" aca="1" ref="N18" ca="1">_FV(C18,"Price")</f>
        <v>502.09</v>
      </c>
      <c r="P18" s="159" t="s">
        <v>20</v>
      </c>
      <c r="Q18" s="167">
        <v>6.77</v>
      </c>
      <c r="R18" s="167">
        <v>7.4600000000000009</v>
      </c>
      <c r="S18" s="167">
        <v>8.1999999999999993</v>
      </c>
      <c r="T18" s="167">
        <v>9</v>
      </c>
      <c r="U18" s="167">
        <v>9.8000000000000007</v>
      </c>
      <c r="V18" s="167">
        <v>10.6</v>
      </c>
      <c r="W18" s="173">
        <v>11.399999999999999</v>
      </c>
      <c r="X18" s="167">
        <v>12.15</v>
      </c>
      <c r="Y18" s="167">
        <v>12.75</v>
      </c>
      <c r="Z18" s="167">
        <v>9.9</v>
      </c>
      <c r="AB18" s="159" t="s">
        <v>20</v>
      </c>
      <c r="AC18" s="160">
        <f t="shared" si="20"/>
        <v>0.39590723078654921</v>
      </c>
      <c r="AD18" s="160">
        <f t="shared" si="13"/>
        <v>-0.14416423548080515</v>
      </c>
      <c r="AE18" s="160">
        <f t="shared" si="14"/>
        <v>0.44031920396155472</v>
      </c>
      <c r="AF18" s="160">
        <f t="shared" si="15"/>
        <v>-0.22595726111858658</v>
      </c>
      <c r="AG18" s="160">
        <f t="shared" si="16"/>
        <v>0.249402043237967</v>
      </c>
      <c r="AH18" s="160">
        <f t="shared" si="17"/>
        <v>0.22644397792118978</v>
      </c>
      <c r="AI18" s="160">
        <f t="shared" si="18"/>
        <v>-1.9885851736502768E-2</v>
      </c>
      <c r="AJ18" s="160">
        <f t="shared" si="19"/>
        <v>0.12880174709659242</v>
      </c>
      <c r="AK18" s="160">
        <f t="shared" ca="1" si="21"/>
        <v>0.12960542753332202</v>
      </c>
      <c r="AL18" s="264">
        <f t="shared" ca="1" si="22"/>
        <v>0.1311635869112534</v>
      </c>
      <c r="AM18" s="264">
        <f t="shared" si="23"/>
        <v>0.13135835683349484</v>
      </c>
      <c r="BJ18" s="149">
        <v>2</v>
      </c>
      <c r="BK18" s="237">
        <v>42793</v>
      </c>
      <c r="BL18" s="149">
        <v>0.204457</v>
      </c>
      <c r="BM18" s="203">
        <f t="shared" si="30"/>
        <v>0</v>
      </c>
      <c r="BN18" s="240" t="str">
        <f t="shared" si="24"/>
        <v>No Growth</v>
      </c>
      <c r="BO18" s="243">
        <f t="shared" si="27"/>
        <v>1</v>
      </c>
      <c r="BP18" s="243"/>
      <c r="BR18" s="2" t="s">
        <v>159</v>
      </c>
      <c r="BS18" s="203">
        <v>2.9412053729106543E-3</v>
      </c>
      <c r="CH18" s="149">
        <v>4</v>
      </c>
      <c r="CI18" s="246" t="s">
        <v>156</v>
      </c>
      <c r="CJ18" s="212">
        <v>43509</v>
      </c>
      <c r="CK18" s="250">
        <v>2.0499999999999998</v>
      </c>
      <c r="CL18" s="249">
        <f t="shared" si="31"/>
        <v>2.4692612590371414E-2</v>
      </c>
      <c r="CM18" s="241" t="str">
        <f t="shared" si="29"/>
        <v>Growth</v>
      </c>
      <c r="CR18" s="253" t="s">
        <v>213</v>
      </c>
      <c r="CS18" s="160">
        <f>SUMIF(CH7:CH44, "3", CL7:CL44)</f>
        <v>0.17497758253819626</v>
      </c>
      <c r="CT18" s="156">
        <f>COUNTIFS(CH7:CH44, "3", CM7:CM44, "Growth")</f>
        <v>4</v>
      </c>
      <c r="CU18" s="156">
        <f>COUNTIFS(CH7:CH44, "3", CM7:CM44, "No Growth")</f>
        <v>5</v>
      </c>
      <c r="CV18" s="156">
        <f t="shared" ref="CV18:CV20" si="33">SUM(CT18:CU18)</f>
        <v>9</v>
      </c>
      <c r="CW18" s="254">
        <f t="shared" si="32"/>
        <v>0.44444444444444442</v>
      </c>
      <c r="CX18" s="254">
        <f t="shared" si="32"/>
        <v>0.55555555555555558</v>
      </c>
    </row>
    <row r="19" spans="3:102" x14ac:dyDescent="0.2">
      <c r="C19" s="189" t="e" vm="18">
        <v>#VALUE!</v>
      </c>
      <c r="D19" s="159" t="s">
        <v>21</v>
      </c>
      <c r="E19" s="163">
        <v>79.33</v>
      </c>
      <c r="F19" s="163">
        <v>95.41</v>
      </c>
      <c r="G19" s="163">
        <v>81.56</v>
      </c>
      <c r="H19" s="163">
        <v>82.82</v>
      </c>
      <c r="I19" s="163">
        <v>128.28</v>
      </c>
      <c r="J19" s="163">
        <v>170.96</v>
      </c>
      <c r="K19" s="163">
        <v>161.78</v>
      </c>
      <c r="L19" s="163">
        <v>128.87</v>
      </c>
      <c r="M19" s="163">
        <v>108.74</v>
      </c>
      <c r="N19" s="163" cm="1">
        <f t="array" aca="1" ref="N19" ca="1">_FV(C19,"Price")</f>
        <v>107.98</v>
      </c>
      <c r="P19" s="159" t="s">
        <v>21</v>
      </c>
      <c r="Q19" s="167">
        <v>3.12</v>
      </c>
      <c r="R19" s="167">
        <v>3.32</v>
      </c>
      <c r="S19" s="167">
        <v>3.64</v>
      </c>
      <c r="T19" s="167">
        <v>3.84</v>
      </c>
      <c r="U19" s="167">
        <v>4.04</v>
      </c>
      <c r="V19" s="167">
        <v>4.08</v>
      </c>
      <c r="W19" s="167">
        <v>6.08</v>
      </c>
      <c r="X19" s="167">
        <v>6.48</v>
      </c>
      <c r="Y19" s="167">
        <v>6.52</v>
      </c>
      <c r="Z19" s="167">
        <v>4.92</v>
      </c>
      <c r="AB19" s="159" t="s">
        <v>21</v>
      </c>
      <c r="AC19" s="160">
        <f t="shared" si="20"/>
        <v>0.2187724843094466</v>
      </c>
      <c r="AD19" s="160">
        <f t="shared" si="13"/>
        <v>-0.11318196092848448</v>
      </c>
      <c r="AE19" s="160">
        <f t="shared" si="14"/>
        <v>6.0653470605508818E-2</v>
      </c>
      <c r="AF19" s="160">
        <f t="shared" si="15"/>
        <v>0.46855365315796005</v>
      </c>
      <c r="AG19" s="160">
        <f t="shared" si="16"/>
        <v>0.31079914440866224</v>
      </c>
      <c r="AH19" s="160">
        <f t="shared" si="17"/>
        <v>-1.8299312356210625E-2</v>
      </c>
      <c r="AI19" s="160">
        <f t="shared" si="18"/>
        <v>-0.17837337152949639</v>
      </c>
      <c r="AJ19" s="160">
        <f t="shared" si="19"/>
        <v>-0.11161369829177968</v>
      </c>
      <c r="AK19" s="160">
        <f t="shared" ca="1" si="21"/>
        <v>5.6620972286526385E-2</v>
      </c>
      <c r="AL19" s="264">
        <f t="shared" ca="1" si="22"/>
        <v>7.7103486851348102E-2</v>
      </c>
      <c r="AM19" s="264">
        <f t="shared" si="23"/>
        <v>7.9663801171950807E-2</v>
      </c>
      <c r="BJ19" s="149">
        <v>3</v>
      </c>
      <c r="BK19" s="237">
        <v>42824</v>
      </c>
      <c r="BL19" s="149">
        <v>0.204457</v>
      </c>
      <c r="BM19" s="203">
        <f t="shared" si="30"/>
        <v>0</v>
      </c>
      <c r="BN19" s="240" t="str">
        <f t="shared" si="24"/>
        <v>No Growth</v>
      </c>
      <c r="BO19" s="243">
        <f t="shared" si="27"/>
        <v>1</v>
      </c>
      <c r="BP19" s="243"/>
      <c r="BR19" s="2" t="s">
        <v>160</v>
      </c>
      <c r="BS19" s="203">
        <v>1.4673650260918619E-3</v>
      </c>
      <c r="CH19" s="149">
        <v>1</v>
      </c>
      <c r="CI19" s="246" t="s">
        <v>157</v>
      </c>
      <c r="CJ19" s="212">
        <v>43601</v>
      </c>
      <c r="CK19" s="250">
        <v>2.0499999999999998</v>
      </c>
      <c r="CL19" s="249">
        <f t="shared" si="31"/>
        <v>0</v>
      </c>
      <c r="CM19" s="241" t="str">
        <f t="shared" si="29"/>
        <v>No Growth</v>
      </c>
      <c r="CR19" s="253" t="s">
        <v>214</v>
      </c>
      <c r="CS19" s="160">
        <f>SUMIF(CH7:CH44, "2", CL7:CL44)</f>
        <v>0.28122966063973093</v>
      </c>
      <c r="CT19" s="156">
        <f>COUNTIFS(CH7:CH44, "2", CM7:CM44, "Growth")</f>
        <v>9</v>
      </c>
      <c r="CU19" s="156">
        <f>COUNTIFS(CH7:CH44, "2", CM7:CM44, "No Growth")</f>
        <v>1</v>
      </c>
      <c r="CV19" s="156">
        <f t="shared" si="33"/>
        <v>10</v>
      </c>
      <c r="CW19" s="254">
        <f t="shared" si="32"/>
        <v>0.9</v>
      </c>
      <c r="CX19" s="254">
        <f t="shared" si="32"/>
        <v>0.1</v>
      </c>
    </row>
    <row r="20" spans="3:102" x14ac:dyDescent="0.2">
      <c r="C20" s="189" t="e" vm="17">
        <v>#VALUE!</v>
      </c>
      <c r="D20" s="159" t="s">
        <v>22</v>
      </c>
      <c r="E20" s="163">
        <v>56.54</v>
      </c>
      <c r="F20" s="163">
        <v>61.07</v>
      </c>
      <c r="G20" s="163">
        <v>53.39</v>
      </c>
      <c r="H20" s="163">
        <v>47.43</v>
      </c>
      <c r="I20" s="163">
        <v>36.97</v>
      </c>
      <c r="J20" s="163">
        <v>66.48</v>
      </c>
      <c r="K20" s="163">
        <v>105.55</v>
      </c>
      <c r="L20" s="163">
        <v>96.74</v>
      </c>
      <c r="M20" s="163">
        <v>103.95</v>
      </c>
      <c r="N20" s="163" cm="1">
        <f t="array" aca="1" ref="N20" ca="1">_FV(C20,"Price")</f>
        <v>136.04</v>
      </c>
      <c r="P20" s="159" t="s">
        <v>22</v>
      </c>
      <c r="Q20" s="167">
        <v>2.98</v>
      </c>
      <c r="R20" s="167">
        <v>3.06</v>
      </c>
      <c r="S20" s="167">
        <v>3.23</v>
      </c>
      <c r="T20" s="167">
        <v>3.43</v>
      </c>
      <c r="U20" s="167">
        <v>3.48</v>
      </c>
      <c r="V20" s="167">
        <v>3.49</v>
      </c>
      <c r="W20" s="167">
        <v>3.55</v>
      </c>
      <c r="X20" s="167">
        <v>3.68</v>
      </c>
      <c r="Y20" s="167">
        <v>3.84</v>
      </c>
      <c r="Z20" s="167">
        <v>2.97</v>
      </c>
      <c r="AB20" s="159" t="s">
        <v>22</v>
      </c>
      <c r="AC20" s="160">
        <f t="shared" si="20"/>
        <v>0.12596392089532724</v>
      </c>
      <c r="AD20" s="160">
        <f t="shared" si="13"/>
        <v>-7.5658467551289937E-2</v>
      </c>
      <c r="AE20" s="160">
        <f t="shared" si="14"/>
        <v>-4.8546702518121355E-2</v>
      </c>
      <c r="AF20" s="160">
        <f t="shared" si="15"/>
        <v>-0.1591882963849898</v>
      </c>
      <c r="AG20" s="160">
        <f>LN((J20+V20)/I20)</f>
        <v>0.63795980580926481</v>
      </c>
      <c r="AH20" s="160">
        <f t="shared" si="17"/>
        <v>0.49536374229183228</v>
      </c>
      <c r="AI20" s="160">
        <f t="shared" si="18"/>
        <v>-4.982338368777018E-2</v>
      </c>
      <c r="AJ20" s="160">
        <f t="shared" si="19"/>
        <v>0.10815792239870006</v>
      </c>
      <c r="AK20" s="160">
        <f t="shared" ca="1" si="21"/>
        <v>0.29773108504012707</v>
      </c>
      <c r="AL20" s="264">
        <f t="shared" ca="1" si="22"/>
        <v>0.1479955140325645</v>
      </c>
      <c r="AM20" s="264">
        <f t="shared" si="23"/>
        <v>0.12927856765661916</v>
      </c>
      <c r="BJ20" s="149">
        <v>4</v>
      </c>
      <c r="BK20" s="237">
        <v>42852</v>
      </c>
      <c r="BL20" s="149">
        <v>0.204457</v>
      </c>
      <c r="BM20" s="203">
        <f t="shared" si="30"/>
        <v>0</v>
      </c>
      <c r="BN20" s="240" t="str">
        <f t="shared" si="24"/>
        <v>No Growth</v>
      </c>
      <c r="BO20" s="243">
        <f t="shared" si="27"/>
        <v>1</v>
      </c>
      <c r="BP20" s="243"/>
      <c r="BR20" s="2" t="s">
        <v>161</v>
      </c>
      <c r="BS20" s="203">
        <v>2.4621305200349015E-2</v>
      </c>
      <c r="CH20" s="149">
        <v>2</v>
      </c>
      <c r="CI20" s="246" t="s">
        <v>158</v>
      </c>
      <c r="CJ20" s="212">
        <v>43692</v>
      </c>
      <c r="CK20" s="250">
        <v>2.1</v>
      </c>
      <c r="CL20" s="249">
        <f t="shared" si="31"/>
        <v>2.4097551579060524E-2</v>
      </c>
      <c r="CM20" s="241" t="str">
        <f t="shared" si="29"/>
        <v>Growth</v>
      </c>
      <c r="CR20" s="253" t="s">
        <v>215</v>
      </c>
      <c r="CS20" s="160">
        <f>SUMIF(CH7:CH44, "1", CL7:CL44)</f>
        <v>-0.32289536278607872</v>
      </c>
      <c r="CT20" s="156">
        <f>COUNTIFS(CH7:CH44, "1", CM7:CM44, "Growth")</f>
        <v>4</v>
      </c>
      <c r="CU20" s="156">
        <f>COUNTIFS(CH7:CH44, "1", CM7:CM44, "No Growth")</f>
        <v>6</v>
      </c>
      <c r="CV20" s="156">
        <f t="shared" si="33"/>
        <v>10</v>
      </c>
      <c r="CW20" s="254">
        <f t="shared" si="32"/>
        <v>0.4</v>
      </c>
      <c r="CX20" s="254">
        <f t="shared" si="32"/>
        <v>0.6</v>
      </c>
    </row>
    <row r="21" spans="3:102" x14ac:dyDescent="0.2">
      <c r="C21" s="189" t="e" vm="3">
        <v>#VALUE!</v>
      </c>
      <c r="D21" s="159" t="s">
        <v>97</v>
      </c>
      <c r="E21" s="163">
        <v>139.74</v>
      </c>
      <c r="F21" s="163">
        <v>174.84</v>
      </c>
      <c r="G21" s="163">
        <v>194.59</v>
      </c>
      <c r="H21" s="163">
        <v>279.72000000000003</v>
      </c>
      <c r="I21" s="163">
        <v>333.93</v>
      </c>
      <c r="J21" s="163">
        <v>482.27</v>
      </c>
      <c r="K21" s="163">
        <v>491.27</v>
      </c>
      <c r="L21" s="163">
        <v>688.23</v>
      </c>
      <c r="M21" s="163">
        <v>976.17</v>
      </c>
      <c r="N21" s="163" cm="1">
        <f t="array" aca="1" ref="N21" ca="1">_FV(C21,"Price")</f>
        <v>946.68</v>
      </c>
      <c r="P21" s="159" t="s">
        <v>97</v>
      </c>
      <c r="Q21" s="167">
        <v>1.75</v>
      </c>
      <c r="R21" s="167">
        <v>8.9499999999999993</v>
      </c>
      <c r="S21" s="167">
        <v>2.21</v>
      </c>
      <c r="T21" s="167">
        <v>2.52</v>
      </c>
      <c r="U21" s="167">
        <v>12.75</v>
      </c>
      <c r="V21" s="167">
        <v>3.07</v>
      </c>
      <c r="W21" s="167">
        <v>3.49</v>
      </c>
      <c r="X21" s="167">
        <v>18.96</v>
      </c>
      <c r="Y21" s="167">
        <v>4.5</v>
      </c>
      <c r="Z21" s="167">
        <v>3.76</v>
      </c>
      <c r="AB21" s="159" t="s">
        <v>97</v>
      </c>
      <c r="AC21" s="160">
        <f t="shared" si="20"/>
        <v>0.27401024835307808</v>
      </c>
      <c r="AD21" s="160">
        <f t="shared" si="13"/>
        <v>0.11831671462303935</v>
      </c>
      <c r="AE21" s="160">
        <f t="shared" si="14"/>
        <v>0.37186299184836197</v>
      </c>
      <c r="AF21" s="160">
        <f>LN((I21+U21)/H21)</f>
        <v>0.21461306143047809</v>
      </c>
      <c r="AG21" s="160">
        <f t="shared" si="16"/>
        <v>0.37391828608467198</v>
      </c>
      <c r="AH21" s="160">
        <f t="shared" si="17"/>
        <v>2.5568673315498613E-2</v>
      </c>
      <c r="AI21" s="160">
        <f t="shared" si="18"/>
        <v>0.36430549612903168</v>
      </c>
      <c r="AJ21" s="160">
        <f t="shared" si="19"/>
        <v>0.35411292714340964</v>
      </c>
      <c r="AK21" s="160">
        <f t="shared" ca="1" si="21"/>
        <v>-2.5405629215867545E-2</v>
      </c>
      <c r="AL21" s="264">
        <f t="shared" ca="1" si="22"/>
        <v>0.23014475219018907</v>
      </c>
      <c r="AM21" s="264">
        <f t="shared" si="23"/>
        <v>0.26208854986594615</v>
      </c>
      <c r="BJ21" s="149">
        <v>5</v>
      </c>
      <c r="BK21" s="237">
        <v>42885</v>
      </c>
      <c r="BL21" s="149">
        <v>0.204457</v>
      </c>
      <c r="BM21" s="203">
        <f t="shared" si="30"/>
        <v>0</v>
      </c>
      <c r="BN21" s="240" t="str">
        <f t="shared" si="24"/>
        <v>No Growth</v>
      </c>
      <c r="BO21" s="243">
        <f t="shared" si="27"/>
        <v>1</v>
      </c>
      <c r="BP21" s="243"/>
      <c r="BR21" s="2" t="s">
        <v>162</v>
      </c>
      <c r="BS21" s="203">
        <v>1.4296054644181487E-3</v>
      </c>
      <c r="CH21" s="149">
        <v>3</v>
      </c>
      <c r="CI21" s="246" t="s">
        <v>159</v>
      </c>
      <c r="CJ21" s="212">
        <v>43783</v>
      </c>
      <c r="CK21" s="250">
        <v>2.1</v>
      </c>
      <c r="CL21" s="249">
        <f t="shared" si="31"/>
        <v>0</v>
      </c>
      <c r="CM21" s="241" t="str">
        <f t="shared" si="29"/>
        <v>No Growth</v>
      </c>
    </row>
    <row r="22" spans="3:102" x14ac:dyDescent="0.2">
      <c r="C22" s="189" t="e" vm="9">
        <v>#VALUE!</v>
      </c>
      <c r="D22" s="159" t="s">
        <v>98</v>
      </c>
      <c r="E22" s="163">
        <v>77.849999999999994</v>
      </c>
      <c r="F22" s="163">
        <v>117.76</v>
      </c>
      <c r="G22" s="163">
        <v>128.84</v>
      </c>
      <c r="H22" s="163">
        <v>191.09</v>
      </c>
      <c r="I22" s="163">
        <v>186.74</v>
      </c>
      <c r="J22" s="163">
        <v>219.89</v>
      </c>
      <c r="K22" s="163">
        <v>225.51</v>
      </c>
      <c r="L22" s="163">
        <v>269.81</v>
      </c>
      <c r="M22" s="163">
        <v>340.06</v>
      </c>
      <c r="N22" s="163" cm="1">
        <f t="array" aca="1" ref="N22" ca="1">_FV(C22,"Price")</f>
        <v>341.59</v>
      </c>
      <c r="P22" s="159" t="s">
        <v>98</v>
      </c>
      <c r="Q22" s="167">
        <v>0.58499999999999996</v>
      </c>
      <c r="R22" s="167">
        <v>0.69</v>
      </c>
      <c r="S22" s="167">
        <v>0.88</v>
      </c>
      <c r="T22" s="167">
        <v>1.05</v>
      </c>
      <c r="U22" s="167">
        <v>1.22</v>
      </c>
      <c r="V22" s="167">
        <v>1.335</v>
      </c>
      <c r="W22" s="167">
        <v>1.575</v>
      </c>
      <c r="X22" s="167">
        <v>1.87</v>
      </c>
      <c r="Y22" s="167">
        <v>2.15</v>
      </c>
      <c r="Z22" s="167">
        <v>1.77</v>
      </c>
      <c r="AB22" s="159" t="s">
        <v>98</v>
      </c>
      <c r="AC22" s="160">
        <f t="shared" si="20"/>
        <v>0.41970703232478729</v>
      </c>
      <c r="AD22" s="160">
        <f t="shared" si="13"/>
        <v>9.6729626458551113E-2</v>
      </c>
      <c r="AE22" s="160">
        <f t="shared" si="14"/>
        <v>0.39965294851859434</v>
      </c>
      <c r="AF22" s="160">
        <f t="shared" si="15"/>
        <v>-1.6515347018664955E-2</v>
      </c>
      <c r="AG22" s="160">
        <f t="shared" si="16"/>
        <v>0.1694630080976339</v>
      </c>
      <c r="AH22" s="160">
        <f t="shared" si="17"/>
        <v>3.219697542127245E-2</v>
      </c>
      <c r="AI22" s="160">
        <f t="shared" si="18"/>
        <v>0.18626039926549542</v>
      </c>
      <c r="AJ22" s="160">
        <f t="shared" si="19"/>
        <v>0.23770657612891552</v>
      </c>
      <c r="AK22" s="160">
        <f t="shared" ca="1" si="21"/>
        <v>1.1705916546780337E-2</v>
      </c>
      <c r="AL22" s="264">
        <f t="shared" ca="1" si="22"/>
        <v>0.17076745952704062</v>
      </c>
      <c r="AM22" s="264">
        <f t="shared" si="23"/>
        <v>0.19065015239957314</v>
      </c>
      <c r="BJ22" s="149">
        <v>6</v>
      </c>
      <c r="BK22" s="237">
        <v>42915</v>
      </c>
      <c r="BL22" s="149">
        <v>0.205426</v>
      </c>
      <c r="BM22" s="203">
        <f t="shared" si="30"/>
        <v>4.7281873374917264E-3</v>
      </c>
      <c r="BN22" s="240" t="str">
        <f t="shared" si="24"/>
        <v>Growth</v>
      </c>
      <c r="BO22" s="243">
        <f t="shared" si="27"/>
        <v>2</v>
      </c>
      <c r="BP22" s="243"/>
      <c r="BR22" s="2" t="s">
        <v>163</v>
      </c>
      <c r="BS22" s="203">
        <v>2.8530941838925501E-3</v>
      </c>
      <c r="CH22" s="149">
        <v>4</v>
      </c>
      <c r="CI22" s="246" t="s">
        <v>160</v>
      </c>
      <c r="CJ22" s="212">
        <v>43874</v>
      </c>
      <c r="CK22" s="250">
        <v>2.1</v>
      </c>
      <c r="CL22" s="249">
        <f t="shared" si="31"/>
        <v>0</v>
      </c>
      <c r="CM22" s="241" t="str">
        <f t="shared" si="29"/>
        <v>No Growth</v>
      </c>
      <c r="CT22" s="245"/>
    </row>
    <row r="23" spans="3:102" x14ac:dyDescent="0.2">
      <c r="C23" s="189" t="e" vm="20">
        <v>#VALUE!</v>
      </c>
      <c r="D23" s="159" t="s">
        <v>99</v>
      </c>
      <c r="E23" s="163">
        <v>34.24</v>
      </c>
      <c r="F23" s="163">
        <v>32.74</v>
      </c>
      <c r="G23" s="163">
        <v>37.17</v>
      </c>
      <c r="H23" s="163">
        <v>56.3</v>
      </c>
      <c r="I23" s="163">
        <v>49.17</v>
      </c>
      <c r="J23" s="163">
        <v>60.43</v>
      </c>
      <c r="K23" s="163">
        <v>61.18</v>
      </c>
      <c r="L23" s="163">
        <v>65.42</v>
      </c>
      <c r="M23" s="163">
        <v>81.900000000000006</v>
      </c>
      <c r="N23" s="163" cm="1">
        <f t="array" aca="1" ref="N23" ca="1">_FV(C23,"Price")</f>
        <v>96.75</v>
      </c>
      <c r="P23" s="159" t="s">
        <v>99</v>
      </c>
      <c r="Q23" s="167">
        <v>2.2229999999999999</v>
      </c>
      <c r="R23" s="167">
        <v>2.2999999999999998</v>
      </c>
      <c r="S23" s="167">
        <v>2.38</v>
      </c>
      <c r="T23" s="167">
        <v>2.46</v>
      </c>
      <c r="U23" s="167">
        <v>2.54</v>
      </c>
      <c r="V23" s="167">
        <v>2.62</v>
      </c>
      <c r="W23" s="167">
        <v>2.7</v>
      </c>
      <c r="X23" s="167">
        <v>2.78</v>
      </c>
      <c r="Y23" s="167">
        <v>2.86</v>
      </c>
      <c r="Z23" s="167">
        <v>2.2000000000000002</v>
      </c>
      <c r="AB23" s="159" t="s">
        <v>99</v>
      </c>
      <c r="AC23" s="160">
        <f t="shared" si="20"/>
        <v>2.3095714794649176E-2</v>
      </c>
      <c r="AD23" s="160">
        <f t="shared" si="13"/>
        <v>0.18896812227067405</v>
      </c>
      <c r="AE23" s="160">
        <f t="shared" si="14"/>
        <v>0.45795936699651568</v>
      </c>
      <c r="AF23" s="160">
        <f t="shared" si="15"/>
        <v>-8.5043348737514554E-2</v>
      </c>
      <c r="AG23" s="160">
        <f t="shared" si="16"/>
        <v>0.24864438098708047</v>
      </c>
      <c r="AH23" s="160">
        <f t="shared" si="17"/>
        <v>5.5520652973344534E-2</v>
      </c>
      <c r="AI23" s="160">
        <f t="shared" si="18"/>
        <v>0.10862422612665908</v>
      </c>
      <c r="AJ23" s="160">
        <f t="shared" si="19"/>
        <v>0.25899571128986043</v>
      </c>
      <c r="AK23" s="160">
        <f t="shared" ca="1" si="21"/>
        <v>0.19665352366079</v>
      </c>
      <c r="AL23" s="264">
        <f t="shared" ca="1" si="22"/>
        <v>0.16149092781800653</v>
      </c>
      <c r="AM23" s="264">
        <f t="shared" si="23"/>
        <v>0.1570956033376586</v>
      </c>
      <c r="BJ23" s="149">
        <v>7</v>
      </c>
      <c r="BK23" s="237">
        <v>42944</v>
      </c>
      <c r="BL23" s="149">
        <v>0.205426</v>
      </c>
      <c r="BM23" s="203">
        <f t="shared" si="30"/>
        <v>0</v>
      </c>
      <c r="BN23" s="240" t="str">
        <f t="shared" si="24"/>
        <v>No Growth</v>
      </c>
      <c r="BO23" s="243">
        <f t="shared" si="27"/>
        <v>1</v>
      </c>
      <c r="BP23" s="243"/>
      <c r="BR23" s="2" t="s">
        <v>164</v>
      </c>
      <c r="BS23" s="203">
        <v>1.423500331823838E-3</v>
      </c>
      <c r="CH23" s="149">
        <v>1</v>
      </c>
      <c r="CI23" s="246" t="s">
        <v>161</v>
      </c>
      <c r="CJ23" s="212">
        <v>44021</v>
      </c>
      <c r="CK23" s="250">
        <v>1.3</v>
      </c>
      <c r="CL23" s="249">
        <f t="shared" si="31"/>
        <v>-0.47957308026188622</v>
      </c>
      <c r="CM23" s="241" t="str">
        <f>IF(CL23&lt;=0, "No Growth", "Growth")</f>
        <v>No Growth</v>
      </c>
    </row>
    <row r="24" spans="3:102" ht="13.5" thickBot="1" x14ac:dyDescent="0.25">
      <c r="C24" s="189" t="e" vm="19">
        <v>#VALUE!</v>
      </c>
      <c r="D24" s="164" t="s">
        <v>100</v>
      </c>
      <c r="E24" s="165">
        <v>54.79</v>
      </c>
      <c r="F24" s="165">
        <v>57.09</v>
      </c>
      <c r="G24" s="165">
        <v>66.83</v>
      </c>
      <c r="H24" s="165">
        <v>77.56</v>
      </c>
      <c r="I24" s="165">
        <v>77.94</v>
      </c>
      <c r="J24" s="165">
        <v>90.57</v>
      </c>
      <c r="K24" s="165">
        <v>91.78</v>
      </c>
      <c r="L24" s="165">
        <v>89.63</v>
      </c>
      <c r="M24" s="165">
        <v>109.02</v>
      </c>
      <c r="N24" s="165" cm="1">
        <f t="array" aca="1" ref="N24" ca="1">_FV(C24,"Price")</f>
        <v>128.31</v>
      </c>
      <c r="P24" s="164" t="s">
        <v>100</v>
      </c>
      <c r="Q24" s="168">
        <v>3.36</v>
      </c>
      <c r="R24" s="168">
        <v>3.49</v>
      </c>
      <c r="S24" s="168">
        <v>3.6360000000000001</v>
      </c>
      <c r="T24" s="168">
        <v>3.746</v>
      </c>
      <c r="U24" s="168">
        <v>3.82</v>
      </c>
      <c r="V24" s="168">
        <v>3.9</v>
      </c>
      <c r="W24" s="168">
        <v>3.98</v>
      </c>
      <c r="X24" s="168">
        <v>4.0599999999999996</v>
      </c>
      <c r="Y24" s="168">
        <v>4.1399999999999997</v>
      </c>
      <c r="Z24" s="168">
        <f>1.045*3</f>
        <v>3.1349999999999998</v>
      </c>
      <c r="AB24" s="164" t="s">
        <v>100</v>
      </c>
      <c r="AC24" s="183">
        <f t="shared" si="20"/>
        <v>0.10045711004876699</v>
      </c>
      <c r="AD24" s="183">
        <f t="shared" si="13"/>
        <v>0.21050135400916892</v>
      </c>
      <c r="AE24" s="183">
        <f t="shared" si="14"/>
        <v>0.19606773304565306</v>
      </c>
      <c r="AF24" s="183">
        <f t="shared" si="15"/>
        <v>5.2736296080943136E-2</v>
      </c>
      <c r="AG24" s="183">
        <f t="shared" si="16"/>
        <v>0.19234302387047972</v>
      </c>
      <c r="AH24" s="183">
        <f t="shared" si="17"/>
        <v>5.5722028862860651E-2</v>
      </c>
      <c r="AI24" s="183">
        <f t="shared" si="18"/>
        <v>2.0597050996409509E-2</v>
      </c>
      <c r="AJ24" s="183">
        <f t="shared" si="19"/>
        <v>0.23311266106409623</v>
      </c>
      <c r="AK24" s="183">
        <f t="shared" ca="1" si="21"/>
        <v>0.19547871316216736</v>
      </c>
      <c r="AL24" s="265">
        <f t="shared" ca="1" si="22"/>
        <v>0.13966844123783839</v>
      </c>
      <c r="AM24" s="265">
        <f t="shared" si="23"/>
        <v>0.13269215724729727</v>
      </c>
      <c r="BJ24" s="149">
        <v>8</v>
      </c>
      <c r="BK24" s="237">
        <v>42977</v>
      </c>
      <c r="BL24" s="149">
        <v>0.205426</v>
      </c>
      <c r="BM24" s="203">
        <f t="shared" si="30"/>
        <v>0</v>
      </c>
      <c r="BN24" s="240" t="str">
        <f t="shared" si="24"/>
        <v>No Growth</v>
      </c>
      <c r="BO24" s="243">
        <f t="shared" si="27"/>
        <v>1</v>
      </c>
      <c r="BP24" s="243"/>
      <c r="BR24" s="2" t="s">
        <v>165</v>
      </c>
      <c r="BS24" s="203">
        <v>2.8409359887607089E-3</v>
      </c>
      <c r="CH24" s="149">
        <v>2</v>
      </c>
      <c r="CI24" s="246" t="s">
        <v>162</v>
      </c>
      <c r="CJ24" s="212">
        <v>44112</v>
      </c>
      <c r="CK24" s="250">
        <v>1.3</v>
      </c>
      <c r="CL24" s="249">
        <f t="shared" si="31"/>
        <v>0</v>
      </c>
      <c r="CM24" s="241" t="str">
        <f t="shared" ref="CM24:CM44" si="34">IF(CL24&lt;=0, "No Growth", "Growth")</f>
        <v>No Growth</v>
      </c>
    </row>
    <row r="25" spans="3:102" ht="15" customHeight="1" x14ac:dyDescent="0.2">
      <c r="E25" s="162"/>
      <c r="F25" s="158">
        <v>2017</v>
      </c>
      <c r="G25" s="158">
        <f>F25+1</f>
        <v>2018</v>
      </c>
      <c r="H25" s="158">
        <f t="shared" ref="H25" si="35">G25+1</f>
        <v>2019</v>
      </c>
      <c r="I25" s="158">
        <f t="shared" ref="I25" si="36">H25+1</f>
        <v>2020</v>
      </c>
      <c r="J25" s="158">
        <f t="shared" ref="J25" si="37">I25+1</f>
        <v>2021</v>
      </c>
      <c r="K25" s="158">
        <f t="shared" ref="K25" si="38">J25+1</f>
        <v>2022</v>
      </c>
      <c r="L25" s="158">
        <f t="shared" ref="L25" si="39">K25+1</f>
        <v>2023</v>
      </c>
      <c r="M25" s="158">
        <f t="shared" ref="M25:N25" si="40">L25+1</f>
        <v>2024</v>
      </c>
      <c r="N25" s="192">
        <f t="shared" si="40"/>
        <v>2025</v>
      </c>
      <c r="Q25" s="162"/>
      <c r="R25" s="158">
        <v>2017</v>
      </c>
      <c r="S25" s="158">
        <f>R25+1</f>
        <v>2018</v>
      </c>
      <c r="T25" s="158">
        <f t="shared" ref="T25" si="41">S25+1</f>
        <v>2019</v>
      </c>
      <c r="U25" s="158">
        <f t="shared" ref="U25" si="42">T25+1</f>
        <v>2020</v>
      </c>
      <c r="V25" s="158">
        <f t="shared" ref="V25" si="43">U25+1</f>
        <v>2021</v>
      </c>
      <c r="W25" s="158">
        <f t="shared" ref="W25" si="44">V25+1</f>
        <v>2022</v>
      </c>
      <c r="X25" s="158">
        <f t="shared" ref="X25" si="45">W25+1</f>
        <v>2023</v>
      </c>
      <c r="Y25" s="158">
        <f t="shared" ref="Y25" si="46">X25+1</f>
        <v>2024</v>
      </c>
      <c r="Z25" s="195" t="s">
        <v>141</v>
      </c>
      <c r="AB25" s="178"/>
      <c r="AD25" s="1"/>
      <c r="AE25" s="1"/>
      <c r="AF25" s="1"/>
      <c r="AG25" s="1"/>
      <c r="AH25" s="1"/>
      <c r="AI25" s="1"/>
      <c r="AJ25" s="1"/>
      <c r="AK25" s="1"/>
      <c r="AL25" s="1"/>
      <c r="AM25" s="177"/>
      <c r="BJ25" s="149">
        <v>9</v>
      </c>
      <c r="BK25" s="237">
        <v>43007</v>
      </c>
      <c r="BL25" s="149">
        <v>0.205426</v>
      </c>
      <c r="BM25" s="203">
        <f t="shared" si="30"/>
        <v>0</v>
      </c>
      <c r="BN25" s="240" t="str">
        <f t="shared" si="24"/>
        <v>No Growth</v>
      </c>
      <c r="BO25" s="243">
        <f t="shared" si="27"/>
        <v>1</v>
      </c>
      <c r="BP25" s="243"/>
      <c r="BR25" s="2" t="s">
        <v>166</v>
      </c>
      <c r="BS25" s="203">
        <v>1.4174471214627876E-3</v>
      </c>
      <c r="CH25" s="149">
        <v>3</v>
      </c>
      <c r="CI25" s="246" t="s">
        <v>163</v>
      </c>
      <c r="CJ25" s="212">
        <v>44188</v>
      </c>
      <c r="CK25" s="250">
        <v>1.3</v>
      </c>
      <c r="CL25" s="249">
        <f t="shared" si="31"/>
        <v>0</v>
      </c>
      <c r="CM25" s="241" t="str">
        <f t="shared" si="34"/>
        <v>No Growth</v>
      </c>
    </row>
    <row r="26" spans="3:102" x14ac:dyDescent="0.2">
      <c r="E26" s="159" t="s">
        <v>7</v>
      </c>
      <c r="F26" s="160">
        <f>LN(F5/E5)</f>
        <v>0.23367251485698076</v>
      </c>
      <c r="G26" s="160">
        <f t="shared" ref="G26:G45" si="47">LN(G5/F5)</f>
        <v>-2.4173443293378411E-2</v>
      </c>
      <c r="H26" s="160">
        <f t="shared" ref="H26:H45" si="48">LN(H5/G5)</f>
        <v>0.19622434389484242</v>
      </c>
      <c r="I26" s="160">
        <f t="shared" ref="I26:I45" si="49">LN(I5/H5)</f>
        <v>0.158374278789569</v>
      </c>
      <c r="J26" s="160">
        <f t="shared" ref="J26:J45" si="50">LN(J5/I5)</f>
        <v>0.20948388669903106</v>
      </c>
      <c r="K26" s="160">
        <f t="shared" ref="K26:K45" si="51">LN(K5/J5)</f>
        <v>-8.5763009798318218E-2</v>
      </c>
      <c r="L26" s="160">
        <f t="shared" ref="L26:L45" si="52">LN(L5/K5)</f>
        <v>0.18862769240417149</v>
      </c>
      <c r="M26" s="160">
        <f t="shared" ref="M26:N45" si="53">LN(M5/L5)</f>
        <v>0.2335966081662991</v>
      </c>
      <c r="N26" s="160">
        <f t="shared" ca="1" si="53"/>
        <v>0.21693990989441742</v>
      </c>
      <c r="O26" s="150">
        <f ca="1">AVERAGE(F26:N26)</f>
        <v>0.14744253129040163</v>
      </c>
      <c r="Q26" s="198" t="s">
        <v>7</v>
      </c>
      <c r="R26" s="199">
        <f t="shared" ref="R26:R45" si="54">LN(R5/Q5)</f>
        <v>5.4092659119252658E-2</v>
      </c>
      <c r="S26" s="199">
        <f t="shared" ref="S26:S45" si="55">LN(S5/R5)</f>
        <v>8.1098785499010742E-2</v>
      </c>
      <c r="T26" s="199">
        <f t="shared" ref="T26:T45" si="56">LN(T5/S5)</f>
        <v>0.16217054709706363</v>
      </c>
      <c r="U26" s="199">
        <f t="shared" ref="U26:U45" si="57">LN(U5/T5)</f>
        <v>-4.9301872883685496E-2</v>
      </c>
      <c r="V26" s="199">
        <f t="shared" ref="V26:V45" si="58">LN(V5/U5)</f>
        <v>2.4954740008790652E-2</v>
      </c>
      <c r="W26" s="199">
        <f t="shared" ref="W26:W45" si="59">LN(W5/V5)</f>
        <v>8.9659452560673134E-2</v>
      </c>
      <c r="X26" s="199">
        <f t="shared" ref="X26:X45" si="60">LN(X5/W5)</f>
        <v>6.6669677229814997E-2</v>
      </c>
      <c r="Y26" s="199">
        <f t="shared" ref="Y26:Y45" si="61">LN(Y5/X5)</f>
        <v>5.3296948779370142E-2</v>
      </c>
      <c r="Z26" s="199">
        <f>LN(Y5*(1+AVERAGE(R26:Y26))/Y5)</f>
        <v>5.8580290937698364E-2</v>
      </c>
      <c r="AB26" s="178"/>
      <c r="AC26" s="179"/>
      <c r="AD26" s="180"/>
      <c r="AE26" s="180"/>
      <c r="AF26" s="180"/>
      <c r="AG26" s="180"/>
      <c r="AH26" s="180"/>
      <c r="AI26" s="196"/>
      <c r="AJ26" s="196"/>
      <c r="AK26" s="196"/>
      <c r="AL26" s="180"/>
      <c r="AM26" s="150"/>
      <c r="BJ26" s="149">
        <v>10</v>
      </c>
      <c r="BK26" s="237">
        <v>43039</v>
      </c>
      <c r="BL26" s="149">
        <v>0.205426</v>
      </c>
      <c r="BM26" s="203">
        <f t="shared" si="30"/>
        <v>0</v>
      </c>
      <c r="BN26" s="240" t="str">
        <f t="shared" si="24"/>
        <v>No Growth</v>
      </c>
      <c r="BO26" s="243">
        <f t="shared" si="27"/>
        <v>1</v>
      </c>
      <c r="BP26" s="243"/>
      <c r="BR26" s="2" t="s">
        <v>167</v>
      </c>
      <c r="BS26" s="203">
        <v>2.828880976028199E-3</v>
      </c>
      <c r="CH26" s="149">
        <v>4</v>
      </c>
      <c r="CI26" s="246" t="s">
        <v>164</v>
      </c>
      <c r="CJ26" s="212">
        <v>44294</v>
      </c>
      <c r="CK26" s="250">
        <v>1.3</v>
      </c>
      <c r="CL26" s="249">
        <f t="shared" si="31"/>
        <v>0</v>
      </c>
      <c r="CM26" s="241" t="str">
        <f t="shared" si="34"/>
        <v>No Growth</v>
      </c>
    </row>
    <row r="27" spans="3:102" x14ac:dyDescent="0.2">
      <c r="E27" s="159" t="s">
        <v>8</v>
      </c>
      <c r="F27" s="160">
        <f t="shared" ref="F27:F45" si="62">LN(F6/E6)</f>
        <v>0.29847753454616349</v>
      </c>
      <c r="G27" s="160">
        <f t="shared" si="47"/>
        <v>-2.3375002324636161E-2</v>
      </c>
      <c r="H27" s="160">
        <f t="shared" si="48"/>
        <v>0.14386463974425576</v>
      </c>
      <c r="I27" s="160">
        <f t="shared" si="49"/>
        <v>8.1287172464551763E-2</v>
      </c>
      <c r="J27" s="160">
        <f t="shared" si="50"/>
        <v>0.17467288292506838</v>
      </c>
      <c r="K27" s="160">
        <f t="shared" si="51"/>
        <v>-1.0205890262819945E-2</v>
      </c>
      <c r="L27" s="160">
        <f t="shared" si="52"/>
        <v>0.13217118634165925</v>
      </c>
      <c r="M27" s="160">
        <f t="shared" si="53"/>
        <v>0.17206190300123708</v>
      </c>
      <c r="N27" s="160">
        <f t="shared" ca="1" si="53"/>
        <v>0.170223521129095</v>
      </c>
      <c r="O27" s="150">
        <f t="shared" ref="O27:O45" ca="1" si="63">AVERAGE(F27:N27)</f>
        <v>0.12657532750717496</v>
      </c>
      <c r="Q27" s="198" t="s">
        <v>8</v>
      </c>
      <c r="R27" s="199">
        <f t="shared" si="54"/>
        <v>8.8747148303682757E-2</v>
      </c>
      <c r="S27" s="199">
        <f t="shared" si="55"/>
        <v>6.8760365827126718E-2</v>
      </c>
      <c r="T27" s="199">
        <f t="shared" si="56"/>
        <v>0.13101482389431587</v>
      </c>
      <c r="U27" s="199">
        <f t="shared" si="57"/>
        <v>-3.8528864512908691E-2</v>
      </c>
      <c r="V27" s="199">
        <f t="shared" si="58"/>
        <v>2.4411520405278526E-3</v>
      </c>
      <c r="W27" s="199">
        <f t="shared" si="59"/>
        <v>9.7808560319893573E-2</v>
      </c>
      <c r="X27" s="199">
        <f t="shared" si="60"/>
        <v>7.1894532514849674E-2</v>
      </c>
      <c r="Y27" s="199">
        <f t="shared" si="61"/>
        <v>3.9604012160969143E-3</v>
      </c>
      <c r="Z27" s="199">
        <f t="shared" ref="Z27:Z32" si="64">LN(Y6*(1+AVERAGE(R27:Y27))/Y6)</f>
        <v>5.1892266670757574E-2</v>
      </c>
      <c r="AB27" s="178"/>
      <c r="AC27" s="179"/>
      <c r="AD27" s="180"/>
      <c r="AE27" s="180"/>
      <c r="AF27" s="180"/>
      <c r="AG27" s="180"/>
      <c r="AH27" s="180"/>
      <c r="AI27" s="180"/>
      <c r="AJ27" s="180"/>
      <c r="AK27" s="180"/>
      <c r="AL27" s="180"/>
      <c r="AM27" s="150"/>
      <c r="BJ27" s="149">
        <v>11</v>
      </c>
      <c r="BK27" s="237">
        <v>43069</v>
      </c>
      <c r="BL27" s="149">
        <v>0.205426</v>
      </c>
      <c r="BM27" s="203">
        <f t="shared" si="30"/>
        <v>0</v>
      </c>
      <c r="BN27" s="240" t="str">
        <f t="shared" si="24"/>
        <v>No Growth</v>
      </c>
      <c r="BO27" s="243">
        <f t="shared" si="27"/>
        <v>1</v>
      </c>
      <c r="BP27" s="243"/>
      <c r="BR27" s="2" t="s">
        <v>168</v>
      </c>
      <c r="BS27" s="203">
        <v>5.0639917784569069E-2</v>
      </c>
      <c r="CH27" s="149">
        <v>1</v>
      </c>
      <c r="CI27" s="246" t="s">
        <v>165</v>
      </c>
      <c r="CJ27" s="212">
        <v>44378</v>
      </c>
      <c r="CK27" s="250">
        <v>1.4</v>
      </c>
      <c r="CL27" s="249">
        <f t="shared" si="31"/>
        <v>7.4107972153721835E-2</v>
      </c>
      <c r="CM27" s="241" t="str">
        <f t="shared" si="34"/>
        <v>Growth</v>
      </c>
    </row>
    <row r="28" spans="3:102" x14ac:dyDescent="0.2">
      <c r="E28" s="159" t="s">
        <v>9</v>
      </c>
      <c r="F28" s="160">
        <f t="shared" si="62"/>
        <v>0.34071492436000295</v>
      </c>
      <c r="G28" s="160">
        <f t="shared" si="47"/>
        <v>-0.14313341109601821</v>
      </c>
      <c r="H28" s="160">
        <f t="shared" si="48"/>
        <v>0.75080755817407663</v>
      </c>
      <c r="I28" s="160">
        <f t="shared" si="49"/>
        <v>1.8081110999197705</v>
      </c>
      <c r="J28" s="160">
        <f t="shared" si="50"/>
        <v>0.16589306510531424</v>
      </c>
      <c r="K28" s="160">
        <f t="shared" si="51"/>
        <v>-0.58920965996946095</v>
      </c>
      <c r="L28" s="160">
        <f t="shared" si="52"/>
        <v>7.8095754838863676E-2</v>
      </c>
      <c r="M28" s="160">
        <f t="shared" si="53"/>
        <v>0.77024070699188263</v>
      </c>
      <c r="N28" s="160">
        <f t="shared" ca="1" si="53"/>
        <v>1.773599967411674E-2</v>
      </c>
      <c r="O28" s="150">
        <f t="shared" ca="1" si="63"/>
        <v>0.35547289311094976</v>
      </c>
      <c r="Q28" s="159" t="s">
        <v>9</v>
      </c>
      <c r="R28" s="160"/>
      <c r="S28" s="160"/>
      <c r="T28" s="160"/>
      <c r="U28" s="160"/>
      <c r="V28" s="160"/>
      <c r="W28" s="160"/>
      <c r="X28" s="160"/>
      <c r="Y28" s="160"/>
      <c r="Z28" s="160"/>
      <c r="AB28" s="178"/>
      <c r="AC28" s="179"/>
      <c r="AD28" s="180"/>
      <c r="AE28" s="180"/>
      <c r="AF28" s="180"/>
      <c r="AG28" s="180"/>
      <c r="AH28" s="180"/>
      <c r="AI28" s="180"/>
      <c r="AJ28" s="180"/>
      <c r="AK28" s="180"/>
      <c r="AL28" s="180"/>
      <c r="AM28" s="150"/>
      <c r="BJ28" s="149">
        <v>12</v>
      </c>
      <c r="BK28" s="237">
        <v>43098</v>
      </c>
      <c r="BL28" s="149">
        <v>0.206395</v>
      </c>
      <c r="BM28" s="203">
        <f t="shared" si="30"/>
        <v>4.7059367457025431E-3</v>
      </c>
      <c r="BN28" s="240" t="str">
        <f t="shared" si="24"/>
        <v>Growth</v>
      </c>
      <c r="BO28" s="243">
        <f t="shared" si="27"/>
        <v>2</v>
      </c>
      <c r="BP28" s="243"/>
      <c r="BR28" s="2" t="s">
        <v>169</v>
      </c>
      <c r="BS28" s="203">
        <v>2.6416026640159223E-2</v>
      </c>
      <c r="CH28" s="149">
        <v>2</v>
      </c>
      <c r="CI28" s="246" t="s">
        <v>166</v>
      </c>
      <c r="CJ28" s="212">
        <v>44447</v>
      </c>
      <c r="CK28" s="250">
        <v>1.5</v>
      </c>
      <c r="CL28" s="249">
        <f t="shared" si="31"/>
        <v>6.8992871486951421E-2</v>
      </c>
      <c r="CM28" s="241" t="str">
        <f t="shared" si="34"/>
        <v>Growth</v>
      </c>
    </row>
    <row r="29" spans="3:102" x14ac:dyDescent="0.2">
      <c r="E29" s="159" t="s">
        <v>10</v>
      </c>
      <c r="F29" s="160">
        <f t="shared" si="62"/>
        <v>0.36178042325379911</v>
      </c>
      <c r="G29" s="160">
        <f t="shared" si="47"/>
        <v>-9.8504770513271833E-2</v>
      </c>
      <c r="H29" s="160">
        <f t="shared" si="48"/>
        <v>0.16491770644519332</v>
      </c>
      <c r="I29" s="160">
        <f t="shared" si="49"/>
        <v>-7.5459360234734138E-2</v>
      </c>
      <c r="J29" s="160">
        <f t="shared" si="50"/>
        <v>0.46130440864990263</v>
      </c>
      <c r="K29" s="160">
        <f t="shared" si="51"/>
        <v>-0.23944907787530387</v>
      </c>
      <c r="L29" s="160">
        <f t="shared" si="52"/>
        <v>-1.189945390974066E-2</v>
      </c>
      <c r="M29" s="160">
        <f t="shared" si="53"/>
        <v>0.33379391840801376</v>
      </c>
      <c r="N29" s="160">
        <f t="shared" ca="1" si="53"/>
        <v>0.2407929908244853</v>
      </c>
      <c r="O29" s="150">
        <f t="shared" ca="1" si="63"/>
        <v>0.12636408722759374</v>
      </c>
      <c r="Q29" s="198" t="s">
        <v>10</v>
      </c>
      <c r="R29" s="199">
        <f t="shared" si="54"/>
        <v>0.44468582126144574</v>
      </c>
      <c r="S29" s="199">
        <f t="shared" si="55"/>
        <v>0.32542240043462795</v>
      </c>
      <c r="T29" s="199">
        <f t="shared" si="56"/>
        <v>0.20067069546215105</v>
      </c>
      <c r="U29" s="199">
        <f t="shared" si="57"/>
        <v>8.7011376989629699E-2</v>
      </c>
      <c r="V29" s="199">
        <f t="shared" si="58"/>
        <v>8.0042707673536564E-2</v>
      </c>
      <c r="W29" s="199">
        <f t="shared" si="59"/>
        <v>9.7638469563915864E-2</v>
      </c>
      <c r="X29" s="199">
        <f t="shared" si="60"/>
        <v>6.7441280795532688E-2</v>
      </c>
      <c r="Y29" s="199">
        <f t="shared" si="61"/>
        <v>8.3381608939051E-2</v>
      </c>
      <c r="Z29" s="199">
        <f t="shared" si="64"/>
        <v>0.15980903692232304</v>
      </c>
      <c r="AB29" s="178"/>
      <c r="AC29" s="179"/>
      <c r="AD29" s="180"/>
      <c r="AE29" s="180"/>
      <c r="AF29" s="180"/>
      <c r="AG29" s="180"/>
      <c r="AH29" s="180"/>
      <c r="AI29" s="180"/>
      <c r="AJ29" s="180"/>
      <c r="AK29" s="180"/>
      <c r="AL29" s="180"/>
      <c r="AM29" s="150"/>
      <c r="BJ29" s="149">
        <v>1</v>
      </c>
      <c r="BK29" s="237">
        <v>43131</v>
      </c>
      <c r="BL29" s="149">
        <v>0.21220900000000001</v>
      </c>
      <c r="BM29" s="203">
        <f t="shared" si="30"/>
        <v>2.7779829590799977E-2</v>
      </c>
      <c r="BN29" s="240" t="str">
        <f t="shared" si="24"/>
        <v>Growth</v>
      </c>
      <c r="BO29" s="243">
        <f t="shared" si="27"/>
        <v>2</v>
      </c>
      <c r="BP29" s="243"/>
      <c r="BR29" s="2" t="s">
        <v>170</v>
      </c>
      <c r="BS29" s="203">
        <v>1.348617871293463E-3</v>
      </c>
      <c r="CH29" s="149">
        <v>3</v>
      </c>
      <c r="CI29" s="246" t="s">
        <v>167</v>
      </c>
      <c r="CJ29" s="212">
        <v>44539</v>
      </c>
      <c r="CK29" s="250">
        <v>1.65</v>
      </c>
      <c r="CL29" s="249">
        <f t="shared" si="31"/>
        <v>9.5310179804324741E-2</v>
      </c>
      <c r="CM29" s="241" t="str">
        <f t="shared" si="34"/>
        <v>Growth</v>
      </c>
      <c r="CR29" s="1" t="s">
        <v>206</v>
      </c>
    </row>
    <row r="30" spans="3:102" x14ac:dyDescent="0.2">
      <c r="E30" s="159" t="s">
        <v>11</v>
      </c>
      <c r="F30" s="160">
        <f t="shared" si="62"/>
        <v>4.6856952878564617E-2</v>
      </c>
      <c r="G30" s="160">
        <f t="shared" si="47"/>
        <v>0.20474817307880724</v>
      </c>
      <c r="H30" s="160">
        <f t="shared" si="48"/>
        <v>0.23761948159330137</v>
      </c>
      <c r="I30" s="160">
        <f t="shared" si="49"/>
        <v>0.15258337126276386</v>
      </c>
      <c r="J30" s="160">
        <f t="shared" si="50"/>
        <v>3.185270415334665E-2</v>
      </c>
      <c r="K30" s="160">
        <f t="shared" si="51"/>
        <v>0.12787339294359137</v>
      </c>
      <c r="L30" s="160">
        <f t="shared" si="52"/>
        <v>-0.13894052283786129</v>
      </c>
      <c r="M30" s="160">
        <f t="shared" si="53"/>
        <v>0.17194491355979352</v>
      </c>
      <c r="N30" s="160">
        <f t="shared" ca="1" si="53"/>
        <v>-1.5164088199908285E-2</v>
      </c>
      <c r="O30" s="150">
        <f t="shared" ca="1" si="63"/>
        <v>9.104159760359988E-2</v>
      </c>
      <c r="Q30" s="198" t="s">
        <v>11</v>
      </c>
      <c r="R30" s="199">
        <f t="shared" si="54"/>
        <v>0.21130909366720696</v>
      </c>
      <c r="S30" s="199">
        <f t="shared" si="55"/>
        <v>0.22884157242884745</v>
      </c>
      <c r="T30" s="199">
        <f t="shared" si="56"/>
        <v>0.12114438335908818</v>
      </c>
      <c r="U30" s="199">
        <f t="shared" si="57"/>
        <v>0.12001767345779972</v>
      </c>
      <c r="V30" s="199">
        <f t="shared" si="58"/>
        <v>9.0971778205726786E-2</v>
      </c>
      <c r="W30" s="199">
        <f t="shared" si="59"/>
        <v>8.3381608939051E-2</v>
      </c>
      <c r="X30" s="199">
        <f t="shared" si="60"/>
        <v>7.6961041136128394E-2</v>
      </c>
      <c r="Y30" s="199">
        <f t="shared" si="61"/>
        <v>7.1458963982144852E-2</v>
      </c>
      <c r="Z30" s="199">
        <f t="shared" si="64"/>
        <v>0.1182369454210903</v>
      </c>
      <c r="AB30" s="178"/>
      <c r="AC30" s="179"/>
      <c r="AD30" s="180"/>
      <c r="AE30" s="180"/>
      <c r="AF30" s="180"/>
      <c r="AG30" s="180"/>
      <c r="AH30" s="180"/>
      <c r="AI30" s="180"/>
      <c r="AJ30" s="180"/>
      <c r="AK30" s="180"/>
      <c r="AL30" s="180"/>
      <c r="AM30" s="150"/>
      <c r="BJ30" s="149">
        <v>2</v>
      </c>
      <c r="BK30" s="237">
        <v>43159</v>
      </c>
      <c r="BL30" s="149">
        <v>0.21220900000000001</v>
      </c>
      <c r="BM30" s="203">
        <f t="shared" si="30"/>
        <v>0</v>
      </c>
      <c r="BN30" s="240" t="str">
        <f t="shared" si="24"/>
        <v>No Growth</v>
      </c>
      <c r="BO30" s="243">
        <f t="shared" si="27"/>
        <v>1</v>
      </c>
      <c r="BP30" s="243"/>
      <c r="BR30" s="2" t="s">
        <v>171</v>
      </c>
      <c r="BS30" s="203">
        <v>2.691791665711353E-3</v>
      </c>
      <c r="CH30" s="149">
        <v>4</v>
      </c>
      <c r="CI30" s="246" t="s">
        <v>168</v>
      </c>
      <c r="CJ30" s="212">
        <v>44629</v>
      </c>
      <c r="CK30" s="250">
        <v>1.65</v>
      </c>
      <c r="CL30" s="249">
        <f t="shared" si="31"/>
        <v>0</v>
      </c>
      <c r="CM30" s="241" t="str">
        <f t="shared" si="34"/>
        <v>No Growth</v>
      </c>
    </row>
    <row r="31" spans="3:102" x14ac:dyDescent="0.2">
      <c r="E31" s="159" t="s">
        <v>12</v>
      </c>
      <c r="F31" s="160">
        <f t="shared" si="62"/>
        <v>-7.0170959194382154E-2</v>
      </c>
      <c r="G31" s="160">
        <f t="shared" si="47"/>
        <v>0.30341508057914096</v>
      </c>
      <c r="H31" s="160">
        <f t="shared" si="48"/>
        <v>0.16995083818886658</v>
      </c>
      <c r="I31" s="160">
        <f t="shared" si="49"/>
        <v>-0.23744994696544772</v>
      </c>
      <c r="J31" s="160">
        <f t="shared" si="50"/>
        <v>0.23517463312831216</v>
      </c>
      <c r="K31" s="160">
        <f t="shared" si="51"/>
        <v>2.1495020685447938E-2</v>
      </c>
      <c r="L31" s="160">
        <f t="shared" si="52"/>
        <v>-0.16784952418542035</v>
      </c>
      <c r="M31" s="160">
        <f t="shared" si="53"/>
        <v>5.5816517731370308E-2</v>
      </c>
      <c r="N31" s="160">
        <f t="shared" ca="1" si="53"/>
        <v>0.18979087429396888</v>
      </c>
      <c r="O31" s="150">
        <f t="shared" ca="1" si="63"/>
        <v>5.5574726029095189E-2</v>
      </c>
      <c r="Q31" s="198" t="s">
        <v>12</v>
      </c>
      <c r="R31" s="199">
        <f t="shared" si="54"/>
        <v>5.4200631760669214E-2</v>
      </c>
      <c r="S31" s="199">
        <f t="shared" si="55"/>
        <v>3.9369313880823306E-2</v>
      </c>
      <c r="T31" s="199">
        <f t="shared" si="56"/>
        <v>2.9099023145518398E-2</v>
      </c>
      <c r="U31" s="199">
        <f t="shared" si="57"/>
        <v>3.0413107911709543E-2</v>
      </c>
      <c r="V31" s="199">
        <f t="shared" si="58"/>
        <v>2.10968070403529E-2</v>
      </c>
      <c r="W31" s="199">
        <f t="shared" si="59"/>
        <v>6.8591586890294209E-2</v>
      </c>
      <c r="X31" s="199">
        <f t="shared" si="60"/>
        <v>2.9833170379979287E-2</v>
      </c>
      <c r="Y31" s="199">
        <f t="shared" si="61"/>
        <v>2.3879805252669559E-2</v>
      </c>
      <c r="Z31" s="199">
        <f t="shared" si="64"/>
        <v>3.6390202171237826E-2</v>
      </c>
      <c r="AB31" s="178"/>
      <c r="AC31" s="179"/>
      <c r="AD31" s="180"/>
      <c r="AE31" s="180"/>
      <c r="AF31" s="180"/>
      <c r="AG31" s="180"/>
      <c r="AH31" s="180"/>
      <c r="AI31" s="180"/>
      <c r="AJ31" s="180"/>
      <c r="AK31" s="180"/>
      <c r="AL31" s="180"/>
      <c r="AM31" s="150"/>
      <c r="BJ31" s="149">
        <v>3</v>
      </c>
      <c r="BK31" s="237">
        <v>43188</v>
      </c>
      <c r="BL31" s="149">
        <v>0.21317800000000001</v>
      </c>
      <c r="BM31" s="203">
        <f t="shared" si="30"/>
        <v>4.5558593752733027E-3</v>
      </c>
      <c r="BN31" s="240" t="str">
        <f t="shared" si="24"/>
        <v>Growth</v>
      </c>
      <c r="BO31" s="243">
        <f t="shared" si="27"/>
        <v>2</v>
      </c>
      <c r="BP31" s="243"/>
      <c r="BR31" s="2" t="s">
        <v>172</v>
      </c>
      <c r="BS31" s="203">
        <v>1.3431835464677597E-3</v>
      </c>
      <c r="CH31" s="149">
        <v>1</v>
      </c>
      <c r="CI31" s="246" t="s">
        <v>169</v>
      </c>
      <c r="CJ31" s="212">
        <v>44720</v>
      </c>
      <c r="CK31" s="250">
        <v>1.7</v>
      </c>
      <c r="CL31" s="249">
        <f t="shared" si="31"/>
        <v>2.9852963149681128E-2</v>
      </c>
      <c r="CM31" s="241" t="str">
        <f t="shared" si="34"/>
        <v>Growth</v>
      </c>
      <c r="CS31" s="245" t="s">
        <v>207</v>
      </c>
      <c r="CT31" s="245" t="s">
        <v>208</v>
      </c>
      <c r="CU31" s="245" t="s">
        <v>211</v>
      </c>
    </row>
    <row r="32" spans="3:102" x14ac:dyDescent="0.2">
      <c r="E32" s="159" t="s">
        <v>13</v>
      </c>
      <c r="F32" s="160">
        <f t="shared" si="62"/>
        <v>0.14546646440480013</v>
      </c>
      <c r="G32" s="160">
        <f t="shared" si="47"/>
        <v>6.46984912768198E-2</v>
      </c>
      <c r="H32" s="160">
        <f t="shared" si="48"/>
        <v>0.11804959570061159</v>
      </c>
      <c r="I32" s="160">
        <f t="shared" si="49"/>
        <v>-3.9381825396738811E-2</v>
      </c>
      <c r="J32" s="160">
        <f t="shared" si="50"/>
        <v>1.6133324751090472E-2</v>
      </c>
      <c r="K32" s="160">
        <f t="shared" si="51"/>
        <v>-0.19393087697626671</v>
      </c>
      <c r="L32" s="160">
        <f t="shared" si="52"/>
        <v>8.9485988991275675E-2</v>
      </c>
      <c r="M32" s="160">
        <f t="shared" si="53"/>
        <v>-8.1081525284224746E-3</v>
      </c>
      <c r="N32" s="160">
        <f t="shared" ca="1" si="53"/>
        <v>0.17915054620931345</v>
      </c>
      <c r="O32" s="150">
        <f t="shared" ca="1" si="63"/>
        <v>4.1284839603609236E-2</v>
      </c>
      <c r="Q32" s="198" t="s">
        <v>13</v>
      </c>
      <c r="R32" s="199">
        <f t="shared" si="54"/>
        <v>2.2189294119258664E-2</v>
      </c>
      <c r="S32" s="199">
        <f t="shared" si="55"/>
        <v>2.0865138463961756E-2</v>
      </c>
      <c r="T32" s="199">
        <f t="shared" si="56"/>
        <v>2.1264090753441569E-2</v>
      </c>
      <c r="U32" s="199">
        <f t="shared" si="57"/>
        <v>2.0012920332211116E-2</v>
      </c>
      <c r="V32" s="199">
        <f t="shared" si="58"/>
        <v>2.0412956139687546E-2</v>
      </c>
      <c r="W32" s="199">
        <f t="shared" si="59"/>
        <v>1.9227588620640505E-2</v>
      </c>
      <c r="X32" s="199">
        <f t="shared" si="60"/>
        <v>1.9627337782235486E-2</v>
      </c>
      <c r="Y32" s="199">
        <f t="shared" si="61"/>
        <v>1.8501566074939236E-2</v>
      </c>
      <c r="Z32" s="199">
        <f t="shared" si="64"/>
        <v>2.0060056448448969E-2</v>
      </c>
      <c r="AB32" s="178"/>
      <c r="AC32" s="179"/>
      <c r="AD32" s="180"/>
      <c r="AE32" s="180"/>
      <c r="AF32" s="180"/>
      <c r="AG32" s="180"/>
      <c r="AH32" s="180"/>
      <c r="AI32" s="180"/>
      <c r="AJ32" s="180"/>
      <c r="AK32" s="180"/>
      <c r="AL32" s="180"/>
      <c r="AM32" s="150"/>
      <c r="BJ32" s="149">
        <v>4</v>
      </c>
      <c r="BK32" s="237">
        <v>43220</v>
      </c>
      <c r="BL32" s="149">
        <v>0.21317800000000001</v>
      </c>
      <c r="BM32" s="203">
        <f t="shared" si="30"/>
        <v>0</v>
      </c>
      <c r="BN32" s="240" t="str">
        <f t="shared" si="24"/>
        <v>No Growth</v>
      </c>
      <c r="BO32" s="243">
        <f t="shared" si="27"/>
        <v>1</v>
      </c>
      <c r="BP32" s="243"/>
      <c r="BR32" s="2" t="s">
        <v>173</v>
      </c>
      <c r="BS32" s="203">
        <v>1.8617559016070515E-2</v>
      </c>
      <c r="CH32" s="149">
        <v>2</v>
      </c>
      <c r="CI32" s="246" t="s">
        <v>170</v>
      </c>
      <c r="CJ32" s="212">
        <v>44812</v>
      </c>
      <c r="CK32" s="250">
        <v>1.75</v>
      </c>
      <c r="CL32" s="249">
        <f t="shared" si="31"/>
        <v>2.8987536873252406E-2</v>
      </c>
      <c r="CM32" s="241" t="str">
        <f t="shared" si="34"/>
        <v>Growth</v>
      </c>
      <c r="CR32" s="245" t="s">
        <v>209</v>
      </c>
      <c r="CS32" s="252">
        <f>SUMIF(CM7:CM44, "Growth", CL7:CL44)</f>
        <v>0.77503729315572223</v>
      </c>
      <c r="CT32" s="149">
        <f>COUNTIF(CM7:CM44, "Growth")</f>
        <v>21</v>
      </c>
      <c r="CU32" s="244">
        <f>CT32/CT34</f>
        <v>0.55263157894736847</v>
      </c>
    </row>
    <row r="33" spans="5:99" x14ac:dyDescent="0.2">
      <c r="E33" s="159" t="s">
        <v>14</v>
      </c>
      <c r="F33" s="160">
        <f t="shared" si="62"/>
        <v>0.56642829807294304</v>
      </c>
      <c r="G33" s="160">
        <f t="shared" si="47"/>
        <v>0.16951124449209271</v>
      </c>
      <c r="H33" s="160">
        <f t="shared" si="48"/>
        <v>0.15591115594253532</v>
      </c>
      <c r="I33" s="160">
        <f t="shared" si="49"/>
        <v>0.46754890641219793</v>
      </c>
      <c r="J33" s="160">
        <f t="shared" si="50"/>
        <v>-6.934493003034703E-2</v>
      </c>
      <c r="K33" s="160">
        <f t="shared" si="51"/>
        <v>-0.3717741823432576</v>
      </c>
      <c r="L33" s="160">
        <f t="shared" si="52"/>
        <v>0.40872427942114065</v>
      </c>
      <c r="M33" s="160">
        <f t="shared" si="53"/>
        <v>0.42621062340523391</v>
      </c>
      <c r="N33" s="160">
        <f t="shared" ca="1" si="53"/>
        <v>1.0296855448219729E-2</v>
      </c>
      <c r="O33" s="150">
        <f t="shared" ca="1" si="63"/>
        <v>0.19594580564675093</v>
      </c>
      <c r="Q33" s="159" t="s">
        <v>14</v>
      </c>
      <c r="R33" s="160"/>
      <c r="S33" s="160"/>
      <c r="T33" s="160"/>
      <c r="U33" s="160"/>
      <c r="V33" s="160"/>
      <c r="W33" s="160"/>
      <c r="X33" s="160"/>
      <c r="Y33" s="160"/>
      <c r="Z33" s="160"/>
      <c r="AB33" s="178"/>
      <c r="AC33" s="179"/>
      <c r="AD33" s="180"/>
      <c r="AE33" s="180"/>
      <c r="AF33" s="180"/>
      <c r="AG33" s="180"/>
      <c r="AH33" s="180"/>
      <c r="AI33" s="180"/>
      <c r="AJ33" s="180"/>
      <c r="AK33" s="180"/>
      <c r="AL33" s="180"/>
      <c r="AM33" s="150"/>
      <c r="BJ33" s="149">
        <v>5</v>
      </c>
      <c r="BK33" s="237">
        <v>43251</v>
      </c>
      <c r="BL33" s="149">
        <v>0.21317800000000001</v>
      </c>
      <c r="BM33" s="203">
        <f t="shared" si="30"/>
        <v>0</v>
      </c>
      <c r="BN33" s="240" t="str">
        <f t="shared" si="24"/>
        <v>No Growth</v>
      </c>
      <c r="BO33" s="243">
        <f t="shared" si="27"/>
        <v>1</v>
      </c>
      <c r="BP33" s="243"/>
      <c r="BR33" s="2" t="s">
        <v>174</v>
      </c>
      <c r="BS33" s="203">
        <v>9.1803923449613935E-3</v>
      </c>
      <c r="CH33" s="149">
        <v>3</v>
      </c>
      <c r="CI33" s="246" t="s">
        <v>171</v>
      </c>
      <c r="CJ33" s="212">
        <v>44903</v>
      </c>
      <c r="CK33" s="250">
        <v>1.8</v>
      </c>
      <c r="CL33" s="249">
        <f t="shared" si="31"/>
        <v>2.8170876966696439E-2</v>
      </c>
      <c r="CM33" s="241" t="str">
        <f t="shared" si="34"/>
        <v>Growth</v>
      </c>
      <c r="CR33" s="245" t="s">
        <v>210</v>
      </c>
      <c r="CS33" s="203">
        <f>SUMIF(CM7:CM44, "No Growth", CL7:CL44)</f>
        <v>-0.47957308026188622</v>
      </c>
      <c r="CT33" s="149">
        <f>COUNTIF(CM7:CM44, "No Growth")</f>
        <v>17</v>
      </c>
      <c r="CU33" s="244">
        <f>CT33/CT34</f>
        <v>0.44736842105263158</v>
      </c>
    </row>
    <row r="34" spans="5:99" x14ac:dyDescent="0.2">
      <c r="E34" s="159" t="s">
        <v>15</v>
      </c>
      <c r="F34" s="160">
        <f t="shared" si="62"/>
        <v>0.36564514841577339</v>
      </c>
      <c r="G34" s="160">
        <f t="shared" si="47"/>
        <v>-4.8866815037540708E-2</v>
      </c>
      <c r="H34" s="160">
        <f t="shared" si="48"/>
        <v>0.24104706949730756</v>
      </c>
      <c r="I34" s="160">
        <f t="shared" si="49"/>
        <v>0.24320794969995635</v>
      </c>
      <c r="J34" s="160">
        <f t="shared" si="50"/>
        <v>0.39267333325618609</v>
      </c>
      <c r="K34" s="160">
        <f t="shared" si="51"/>
        <v>-0.31407280708934787</v>
      </c>
      <c r="L34" s="160">
        <f t="shared" si="52"/>
        <v>0.34888182009283913</v>
      </c>
      <c r="M34" s="160">
        <f t="shared" si="53"/>
        <v>0.37949718694564877</v>
      </c>
      <c r="N34" s="160">
        <f t="shared" ca="1" si="53"/>
        <v>0.55332991604085491</v>
      </c>
      <c r="O34" s="150">
        <f t="shared" ca="1" si="63"/>
        <v>0.24014920020240865</v>
      </c>
      <c r="Q34" s="159" t="s">
        <v>15</v>
      </c>
      <c r="R34" s="160"/>
      <c r="S34" s="160"/>
      <c r="T34" s="160"/>
      <c r="U34" s="160"/>
      <c r="V34" s="160"/>
      <c r="W34" s="160"/>
      <c r="X34" s="160"/>
      <c r="Y34" s="160"/>
      <c r="Z34" s="160"/>
      <c r="AB34" s="178"/>
      <c r="AC34" s="179"/>
      <c r="AD34" s="180"/>
      <c r="AE34" s="180"/>
      <c r="AF34" s="180"/>
      <c r="AG34" s="180"/>
      <c r="AH34" s="180"/>
      <c r="AI34" s="180"/>
      <c r="AJ34" s="180"/>
      <c r="AK34" s="180"/>
      <c r="AL34" s="180"/>
      <c r="AM34" s="150"/>
      <c r="BJ34" s="149">
        <v>6</v>
      </c>
      <c r="BK34" s="237">
        <v>43280</v>
      </c>
      <c r="BL34" s="149">
        <v>0.21317800000000001</v>
      </c>
      <c r="BM34" s="203">
        <f t="shared" si="30"/>
        <v>0</v>
      </c>
      <c r="BN34" s="240" t="str">
        <f t="shared" si="24"/>
        <v>No Growth</v>
      </c>
      <c r="BO34" s="243">
        <f t="shared" si="27"/>
        <v>1</v>
      </c>
      <c r="BP34" s="243"/>
      <c r="BR34" s="2" t="s">
        <v>175</v>
      </c>
      <c r="BS34" s="203">
        <v>2.6075634070807695E-3</v>
      </c>
      <c r="CH34" s="149">
        <v>4</v>
      </c>
      <c r="CI34" s="246" t="s">
        <v>172</v>
      </c>
      <c r="CJ34" s="212">
        <v>44994</v>
      </c>
      <c r="CK34" s="250">
        <v>1.8</v>
      </c>
      <c r="CL34" s="249">
        <f t="shared" si="31"/>
        <v>0</v>
      </c>
      <c r="CM34" s="241" t="str">
        <f t="shared" si="34"/>
        <v>No Growth</v>
      </c>
      <c r="CS34" s="150"/>
      <c r="CT34" s="245">
        <f>SUM(CT32:CT33)</f>
        <v>38</v>
      </c>
    </row>
    <row r="35" spans="5:99" x14ac:dyDescent="0.2">
      <c r="E35" s="159" t="s">
        <v>16</v>
      </c>
      <c r="F35" s="160">
        <f t="shared" si="62"/>
        <v>0.36461472506254927</v>
      </c>
      <c r="G35" s="160">
        <f t="shared" si="47"/>
        <v>0.28832505235309686</v>
      </c>
      <c r="H35" s="160">
        <f t="shared" si="48"/>
        <v>0.18200011852119002</v>
      </c>
      <c r="I35" s="160">
        <f t="shared" si="49"/>
        <v>0.21288099390620929</v>
      </c>
      <c r="J35" s="160">
        <f t="shared" si="50"/>
        <v>3.0878903459884276E-2</v>
      </c>
      <c r="K35" s="160">
        <f t="shared" si="51"/>
        <v>-0.32567972370592485</v>
      </c>
      <c r="L35" s="160">
        <f t="shared" si="52"/>
        <v>0.51488427557472571</v>
      </c>
      <c r="M35" s="160">
        <f t="shared" si="53"/>
        <v>0.20083736131221405</v>
      </c>
      <c r="N35" s="160">
        <f t="shared" ca="1" si="53"/>
        <v>-0.76662870743081424</v>
      </c>
      <c r="O35" s="150">
        <f t="shared" ca="1" si="63"/>
        <v>7.8012555450347812E-2</v>
      </c>
      <c r="Q35" s="159" t="s">
        <v>16</v>
      </c>
      <c r="R35" s="160"/>
      <c r="S35" s="160"/>
      <c r="T35" s="160"/>
      <c r="U35" s="160"/>
      <c r="V35" s="160"/>
      <c r="W35" s="160"/>
      <c r="X35" s="160"/>
      <c r="Y35" s="160"/>
      <c r="Z35" s="160"/>
      <c r="AB35" s="178"/>
      <c r="AC35" s="179"/>
      <c r="AD35" s="180"/>
      <c r="AE35" s="180"/>
      <c r="AF35" s="180"/>
      <c r="AG35" s="180"/>
      <c r="AH35" s="180"/>
      <c r="AI35" s="180"/>
      <c r="AJ35" s="180"/>
      <c r="AK35" s="180"/>
      <c r="AL35" s="180"/>
      <c r="AM35" s="150"/>
      <c r="BJ35" s="149">
        <v>7</v>
      </c>
      <c r="BK35" s="237">
        <v>43312</v>
      </c>
      <c r="BL35" s="149">
        <v>0.21317800000000001</v>
      </c>
      <c r="BM35" s="203">
        <f t="shared" si="30"/>
        <v>0</v>
      </c>
      <c r="BN35" s="240" t="str">
        <f t="shared" si="24"/>
        <v>No Growth</v>
      </c>
      <c r="BO35" s="243">
        <f t="shared" si="27"/>
        <v>1</v>
      </c>
      <c r="BP35" s="243"/>
      <c r="BR35" s="2" t="s">
        <v>176</v>
      </c>
      <c r="BS35" s="203">
        <v>1.301236357971734E-3</v>
      </c>
      <c r="CH35" s="149">
        <v>1</v>
      </c>
      <c r="CI35" s="246" t="s">
        <v>173</v>
      </c>
      <c r="CJ35" s="212">
        <v>45085</v>
      </c>
      <c r="CK35" s="250">
        <v>1.85</v>
      </c>
      <c r="CL35" s="249">
        <f t="shared" si="31"/>
        <v>2.7398974188114562E-2</v>
      </c>
      <c r="CM35" s="241" t="str">
        <f t="shared" si="34"/>
        <v>Growth</v>
      </c>
    </row>
    <row r="36" spans="5:99" x14ac:dyDescent="0.2">
      <c r="E36" s="159" t="s">
        <v>17</v>
      </c>
      <c r="F36" s="160">
        <f t="shared" si="62"/>
        <v>0.15740610297703417</v>
      </c>
      <c r="G36" s="160">
        <f t="shared" si="47"/>
        <v>-5.1328484384211115E-2</v>
      </c>
      <c r="H36" s="160">
        <f t="shared" si="48"/>
        <v>-2.7953054022376786E-2</v>
      </c>
      <c r="I36" s="160">
        <f t="shared" si="49"/>
        <v>-0.17400879720339429</v>
      </c>
      <c r="J36" s="160">
        <f t="shared" si="50"/>
        <v>0.48376155377448554</v>
      </c>
      <c r="K36" s="160">
        <f t="shared" si="51"/>
        <v>0.31687565636389914</v>
      </c>
      <c r="L36" s="160">
        <f t="shared" si="52"/>
        <v>-0.12727973706143927</v>
      </c>
      <c r="M36" s="160">
        <f t="shared" si="53"/>
        <v>5.4009420809011874E-2</v>
      </c>
      <c r="N36" s="160">
        <f t="shared" ca="1" si="53"/>
        <v>0.15552707438648242</v>
      </c>
      <c r="O36" s="150">
        <f t="shared" ca="1" si="63"/>
        <v>8.7445526182165736E-2</v>
      </c>
      <c r="Q36" s="200" t="s">
        <v>17</v>
      </c>
      <c r="R36" s="201">
        <f t="shared" si="54"/>
        <v>6.9686693160932152E-3</v>
      </c>
      <c r="S36" s="201">
        <f t="shared" si="55"/>
        <v>3.6367644170874791E-2</v>
      </c>
      <c r="T36" s="201">
        <f t="shared" si="56"/>
        <v>6.0624621816434632E-2</v>
      </c>
      <c r="U36" s="201">
        <f t="shared" si="57"/>
        <v>8.0688911250142867E-2</v>
      </c>
      <c r="V36" s="201">
        <f t="shared" si="58"/>
        <v>2.8655255760376148E-2</v>
      </c>
      <c r="W36" s="201">
        <f t="shared" si="59"/>
        <v>6.7359397479212366E-2</v>
      </c>
      <c r="X36" s="201">
        <f t="shared" si="60"/>
        <v>6.1452779213663725E-2</v>
      </c>
      <c r="Y36" s="201">
        <f t="shared" si="61"/>
        <v>7.6470363991837972E-2</v>
      </c>
      <c r="Z36" s="201">
        <f>LN(Y15*(1+AVERAGE(S36:Y36))/Y15)</f>
        <v>5.7138751365716674E-2</v>
      </c>
      <c r="AB36" s="178"/>
      <c r="AC36" s="179"/>
      <c r="AD36" s="180"/>
      <c r="AE36" s="180"/>
      <c r="AF36" s="180"/>
      <c r="AG36" s="180"/>
      <c r="AH36" s="180"/>
      <c r="AI36" s="180"/>
      <c r="AJ36" s="180"/>
      <c r="AK36" s="180"/>
      <c r="AL36" s="180"/>
      <c r="AM36" s="150"/>
      <c r="BJ36" s="149">
        <v>8</v>
      </c>
      <c r="BK36" s="237">
        <v>43343</v>
      </c>
      <c r="BL36" s="149">
        <v>0.21317800000000001</v>
      </c>
      <c r="BM36" s="203">
        <f t="shared" si="30"/>
        <v>0</v>
      </c>
      <c r="BN36" s="240" t="str">
        <f t="shared" si="24"/>
        <v>No Growth</v>
      </c>
      <c r="BO36" s="243">
        <f t="shared" si="27"/>
        <v>1</v>
      </c>
      <c r="BP36" s="243"/>
      <c r="BR36" s="2" t="s">
        <v>177</v>
      </c>
      <c r="BS36" s="203">
        <v>2.5974040576854712E-3</v>
      </c>
      <c r="BU36" s="150"/>
      <c r="CH36" s="149">
        <v>2</v>
      </c>
      <c r="CI36" s="246" t="s">
        <v>174</v>
      </c>
      <c r="CJ36" s="212">
        <v>45176</v>
      </c>
      <c r="CK36" s="250">
        <v>1.9</v>
      </c>
      <c r="CL36" s="249">
        <f t="shared" si="31"/>
        <v>2.6668247082161273E-2</v>
      </c>
      <c r="CM36" s="241" t="str">
        <f t="shared" si="34"/>
        <v>Growth</v>
      </c>
    </row>
    <row r="37" spans="5:99" x14ac:dyDescent="0.2">
      <c r="E37" s="159" t="s">
        <v>18</v>
      </c>
      <c r="F37" s="160">
        <f t="shared" si="62"/>
        <v>0.28139426455276734</v>
      </c>
      <c r="G37" s="160">
        <f t="shared" si="47"/>
        <v>0.5746815976106654</v>
      </c>
      <c r="H37" s="160">
        <f t="shared" si="48"/>
        <v>0.65515471730518993</v>
      </c>
      <c r="I37" s="160">
        <f t="shared" si="49"/>
        <v>0.60000486201142356</v>
      </c>
      <c r="J37" s="160">
        <f t="shared" si="50"/>
        <v>0.28823656605283199</v>
      </c>
      <c r="K37" s="160">
        <f t="shared" si="51"/>
        <v>-0.41890291357533044</v>
      </c>
      <c r="L37" s="160">
        <f t="shared" si="52"/>
        <v>0.80263092056003449</v>
      </c>
      <c r="M37" s="160">
        <f t="shared" si="53"/>
        <v>-0.36895797305747741</v>
      </c>
      <c r="N37" s="160">
        <f t="shared" ca="1" si="53"/>
        <v>1.5374651851436745</v>
      </c>
      <c r="O37" s="150">
        <f t="shared" ca="1" si="63"/>
        <v>0.43907858073375322</v>
      </c>
      <c r="Q37" s="159" t="s">
        <v>18</v>
      </c>
      <c r="R37" s="160"/>
      <c r="S37" s="160"/>
      <c r="T37" s="160"/>
      <c r="U37" s="160"/>
      <c r="V37" s="160"/>
      <c r="W37" s="160"/>
      <c r="X37" s="160"/>
      <c r="Y37" s="160"/>
      <c r="Z37" s="160"/>
      <c r="AB37" s="178"/>
      <c r="AC37" s="179"/>
      <c r="AD37" s="180"/>
      <c r="AE37" s="180"/>
      <c r="AF37" s="180"/>
      <c r="AG37" s="180"/>
      <c r="AH37" s="180"/>
      <c r="AI37" s="180"/>
      <c r="AJ37" s="180"/>
      <c r="AK37" s="180"/>
      <c r="AL37" s="180"/>
      <c r="AM37" s="150"/>
      <c r="BJ37" s="149">
        <v>9</v>
      </c>
      <c r="BK37" s="237">
        <v>43371</v>
      </c>
      <c r="BL37" s="149">
        <v>0.214147</v>
      </c>
      <c r="BM37" s="203">
        <f t="shared" si="30"/>
        <v>4.5351976171149706E-3</v>
      </c>
      <c r="BN37" s="240" t="str">
        <f t="shared" si="24"/>
        <v>Growth</v>
      </c>
      <c r="BO37" s="243">
        <f t="shared" si="27"/>
        <v>2</v>
      </c>
      <c r="BP37" s="243"/>
      <c r="BR37" s="2" t="s">
        <v>178</v>
      </c>
      <c r="BS37" s="150">
        <v>1.5444322427473556E-2</v>
      </c>
      <c r="CH37" s="149">
        <v>3</v>
      </c>
      <c r="CI37" s="246" t="s">
        <v>175</v>
      </c>
      <c r="CJ37" s="212">
        <v>45267</v>
      </c>
      <c r="CK37" s="250">
        <v>1.9</v>
      </c>
      <c r="CL37" s="249">
        <f t="shared" si="31"/>
        <v>0</v>
      </c>
      <c r="CM37" s="241" t="str">
        <f t="shared" si="34"/>
        <v>No Growth</v>
      </c>
    </row>
    <row r="38" spans="5:99" x14ac:dyDescent="0.2">
      <c r="E38" s="159" t="s">
        <v>19</v>
      </c>
      <c r="F38" s="160">
        <f t="shared" si="62"/>
        <v>0.14712178155974073</v>
      </c>
      <c r="G38" s="160">
        <f t="shared" si="47"/>
        <v>0.63653014861046142</v>
      </c>
      <c r="H38" s="160">
        <f t="shared" si="48"/>
        <v>0.48216635593305218</v>
      </c>
      <c r="I38" s="160">
        <f t="shared" si="49"/>
        <v>0.31699061190595357</v>
      </c>
      <c r="J38" s="160">
        <f t="shared" si="50"/>
        <v>1.5337538749420435E-2</v>
      </c>
      <c r="K38" s="160">
        <f t="shared" si="51"/>
        <v>-8.3965380117334218E-2</v>
      </c>
      <c r="L38" s="160">
        <f t="shared" si="52"/>
        <v>0.39124385195805039</v>
      </c>
      <c r="M38" s="160">
        <f t="shared" si="53"/>
        <v>-9.135169469164002E-2</v>
      </c>
      <c r="N38" s="160">
        <f t="shared" ca="1" si="53"/>
        <v>-1.287609871051977</v>
      </c>
      <c r="O38" s="150">
        <f t="shared" ca="1" si="63"/>
        <v>5.8495926983969722E-2</v>
      </c>
      <c r="Q38" s="159" t="s">
        <v>19</v>
      </c>
      <c r="R38" s="160"/>
      <c r="S38" s="160"/>
      <c r="T38" s="160"/>
      <c r="U38" s="160"/>
      <c r="V38" s="160"/>
      <c r="W38" s="160"/>
      <c r="X38" s="160"/>
      <c r="Y38" s="160"/>
      <c r="Z38" s="160"/>
      <c r="AB38" s="178"/>
      <c r="AC38" s="179"/>
      <c r="AD38" s="180"/>
      <c r="AE38" s="180"/>
      <c r="AF38" s="180"/>
      <c r="AG38" s="180"/>
      <c r="AH38" s="180"/>
      <c r="AI38" s="180"/>
      <c r="AJ38" s="180"/>
      <c r="AK38" s="180"/>
      <c r="AL38" s="180"/>
      <c r="AM38" s="150"/>
      <c r="BJ38" s="149">
        <v>10</v>
      </c>
      <c r="BK38" s="237">
        <v>43404</v>
      </c>
      <c r="BL38" s="149">
        <v>0.214147</v>
      </c>
      <c r="BM38" s="203">
        <f t="shared" si="30"/>
        <v>0</v>
      </c>
      <c r="BN38" s="240" t="str">
        <f t="shared" ref="BN38:BN69" si="65">IF(BM38=0, "No Growth", "Growth")</f>
        <v>No Growth</v>
      </c>
      <c r="BO38" s="243">
        <f t="shared" si="27"/>
        <v>1</v>
      </c>
      <c r="BP38" s="243"/>
      <c r="BR38" s="2" t="s">
        <v>179</v>
      </c>
      <c r="BS38" s="150">
        <v>8.9002494702640784E-3</v>
      </c>
      <c r="CH38" s="149">
        <v>4</v>
      </c>
      <c r="CI38" s="246" t="s">
        <v>176</v>
      </c>
      <c r="CJ38" s="212">
        <v>45358</v>
      </c>
      <c r="CK38" s="250">
        <v>1.95</v>
      </c>
      <c r="CL38" s="249">
        <f t="shared" si="31"/>
        <v>2.5975486403260736E-2</v>
      </c>
      <c r="CM38" s="241" t="str">
        <f t="shared" si="34"/>
        <v>Growth</v>
      </c>
    </row>
    <row r="39" spans="5:99" x14ac:dyDescent="0.2">
      <c r="E39" s="159" t="s">
        <v>20</v>
      </c>
      <c r="F39" s="160">
        <f t="shared" si="62"/>
        <v>0.37040244672426503</v>
      </c>
      <c r="G39" s="160">
        <f t="shared" si="47"/>
        <v>-0.17751285872456735</v>
      </c>
      <c r="H39" s="160">
        <f t="shared" si="48"/>
        <v>0.41606448472519625</v>
      </c>
      <c r="I39" s="160">
        <f t="shared" si="49"/>
        <v>-0.26004277549281207</v>
      </c>
      <c r="J39" s="160">
        <f t="shared" si="50"/>
        <v>0.21974122311011721</v>
      </c>
      <c r="K39" s="160">
        <f t="shared" si="51"/>
        <v>0.20028849958728007</v>
      </c>
      <c r="L39" s="160">
        <f t="shared" si="52"/>
        <v>-4.9120313041670915E-2</v>
      </c>
      <c r="M39" s="160">
        <f t="shared" si="53"/>
        <v>0.10105150890611621</v>
      </c>
      <c r="N39" s="160">
        <f t="shared" ca="1" si="53"/>
        <v>0.10264446487827004</v>
      </c>
      <c r="O39" s="150">
        <f t="shared" ca="1" si="63"/>
        <v>0.10261296451913272</v>
      </c>
      <c r="Q39" s="198" t="s">
        <v>20</v>
      </c>
      <c r="R39" s="199">
        <f t="shared" si="54"/>
        <v>9.7054327291486081E-2</v>
      </c>
      <c r="S39" s="199">
        <f t="shared" si="55"/>
        <v>9.4578740054537799E-2</v>
      </c>
      <c r="T39" s="199">
        <f t="shared" si="56"/>
        <v>9.3090423066012035E-2</v>
      </c>
      <c r="U39" s="199">
        <f t="shared" si="57"/>
        <v>8.5157808340306965E-2</v>
      </c>
      <c r="V39" s="199">
        <f t="shared" si="58"/>
        <v>7.8471615441495099E-2</v>
      </c>
      <c r="W39" s="199">
        <f t="shared" si="59"/>
        <v>7.2759354282428301E-2</v>
      </c>
      <c r="X39" s="199">
        <f t="shared" si="60"/>
        <v>6.371581438610778E-2</v>
      </c>
      <c r="Y39" s="199">
        <f t="shared" si="61"/>
        <v>4.8202101817877686E-2</v>
      </c>
      <c r="Z39" s="199">
        <f>LN(Y18*(1+AVERAGE(R39:Y39))/Y18)</f>
        <v>7.6154023997444281E-2</v>
      </c>
      <c r="AB39" s="181"/>
      <c r="AC39" s="179"/>
      <c r="AD39" s="180"/>
      <c r="AE39" s="180"/>
      <c r="AF39" s="180"/>
      <c r="AG39" s="180"/>
      <c r="AH39" s="180"/>
      <c r="AI39" s="180"/>
      <c r="AJ39" s="180"/>
      <c r="AK39" s="180"/>
      <c r="AL39" s="180"/>
      <c r="AM39" s="150"/>
      <c r="BJ39" s="149">
        <v>11</v>
      </c>
      <c r="BK39" s="237">
        <v>43434</v>
      </c>
      <c r="BL39" s="149">
        <v>0.214147</v>
      </c>
      <c r="BM39" s="203">
        <f t="shared" si="30"/>
        <v>0</v>
      </c>
      <c r="BN39" s="240" t="str">
        <f t="shared" si="65"/>
        <v>No Growth</v>
      </c>
      <c r="BO39" s="243">
        <f t="shared" si="27"/>
        <v>1</v>
      </c>
      <c r="BP39" s="243"/>
      <c r="BR39" s="2" t="s">
        <v>180</v>
      </c>
      <c r="BS39" s="203">
        <v>3.7950709685515343E-3</v>
      </c>
      <c r="BU39" s="150"/>
      <c r="CH39" s="149">
        <v>1</v>
      </c>
      <c r="CI39" s="246" t="s">
        <v>177</v>
      </c>
      <c r="CJ39" s="212">
        <v>45450</v>
      </c>
      <c r="CK39" s="250">
        <v>2</v>
      </c>
      <c r="CL39" s="249">
        <f t="shared" si="31"/>
        <v>2.5317807984290001E-2</v>
      </c>
      <c r="CM39" s="241" t="str">
        <f t="shared" si="34"/>
        <v>Growth</v>
      </c>
    </row>
    <row r="40" spans="5:99" x14ac:dyDescent="0.2">
      <c r="E40" s="159" t="s">
        <v>21</v>
      </c>
      <c r="F40" s="160">
        <f t="shared" si="62"/>
        <v>0.18456702744984288</v>
      </c>
      <c r="G40" s="160">
        <f t="shared" si="47"/>
        <v>-0.15684444905750006</v>
      </c>
      <c r="H40" s="160">
        <f t="shared" si="48"/>
        <v>1.5330632411166558E-2</v>
      </c>
      <c r="I40" s="160">
        <f t="shared" si="49"/>
        <v>0.43754579670753302</v>
      </c>
      <c r="J40" s="160">
        <f t="shared" si="50"/>
        <v>0.287214236185938</v>
      </c>
      <c r="K40" s="160">
        <f t="shared" si="51"/>
        <v>-5.5192223421085616E-2</v>
      </c>
      <c r="L40" s="160">
        <f t="shared" si="52"/>
        <v>-0.22743324328950668</v>
      </c>
      <c r="M40" s="160">
        <f t="shared" si="53"/>
        <v>-0.16984443258252532</v>
      </c>
      <c r="N40" s="160">
        <f t="shared" ca="1" si="53"/>
        <v>-7.0136869276335506E-3</v>
      </c>
      <c r="O40" s="150">
        <f t="shared" ca="1" si="63"/>
        <v>3.425885083069214E-2</v>
      </c>
      <c r="Q40" s="159" t="s">
        <v>21</v>
      </c>
      <c r="R40" s="160">
        <f t="shared" si="54"/>
        <v>6.2131781107006179E-2</v>
      </c>
      <c r="S40" s="160">
        <f t="shared" si="55"/>
        <v>9.2018898720252193E-2</v>
      </c>
      <c r="T40" s="160">
        <f t="shared" si="56"/>
        <v>5.3488684950986222E-2</v>
      </c>
      <c r="U40" s="160">
        <f t="shared" si="57"/>
        <v>5.0772325373423355E-2</v>
      </c>
      <c r="V40" s="160">
        <f t="shared" si="58"/>
        <v>9.8522964430116395E-3</v>
      </c>
      <c r="W40" s="160">
        <f t="shared" si="59"/>
        <v>0.39890770756200533</v>
      </c>
      <c r="X40" s="160">
        <f t="shared" si="60"/>
        <v>6.371581438610778E-2</v>
      </c>
      <c r="Y40" s="160">
        <f t="shared" si="61"/>
        <v>6.1538655743780656E-3</v>
      </c>
      <c r="Z40" s="160">
        <f>LN(Y19*(1+AVERAGE(R40:Y40))/Y19)</f>
        <v>8.813007513105206E-2</v>
      </c>
      <c r="AC40" s="179"/>
      <c r="AD40" s="180"/>
      <c r="AE40" s="180"/>
      <c r="AF40" s="180"/>
      <c r="AG40" s="180"/>
      <c r="AH40" s="180"/>
      <c r="AI40" s="180"/>
      <c r="AJ40" s="180"/>
      <c r="AK40" s="180"/>
      <c r="AL40" s="180"/>
      <c r="AM40" s="150"/>
      <c r="BJ40" s="149">
        <v>12</v>
      </c>
      <c r="BK40" s="237">
        <v>43465</v>
      </c>
      <c r="BL40" s="149">
        <v>0.214147</v>
      </c>
      <c r="BM40" s="203">
        <f t="shared" si="30"/>
        <v>0</v>
      </c>
      <c r="BN40" s="240" t="str">
        <f t="shared" si="65"/>
        <v>No Growth</v>
      </c>
      <c r="BO40" s="243">
        <f t="shared" si="27"/>
        <v>1</v>
      </c>
      <c r="BP40" s="243"/>
      <c r="BR40" s="2" t="s">
        <v>183</v>
      </c>
      <c r="BS40" s="150">
        <v>2.5284463533586906E-3</v>
      </c>
      <c r="CH40" s="149">
        <v>2</v>
      </c>
      <c r="CI40" s="246" t="s">
        <v>178</v>
      </c>
      <c r="CJ40" s="212">
        <v>45544</v>
      </c>
      <c r="CK40" s="250">
        <v>2.0499999999999998</v>
      </c>
      <c r="CL40" s="249">
        <f t="shared" si="31"/>
        <v>2.4692612590371414E-2</v>
      </c>
      <c r="CM40" s="241" t="str">
        <f t="shared" si="34"/>
        <v>Growth</v>
      </c>
    </row>
    <row r="41" spans="5:99" x14ac:dyDescent="0.2">
      <c r="E41" s="159" t="s">
        <v>22</v>
      </c>
      <c r="F41" s="160">
        <f t="shared" si="62"/>
        <v>7.7072394969599098E-2</v>
      </c>
      <c r="G41" s="160">
        <f t="shared" si="47"/>
        <v>-0.13439728472294848</v>
      </c>
      <c r="H41" s="160">
        <f t="shared" si="48"/>
        <v>-0.11836852262260449</v>
      </c>
      <c r="I41" s="160">
        <f t="shared" si="49"/>
        <v>-0.24914816694094979</v>
      </c>
      <c r="J41" s="160">
        <f t="shared" si="50"/>
        <v>0.58679437759865238</v>
      </c>
      <c r="K41" s="160">
        <f t="shared" si="51"/>
        <v>0.46228362374713677</v>
      </c>
      <c r="L41" s="160">
        <f t="shared" si="52"/>
        <v>-8.7157806899492457E-2</v>
      </c>
      <c r="M41" s="160">
        <f t="shared" si="53"/>
        <v>7.1883046909184845E-2</v>
      </c>
      <c r="N41" s="160">
        <f t="shared" ca="1" si="53"/>
        <v>0.26903894583497262</v>
      </c>
      <c r="O41" s="150">
        <f t="shared" ca="1" si="63"/>
        <v>9.7555623097061173E-2</v>
      </c>
      <c r="Q41" s="159" t="s">
        <v>22</v>
      </c>
      <c r="R41" s="160">
        <f t="shared" si="54"/>
        <v>2.6491615446976285E-2</v>
      </c>
      <c r="S41" s="160">
        <f t="shared" si="55"/>
        <v>5.4067221270275793E-2</v>
      </c>
      <c r="T41" s="160">
        <f t="shared" si="56"/>
        <v>6.0078123943283421E-2</v>
      </c>
      <c r="U41" s="160">
        <f t="shared" si="57"/>
        <v>1.4472032608534469E-2</v>
      </c>
      <c r="V41" s="160">
        <f t="shared" si="58"/>
        <v>2.8694424279529607E-3</v>
      </c>
      <c r="W41" s="160">
        <f t="shared" si="59"/>
        <v>1.70458672729886E-2</v>
      </c>
      <c r="X41" s="160">
        <f t="shared" si="60"/>
        <v>3.5965148693515303E-2</v>
      </c>
      <c r="Y41" s="160">
        <f t="shared" si="61"/>
        <v>4.2559614418795903E-2</v>
      </c>
      <c r="Z41" s="160">
        <f t="shared" ref="Z41:Z45" si="66">LN(Y20*(1+AVERAGE(R41:Y41))/Y20)</f>
        <v>3.1201755989798838E-2</v>
      </c>
      <c r="AC41" s="179"/>
      <c r="AD41" s="180"/>
      <c r="AE41" s="180"/>
      <c r="AF41" s="180"/>
      <c r="AG41" s="180"/>
      <c r="AH41" s="180"/>
      <c r="AI41" s="180"/>
      <c r="AJ41" s="180"/>
      <c r="AK41" s="180"/>
      <c r="AL41" s="180"/>
      <c r="AM41" s="150"/>
      <c r="BJ41" s="149">
        <v>1</v>
      </c>
      <c r="BK41" s="237">
        <v>43496</v>
      </c>
      <c r="BL41" s="149">
        <v>0.21899199999999999</v>
      </c>
      <c r="BM41" s="203">
        <f t="shared" si="30"/>
        <v>2.2372504377941478E-2</v>
      </c>
      <c r="BN41" s="240" t="str">
        <f t="shared" si="65"/>
        <v>Growth</v>
      </c>
      <c r="BO41" s="243">
        <f t="shared" si="27"/>
        <v>2</v>
      </c>
      <c r="BP41" s="243"/>
      <c r="BR41" s="2" t="s">
        <v>184</v>
      </c>
      <c r="BS41" s="203">
        <v>1.3724482425565761E-2</v>
      </c>
      <c r="BU41" s="150"/>
      <c r="CH41" s="149">
        <v>3</v>
      </c>
      <c r="CI41" s="246" t="s">
        <v>179</v>
      </c>
      <c r="CJ41" s="212">
        <v>45635</v>
      </c>
      <c r="CK41" s="250">
        <v>2.1</v>
      </c>
      <c r="CL41" s="249">
        <f t="shared" si="31"/>
        <v>2.4097551579060524E-2</v>
      </c>
      <c r="CM41" s="241" t="str">
        <f t="shared" si="34"/>
        <v>Growth</v>
      </c>
    </row>
    <row r="42" spans="5:99" x14ac:dyDescent="0.2">
      <c r="E42" s="159" t="s">
        <v>97</v>
      </c>
      <c r="F42" s="160">
        <f t="shared" si="62"/>
        <v>0.22408771687080903</v>
      </c>
      <c r="G42" s="160">
        <f t="shared" si="47"/>
        <v>0.10702351097495065</v>
      </c>
      <c r="H42" s="160">
        <f t="shared" si="48"/>
        <v>0.36289432186560178</v>
      </c>
      <c r="I42" s="160">
        <f t="shared" si="49"/>
        <v>0.17714228733757806</v>
      </c>
      <c r="J42" s="160">
        <f t="shared" si="50"/>
        <v>0.36757273301806609</v>
      </c>
      <c r="K42" s="160">
        <f t="shared" si="51"/>
        <v>1.8489751631624016E-2</v>
      </c>
      <c r="L42" s="160">
        <f t="shared" si="52"/>
        <v>0.33712920956941883</v>
      </c>
      <c r="M42" s="160">
        <f t="shared" si="53"/>
        <v>0.34951366718097615</v>
      </c>
      <c r="N42" s="160">
        <f t="shared" ca="1" si="53"/>
        <v>-3.0675624678330682E-2</v>
      </c>
      <c r="O42" s="150">
        <f t="shared" ca="1" si="63"/>
        <v>0.21257528597452155</v>
      </c>
      <c r="Q42" s="200" t="s">
        <v>97</v>
      </c>
      <c r="R42" s="201">
        <f t="shared" si="54"/>
        <v>1.6320377443513412</v>
      </c>
      <c r="S42" s="201">
        <f t="shared" si="55"/>
        <v>-1.3986610167571025</v>
      </c>
      <c r="T42" s="201">
        <f t="shared" si="56"/>
        <v>0.13126638599367044</v>
      </c>
      <c r="U42" s="201">
        <f t="shared" si="57"/>
        <v>1.6212723700811031</v>
      </c>
      <c r="V42" s="201">
        <f t="shared" si="58"/>
        <v>-1.4238537100053295</v>
      </c>
      <c r="W42" s="201">
        <f t="shared" si="59"/>
        <v>0.12822417461523006</v>
      </c>
      <c r="X42" s="201">
        <f t="shared" si="60"/>
        <v>1.69242976061254</v>
      </c>
      <c r="Y42" s="201">
        <f t="shared" si="61"/>
        <v>-1.4382541000506017</v>
      </c>
      <c r="Z42" s="201">
        <f t="shared" si="66"/>
        <v>0.11159298440746149</v>
      </c>
      <c r="AC42" s="179"/>
      <c r="AD42" s="180"/>
      <c r="AE42" s="180"/>
      <c r="AF42" s="180"/>
      <c r="AG42" s="180"/>
      <c r="AH42" s="180"/>
      <c r="AI42" s="180"/>
      <c r="AJ42" s="180"/>
      <c r="AK42" s="180"/>
      <c r="AL42" s="180"/>
      <c r="AM42" s="150"/>
      <c r="BJ42" s="149">
        <v>2</v>
      </c>
      <c r="BK42" s="237">
        <v>43524</v>
      </c>
      <c r="BL42" s="149">
        <v>0.21899199999999999</v>
      </c>
      <c r="BM42" s="203">
        <f t="shared" si="30"/>
        <v>0</v>
      </c>
      <c r="BN42" s="240" t="str">
        <f t="shared" si="65"/>
        <v>No Growth</v>
      </c>
      <c r="BO42" s="243">
        <f t="shared" si="27"/>
        <v>1</v>
      </c>
      <c r="BP42" s="243"/>
      <c r="BR42" s="2" t="s">
        <v>185</v>
      </c>
      <c r="BS42" s="203">
        <v>0</v>
      </c>
      <c r="BU42" s="150"/>
      <c r="CH42" s="149">
        <v>4</v>
      </c>
      <c r="CI42" s="246" t="s">
        <v>180</v>
      </c>
      <c r="CJ42" s="212">
        <v>45726</v>
      </c>
      <c r="CK42" s="250">
        <v>2.1</v>
      </c>
      <c r="CL42" s="249">
        <f t="shared" si="31"/>
        <v>0</v>
      </c>
      <c r="CM42" s="241" t="str">
        <f t="shared" si="34"/>
        <v>No Growth</v>
      </c>
    </row>
    <row r="43" spans="5:99" x14ac:dyDescent="0.2">
      <c r="E43" s="159" t="s">
        <v>98</v>
      </c>
      <c r="F43" s="160">
        <f t="shared" si="62"/>
        <v>0.41386475670055883</v>
      </c>
      <c r="G43" s="160">
        <f t="shared" si="47"/>
        <v>8.9922669482431952E-2</v>
      </c>
      <c r="H43" s="160">
        <f t="shared" si="48"/>
        <v>0.3941731967902819</v>
      </c>
      <c r="I43" s="160">
        <f t="shared" si="49"/>
        <v>-2.3027246197500063E-2</v>
      </c>
      <c r="J43" s="160">
        <f t="shared" si="50"/>
        <v>0.16341014625489925</v>
      </c>
      <c r="K43" s="160">
        <f t="shared" si="51"/>
        <v>2.5237082546807989E-2</v>
      </c>
      <c r="L43" s="160">
        <f t="shared" si="52"/>
        <v>0.17935350372151351</v>
      </c>
      <c r="M43" s="160">
        <f t="shared" si="53"/>
        <v>0.23140406505033917</v>
      </c>
      <c r="N43" s="160">
        <f t="shared" ca="1" si="53"/>
        <v>4.4891148518990042E-3</v>
      </c>
      <c r="O43" s="150">
        <f t="shared" ca="1" si="63"/>
        <v>0.1643141432445813</v>
      </c>
      <c r="Q43" s="198" t="s">
        <v>98</v>
      </c>
      <c r="R43" s="199">
        <f t="shared" si="54"/>
        <v>0.16507975035944861</v>
      </c>
      <c r="S43" s="199">
        <f t="shared" si="55"/>
        <v>0.24323030988094718</v>
      </c>
      <c r="T43" s="199">
        <f t="shared" si="56"/>
        <v>0.17662353567931685</v>
      </c>
      <c r="U43" s="199">
        <f t="shared" si="57"/>
        <v>0.15006069457573307</v>
      </c>
      <c r="V43" s="199">
        <f t="shared" si="58"/>
        <v>9.0080433107047608E-2</v>
      </c>
      <c r="W43" s="199">
        <f t="shared" si="59"/>
        <v>0.16532398042538352</v>
      </c>
      <c r="X43" s="199">
        <f t="shared" si="60"/>
        <v>0.17168315858889888</v>
      </c>
      <c r="Y43" s="199">
        <f t="shared" si="61"/>
        <v>0.13952941127307611</v>
      </c>
      <c r="Z43" s="199">
        <f t="shared" si="66"/>
        <v>0.15074609872938899</v>
      </c>
      <c r="AC43" s="179"/>
      <c r="AD43" s="180"/>
      <c r="AE43" s="180"/>
      <c r="AF43" s="180"/>
      <c r="AG43" s="180"/>
      <c r="AH43" s="180"/>
      <c r="AI43" s="180"/>
      <c r="AJ43" s="180"/>
      <c r="AK43" s="180"/>
      <c r="AL43" s="180"/>
      <c r="AM43" s="150"/>
      <c r="BJ43" s="149">
        <v>3</v>
      </c>
      <c r="BK43" s="237">
        <v>43553</v>
      </c>
      <c r="BL43" s="149">
        <v>0.21899199999999999</v>
      </c>
      <c r="BM43" s="203">
        <f t="shared" si="30"/>
        <v>0</v>
      </c>
      <c r="BN43" s="240" t="str">
        <f t="shared" si="65"/>
        <v>No Growth</v>
      </c>
      <c r="BO43" s="243">
        <f t="shared" si="27"/>
        <v>1</v>
      </c>
      <c r="BP43" s="243"/>
      <c r="CH43" s="149">
        <v>1</v>
      </c>
      <c r="CI43" s="246" t="s">
        <v>183</v>
      </c>
      <c r="CJ43" s="212">
        <v>45817</v>
      </c>
      <c r="CK43" s="250">
        <v>2.1</v>
      </c>
      <c r="CL43" s="249">
        <f t="shared" si="31"/>
        <v>0</v>
      </c>
      <c r="CM43" s="241" t="str">
        <f t="shared" si="34"/>
        <v>No Growth</v>
      </c>
    </row>
    <row r="44" spans="5:99" x14ac:dyDescent="0.2">
      <c r="E44" s="159" t="s">
        <v>99</v>
      </c>
      <c r="F44" s="160">
        <f t="shared" si="62"/>
        <v>-4.4796979330552503E-2</v>
      </c>
      <c r="G44" s="160">
        <f t="shared" si="47"/>
        <v>0.12690441236617186</v>
      </c>
      <c r="H44" s="160">
        <f t="shared" si="48"/>
        <v>0.41519255083648382</v>
      </c>
      <c r="I44" s="160">
        <f t="shared" si="49"/>
        <v>-0.13541085372179656</v>
      </c>
      <c r="J44" s="160">
        <f t="shared" si="50"/>
        <v>0.20620198894961916</v>
      </c>
      <c r="K44" s="160">
        <f t="shared" si="51"/>
        <v>1.2334668349290321E-2</v>
      </c>
      <c r="L44" s="160">
        <f t="shared" si="52"/>
        <v>6.7007683387480421E-2</v>
      </c>
      <c r="M44" s="160">
        <f t="shared" si="53"/>
        <v>0.22467096874878584</v>
      </c>
      <c r="N44" s="160">
        <f t="shared" ca="1" si="53"/>
        <v>0.16663134105086747</v>
      </c>
      <c r="O44" s="150">
        <f t="shared" ca="1" si="63"/>
        <v>0.11541508673737222</v>
      </c>
      <c r="Q44" s="198" t="s">
        <v>99</v>
      </c>
      <c r="R44" s="199">
        <f t="shared" si="54"/>
        <v>3.4051487953044475E-2</v>
      </c>
      <c r="S44" s="199">
        <f t="shared" si="55"/>
        <v>3.4191364748279343E-2</v>
      </c>
      <c r="T44" s="199">
        <f t="shared" si="56"/>
        <v>3.306086226088821E-2</v>
      </c>
      <c r="U44" s="199">
        <f t="shared" si="57"/>
        <v>3.2002731086173734E-2</v>
      </c>
      <c r="V44" s="199">
        <f t="shared" si="58"/>
        <v>3.1010236742560218E-2</v>
      </c>
      <c r="W44" s="199">
        <f t="shared" si="59"/>
        <v>3.0077455237277954E-2</v>
      </c>
      <c r="X44" s="199">
        <f t="shared" si="60"/>
        <v>2.9199154692262135E-2</v>
      </c>
      <c r="Y44" s="199">
        <f t="shared" si="61"/>
        <v>2.8370697129215566E-2</v>
      </c>
      <c r="Z44" s="199">
        <f t="shared" si="66"/>
        <v>3.1009689710838131E-2</v>
      </c>
      <c r="AC44" s="179"/>
      <c r="AD44" s="180"/>
      <c r="AE44" s="180"/>
      <c r="AF44" s="180"/>
      <c r="AG44" s="180"/>
      <c r="AH44" s="180"/>
      <c r="AI44" s="180"/>
      <c r="AJ44" s="180"/>
      <c r="AK44" s="180"/>
      <c r="AL44" s="180"/>
      <c r="AM44" s="150"/>
      <c r="BJ44" s="149">
        <v>4</v>
      </c>
      <c r="BK44" s="237">
        <v>43585</v>
      </c>
      <c r="BL44" s="149">
        <v>0.21899199999999999</v>
      </c>
      <c r="BM44" s="203">
        <f t="shared" si="30"/>
        <v>0</v>
      </c>
      <c r="BN44" s="240" t="str">
        <f t="shared" si="65"/>
        <v>No Growth</v>
      </c>
      <c r="BO44" s="243">
        <f t="shared" si="27"/>
        <v>1</v>
      </c>
      <c r="BP44" s="243"/>
      <c r="BU44" s="150"/>
      <c r="CH44" s="149">
        <v>2</v>
      </c>
      <c r="CI44" s="246" t="s">
        <v>184</v>
      </c>
      <c r="CJ44" s="212">
        <v>45909</v>
      </c>
      <c r="CK44" s="250">
        <v>2.15</v>
      </c>
      <c r="CL44" s="249">
        <f t="shared" si="31"/>
        <v>2.3530497410194036E-2</v>
      </c>
      <c r="CM44" s="241" t="str">
        <f t="shared" si="34"/>
        <v>Growth</v>
      </c>
    </row>
    <row r="45" spans="5:99" x14ac:dyDescent="0.2">
      <c r="E45" s="161" t="s">
        <v>100</v>
      </c>
      <c r="F45" s="160">
        <f t="shared" si="62"/>
        <v>4.112127442584361E-2</v>
      </c>
      <c r="G45" s="160">
        <f t="shared" si="47"/>
        <v>0.1575231115468109</v>
      </c>
      <c r="H45" s="160">
        <f t="shared" si="48"/>
        <v>0.14889974885147242</v>
      </c>
      <c r="I45" s="160">
        <f t="shared" si="49"/>
        <v>4.8874695361121531E-3</v>
      </c>
      <c r="J45" s="160">
        <f t="shared" si="50"/>
        <v>0.15018373247629388</v>
      </c>
      <c r="K45" s="160">
        <f t="shared" si="51"/>
        <v>1.3271376579830421E-2</v>
      </c>
      <c r="L45" s="160">
        <f t="shared" si="52"/>
        <v>-2.3704323597417209E-2</v>
      </c>
      <c r="M45" s="160">
        <f t="shared" si="53"/>
        <v>0.19584126626686443</v>
      </c>
      <c r="N45" s="160">
        <f t="shared" ca="1" si="53"/>
        <v>0.16291785927079211</v>
      </c>
      <c r="O45" s="150">
        <f t="shared" ca="1" si="63"/>
        <v>9.4549057261844746E-2</v>
      </c>
      <c r="Q45" s="202" t="s">
        <v>100</v>
      </c>
      <c r="R45" s="199">
        <f t="shared" si="54"/>
        <v>3.7960762239223012E-2</v>
      </c>
      <c r="S45" s="199">
        <f t="shared" si="55"/>
        <v>4.0982440100896571E-2</v>
      </c>
      <c r="T45" s="199">
        <f t="shared" si="56"/>
        <v>2.9804427706664277E-2</v>
      </c>
      <c r="U45" s="199">
        <f t="shared" si="57"/>
        <v>1.9561818596587028E-2</v>
      </c>
      <c r="V45" s="199">
        <f t="shared" si="58"/>
        <v>2.0726130517116952E-2</v>
      </c>
      <c r="W45" s="199">
        <f t="shared" si="59"/>
        <v>2.0305266160745523E-2</v>
      </c>
      <c r="X45" s="199">
        <f t="shared" si="60"/>
        <v>1.9901154317294806E-2</v>
      </c>
      <c r="Y45" s="199">
        <f t="shared" si="61"/>
        <v>1.9512814223581719E-2</v>
      </c>
      <c r="Z45" s="199">
        <f t="shared" si="66"/>
        <v>2.5759703273627879E-2</v>
      </c>
      <c r="AC45" s="27"/>
      <c r="AD45" s="180"/>
      <c r="AE45" s="180"/>
      <c r="AF45" s="180"/>
      <c r="AG45" s="180"/>
      <c r="AH45" s="180"/>
      <c r="AI45" s="180"/>
      <c r="AJ45" s="180"/>
      <c r="AK45" s="180"/>
      <c r="AL45" s="180"/>
      <c r="AM45" s="150"/>
      <c r="BJ45" s="149">
        <v>5</v>
      </c>
      <c r="BK45" s="237">
        <v>43616</v>
      </c>
      <c r="BL45" s="149">
        <v>0.21899199999999999</v>
      </c>
      <c r="BM45" s="203">
        <f t="shared" si="30"/>
        <v>0</v>
      </c>
      <c r="BN45" s="240" t="str">
        <f t="shared" si="65"/>
        <v>No Growth</v>
      </c>
      <c r="BO45" s="243">
        <f t="shared" si="27"/>
        <v>1</v>
      </c>
      <c r="BP45" s="243"/>
      <c r="BU45" s="150"/>
      <c r="CL45" s="245" t="s">
        <v>186</v>
      </c>
      <c r="CM45" s="245" t="s">
        <v>187</v>
      </c>
      <c r="CS45" s="245"/>
      <c r="CT45" s="245"/>
    </row>
    <row r="46" spans="5:99" x14ac:dyDescent="0.2">
      <c r="Z46" s="194"/>
      <c r="AC46" s="182"/>
      <c r="BJ46" s="149">
        <v>6</v>
      </c>
      <c r="BK46" s="237">
        <v>43644</v>
      </c>
      <c r="BL46" s="149">
        <v>0.21996099999999999</v>
      </c>
      <c r="BM46" s="203">
        <f t="shared" si="30"/>
        <v>4.4150584415112281E-3</v>
      </c>
      <c r="BN46" s="240" t="str">
        <f t="shared" si="65"/>
        <v>Growth</v>
      </c>
      <c r="BO46" s="243">
        <f t="shared" si="27"/>
        <v>2</v>
      </c>
      <c r="BP46" s="243"/>
      <c r="CK46" s="245" t="s">
        <v>222</v>
      </c>
      <c r="CL46" s="150">
        <f>AVERAGE(CL7:CL44)</f>
        <v>7.7753740235220001E-3</v>
      </c>
      <c r="CM46" s="203">
        <f>_xlfn.STDEV.S(CL7:CL44)</f>
        <v>8.4570776114540058E-2</v>
      </c>
      <c r="CR46" s="245"/>
      <c r="CS46" s="252"/>
    </row>
    <row r="47" spans="5:99" ht="25.5" x14ac:dyDescent="0.2">
      <c r="AC47" s="171"/>
      <c r="BJ47" s="149">
        <v>7</v>
      </c>
      <c r="BK47" s="237">
        <v>43677</v>
      </c>
      <c r="BL47" s="149">
        <v>0.21996099999999999</v>
      </c>
      <c r="BM47" s="203">
        <f t="shared" si="30"/>
        <v>0</v>
      </c>
      <c r="BN47" s="240" t="str">
        <f t="shared" si="65"/>
        <v>No Growth</v>
      </c>
      <c r="BO47" s="243">
        <f t="shared" si="27"/>
        <v>1</v>
      </c>
      <c r="BP47" s="243"/>
      <c r="BU47" s="150"/>
      <c r="CK47" s="251" t="s">
        <v>221</v>
      </c>
      <c r="CL47" s="150">
        <f>AVERAGE(CL26:CL44)</f>
        <v>2.6479135666951609E-2</v>
      </c>
      <c r="CM47" s="203">
        <f>_xlfn.STDEV.S(CL26:CL44)</f>
        <v>2.6937255543897483E-2</v>
      </c>
    </row>
    <row r="48" spans="5:99" x14ac:dyDescent="0.2">
      <c r="AB48" s="172"/>
      <c r="AC48" s="171"/>
      <c r="BJ48" s="149">
        <v>8</v>
      </c>
      <c r="BK48" s="237">
        <v>43707</v>
      </c>
      <c r="BL48" s="149">
        <v>0.21996099999999999</v>
      </c>
      <c r="BM48" s="203">
        <f t="shared" si="30"/>
        <v>0</v>
      </c>
      <c r="BN48" s="240" t="str">
        <f t="shared" si="65"/>
        <v>No Growth</v>
      </c>
      <c r="BO48" s="243">
        <f t="shared" si="27"/>
        <v>1</v>
      </c>
      <c r="BP48" s="243"/>
      <c r="BU48" s="150"/>
    </row>
    <row r="49" spans="3:68" x14ac:dyDescent="0.2">
      <c r="AC49" s="171"/>
      <c r="BJ49" s="149">
        <v>9</v>
      </c>
      <c r="BK49" s="237">
        <v>43738</v>
      </c>
      <c r="BL49" s="149">
        <v>0.21996099999999999</v>
      </c>
      <c r="BM49" s="203">
        <f t="shared" si="30"/>
        <v>0</v>
      </c>
      <c r="BN49" s="240" t="str">
        <f t="shared" si="65"/>
        <v>No Growth</v>
      </c>
      <c r="BO49" s="243">
        <f t="shared" si="27"/>
        <v>1</v>
      </c>
      <c r="BP49" s="243"/>
    </row>
    <row r="50" spans="3:68" x14ac:dyDescent="0.2">
      <c r="AC50" s="171"/>
      <c r="BJ50" s="149">
        <v>10</v>
      </c>
      <c r="BK50" s="237">
        <v>43769</v>
      </c>
      <c r="BL50" s="149">
        <v>0.21996099999999999</v>
      </c>
      <c r="BM50" s="203">
        <f t="shared" si="30"/>
        <v>0</v>
      </c>
      <c r="BN50" s="240" t="str">
        <f t="shared" si="65"/>
        <v>No Growth</v>
      </c>
      <c r="BO50" s="243">
        <f t="shared" si="27"/>
        <v>1</v>
      </c>
      <c r="BP50" s="243"/>
    </row>
    <row r="51" spans="3:68" x14ac:dyDescent="0.2">
      <c r="AC51" s="171"/>
      <c r="BJ51" s="149">
        <v>11</v>
      </c>
      <c r="BK51" s="237">
        <v>43798</v>
      </c>
      <c r="BL51" s="149">
        <v>0.21996099999999999</v>
      </c>
      <c r="BM51" s="203">
        <f t="shared" si="30"/>
        <v>0</v>
      </c>
      <c r="BN51" s="240" t="str">
        <f t="shared" si="65"/>
        <v>No Growth</v>
      </c>
      <c r="BO51" s="243">
        <f t="shared" si="27"/>
        <v>1</v>
      </c>
      <c r="BP51" s="243"/>
    </row>
    <row r="52" spans="3:68" x14ac:dyDescent="0.2">
      <c r="AC52" s="171"/>
      <c r="BJ52" s="149">
        <v>12</v>
      </c>
      <c r="BK52" s="237">
        <v>43830</v>
      </c>
      <c r="BL52" s="149">
        <v>0.22092999999999999</v>
      </c>
      <c r="BM52" s="203">
        <f t="shared" si="30"/>
        <v>4.3956513525151165E-3</v>
      </c>
      <c r="BN52" s="240" t="str">
        <f t="shared" si="65"/>
        <v>Growth</v>
      </c>
      <c r="BO52" s="243">
        <f t="shared" si="27"/>
        <v>2</v>
      </c>
      <c r="BP52" s="243"/>
    </row>
    <row r="53" spans="3:68" x14ac:dyDescent="0.2">
      <c r="AC53" s="171"/>
      <c r="BJ53" s="149">
        <v>1</v>
      </c>
      <c r="BK53" s="237">
        <v>43861</v>
      </c>
      <c r="BL53" s="149">
        <v>0.225775</v>
      </c>
      <c r="BM53" s="203">
        <f t="shared" si="30"/>
        <v>2.1693018873925791E-2</v>
      </c>
      <c r="BN53" s="240" t="str">
        <f t="shared" si="65"/>
        <v>Growth</v>
      </c>
      <c r="BO53" s="243">
        <f t="shared" si="27"/>
        <v>2</v>
      </c>
      <c r="BP53" s="243"/>
    </row>
    <row r="54" spans="3:68" x14ac:dyDescent="0.2">
      <c r="AC54" s="171"/>
      <c r="BJ54" s="149">
        <v>2</v>
      </c>
      <c r="BK54" s="237">
        <v>43889</v>
      </c>
      <c r="BL54" s="149">
        <v>0.225775</v>
      </c>
      <c r="BM54" s="203">
        <f t="shared" si="30"/>
        <v>0</v>
      </c>
      <c r="BN54" s="240" t="str">
        <f t="shared" si="65"/>
        <v>No Growth</v>
      </c>
      <c r="BO54" s="243">
        <f t="shared" si="27"/>
        <v>1</v>
      </c>
      <c r="BP54" s="243"/>
    </row>
    <row r="55" spans="3:68" x14ac:dyDescent="0.2">
      <c r="D55" s="166" t="s">
        <v>138</v>
      </c>
      <c r="AC55" s="171"/>
      <c r="BJ55" s="149">
        <v>3</v>
      </c>
      <c r="BK55" s="237">
        <v>43921</v>
      </c>
      <c r="BL55" s="149">
        <v>0.225775</v>
      </c>
      <c r="BM55" s="203">
        <f t="shared" si="30"/>
        <v>0</v>
      </c>
      <c r="BN55" s="240" t="str">
        <f t="shared" si="65"/>
        <v>No Growth</v>
      </c>
      <c r="BO55" s="243">
        <f t="shared" si="27"/>
        <v>1</v>
      </c>
      <c r="BP55" s="243"/>
    </row>
    <row r="56" spans="3:68" x14ac:dyDescent="0.2">
      <c r="D56" s="158"/>
      <c r="E56" s="158">
        <v>2016</v>
      </c>
      <c r="F56" s="158">
        <v>2017</v>
      </c>
      <c r="G56" s="158">
        <f>F56+1</f>
        <v>2018</v>
      </c>
      <c r="H56" s="158">
        <f t="shared" ref="H56" si="67">G56+1</f>
        <v>2019</v>
      </c>
      <c r="I56" s="158">
        <f t="shared" ref="I56" si="68">H56+1</f>
        <v>2020</v>
      </c>
      <c r="J56" s="158">
        <f t="shared" ref="J56" si="69">I56+1</f>
        <v>2021</v>
      </c>
      <c r="K56" s="158">
        <f t="shared" ref="K56" si="70">J56+1</f>
        <v>2022</v>
      </c>
      <c r="L56" s="158">
        <f t="shared" ref="L56" si="71">K56+1</f>
        <v>2023</v>
      </c>
      <c r="M56" s="158">
        <f t="shared" ref="M56" si="72">L56+1</f>
        <v>2024</v>
      </c>
      <c r="N56" s="158">
        <v>2025</v>
      </c>
      <c r="P56" s="188" t="s">
        <v>32</v>
      </c>
      <c r="AC56" s="171"/>
      <c r="BJ56" s="149">
        <v>4</v>
      </c>
      <c r="BK56" s="237">
        <v>43951</v>
      </c>
      <c r="BL56" s="149">
        <v>0.225775</v>
      </c>
      <c r="BM56" s="203">
        <f t="shared" si="30"/>
        <v>0</v>
      </c>
      <c r="BN56" s="240" t="str">
        <f t="shared" si="65"/>
        <v>No Growth</v>
      </c>
      <c r="BO56" s="243">
        <f t="shared" si="27"/>
        <v>1</v>
      </c>
      <c r="BP56" s="243"/>
    </row>
    <row r="57" spans="3:68" x14ac:dyDescent="0.2">
      <c r="C57" s="191" t="e" vm="21">
        <v>#VALUE!</v>
      </c>
      <c r="D57" s="158" t="s">
        <v>137</v>
      </c>
      <c r="E57" s="186">
        <v>7.3</v>
      </c>
      <c r="F57" s="186">
        <v>13.51</v>
      </c>
      <c r="G57" s="186">
        <v>28.72</v>
      </c>
      <c r="H57" s="186">
        <v>37.909999999999997</v>
      </c>
      <c r="I57" s="186">
        <v>70.02</v>
      </c>
      <c r="J57" s="186">
        <v>102.62</v>
      </c>
      <c r="K57" s="186">
        <v>121.77</v>
      </c>
      <c r="L57" s="186">
        <v>101.48</v>
      </c>
      <c r="M57" s="186">
        <v>102.07</v>
      </c>
      <c r="N57" s="186" cm="1">
        <f t="array" aca="1" ref="N57" ca="1">_FV(C57,"Price")</f>
        <v>125.33</v>
      </c>
      <c r="P57" s="189"/>
      <c r="AC57" s="171"/>
      <c r="BJ57" s="149">
        <v>5</v>
      </c>
      <c r="BK57" s="237">
        <v>43980</v>
      </c>
      <c r="BL57" s="149">
        <v>0.225775</v>
      </c>
      <c r="BM57" s="203">
        <f t="shared" si="30"/>
        <v>0</v>
      </c>
      <c r="BN57" s="240" t="str">
        <f t="shared" si="65"/>
        <v>No Growth</v>
      </c>
      <c r="BO57" s="243">
        <f t="shared" si="27"/>
        <v>1</v>
      </c>
      <c r="BP57" s="243"/>
    </row>
    <row r="58" spans="3:68" x14ac:dyDescent="0.2">
      <c r="D58" s="267" t="s">
        <v>139</v>
      </c>
      <c r="E58" s="156"/>
      <c r="F58" s="187">
        <f>LN(F57/E57)</f>
        <v>0.61555580381776209</v>
      </c>
      <c r="G58" s="187">
        <f t="shared" ref="G58:N58" si="73">LN(G57/F57)</f>
        <v>0.75416359220791596</v>
      </c>
      <c r="H58" s="187">
        <f t="shared" si="73"/>
        <v>0.27762118534822</v>
      </c>
      <c r="I58" s="187">
        <f t="shared" si="73"/>
        <v>0.61356598599827628</v>
      </c>
      <c r="J58" s="187">
        <f t="shared" si="73"/>
        <v>0.38225192998729923</v>
      </c>
      <c r="K58" s="187">
        <f t="shared" si="73"/>
        <v>0.17110117400509725</v>
      </c>
      <c r="L58" s="187">
        <f t="shared" si="73"/>
        <v>-0.18227228478783486</v>
      </c>
      <c r="M58" s="187">
        <f t="shared" si="73"/>
        <v>5.7971176843256943E-3</v>
      </c>
      <c r="N58" s="187">
        <f t="shared" ca="1" si="73"/>
        <v>0.20529140620802389</v>
      </c>
      <c r="P58" s="190">
        <f ca="1">AVERAGE(F58:N58)</f>
        <v>0.31589732338545395</v>
      </c>
      <c r="AC58" s="171"/>
      <c r="BJ58" s="149">
        <v>6</v>
      </c>
      <c r="BK58" s="237">
        <v>44012</v>
      </c>
      <c r="BL58" s="149">
        <v>0.226744</v>
      </c>
      <c r="BM58" s="203">
        <f t="shared" si="30"/>
        <v>4.2826996483109172E-3</v>
      </c>
      <c r="BN58" s="240" t="str">
        <f t="shared" si="65"/>
        <v>Growth</v>
      </c>
      <c r="BO58" s="243">
        <f t="shared" si="27"/>
        <v>2</v>
      </c>
      <c r="BP58" s="243"/>
    </row>
    <row r="59" spans="3:68" x14ac:dyDescent="0.2">
      <c r="D59" s="158"/>
      <c r="E59" s="156"/>
      <c r="F59" s="156"/>
      <c r="G59" s="156"/>
      <c r="H59" s="156"/>
      <c r="I59" s="156"/>
      <c r="J59" s="156"/>
      <c r="K59" s="156"/>
      <c r="L59" s="156"/>
      <c r="M59" s="156"/>
      <c r="N59" s="156"/>
      <c r="Q59" s="189"/>
      <c r="AC59" s="171"/>
      <c r="BJ59" s="149">
        <v>7</v>
      </c>
      <c r="BK59" s="237">
        <v>44043</v>
      </c>
      <c r="BL59" s="149">
        <v>0.226744</v>
      </c>
      <c r="BM59" s="203">
        <f t="shared" si="30"/>
        <v>0</v>
      </c>
      <c r="BN59" s="240" t="str">
        <f t="shared" si="65"/>
        <v>No Growth</v>
      </c>
      <c r="BO59" s="243">
        <f t="shared" si="27"/>
        <v>1</v>
      </c>
      <c r="BP59" s="243"/>
    </row>
    <row r="60" spans="3:68" x14ac:dyDescent="0.2">
      <c r="D60" s="158"/>
      <c r="E60" s="156"/>
      <c r="F60" s="156"/>
      <c r="G60" s="156"/>
      <c r="H60" s="156"/>
      <c r="I60" s="156"/>
      <c r="J60" s="156"/>
      <c r="K60" s="156"/>
      <c r="L60" s="156"/>
      <c r="M60" s="156"/>
      <c r="N60" s="156"/>
      <c r="P60" s="189"/>
      <c r="AB60" s="172"/>
      <c r="AC60" s="171"/>
      <c r="BJ60" s="149">
        <v>8</v>
      </c>
      <c r="BK60" s="237">
        <v>44074</v>
      </c>
      <c r="BL60" s="149">
        <v>0.226744</v>
      </c>
      <c r="BM60" s="203">
        <f t="shared" si="30"/>
        <v>0</v>
      </c>
      <c r="BN60" s="240" t="str">
        <f t="shared" si="65"/>
        <v>No Growth</v>
      </c>
      <c r="BO60" s="243">
        <f t="shared" si="27"/>
        <v>1</v>
      </c>
      <c r="BP60" s="243"/>
    </row>
    <row r="61" spans="3:68" x14ac:dyDescent="0.2">
      <c r="D61" s="158"/>
      <c r="E61" s="156"/>
      <c r="F61" s="156"/>
      <c r="G61" s="156"/>
      <c r="H61" s="156"/>
      <c r="I61" s="156"/>
      <c r="J61" s="156"/>
      <c r="K61" s="156"/>
      <c r="L61" s="156"/>
      <c r="M61" s="156"/>
      <c r="N61" s="156"/>
      <c r="P61" s="189"/>
      <c r="AC61" s="171"/>
      <c r="BJ61" s="149">
        <v>9</v>
      </c>
      <c r="BK61" s="237">
        <v>44104</v>
      </c>
      <c r="BL61" s="149">
        <v>0.226744</v>
      </c>
      <c r="BM61" s="203">
        <f t="shared" si="30"/>
        <v>0</v>
      </c>
      <c r="BN61" s="240" t="str">
        <f t="shared" si="65"/>
        <v>No Growth</v>
      </c>
      <c r="BO61" s="243">
        <f t="shared" si="27"/>
        <v>1</v>
      </c>
      <c r="BP61" s="243"/>
    </row>
    <row r="62" spans="3:68" x14ac:dyDescent="0.2">
      <c r="D62" s="158"/>
      <c r="E62" s="156"/>
      <c r="F62" s="156"/>
      <c r="G62" s="156"/>
      <c r="H62" s="156"/>
      <c r="I62" s="156"/>
      <c r="J62" s="156"/>
      <c r="K62" s="156"/>
      <c r="L62" s="156"/>
      <c r="M62" s="156"/>
      <c r="N62" s="156"/>
      <c r="P62" s="189"/>
      <c r="AC62" s="171"/>
      <c r="BJ62" s="149">
        <v>10</v>
      </c>
      <c r="BK62" s="237">
        <v>44134</v>
      </c>
      <c r="BL62" s="149">
        <v>0.226744</v>
      </c>
      <c r="BM62" s="203">
        <f t="shared" si="30"/>
        <v>0</v>
      </c>
      <c r="BN62" s="240" t="str">
        <f t="shared" si="65"/>
        <v>No Growth</v>
      </c>
      <c r="BO62" s="243">
        <f t="shared" si="27"/>
        <v>1</v>
      </c>
      <c r="BP62" s="243"/>
    </row>
    <row r="63" spans="3:68" x14ac:dyDescent="0.2">
      <c r="AC63" s="171"/>
      <c r="BJ63" s="149">
        <v>11</v>
      </c>
      <c r="BK63" s="237">
        <v>44165</v>
      </c>
      <c r="BL63" s="149">
        <v>0.226744</v>
      </c>
      <c r="BM63" s="203">
        <f t="shared" si="30"/>
        <v>0</v>
      </c>
      <c r="BN63" s="240" t="str">
        <f t="shared" si="65"/>
        <v>No Growth</v>
      </c>
      <c r="BO63" s="243">
        <f t="shared" si="27"/>
        <v>1</v>
      </c>
      <c r="BP63" s="243"/>
    </row>
    <row r="64" spans="3:68" x14ac:dyDescent="0.2">
      <c r="AC64" s="171"/>
      <c r="BJ64" s="149">
        <v>12</v>
      </c>
      <c r="BK64" s="237">
        <v>44196</v>
      </c>
      <c r="BL64" s="149">
        <v>0.227713</v>
      </c>
      <c r="BM64" s="203">
        <f t="shared" si="30"/>
        <v>4.2644363205847219E-3</v>
      </c>
      <c r="BN64" s="240" t="str">
        <f t="shared" si="65"/>
        <v>Growth</v>
      </c>
      <c r="BO64" s="243">
        <f t="shared" si="27"/>
        <v>2</v>
      </c>
      <c r="BP64" s="243"/>
    </row>
    <row r="65" spans="28:71" x14ac:dyDescent="0.2">
      <c r="AC65" s="171"/>
      <c r="BJ65" s="149">
        <v>1</v>
      </c>
      <c r="BK65" s="237">
        <v>44225</v>
      </c>
      <c r="BL65" s="149">
        <v>0.227713</v>
      </c>
      <c r="BM65" s="203">
        <f t="shared" si="30"/>
        <v>0</v>
      </c>
      <c r="BN65" s="240" t="str">
        <f t="shared" si="65"/>
        <v>No Growth</v>
      </c>
      <c r="BO65" s="243">
        <f t="shared" si="27"/>
        <v>1</v>
      </c>
      <c r="BP65" s="243"/>
    </row>
    <row r="66" spans="28:71" x14ac:dyDescent="0.2">
      <c r="AC66" s="171"/>
      <c r="BJ66" s="149">
        <v>2</v>
      </c>
      <c r="BK66" s="237">
        <v>44253</v>
      </c>
      <c r="BL66" s="149">
        <v>0.227713</v>
      </c>
      <c r="BM66" s="203">
        <f t="shared" si="30"/>
        <v>0</v>
      </c>
      <c r="BN66" s="240" t="str">
        <f t="shared" si="65"/>
        <v>No Growth</v>
      </c>
      <c r="BO66" s="243">
        <f t="shared" si="27"/>
        <v>1</v>
      </c>
      <c r="BP66" s="243"/>
    </row>
    <row r="67" spans="28:71" x14ac:dyDescent="0.2">
      <c r="AC67" s="171"/>
      <c r="BJ67" s="149">
        <v>3</v>
      </c>
      <c r="BK67" s="237">
        <v>44286</v>
      </c>
      <c r="BL67" s="149">
        <v>0.227713</v>
      </c>
      <c r="BM67" s="203">
        <f t="shared" si="30"/>
        <v>0</v>
      </c>
      <c r="BN67" s="240" t="str">
        <f t="shared" si="65"/>
        <v>No Growth</v>
      </c>
      <c r="BO67" s="243">
        <f t="shared" si="27"/>
        <v>1</v>
      </c>
      <c r="BP67" s="243"/>
    </row>
    <row r="68" spans="28:71" x14ac:dyDescent="0.2">
      <c r="AC68" s="171"/>
      <c r="BJ68" s="149">
        <v>4</v>
      </c>
      <c r="BK68" s="237">
        <v>44316</v>
      </c>
      <c r="BL68" s="149">
        <v>0.227713</v>
      </c>
      <c r="BM68" s="203">
        <f t="shared" si="30"/>
        <v>0</v>
      </c>
      <c r="BN68" s="240" t="str">
        <f t="shared" si="65"/>
        <v>No Growth</v>
      </c>
      <c r="BO68" s="243">
        <f t="shared" si="27"/>
        <v>1</v>
      </c>
      <c r="BP68" s="243"/>
    </row>
    <row r="69" spans="28:71" x14ac:dyDescent="0.2">
      <c r="AC69" s="171"/>
      <c r="BJ69" s="149">
        <v>5</v>
      </c>
      <c r="BK69" s="237">
        <v>44344</v>
      </c>
      <c r="BL69" s="149">
        <v>0.227713</v>
      </c>
      <c r="BM69" s="203">
        <f t="shared" si="30"/>
        <v>0</v>
      </c>
      <c r="BN69" s="240" t="str">
        <f t="shared" si="65"/>
        <v>No Growth</v>
      </c>
      <c r="BO69" s="243">
        <f t="shared" si="27"/>
        <v>1</v>
      </c>
      <c r="BP69" s="243"/>
    </row>
    <row r="70" spans="28:71" x14ac:dyDescent="0.2">
      <c r="AC70" s="171"/>
      <c r="BJ70" s="149">
        <v>6</v>
      </c>
      <c r="BK70" s="237">
        <v>44377</v>
      </c>
      <c r="BL70" s="149">
        <v>0.228682</v>
      </c>
      <c r="BM70" s="203">
        <f t="shared" si="30"/>
        <v>4.2463280974910826E-3</v>
      </c>
      <c r="BN70" s="240" t="str">
        <f t="shared" ref="BN70:BN101" si="74">IF(BM70=0, "No Growth", "Growth")</f>
        <v>Growth</v>
      </c>
      <c r="BO70" s="243">
        <f t="shared" si="27"/>
        <v>2</v>
      </c>
      <c r="BP70" s="243"/>
    </row>
    <row r="71" spans="28:71" x14ac:dyDescent="0.2">
      <c r="AC71" s="171"/>
      <c r="BJ71" s="149">
        <v>7</v>
      </c>
      <c r="BK71" s="237">
        <v>44407</v>
      </c>
      <c r="BL71" s="149">
        <v>0.228682</v>
      </c>
      <c r="BM71" s="203">
        <f t="shared" si="30"/>
        <v>0</v>
      </c>
      <c r="BN71" s="240" t="str">
        <f t="shared" si="74"/>
        <v>No Growth</v>
      </c>
      <c r="BO71" s="243">
        <f t="shared" ref="BO71:BO121" si="75">IF(BM71=0,1,2)</f>
        <v>1</v>
      </c>
      <c r="BP71" s="243"/>
    </row>
    <row r="72" spans="28:71" x14ac:dyDescent="0.2">
      <c r="AB72" s="172"/>
      <c r="AC72" s="171"/>
      <c r="BJ72" s="149">
        <v>8</v>
      </c>
      <c r="BK72" s="237">
        <v>44439</v>
      </c>
      <c r="BL72" s="149">
        <v>0.228682</v>
      </c>
      <c r="BM72" s="203">
        <f t="shared" ref="BM72:BM121" si="76">LN(BL72/BL71)</f>
        <v>0</v>
      </c>
      <c r="BN72" s="240" t="str">
        <f t="shared" si="74"/>
        <v>No Growth</v>
      </c>
      <c r="BO72" s="243">
        <f t="shared" si="75"/>
        <v>1</v>
      </c>
      <c r="BP72" s="243"/>
    </row>
    <row r="73" spans="28:71" x14ac:dyDescent="0.2">
      <c r="AC73" s="171"/>
      <c r="BJ73" s="149">
        <v>9</v>
      </c>
      <c r="BK73" s="237">
        <v>44469</v>
      </c>
      <c r="BL73" s="149">
        <v>0.228682</v>
      </c>
      <c r="BM73" s="203">
        <f t="shared" si="76"/>
        <v>0</v>
      </c>
      <c r="BN73" s="240" t="str">
        <f t="shared" si="74"/>
        <v>No Growth</v>
      </c>
      <c r="BO73" s="243">
        <f t="shared" si="75"/>
        <v>1</v>
      </c>
      <c r="BP73" s="243"/>
    </row>
    <row r="74" spans="28:71" x14ac:dyDescent="0.2">
      <c r="AC74" s="171"/>
      <c r="BJ74" s="149">
        <v>10</v>
      </c>
      <c r="BK74" s="237">
        <v>44501</v>
      </c>
      <c r="BL74" s="149">
        <v>0.228682</v>
      </c>
      <c r="BM74" s="203">
        <f t="shared" si="76"/>
        <v>0</v>
      </c>
      <c r="BN74" s="240" t="str">
        <f t="shared" si="74"/>
        <v>No Growth</v>
      </c>
      <c r="BO74" s="243">
        <f t="shared" si="75"/>
        <v>1</v>
      </c>
      <c r="BP74" s="243"/>
    </row>
    <row r="75" spans="28:71" x14ac:dyDescent="0.2">
      <c r="AC75" s="171"/>
      <c r="BJ75" s="149">
        <v>11</v>
      </c>
      <c r="BK75" s="237">
        <v>44530</v>
      </c>
      <c r="BL75" s="149">
        <v>0.246</v>
      </c>
      <c r="BM75" s="203">
        <f t="shared" si="76"/>
        <v>7.2999143729113702E-2</v>
      </c>
      <c r="BN75" s="240" t="str">
        <f t="shared" si="74"/>
        <v>Growth</v>
      </c>
      <c r="BO75" s="243">
        <f t="shared" si="75"/>
        <v>2</v>
      </c>
      <c r="BP75" s="243"/>
    </row>
    <row r="76" spans="28:71" x14ac:dyDescent="0.2">
      <c r="AC76" s="171"/>
      <c r="BJ76" s="149">
        <v>12</v>
      </c>
      <c r="BK76" s="237">
        <v>44561</v>
      </c>
      <c r="BL76" s="149">
        <v>0.247</v>
      </c>
      <c r="BM76" s="203">
        <f t="shared" si="76"/>
        <v>4.056800695614469E-3</v>
      </c>
      <c r="BN76" s="240" t="str">
        <f t="shared" si="74"/>
        <v>Growth</v>
      </c>
      <c r="BO76" s="243">
        <f t="shared" si="75"/>
        <v>2</v>
      </c>
      <c r="BP76" s="243"/>
      <c r="BQ76" s="1" t="s">
        <v>199</v>
      </c>
    </row>
    <row r="77" spans="28:71" x14ac:dyDescent="0.2">
      <c r="AC77" s="171"/>
      <c r="BJ77" s="149">
        <v>1</v>
      </c>
      <c r="BK77" s="237">
        <v>44592</v>
      </c>
      <c r="BL77" s="149">
        <v>0.247</v>
      </c>
      <c r="BM77" s="203">
        <f t="shared" si="76"/>
        <v>0</v>
      </c>
      <c r="BN77" s="240" t="str">
        <f t="shared" si="74"/>
        <v>No Growth</v>
      </c>
      <c r="BO77" s="243">
        <f t="shared" si="75"/>
        <v>1</v>
      </c>
      <c r="BP77" s="243"/>
      <c r="BQ77" s="214" t="s">
        <v>197</v>
      </c>
      <c r="BR77" s="149">
        <f>SUMIF(BN6:BN121, "No Growth", BO6:BO121)</f>
        <v>88</v>
      </c>
      <c r="BS77" s="244"/>
    </row>
    <row r="78" spans="28:71" x14ac:dyDescent="0.2">
      <c r="AC78" s="171"/>
      <c r="BJ78" s="149">
        <v>2</v>
      </c>
      <c r="BK78" s="237">
        <v>44620</v>
      </c>
      <c r="BL78" s="149">
        <v>0.247</v>
      </c>
      <c r="BM78" s="203">
        <f t="shared" si="76"/>
        <v>0</v>
      </c>
      <c r="BN78" s="240" t="str">
        <f t="shared" si="74"/>
        <v>No Growth</v>
      </c>
      <c r="BO78" s="243">
        <f t="shared" si="75"/>
        <v>1</v>
      </c>
      <c r="BP78" s="243"/>
      <c r="BQ78" s="214" t="s">
        <v>198</v>
      </c>
      <c r="BR78" s="149">
        <f>(SUMIF(BN6:BN121, "Growth", BO6:BO121))/2</f>
        <v>28</v>
      </c>
      <c r="BS78" s="244"/>
    </row>
    <row r="79" spans="28:71" x14ac:dyDescent="0.2">
      <c r="AC79" s="171"/>
      <c r="BJ79" s="149">
        <v>3</v>
      </c>
      <c r="BK79" s="237">
        <v>44651</v>
      </c>
      <c r="BL79" s="149">
        <v>0.247</v>
      </c>
      <c r="BM79" s="203">
        <f t="shared" si="76"/>
        <v>0</v>
      </c>
      <c r="BN79" s="240" t="str">
        <f t="shared" si="74"/>
        <v>No Growth</v>
      </c>
      <c r="BO79" s="243">
        <f t="shared" si="75"/>
        <v>1</v>
      </c>
      <c r="BP79" s="243"/>
      <c r="BQ79" s="214" t="s">
        <v>1</v>
      </c>
      <c r="BR79" s="149">
        <f>SUM(BR77:BR78)</f>
        <v>116</v>
      </c>
    </row>
    <row r="80" spans="28:71" x14ac:dyDescent="0.2">
      <c r="AC80" s="171"/>
      <c r="BJ80" s="149">
        <v>4</v>
      </c>
      <c r="BK80" s="237">
        <v>44680</v>
      </c>
      <c r="BL80" s="149">
        <v>0.247</v>
      </c>
      <c r="BM80" s="203">
        <f t="shared" si="76"/>
        <v>0</v>
      </c>
      <c r="BN80" s="240" t="str">
        <f t="shared" si="74"/>
        <v>No Growth</v>
      </c>
      <c r="BO80" s="243">
        <f t="shared" si="75"/>
        <v>1</v>
      </c>
      <c r="BP80" s="243"/>
    </row>
    <row r="81" spans="28:68" x14ac:dyDescent="0.2">
      <c r="AC81" s="171"/>
      <c r="BJ81" s="149">
        <v>5</v>
      </c>
      <c r="BK81" s="237">
        <v>44712</v>
      </c>
      <c r="BL81" s="149">
        <v>0.247</v>
      </c>
      <c r="BM81" s="203">
        <f t="shared" si="76"/>
        <v>0</v>
      </c>
      <c r="BN81" s="240" t="str">
        <f t="shared" si="74"/>
        <v>No Growth</v>
      </c>
      <c r="BO81" s="243">
        <f t="shared" si="75"/>
        <v>1</v>
      </c>
      <c r="BP81" s="243"/>
    </row>
    <row r="82" spans="28:68" x14ac:dyDescent="0.2">
      <c r="AC82" s="171"/>
      <c r="BJ82" s="149">
        <v>6</v>
      </c>
      <c r="BK82" s="237">
        <v>44742</v>
      </c>
      <c r="BL82" s="149">
        <v>0.248</v>
      </c>
      <c r="BM82" s="203">
        <f t="shared" si="76"/>
        <v>4.0404095370049058E-3</v>
      </c>
      <c r="BN82" s="240" t="str">
        <f t="shared" si="74"/>
        <v>Growth</v>
      </c>
      <c r="BO82" s="243">
        <f t="shared" si="75"/>
        <v>2</v>
      </c>
      <c r="BP82" s="243"/>
    </row>
    <row r="83" spans="28:68" x14ac:dyDescent="0.2">
      <c r="AC83" s="171"/>
      <c r="BJ83" s="149">
        <v>7</v>
      </c>
      <c r="BK83" s="237">
        <v>44771</v>
      </c>
      <c r="BL83" s="149">
        <v>0.248</v>
      </c>
      <c r="BM83" s="203">
        <f t="shared" si="76"/>
        <v>0</v>
      </c>
      <c r="BN83" s="240" t="str">
        <f t="shared" si="74"/>
        <v>No Growth</v>
      </c>
      <c r="BO83" s="243">
        <f t="shared" si="75"/>
        <v>1</v>
      </c>
      <c r="BP83" s="243"/>
    </row>
    <row r="84" spans="28:68" x14ac:dyDescent="0.2">
      <c r="AB84" s="172"/>
      <c r="AC84" s="171"/>
      <c r="BJ84" s="149">
        <v>8</v>
      </c>
      <c r="BK84" s="237">
        <v>44804</v>
      </c>
      <c r="BL84" s="149">
        <v>0.248</v>
      </c>
      <c r="BM84" s="203">
        <f t="shared" si="76"/>
        <v>0</v>
      </c>
      <c r="BN84" s="240" t="str">
        <f t="shared" si="74"/>
        <v>No Growth</v>
      </c>
      <c r="BO84" s="243">
        <f t="shared" si="75"/>
        <v>1</v>
      </c>
      <c r="BP84" s="243"/>
    </row>
    <row r="85" spans="28:68" x14ac:dyDescent="0.2">
      <c r="AC85" s="171"/>
      <c r="BJ85" s="149">
        <v>9</v>
      </c>
      <c r="BK85" s="237">
        <v>44834</v>
      </c>
      <c r="BL85" s="149">
        <v>0.248</v>
      </c>
      <c r="BM85" s="203">
        <f t="shared" si="76"/>
        <v>0</v>
      </c>
      <c r="BN85" s="240" t="str">
        <f t="shared" si="74"/>
        <v>No Growth</v>
      </c>
      <c r="BO85" s="243">
        <f t="shared" si="75"/>
        <v>1</v>
      </c>
      <c r="BP85" s="243"/>
    </row>
    <row r="86" spans="28:68" x14ac:dyDescent="0.2">
      <c r="AC86" s="171"/>
      <c r="BJ86" s="149">
        <v>10</v>
      </c>
      <c r="BK86" s="237">
        <v>44865</v>
      </c>
      <c r="BL86" s="149">
        <v>0.248</v>
      </c>
      <c r="BM86" s="203">
        <f t="shared" si="76"/>
        <v>0</v>
      </c>
      <c r="BN86" s="240" t="str">
        <f t="shared" si="74"/>
        <v>No Growth</v>
      </c>
      <c r="BO86" s="243">
        <f t="shared" si="75"/>
        <v>1</v>
      </c>
      <c r="BP86" s="243"/>
    </row>
    <row r="87" spans="28:68" x14ac:dyDescent="0.2">
      <c r="AC87" s="171"/>
      <c r="BJ87" s="149">
        <v>11</v>
      </c>
      <c r="BK87" s="237">
        <v>44895</v>
      </c>
      <c r="BL87" s="149">
        <v>0.248</v>
      </c>
      <c r="BM87" s="203">
        <f t="shared" si="76"/>
        <v>0</v>
      </c>
      <c r="BN87" s="240" t="str">
        <f t="shared" si="74"/>
        <v>No Growth</v>
      </c>
      <c r="BO87" s="243">
        <f t="shared" si="75"/>
        <v>1</v>
      </c>
      <c r="BP87" s="243"/>
    </row>
    <row r="88" spans="28:68" x14ac:dyDescent="0.2">
      <c r="AC88" s="171"/>
      <c r="BJ88" s="149">
        <v>12</v>
      </c>
      <c r="BK88" s="237">
        <v>44925</v>
      </c>
      <c r="BL88" s="149">
        <v>0.249</v>
      </c>
      <c r="BM88" s="203">
        <f t="shared" si="76"/>
        <v>4.024150299725548E-3</v>
      </c>
      <c r="BN88" s="240" t="str">
        <f t="shared" si="74"/>
        <v>Growth</v>
      </c>
      <c r="BO88" s="243">
        <f t="shared" si="75"/>
        <v>2</v>
      </c>
      <c r="BP88" s="243"/>
    </row>
    <row r="89" spans="28:68" x14ac:dyDescent="0.2">
      <c r="AC89" s="171"/>
      <c r="BJ89" s="149">
        <v>1</v>
      </c>
      <c r="BK89" s="237">
        <v>44957</v>
      </c>
      <c r="BL89" s="149">
        <v>0.249</v>
      </c>
      <c r="BM89" s="203">
        <f t="shared" si="76"/>
        <v>0</v>
      </c>
      <c r="BN89" s="240" t="str">
        <f t="shared" si="74"/>
        <v>No Growth</v>
      </c>
      <c r="BO89" s="243">
        <f t="shared" si="75"/>
        <v>1</v>
      </c>
      <c r="BP89" s="243"/>
    </row>
    <row r="90" spans="28:68" x14ac:dyDescent="0.2">
      <c r="AC90" s="171"/>
      <c r="BJ90" s="149">
        <v>2</v>
      </c>
      <c r="BK90" s="237">
        <v>44985</v>
      </c>
      <c r="BL90" s="149">
        <v>0.255</v>
      </c>
      <c r="BM90" s="203">
        <f t="shared" si="76"/>
        <v>2.3810648693718607E-2</v>
      </c>
      <c r="BN90" s="240" t="str">
        <f t="shared" si="74"/>
        <v>Growth</v>
      </c>
      <c r="BO90" s="243">
        <f t="shared" si="75"/>
        <v>2</v>
      </c>
      <c r="BP90" s="243"/>
    </row>
    <row r="91" spans="28:68" x14ac:dyDescent="0.2">
      <c r="AC91" s="171"/>
      <c r="BJ91" s="149">
        <v>3</v>
      </c>
      <c r="BK91" s="237">
        <v>45016</v>
      </c>
      <c r="BL91" s="149">
        <v>0.255</v>
      </c>
      <c r="BM91" s="203">
        <f t="shared" si="76"/>
        <v>0</v>
      </c>
      <c r="BN91" s="240" t="str">
        <f t="shared" si="74"/>
        <v>No Growth</v>
      </c>
      <c r="BO91" s="243">
        <f t="shared" si="75"/>
        <v>1</v>
      </c>
      <c r="BP91" s="243"/>
    </row>
    <row r="92" spans="28:68" x14ac:dyDescent="0.2">
      <c r="AC92" s="171"/>
      <c r="BJ92" s="149">
        <v>4</v>
      </c>
      <c r="BK92" s="237">
        <v>45044</v>
      </c>
      <c r="BL92" s="149">
        <v>0.255</v>
      </c>
      <c r="BM92" s="203">
        <f t="shared" si="76"/>
        <v>0</v>
      </c>
      <c r="BN92" s="240" t="str">
        <f t="shared" si="74"/>
        <v>No Growth</v>
      </c>
      <c r="BO92" s="243">
        <f t="shared" si="75"/>
        <v>1</v>
      </c>
      <c r="BP92" s="243"/>
    </row>
    <row r="93" spans="28:68" x14ac:dyDescent="0.2">
      <c r="AC93" s="171"/>
      <c r="BJ93" s="149">
        <v>5</v>
      </c>
      <c r="BK93" s="237">
        <v>45077</v>
      </c>
      <c r="BL93" s="149">
        <v>0.255</v>
      </c>
      <c r="BM93" s="203">
        <f t="shared" si="76"/>
        <v>0</v>
      </c>
      <c r="BN93" s="240" t="str">
        <f t="shared" si="74"/>
        <v>No Growth</v>
      </c>
      <c r="BO93" s="243">
        <f t="shared" si="75"/>
        <v>1</v>
      </c>
      <c r="BP93" s="243"/>
    </row>
    <row r="94" spans="28:68" x14ac:dyDescent="0.2">
      <c r="AC94" s="171"/>
      <c r="BJ94" s="149">
        <v>6</v>
      </c>
      <c r="BK94" s="237">
        <v>45107</v>
      </c>
      <c r="BL94" s="149">
        <v>0.25600000000000001</v>
      </c>
      <c r="BM94" s="203">
        <f t="shared" si="76"/>
        <v>3.9138993211363148E-3</v>
      </c>
      <c r="BN94" s="240" t="str">
        <f t="shared" si="74"/>
        <v>Growth</v>
      </c>
      <c r="BO94" s="243">
        <f t="shared" si="75"/>
        <v>2</v>
      </c>
      <c r="BP94" s="243"/>
    </row>
    <row r="95" spans="28:68" x14ac:dyDescent="0.2">
      <c r="AC95" s="171"/>
      <c r="BJ95" s="149">
        <v>7</v>
      </c>
      <c r="BK95" s="237">
        <v>45138</v>
      </c>
      <c r="BL95" s="149">
        <v>0.25600000000000001</v>
      </c>
      <c r="BM95" s="203">
        <f t="shared" si="76"/>
        <v>0</v>
      </c>
      <c r="BN95" s="240" t="str">
        <f t="shared" si="74"/>
        <v>No Growth</v>
      </c>
      <c r="BO95" s="243">
        <f t="shared" si="75"/>
        <v>1</v>
      </c>
      <c r="BP95" s="243"/>
    </row>
    <row r="96" spans="28:68" x14ac:dyDescent="0.2">
      <c r="AB96" s="172"/>
      <c r="AC96" s="171"/>
      <c r="BJ96" s="149">
        <v>8</v>
      </c>
      <c r="BK96" s="237">
        <v>45169</v>
      </c>
      <c r="BL96" s="149">
        <v>0.25600000000000001</v>
      </c>
      <c r="BM96" s="203">
        <f t="shared" si="76"/>
        <v>0</v>
      </c>
      <c r="BN96" s="240" t="str">
        <f t="shared" si="74"/>
        <v>No Growth</v>
      </c>
      <c r="BO96" s="243">
        <f t="shared" si="75"/>
        <v>1</v>
      </c>
      <c r="BP96" s="243"/>
    </row>
    <row r="97" spans="62:68" x14ac:dyDescent="0.2">
      <c r="BJ97" s="149">
        <v>9</v>
      </c>
      <c r="BK97" s="237">
        <v>45198</v>
      </c>
      <c r="BL97" s="149">
        <v>0.25600000000000001</v>
      </c>
      <c r="BM97" s="203">
        <f t="shared" si="76"/>
        <v>0</v>
      </c>
      <c r="BN97" s="240" t="str">
        <f t="shared" si="74"/>
        <v>No Growth</v>
      </c>
      <c r="BO97" s="243">
        <f t="shared" si="75"/>
        <v>1</v>
      </c>
      <c r="BP97" s="243"/>
    </row>
    <row r="98" spans="62:68" x14ac:dyDescent="0.2">
      <c r="BJ98" s="149">
        <v>10</v>
      </c>
      <c r="BK98" s="237">
        <v>45230</v>
      </c>
      <c r="BL98" s="149">
        <v>0.25600000000000001</v>
      </c>
      <c r="BM98" s="203">
        <f t="shared" si="76"/>
        <v>0</v>
      </c>
      <c r="BN98" s="240" t="str">
        <f t="shared" si="74"/>
        <v>No Growth</v>
      </c>
      <c r="BO98" s="243">
        <f t="shared" si="75"/>
        <v>1</v>
      </c>
      <c r="BP98" s="243"/>
    </row>
    <row r="99" spans="62:68" x14ac:dyDescent="0.2">
      <c r="BJ99" s="149">
        <v>11</v>
      </c>
      <c r="BK99" s="237">
        <v>45260</v>
      </c>
      <c r="BL99" s="149">
        <v>0.25600000000000001</v>
      </c>
      <c r="BM99" s="203">
        <f t="shared" si="76"/>
        <v>0</v>
      </c>
      <c r="BN99" s="240" t="str">
        <f t="shared" si="74"/>
        <v>No Growth</v>
      </c>
      <c r="BO99" s="243">
        <f t="shared" si="75"/>
        <v>1</v>
      </c>
      <c r="BP99" s="243"/>
    </row>
    <row r="100" spans="62:68" x14ac:dyDescent="0.2">
      <c r="BJ100" s="149">
        <v>12</v>
      </c>
      <c r="BK100" s="237">
        <v>45289</v>
      </c>
      <c r="BL100" s="149">
        <v>0.25700000000000001</v>
      </c>
      <c r="BM100" s="203">
        <f t="shared" si="76"/>
        <v>3.8986404156573229E-3</v>
      </c>
      <c r="BN100" s="240" t="str">
        <f t="shared" si="74"/>
        <v>Growth</v>
      </c>
      <c r="BO100" s="243">
        <f t="shared" si="75"/>
        <v>2</v>
      </c>
      <c r="BP100" s="243"/>
    </row>
    <row r="101" spans="62:68" x14ac:dyDescent="0.2">
      <c r="BJ101" s="149">
        <v>1</v>
      </c>
      <c r="BK101" s="237">
        <v>45322</v>
      </c>
      <c r="BL101" s="149">
        <v>0.25700000000000001</v>
      </c>
      <c r="BM101" s="203">
        <f t="shared" si="76"/>
        <v>0</v>
      </c>
      <c r="BN101" s="240" t="str">
        <f t="shared" si="74"/>
        <v>No Growth</v>
      </c>
      <c r="BO101" s="243">
        <f t="shared" si="75"/>
        <v>1</v>
      </c>
      <c r="BP101" s="243"/>
    </row>
    <row r="102" spans="62:68" x14ac:dyDescent="0.2">
      <c r="BJ102" s="149">
        <v>2</v>
      </c>
      <c r="BK102" s="237">
        <v>45351</v>
      </c>
      <c r="BL102" s="149">
        <v>0.25700000000000001</v>
      </c>
      <c r="BM102" s="203">
        <f t="shared" si="76"/>
        <v>0</v>
      </c>
      <c r="BN102" s="240" t="str">
        <f t="shared" ref="BN102:BN121" si="77">IF(BM102=0, "No Growth", "Growth")</f>
        <v>No Growth</v>
      </c>
      <c r="BO102" s="243">
        <f t="shared" si="75"/>
        <v>1</v>
      </c>
      <c r="BP102" s="243"/>
    </row>
    <row r="103" spans="62:68" x14ac:dyDescent="0.2">
      <c r="BJ103" s="149">
        <v>3</v>
      </c>
      <c r="BK103" s="237">
        <v>45379</v>
      </c>
      <c r="BL103" s="149">
        <v>0.25700000000000001</v>
      </c>
      <c r="BM103" s="203">
        <f t="shared" si="76"/>
        <v>0</v>
      </c>
      <c r="BN103" s="240" t="str">
        <f t="shared" si="77"/>
        <v>No Growth</v>
      </c>
      <c r="BO103" s="243">
        <f t="shared" si="75"/>
        <v>1</v>
      </c>
      <c r="BP103" s="243"/>
    </row>
    <row r="104" spans="62:68" x14ac:dyDescent="0.2">
      <c r="BJ104" s="149">
        <v>4</v>
      </c>
      <c r="BK104" s="237">
        <v>45412</v>
      </c>
      <c r="BL104" s="149">
        <v>0.25700000000000001</v>
      </c>
      <c r="BM104" s="203">
        <f t="shared" si="76"/>
        <v>0</v>
      </c>
      <c r="BN104" s="240" t="str">
        <f t="shared" si="77"/>
        <v>No Growth</v>
      </c>
      <c r="BO104" s="243">
        <f t="shared" si="75"/>
        <v>1</v>
      </c>
      <c r="BP104" s="243"/>
    </row>
    <row r="105" spans="62:68" x14ac:dyDescent="0.2">
      <c r="BJ105" s="149">
        <v>5</v>
      </c>
      <c r="BK105" s="237">
        <v>45446</v>
      </c>
      <c r="BL105" s="149">
        <v>0.26300000000000001</v>
      </c>
      <c r="BM105" s="203">
        <f t="shared" si="76"/>
        <v>2.3077947282544673E-2</v>
      </c>
      <c r="BN105" s="240" t="str">
        <f t="shared" si="77"/>
        <v>Growth</v>
      </c>
      <c r="BO105" s="243">
        <f t="shared" si="75"/>
        <v>2</v>
      </c>
      <c r="BP105" s="243"/>
    </row>
    <row r="106" spans="62:68" x14ac:dyDescent="0.2">
      <c r="BJ106" s="149">
        <v>6</v>
      </c>
      <c r="BK106" s="237">
        <v>45474</v>
      </c>
      <c r="BL106" s="149">
        <v>0.26300000000000001</v>
      </c>
      <c r="BM106" s="203">
        <f t="shared" si="76"/>
        <v>0</v>
      </c>
      <c r="BN106" s="240" t="str">
        <f t="shared" si="77"/>
        <v>No Growth</v>
      </c>
      <c r="BO106" s="243">
        <f t="shared" si="75"/>
        <v>1</v>
      </c>
      <c r="BP106" s="243"/>
    </row>
    <row r="107" spans="62:68" x14ac:dyDescent="0.2">
      <c r="BJ107" s="149">
        <v>7</v>
      </c>
      <c r="BK107" s="237">
        <v>45505</v>
      </c>
      <c r="BL107" s="149">
        <v>0.26300000000000001</v>
      </c>
      <c r="BM107" s="203">
        <f t="shared" si="76"/>
        <v>0</v>
      </c>
      <c r="BN107" s="240" t="str">
        <f t="shared" si="77"/>
        <v>No Growth</v>
      </c>
      <c r="BO107" s="243">
        <f t="shared" si="75"/>
        <v>1</v>
      </c>
      <c r="BP107" s="243"/>
    </row>
    <row r="108" spans="62:68" x14ac:dyDescent="0.2">
      <c r="BJ108" s="149">
        <v>8</v>
      </c>
      <c r="BK108" s="237">
        <v>45538</v>
      </c>
      <c r="BL108" s="149">
        <v>0.26300000000000001</v>
      </c>
      <c r="BM108" s="203">
        <f t="shared" si="76"/>
        <v>0</v>
      </c>
      <c r="BN108" s="240" t="str">
        <f t="shared" si="77"/>
        <v>No Growth</v>
      </c>
      <c r="BO108" s="243">
        <f t="shared" si="75"/>
        <v>1</v>
      </c>
      <c r="BP108" s="243"/>
    </row>
    <row r="109" spans="62:68" x14ac:dyDescent="0.2">
      <c r="BJ109" s="149">
        <v>9</v>
      </c>
      <c r="BK109" s="237">
        <v>45566</v>
      </c>
      <c r="BL109" s="149">
        <v>0.26400000000000001</v>
      </c>
      <c r="BM109" s="203">
        <f t="shared" si="76"/>
        <v>3.7950709685515343E-3</v>
      </c>
      <c r="BN109" s="240" t="str">
        <f t="shared" si="77"/>
        <v>Growth</v>
      </c>
      <c r="BO109" s="243">
        <f t="shared" si="75"/>
        <v>2</v>
      </c>
      <c r="BP109" s="243"/>
    </row>
    <row r="110" spans="62:68" x14ac:dyDescent="0.2">
      <c r="BJ110" s="149">
        <v>10</v>
      </c>
      <c r="BK110" s="237">
        <v>45597</v>
      </c>
      <c r="BL110" s="149">
        <v>0.26400000000000001</v>
      </c>
      <c r="BM110" s="203">
        <f t="shared" si="76"/>
        <v>0</v>
      </c>
      <c r="BN110" s="240" t="str">
        <f t="shared" si="77"/>
        <v>No Growth</v>
      </c>
      <c r="BO110" s="243">
        <f t="shared" si="75"/>
        <v>1</v>
      </c>
      <c r="BP110" s="243"/>
    </row>
    <row r="111" spans="62:68" x14ac:dyDescent="0.2">
      <c r="BJ111" s="149">
        <v>11</v>
      </c>
      <c r="BK111" s="237">
        <v>45628</v>
      </c>
      <c r="BL111" s="149">
        <v>0.26400000000000001</v>
      </c>
      <c r="BM111" s="180">
        <f t="shared" si="76"/>
        <v>0</v>
      </c>
      <c r="BN111" s="240" t="str">
        <f t="shared" si="77"/>
        <v>No Growth</v>
      </c>
      <c r="BO111" s="243">
        <f t="shared" si="75"/>
        <v>1</v>
      </c>
      <c r="BP111" s="243"/>
    </row>
    <row r="112" spans="62:68" ht="13.5" thickBot="1" x14ac:dyDescent="0.25">
      <c r="BJ112" s="149">
        <v>12</v>
      </c>
      <c r="BK112" s="238">
        <v>45659</v>
      </c>
      <c r="BL112" s="228">
        <v>0.26400000000000001</v>
      </c>
      <c r="BM112" s="229">
        <f t="shared" si="76"/>
        <v>0</v>
      </c>
      <c r="BN112" s="242" t="str">
        <f t="shared" si="77"/>
        <v>No Growth</v>
      </c>
      <c r="BO112" s="243">
        <f t="shared" si="75"/>
        <v>1</v>
      </c>
      <c r="BP112" s="243"/>
    </row>
    <row r="113" spans="62:68" x14ac:dyDescent="0.2">
      <c r="BJ113" s="149">
        <v>1</v>
      </c>
      <c r="BK113" s="237">
        <v>45691</v>
      </c>
      <c r="BL113" s="149">
        <v>0.26400000000000001</v>
      </c>
      <c r="BM113" s="203">
        <f t="shared" si="76"/>
        <v>0</v>
      </c>
      <c r="BN113" s="240" t="str">
        <f t="shared" si="77"/>
        <v>No Growth</v>
      </c>
      <c r="BO113" s="243">
        <f t="shared" si="75"/>
        <v>1</v>
      </c>
      <c r="BP113" s="243"/>
    </row>
    <row r="114" spans="62:68" x14ac:dyDescent="0.2">
      <c r="BJ114" s="149">
        <v>2</v>
      </c>
      <c r="BK114" s="237">
        <v>45719</v>
      </c>
      <c r="BL114" s="149">
        <v>0.26800000000000002</v>
      </c>
      <c r="BM114" s="203">
        <f t="shared" si="76"/>
        <v>1.5037877364540502E-2</v>
      </c>
      <c r="BN114" s="240" t="str">
        <f t="shared" si="77"/>
        <v>Growth</v>
      </c>
      <c r="BO114" s="243">
        <f t="shared" si="75"/>
        <v>2</v>
      </c>
      <c r="BP114" s="243"/>
    </row>
    <row r="115" spans="62:68" x14ac:dyDescent="0.2">
      <c r="BJ115" s="149">
        <v>3</v>
      </c>
      <c r="BK115" s="237">
        <v>45748</v>
      </c>
      <c r="BL115" s="149">
        <v>0.26900000000000002</v>
      </c>
      <c r="BM115" s="203">
        <f t="shared" si="76"/>
        <v>3.7243990909824939E-3</v>
      </c>
      <c r="BN115" s="240" t="str">
        <f t="shared" si="77"/>
        <v>Growth</v>
      </c>
      <c r="BO115" s="243">
        <f t="shared" si="75"/>
        <v>2</v>
      </c>
      <c r="BP115" s="243"/>
    </row>
    <row r="116" spans="62:68" x14ac:dyDescent="0.2">
      <c r="BJ116" s="149">
        <v>4</v>
      </c>
      <c r="BK116" s="237">
        <v>45778</v>
      </c>
      <c r="BL116" s="149">
        <v>0.26900000000000002</v>
      </c>
      <c r="BM116" s="203">
        <f t="shared" si="76"/>
        <v>0</v>
      </c>
      <c r="BN116" s="240" t="str">
        <f t="shared" si="77"/>
        <v>No Growth</v>
      </c>
      <c r="BO116" s="243">
        <f t="shared" si="75"/>
        <v>1</v>
      </c>
      <c r="BP116" s="243"/>
    </row>
    <row r="117" spans="62:68" x14ac:dyDescent="0.2">
      <c r="BJ117" s="149">
        <v>5</v>
      </c>
      <c r="BK117" s="237">
        <v>45810</v>
      </c>
      <c r="BL117" s="149">
        <v>0.26900000000000002</v>
      </c>
      <c r="BM117" s="203">
        <f t="shared" si="76"/>
        <v>0</v>
      </c>
      <c r="BN117" s="240" t="str">
        <f t="shared" si="77"/>
        <v>No Growth</v>
      </c>
      <c r="BO117" s="243">
        <f t="shared" si="75"/>
        <v>1</v>
      </c>
      <c r="BP117" s="243"/>
    </row>
    <row r="118" spans="62:68" x14ac:dyDescent="0.2">
      <c r="BJ118" s="149">
        <v>6</v>
      </c>
      <c r="BK118" s="237">
        <v>45839</v>
      </c>
      <c r="BL118" s="149">
        <v>0.26900000000000002</v>
      </c>
      <c r="BM118" s="203">
        <f t="shared" si="76"/>
        <v>0</v>
      </c>
      <c r="BN118" s="240" t="str">
        <f t="shared" si="77"/>
        <v>No Growth</v>
      </c>
      <c r="BO118" s="243">
        <f t="shared" si="75"/>
        <v>1</v>
      </c>
      <c r="BP118" s="243"/>
    </row>
    <row r="119" spans="62:68" x14ac:dyDescent="0.2">
      <c r="BJ119" s="149">
        <v>7</v>
      </c>
      <c r="BK119" s="237">
        <v>45870</v>
      </c>
      <c r="BL119" s="149">
        <v>0.26900000000000002</v>
      </c>
      <c r="BM119" s="203">
        <f t="shared" si="76"/>
        <v>0</v>
      </c>
      <c r="BN119" s="240" t="str">
        <f t="shared" si="77"/>
        <v>No Growth</v>
      </c>
      <c r="BO119" s="243">
        <f t="shared" si="75"/>
        <v>1</v>
      </c>
      <c r="BP119" s="243"/>
    </row>
    <row r="120" spans="62:68" x14ac:dyDescent="0.2">
      <c r="BJ120" s="149">
        <v>8</v>
      </c>
      <c r="BK120" s="237">
        <v>45902</v>
      </c>
      <c r="BL120" s="149">
        <v>0.26900000000000002</v>
      </c>
      <c r="BM120" s="203">
        <f t="shared" si="76"/>
        <v>0</v>
      </c>
      <c r="BN120" s="240" t="str">
        <f t="shared" si="77"/>
        <v>No Growth</v>
      </c>
      <c r="BO120" s="243">
        <f t="shared" si="75"/>
        <v>1</v>
      </c>
      <c r="BP120" s="243"/>
    </row>
    <row r="121" spans="62:68" x14ac:dyDescent="0.2">
      <c r="BJ121" s="149">
        <v>9</v>
      </c>
      <c r="BK121" s="237">
        <v>45931</v>
      </c>
      <c r="BL121" s="149">
        <v>0.27</v>
      </c>
      <c r="BM121" s="203">
        <f t="shared" si="76"/>
        <v>3.7105793965355534E-3</v>
      </c>
      <c r="BN121" s="240" t="str">
        <f t="shared" si="77"/>
        <v>Growth</v>
      </c>
      <c r="BO121" s="243">
        <f t="shared" si="75"/>
        <v>2</v>
      </c>
      <c r="BP121" s="243"/>
    </row>
    <row r="122" spans="62:68" x14ac:dyDescent="0.2">
      <c r="BJ122" s="149">
        <v>10</v>
      </c>
      <c r="BM122" s="150"/>
      <c r="BO122" s="243"/>
      <c r="BP122" s="243"/>
    </row>
    <row r="123" spans="62:68" x14ac:dyDescent="0.2">
      <c r="BJ123" s="149">
        <v>11</v>
      </c>
      <c r="BM123" s="150"/>
    </row>
    <row r="124" spans="62:68" x14ac:dyDescent="0.2">
      <c r="BJ124" s="149">
        <v>12</v>
      </c>
      <c r="BM124" s="245" t="s">
        <v>235</v>
      </c>
      <c r="BN124" s="241">
        <f>COUNTIF(BN6:BN121, "Growth")</f>
        <v>28</v>
      </c>
    </row>
    <row r="125" spans="62:68" x14ac:dyDescent="0.2">
      <c r="BM125" s="245" t="s">
        <v>236</v>
      </c>
      <c r="BN125" s="241">
        <f>COUNTIF(BN6:BN121, "No Growth")</f>
        <v>88</v>
      </c>
    </row>
    <row r="129" spans="63:70" ht="25.5" x14ac:dyDescent="0.2">
      <c r="BK129" s="37"/>
      <c r="BL129" s="255" t="s">
        <v>207</v>
      </c>
      <c r="BM129" s="255" t="s">
        <v>239</v>
      </c>
      <c r="BN129" s="255" t="s">
        <v>238</v>
      </c>
      <c r="BO129" s="255" t="s">
        <v>237</v>
      </c>
      <c r="BP129" s="255" t="s">
        <v>219</v>
      </c>
      <c r="BQ129" s="255" t="s">
        <v>220</v>
      </c>
      <c r="BR129" s="255" t="s">
        <v>240</v>
      </c>
    </row>
    <row r="130" spans="63:70" x14ac:dyDescent="0.2">
      <c r="BK130" s="253" t="s">
        <v>224</v>
      </c>
      <c r="BL130" s="160">
        <f>SUMIF(BJ6:BJ121, "1", BM6:BM121)</f>
        <v>0.11049789277487117</v>
      </c>
      <c r="BM130" s="156">
        <f>COUNTIFS($BJ$6:$BJ$121, "1", $BN$6:$BN$121, "Growth")</f>
        <v>4</v>
      </c>
      <c r="BN130" s="156">
        <f>COUNTIFS($BJ$6:$BJ$121, "1", $BN$6:$BN$121, "No Growth")</f>
        <v>5</v>
      </c>
      <c r="BO130" s="156">
        <f>SUM(BM130:BN130)</f>
        <v>9</v>
      </c>
      <c r="BP130" s="261">
        <f>BM130/$BO130</f>
        <v>0.44444444444444442</v>
      </c>
      <c r="BQ130" s="261">
        <f>BN130/$BO130</f>
        <v>0.55555555555555558</v>
      </c>
      <c r="BR130" s="262">
        <f>BL130/BM130</f>
        <v>2.7624473193717792E-2</v>
      </c>
    </row>
    <row r="131" spans="63:70" x14ac:dyDescent="0.2">
      <c r="BK131" s="253" t="s">
        <v>223</v>
      </c>
      <c r="BL131" s="160">
        <f>SUMIF(BJ6:BJ121, "2", BM6:BM121)</f>
        <v>3.8848526058259107E-2</v>
      </c>
      <c r="BM131" s="156">
        <f>COUNTIFS(BJ6:BJ121, "2", BN6:BN121, "Growth")</f>
        <v>2</v>
      </c>
      <c r="BN131" s="156">
        <f>COUNTIFS($BJ$6:$BJ$121, "2", $BN$6:$BN$121, "No Growth")</f>
        <v>8</v>
      </c>
      <c r="BO131" s="156">
        <f t="shared" ref="BO131:BO141" si="78">SUM(BM131:BN131)</f>
        <v>10</v>
      </c>
      <c r="BP131" s="261">
        <f t="shared" ref="BP131:BQ131" si="79">BM131/$BO131</f>
        <v>0.2</v>
      </c>
      <c r="BQ131" s="261">
        <f t="shared" si="79"/>
        <v>0.8</v>
      </c>
      <c r="BR131" s="160">
        <f t="shared" ref="BR131:BR141" si="80">BL131/BM131</f>
        <v>1.9424263029129554E-2</v>
      </c>
    </row>
    <row r="132" spans="63:70" x14ac:dyDescent="0.2">
      <c r="BK132" s="253" t="s">
        <v>226</v>
      </c>
      <c r="BL132" s="160">
        <f>SUMIF(BJ6:BJ121, "3", BM6:BM121)</f>
        <v>8.2802584662557965E-3</v>
      </c>
      <c r="BM132" s="156">
        <f>COUNTIFS(BJ6:BJ121, "3", BN6:BN121, "Growth")</f>
        <v>2</v>
      </c>
      <c r="BN132" s="156">
        <f>COUNTIFS($BJ$6:$BJ$121, "3", $BN$6:$BN$121, "No Growth")</f>
        <v>8</v>
      </c>
      <c r="BO132" s="156">
        <f t="shared" si="78"/>
        <v>10</v>
      </c>
      <c r="BP132" s="261">
        <f t="shared" ref="BP132:BP141" si="81">BM132/$BO132</f>
        <v>0.2</v>
      </c>
      <c r="BQ132" s="261">
        <f t="shared" ref="BQ132:BQ141" si="82">BN132/$BO132</f>
        <v>0.8</v>
      </c>
      <c r="BR132" s="160">
        <f t="shared" si="80"/>
        <v>4.1401292331278983E-3</v>
      </c>
    </row>
    <row r="133" spans="63:70" x14ac:dyDescent="0.2">
      <c r="BK133" s="253" t="s">
        <v>225</v>
      </c>
      <c r="BL133" s="160">
        <f>SUMIF(BJ6:BJ121, "4", BM6:BM121)</f>
        <v>0</v>
      </c>
      <c r="BM133" s="156">
        <f>COUNTIFS(BJ6:BJ121, "4", BN6:BN121, "Growth")</f>
        <v>0</v>
      </c>
      <c r="BN133" s="156">
        <f>COUNTIFS($BJ$6:$BJ$121, "4", $BN$6:$BN$121, "No Growth")</f>
        <v>10</v>
      </c>
      <c r="BO133" s="156">
        <f t="shared" si="78"/>
        <v>10</v>
      </c>
      <c r="BP133" s="261">
        <f t="shared" si="81"/>
        <v>0</v>
      </c>
      <c r="BQ133" s="261">
        <f t="shared" si="82"/>
        <v>1</v>
      </c>
      <c r="BR133" s="160">
        <v>0</v>
      </c>
    </row>
    <row r="134" spans="63:70" x14ac:dyDescent="0.2">
      <c r="BK134" s="253" t="s">
        <v>227</v>
      </c>
      <c r="BL134" s="160">
        <f>SUMIF(BJ6:BJ121, "5", BM6:BM121)</f>
        <v>2.3077947282544673E-2</v>
      </c>
      <c r="BM134" s="156">
        <f>COUNTIFS(BJ6:BJ121, "5", BN6:BN121, "Growth")</f>
        <v>1</v>
      </c>
      <c r="BN134" s="156">
        <f>COUNTIFS($BJ$6:$BJ$121, "5", $BN$6:$BN$121, "No Growth")</f>
        <v>9</v>
      </c>
      <c r="BO134" s="156">
        <f t="shared" si="78"/>
        <v>10</v>
      </c>
      <c r="BP134" s="261">
        <f t="shared" si="81"/>
        <v>0.1</v>
      </c>
      <c r="BQ134" s="261">
        <f t="shared" si="82"/>
        <v>0.9</v>
      </c>
      <c r="BR134" s="160">
        <f t="shared" si="80"/>
        <v>2.3077947282544673E-2</v>
      </c>
    </row>
    <row r="135" spans="63:70" x14ac:dyDescent="0.2">
      <c r="BK135" s="253" t="s">
        <v>228</v>
      </c>
      <c r="BL135" s="160">
        <f>SUMIF(BJ6:BJ121, "6", BM6:BM121)</f>
        <v>3.0639176065908557E-2</v>
      </c>
      <c r="BM135" s="156">
        <f>COUNTIFS(BJ6:BJ121, "6", BN6:BN121, "Growth")</f>
        <v>7</v>
      </c>
      <c r="BN135" s="156">
        <f>COUNTIFS($BJ$6:$BJ$121, "6", $BN$6:$BN$121, "No Growth")</f>
        <v>3</v>
      </c>
      <c r="BO135" s="156">
        <f t="shared" si="78"/>
        <v>10</v>
      </c>
      <c r="BP135" s="261">
        <f t="shared" si="81"/>
        <v>0.7</v>
      </c>
      <c r="BQ135" s="261">
        <f t="shared" si="82"/>
        <v>0.3</v>
      </c>
      <c r="BR135" s="160">
        <f t="shared" si="80"/>
        <v>4.3770251522726508E-3</v>
      </c>
    </row>
    <row r="136" spans="63:70" x14ac:dyDescent="0.2">
      <c r="BK136" s="253" t="s">
        <v>229</v>
      </c>
      <c r="BL136" s="160">
        <f>SUMIF(BJ6:BJ121, "7", BM6:BM121)</f>
        <v>0</v>
      </c>
      <c r="BM136" s="156">
        <f>COUNTIFS(BJ6:BJ121, "7", BN6:BN121, "Growth")</f>
        <v>0</v>
      </c>
      <c r="BN136" s="156">
        <f>COUNTIFS($BJ$6:$BJ$121, "7", $BN$6:$BN$121, "No Growth")</f>
        <v>10</v>
      </c>
      <c r="BO136" s="156">
        <f t="shared" si="78"/>
        <v>10</v>
      </c>
      <c r="BP136" s="261">
        <f t="shared" si="81"/>
        <v>0</v>
      </c>
      <c r="BQ136" s="261">
        <f t="shared" si="82"/>
        <v>1</v>
      </c>
      <c r="BR136" s="160">
        <v>0</v>
      </c>
    </row>
    <row r="137" spans="63:70" x14ac:dyDescent="0.2">
      <c r="BK137" s="253" t="s">
        <v>230</v>
      </c>
      <c r="BL137" s="160">
        <f>SUMIF(BJ6:BJ121, "8", BM6:BM121)</f>
        <v>9.9504330316177881E-3</v>
      </c>
      <c r="BM137" s="156">
        <f>COUNTIFS(BJ6:BJ121, "8", BN6:BN121, "Growth")</f>
        <v>1</v>
      </c>
      <c r="BN137" s="156">
        <f>COUNTIFS($BJ$6:$BJ$121, "8", $BN$6:$BN$121, "No Growth")</f>
        <v>9</v>
      </c>
      <c r="BO137" s="156">
        <f t="shared" si="78"/>
        <v>10</v>
      </c>
      <c r="BP137" s="261">
        <f t="shared" si="81"/>
        <v>0.1</v>
      </c>
      <c r="BQ137" s="261">
        <f t="shared" si="82"/>
        <v>0.9</v>
      </c>
      <c r="BR137" s="160">
        <f t="shared" si="80"/>
        <v>9.9504330316177881E-3</v>
      </c>
    </row>
    <row r="138" spans="63:70" x14ac:dyDescent="0.2">
      <c r="BK138" s="253" t="s">
        <v>231</v>
      </c>
      <c r="BL138" s="160">
        <f>SUMIF(BJ6:BJ121, "9", BM6:BM121)</f>
        <v>1.2040847982202058E-2</v>
      </c>
      <c r="BM138" s="156">
        <f>COUNTIFS(BJ6:BJ121, "9", BN6:BN121, "Growth")</f>
        <v>3</v>
      </c>
      <c r="BN138" s="156">
        <f>COUNTIFS($BJ$6:$BJ$121, "9", $BN$6:$BN$121, "No Growth")</f>
        <v>7</v>
      </c>
      <c r="BO138" s="156">
        <f t="shared" si="78"/>
        <v>10</v>
      </c>
      <c r="BP138" s="261">
        <f t="shared" si="81"/>
        <v>0.3</v>
      </c>
      <c r="BQ138" s="261">
        <f t="shared" si="82"/>
        <v>0.7</v>
      </c>
      <c r="BR138" s="160">
        <f t="shared" si="80"/>
        <v>4.0136159940673526E-3</v>
      </c>
    </row>
    <row r="139" spans="63:70" x14ac:dyDescent="0.2">
      <c r="BK139" s="253" t="s">
        <v>232</v>
      </c>
      <c r="BL139" s="160">
        <f>SUMIF(BJ6:BJ121, "10", BM6:BM121)</f>
        <v>0</v>
      </c>
      <c r="BM139" s="156">
        <f>COUNTIFS(BJ6:BJ121, "10", BN6:BN121, "Growth")</f>
        <v>0</v>
      </c>
      <c r="BN139" s="156">
        <f>COUNTIFS($BJ$6:$BJ$121, "10", $BN$6:$BN$121, "No Growth")</f>
        <v>9</v>
      </c>
      <c r="BO139" s="156">
        <f t="shared" si="78"/>
        <v>9</v>
      </c>
      <c r="BP139" s="261">
        <f t="shared" si="81"/>
        <v>0</v>
      </c>
      <c r="BQ139" s="261">
        <f t="shared" si="82"/>
        <v>1</v>
      </c>
      <c r="BR139" s="160">
        <v>0</v>
      </c>
    </row>
    <row r="140" spans="63:70" x14ac:dyDescent="0.2">
      <c r="BK140" s="253" t="s">
        <v>233</v>
      </c>
      <c r="BL140" s="160">
        <f>SUMIF(BJ6:BJ121, "11", BM6:BM121)</f>
        <v>7.2999143729113702E-2</v>
      </c>
      <c r="BM140" s="156">
        <f>COUNTIFS(BJ6:BJ121, "11", BN6:BN121, "Growth")</f>
        <v>1</v>
      </c>
      <c r="BN140" s="156">
        <f>COUNTIFS($BJ$6:$BJ$121, "11", $BN$6:$BN$121, "No Growth")</f>
        <v>8</v>
      </c>
      <c r="BO140" s="156">
        <f t="shared" si="78"/>
        <v>9</v>
      </c>
      <c r="BP140" s="261">
        <f t="shared" si="81"/>
        <v>0.1111111111111111</v>
      </c>
      <c r="BQ140" s="261">
        <f t="shared" si="82"/>
        <v>0.88888888888888884</v>
      </c>
      <c r="BR140" s="160">
        <f t="shared" si="80"/>
        <v>7.2999143729113702E-2</v>
      </c>
    </row>
    <row r="141" spans="63:70" x14ac:dyDescent="0.2">
      <c r="BK141" s="253" t="s">
        <v>234</v>
      </c>
      <c r="BL141" s="160">
        <f>SUMIF(BJ6:BJ121, "12", BM6:BM121)</f>
        <v>3.0283947804590143E-2</v>
      </c>
      <c r="BM141" s="156">
        <f>COUNTIFS(BJ6:BJ121, "12", BN6:BN121, "Growth")</f>
        <v>7</v>
      </c>
      <c r="BN141" s="156">
        <f>COUNTIFS($BJ$6:$BJ$121, "12", $BN$6:$BN$121, "No Growth")</f>
        <v>2</v>
      </c>
      <c r="BO141" s="156">
        <f t="shared" si="78"/>
        <v>9</v>
      </c>
      <c r="BP141" s="261">
        <f t="shared" si="81"/>
        <v>0.77777777777777779</v>
      </c>
      <c r="BQ141" s="261">
        <f t="shared" si="82"/>
        <v>0.22222222222222221</v>
      </c>
      <c r="BR141" s="160">
        <f t="shared" si="80"/>
        <v>4.3262782577985917E-3</v>
      </c>
    </row>
    <row r="142" spans="63:70" x14ac:dyDescent="0.2">
      <c r="BK142" s="256" t="s">
        <v>1</v>
      </c>
      <c r="BL142" s="257">
        <f>SUM(BL130:BL141)</f>
        <v>0.33661817319536297</v>
      </c>
      <c r="BM142" s="260">
        <f>SUM(BM130:BM141)</f>
        <v>28</v>
      </c>
      <c r="BN142" s="260">
        <f>SUM(BN130:BN141)</f>
        <v>88</v>
      </c>
      <c r="BO142" s="260">
        <f>SUM(BO130:BO141)</f>
        <v>116</v>
      </c>
      <c r="BP142" s="259"/>
      <c r="BQ142" s="258"/>
      <c r="BR142" s="253"/>
    </row>
    <row r="143" spans="63:70" x14ac:dyDescent="0.2">
      <c r="BL143" s="150"/>
    </row>
  </sheetData>
  <phoneticPr fontId="46" type="noConversion"/>
  <conditionalFormatting sqref="AP7:BI7">
    <cfRule type="colorScale" priority="1">
      <colorScale>
        <cfvo type="min"/>
        <cfvo type="max"/>
        <color rgb="FFFCFCFF"/>
        <color rgb="FF63BE7B"/>
      </colorScale>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1269F-8F7D-4D13-B860-3C23DEC0A08C}">
  <dimension ref="B4:K24"/>
  <sheetViews>
    <sheetView showGridLines="0" showRowColHeaders="0" topLeftCell="A4" zoomScale="130" zoomScaleNormal="130" workbookViewId="0">
      <selection activeCell="E27" sqref="E27"/>
      <extLst>
        <ext xmlns:xlsdti="http://schemas.microsoft.com/office/spreadsheetml/2023/showDataTypeIcons" uri="{77bfe23e-c014-4d31-8a63-9c772dbf06b6}">
          <xlsdti:showDataTypeIcons visible="0"/>
        </ext>
      </extLst>
    </sheetView>
  </sheetViews>
  <sheetFormatPr defaultColWidth="9.140625" defaultRowHeight="16.5" x14ac:dyDescent="0.25"/>
  <cols>
    <col min="1" max="16384" width="9.140625" style="20"/>
  </cols>
  <sheetData>
    <row r="4" spans="2:11" ht="21.75" x14ac:dyDescent="0.3">
      <c r="B4" s="22" t="s">
        <v>86</v>
      </c>
    </row>
    <row r="6" spans="2:11" x14ac:dyDescent="0.25">
      <c r="B6" s="24" t="s">
        <v>87</v>
      </c>
      <c r="C6" s="23"/>
      <c r="D6" s="23"/>
      <c r="E6" s="23"/>
      <c r="F6" s="23"/>
      <c r="G6" s="23"/>
      <c r="H6" s="23"/>
      <c r="I6" s="23"/>
      <c r="J6" s="23"/>
      <c r="K6" s="23"/>
    </row>
    <row r="7" spans="2:11" x14ac:dyDescent="0.25">
      <c r="B7" s="20" t="s">
        <v>88</v>
      </c>
    </row>
    <row r="8" spans="2:11" x14ac:dyDescent="0.25">
      <c r="B8" s="20" t="s">
        <v>89</v>
      </c>
    </row>
    <row r="9" spans="2:11" x14ac:dyDescent="0.25">
      <c r="B9" s="20" t="s">
        <v>90</v>
      </c>
    </row>
    <row r="11" spans="2:11" x14ac:dyDescent="0.25">
      <c r="C11" s="20" t="s">
        <v>91</v>
      </c>
    </row>
    <row r="12" spans="2:11" x14ac:dyDescent="0.25">
      <c r="C12" s="20" t="s">
        <v>92</v>
      </c>
    </row>
    <row r="13" spans="2:11" x14ac:dyDescent="0.25">
      <c r="C13" s="20" t="s">
        <v>93</v>
      </c>
    </row>
    <row r="16" spans="2:11" x14ac:dyDescent="0.25">
      <c r="B16" s="20" t="s">
        <v>94</v>
      </c>
    </row>
    <row r="17" spans="2:11" x14ac:dyDescent="0.25">
      <c r="B17" s="20" t="s">
        <v>95</v>
      </c>
    </row>
    <row r="19" spans="2:11" x14ac:dyDescent="0.25">
      <c r="B19" s="20" t="s">
        <v>96</v>
      </c>
    </row>
    <row r="21" spans="2:11" x14ac:dyDescent="0.25">
      <c r="B21" s="20" t="s">
        <v>121</v>
      </c>
      <c r="K21" s="21"/>
    </row>
    <row r="22" spans="2:11" x14ac:dyDescent="0.25">
      <c r="B22" s="20" t="s">
        <v>122</v>
      </c>
    </row>
    <row r="23" spans="2:11" x14ac:dyDescent="0.25">
      <c r="B23" s="20" t="s">
        <v>123</v>
      </c>
    </row>
    <row r="24" spans="2:11" x14ac:dyDescent="0.25">
      <c r="B24" s="20" t="s">
        <v>124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6567613-e428-4167-ab55-a4f66cede82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600919C5D1CD245AE9967B74E8175F3" ma:contentTypeVersion="4" ma:contentTypeDescription="Create a new document." ma:contentTypeScope="" ma:versionID="120c46befeed181212ee4011ffacfb7d">
  <xsd:schema xmlns:xsd="http://www.w3.org/2001/XMLSchema" xmlns:xs="http://www.w3.org/2001/XMLSchema" xmlns:p="http://schemas.microsoft.com/office/2006/metadata/properties" xmlns:ns3="36567613-e428-4167-ab55-a4f66cede826" targetNamespace="http://schemas.microsoft.com/office/2006/metadata/properties" ma:root="true" ma:fieldsID="f5f46ca8589c002687fe72246ecbcd08" ns3:_="">
    <xsd:import namespace="36567613-e428-4167-ab55-a4f66cede826"/>
    <xsd:element name="properties">
      <xsd:complexType>
        <xsd:sequence>
          <xsd:element name="documentManagement">
            <xsd:complexType>
              <xsd:all>
                <xsd:element ref="ns3:MediaServiceMetadata" minOccurs="0"/>
                <xsd:element ref="ns3:MediaServiceFastMetadata" minOccurs="0"/>
                <xsd:element ref="ns3:_activity"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567613-e428-4167-ab55-a4f66cede8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DF232E-E180-4781-92A7-6243CB701B29}">
  <ds:schemaRefs>
    <ds:schemaRef ds:uri="http://purl.org/dc/dcmitype/"/>
    <ds:schemaRef ds:uri="http://schemas.microsoft.com/office/infopath/2007/PartnerControls"/>
    <ds:schemaRef ds:uri="http://www.w3.org/XML/1998/namespace"/>
    <ds:schemaRef ds:uri="http://schemas.microsoft.com/office/2006/documentManagement/types"/>
    <ds:schemaRef ds:uri="http://purl.org/dc/elements/1.1/"/>
    <ds:schemaRef ds:uri="http://purl.org/dc/terms/"/>
    <ds:schemaRef ds:uri="http://schemas.openxmlformats.org/package/2006/metadata/core-properties"/>
    <ds:schemaRef ds:uri="36567613-e428-4167-ab55-a4f66cede826"/>
    <ds:schemaRef ds:uri="http://schemas.microsoft.com/office/2006/metadata/properties"/>
  </ds:schemaRefs>
</ds:datastoreItem>
</file>

<file path=customXml/itemProps2.xml><?xml version="1.0" encoding="utf-8"?>
<ds:datastoreItem xmlns:ds="http://schemas.openxmlformats.org/officeDocument/2006/customXml" ds:itemID="{B2707493-DF86-4FBC-BE78-5C2D64B553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567613-e428-4167-ab55-a4f66cede8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6B08E3B-D176-4C81-99D9-FE8967A245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 Screening</vt:lpstr>
      <vt:lpstr>Dashboard, Screening</vt:lpstr>
      <vt:lpstr>Optimization</vt:lpstr>
      <vt:lpstr>Data &amp; Analysis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Gonzalez Herrera, Abraham</dc:creator>
  <cp:lastModifiedBy>Abraham Gonzalez Herrera</cp:lastModifiedBy>
  <cp:lastPrinted>2026-06-29T21:01:41Z</cp:lastPrinted>
  <dcterms:created xsi:type="dcterms:W3CDTF">2023-12-04T16:16:16Z</dcterms:created>
  <dcterms:modified xsi:type="dcterms:W3CDTF">2026-06-29T21:02:49Z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0x0101004600919C5D1CD245AE9967B74E8175F3</vt:lpwstr>
  </property>
  <property fmtid="{D5CDD505-2E9C-101B-9397-08002B2CF9AE}" pid="3" name="MSIP_Label_bc50c7b0-9e53-455f-9b3f-deab1aa8a41e_Enabled">
    <vt:lpwstr>true</vt:lpwstr>
  </property>
  <property fmtid="{D5CDD505-2E9C-101B-9397-08002B2CF9AE}" pid="4" name="MSIP_Label_bc50c7b0-9e53-455f-9b3f-deab1aa8a41e_SetDate">
    <vt:lpwstr>2024-06-07T16:42:15Z</vt:lpwstr>
  </property>
  <property fmtid="{D5CDD505-2E9C-101B-9397-08002B2CF9AE}" pid="5" name="MSIP_Label_bc50c7b0-9e53-455f-9b3f-deab1aa8a41e_Method">
    <vt:lpwstr>Standard</vt:lpwstr>
  </property>
  <property fmtid="{D5CDD505-2E9C-101B-9397-08002B2CF9AE}" pid="6" name="MSIP_Label_bc50c7b0-9e53-455f-9b3f-deab1aa8a41e_Name">
    <vt:lpwstr>defa4170-0d19-0005-0004-bc88714345d2</vt:lpwstr>
  </property>
  <property fmtid="{D5CDD505-2E9C-101B-9397-08002B2CF9AE}" pid="7" name="MSIP_Label_bc50c7b0-9e53-455f-9b3f-deab1aa8a41e_SiteId">
    <vt:lpwstr>7cc8e357-468d-472c-a6fc-c5600e789b55</vt:lpwstr>
  </property>
  <property fmtid="{D5CDD505-2E9C-101B-9397-08002B2CF9AE}" pid="8" name="MSIP_Label_bc50c7b0-9e53-455f-9b3f-deab1aa8a41e_ActionId">
    <vt:lpwstr>9011112e-29e3-49cb-908e-a17c1e3d277a</vt:lpwstr>
  </property>
  <property fmtid="{D5CDD505-2E9C-101B-9397-08002B2CF9AE}" pid="9" name="MSIP_Label_bc50c7b0-9e53-455f-9b3f-deab1aa8a41e_ContentBits">
    <vt:lpwstr>0</vt:lpwstr>
  </property>
</Properties>
</file>