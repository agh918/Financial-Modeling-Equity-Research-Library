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2.xml" ContentType="application/vnd.openxmlformats-officedocument.themeOverrid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E:\Earnings models (BACKUP)\"/>
    </mc:Choice>
  </mc:AlternateContent>
  <xr:revisionPtr revIDLastSave="0" documentId="8_{49656E6B-85CB-4C25-A0B8-965C4E1B842C}" xr6:coauthVersionLast="47" xr6:coauthVersionMax="47" xr10:uidLastSave="{00000000-0000-0000-0000-000000000000}"/>
  <bookViews>
    <workbookView xWindow="-120" yWindow="-120" windowWidth="29040" windowHeight="15720" xr2:uid="{57DEA323-E204-44E7-AD7B-E92EB4E4853D}"/>
  </bookViews>
  <sheets>
    <sheet name="Statements" sheetId="1" r:id="rId1"/>
    <sheet name="Analysis" sheetId="2" r:id="rId2"/>
    <sheet name="Notes" sheetId="3" r:id="rId3"/>
  </sheets>
  <definedNames>
    <definedName name="_xleta.TRANSPOSE"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46" i="1" l="1"/>
  <c r="Q46" i="1"/>
  <c r="R46" i="1"/>
  <c r="S46" i="1"/>
  <c r="T46" i="1"/>
  <c r="U46" i="1"/>
  <c r="O46" i="1"/>
  <c r="K39" i="1"/>
  <c r="D12" i="3"/>
  <c r="D11" i="3"/>
  <c r="D10" i="3"/>
  <c r="D9" i="3"/>
  <c r="X46" i="1"/>
  <c r="W46" i="1"/>
  <c r="V46" i="1"/>
  <c r="D8" i="3"/>
  <c r="D7" i="3"/>
  <c r="D6" i="3"/>
  <c r="X45" i="1" l="1"/>
  <c r="W45" i="1"/>
  <c r="V45" i="1"/>
  <c r="X44" i="1"/>
  <c r="W44" i="1"/>
  <c r="V44" i="1"/>
  <c r="X43" i="1"/>
  <c r="W43" i="1"/>
  <c r="V43" i="1"/>
  <c r="X42" i="1"/>
  <c r="W42" i="1"/>
  <c r="V42" i="1"/>
  <c r="X41" i="1"/>
  <c r="W41" i="1"/>
  <c r="V41" i="1"/>
  <c r="X40" i="1"/>
  <c r="W40" i="1"/>
  <c r="V40" i="1"/>
  <c r="X39" i="1"/>
  <c r="W39" i="1"/>
  <c r="V39" i="1"/>
  <c r="X38" i="1"/>
  <c r="W38" i="1"/>
  <c r="V38" i="1"/>
  <c r="X37" i="1"/>
  <c r="W37" i="1"/>
  <c r="V37" i="1"/>
  <c r="X36" i="1"/>
  <c r="W36" i="1"/>
  <c r="V36" i="1"/>
  <c r="X35" i="1"/>
  <c r="W35" i="1"/>
  <c r="V35" i="1"/>
  <c r="X34" i="1"/>
  <c r="W34" i="1"/>
  <c r="V34" i="1"/>
  <c r="X33" i="1"/>
  <c r="W33" i="1"/>
  <c r="V33" i="1"/>
  <c r="X31" i="1"/>
  <c r="W31" i="1"/>
  <c r="V31" i="1"/>
  <c r="X30" i="1"/>
  <c r="W30" i="1"/>
  <c r="V30" i="1"/>
  <c r="X29" i="1"/>
  <c r="W29" i="1"/>
  <c r="V29" i="1"/>
  <c r="X28" i="1"/>
  <c r="W28" i="1"/>
  <c r="V28" i="1"/>
  <c r="X27" i="1"/>
  <c r="W27" i="1"/>
  <c r="V27" i="1"/>
  <c r="X26" i="1"/>
  <c r="W26" i="1"/>
  <c r="V26" i="1"/>
  <c r="X25" i="1"/>
  <c r="W25" i="1"/>
  <c r="V25" i="1"/>
  <c r="X24" i="1"/>
  <c r="W24" i="1"/>
  <c r="V24" i="1"/>
  <c r="X20" i="1"/>
  <c r="W20" i="1"/>
  <c r="V20" i="1"/>
  <c r="X19" i="1"/>
  <c r="W19" i="1"/>
  <c r="V19" i="1"/>
  <c r="X18" i="1"/>
  <c r="W18" i="1"/>
  <c r="V18" i="1"/>
  <c r="X17" i="1"/>
  <c r="W17" i="1"/>
  <c r="V17" i="1"/>
  <c r="X16" i="1"/>
  <c r="W16" i="1"/>
  <c r="V16" i="1"/>
  <c r="X15" i="1"/>
  <c r="W15" i="1"/>
  <c r="V15" i="1"/>
  <c r="X14" i="1"/>
  <c r="W14" i="1"/>
  <c r="V14" i="1"/>
  <c r="X13" i="1"/>
  <c r="W13" i="1"/>
  <c r="V13" i="1"/>
  <c r="X12" i="1"/>
  <c r="W12" i="1"/>
  <c r="V12" i="1"/>
  <c r="X11" i="1"/>
  <c r="W11" i="1"/>
  <c r="V11" i="1"/>
  <c r="L17" i="1"/>
  <c r="K17" i="1"/>
  <c r="J17" i="1"/>
  <c r="L48" i="1"/>
  <c r="K48" i="1"/>
  <c r="J48" i="1"/>
  <c r="L47" i="1"/>
  <c r="K47" i="1"/>
  <c r="J47" i="1"/>
  <c r="L46" i="1"/>
  <c r="K46" i="1"/>
  <c r="J46" i="1"/>
  <c r="L45" i="1"/>
  <c r="K45" i="1"/>
  <c r="J45" i="1"/>
  <c r="L44" i="1"/>
  <c r="K44" i="1"/>
  <c r="J44" i="1"/>
  <c r="L43" i="1"/>
  <c r="K43" i="1"/>
  <c r="J43" i="1"/>
  <c r="L42" i="1"/>
  <c r="K42" i="1"/>
  <c r="J42" i="1"/>
  <c r="L41" i="1"/>
  <c r="K41" i="1"/>
  <c r="J41" i="1"/>
  <c r="L40" i="1"/>
  <c r="K40" i="1"/>
  <c r="J40" i="1"/>
  <c r="L39" i="1"/>
  <c r="J39" i="1"/>
  <c r="L38" i="1"/>
  <c r="K38" i="1"/>
  <c r="J38" i="1"/>
  <c r="L37" i="1"/>
  <c r="K37" i="1"/>
  <c r="J37" i="1"/>
  <c r="L36" i="1"/>
  <c r="K36" i="1"/>
  <c r="J36" i="1"/>
  <c r="L34" i="1"/>
  <c r="K34" i="1"/>
  <c r="J34" i="1"/>
  <c r="L33" i="1"/>
  <c r="K33" i="1"/>
  <c r="J33" i="1"/>
  <c r="L32" i="1"/>
  <c r="K32" i="1"/>
  <c r="J32" i="1"/>
  <c r="L31" i="1"/>
  <c r="K31" i="1"/>
  <c r="J31" i="1"/>
  <c r="L30" i="1"/>
  <c r="K30" i="1"/>
  <c r="J30" i="1"/>
  <c r="L29" i="1"/>
  <c r="K29" i="1"/>
  <c r="J29" i="1"/>
  <c r="L28" i="1"/>
  <c r="K28" i="1"/>
  <c r="J28" i="1"/>
  <c r="L26" i="1"/>
  <c r="K26" i="1"/>
  <c r="J26" i="1"/>
  <c r="L25" i="1"/>
  <c r="K25" i="1"/>
  <c r="J25" i="1"/>
  <c r="L24" i="1"/>
  <c r="K24" i="1"/>
  <c r="J24" i="1"/>
  <c r="L23" i="1"/>
  <c r="K23" i="1"/>
  <c r="J23" i="1"/>
  <c r="L22" i="1"/>
  <c r="K22" i="1"/>
  <c r="J22" i="1"/>
  <c r="L21" i="1"/>
  <c r="K21" i="1"/>
  <c r="J21" i="1"/>
  <c r="L20" i="1"/>
  <c r="K20" i="1"/>
  <c r="J20" i="1"/>
  <c r="L16" i="1"/>
  <c r="K16" i="1"/>
  <c r="J16" i="1"/>
  <c r="L15" i="1"/>
  <c r="K15" i="1"/>
  <c r="J15" i="1"/>
  <c r="L14" i="1"/>
  <c r="K14" i="1"/>
  <c r="J14" i="1"/>
  <c r="L13" i="1"/>
  <c r="K13" i="1"/>
  <c r="J13" i="1"/>
  <c r="L12" i="1"/>
  <c r="K12" i="1"/>
  <c r="J12" i="1"/>
  <c r="L11" i="1"/>
  <c r="K11" i="1"/>
  <c r="J11" i="1"/>
  <c r="L10" i="1"/>
  <c r="K10" i="1"/>
  <c r="J10" i="1"/>
  <c r="U45" i="1"/>
  <c r="U41" i="1"/>
  <c r="U42" i="1" s="1"/>
  <c r="U38" i="1"/>
  <c r="U37" i="1"/>
  <c r="U39" i="1" s="1"/>
  <c r="U35" i="1"/>
  <c r="U40" i="1" s="1"/>
  <c r="U34" i="1"/>
  <c r="U36" i="1" s="1"/>
  <c r="U33" i="1"/>
  <c r="U31" i="1"/>
  <c r="U27" i="1"/>
  <c r="U20" i="1"/>
  <c r="T20" i="1"/>
  <c r="U15" i="1"/>
  <c r="I33" i="1"/>
  <c r="I39" i="1"/>
  <c r="I26" i="1"/>
  <c r="I17" i="1"/>
  <c r="I46" i="1" s="1"/>
  <c r="M11" i="2" a="1"/>
  <c r="T11" i="2" s="1"/>
  <c r="M10" i="2" a="1"/>
  <c r="T10" i="2" s="1"/>
  <c r="M9" i="2" a="1"/>
  <c r="T9" i="2" s="1"/>
  <c r="M8" i="2" a="1"/>
  <c r="T8" i="2" s="1"/>
  <c r="M7" i="2" a="1"/>
  <c r="T7" i="2" s="1"/>
  <c r="M6" i="2" a="1"/>
  <c r="M5" i="2" a="1"/>
  <c r="H11" i="2"/>
  <c r="H10" i="2"/>
  <c r="H9" i="2"/>
  <c r="H8" i="2"/>
  <c r="H7" i="2"/>
  <c r="H6" i="2"/>
  <c r="U44" i="1" l="1"/>
  <c r="U43" i="1"/>
  <c r="I40" i="1"/>
  <c r="I41" i="1"/>
  <c r="I44" i="1"/>
  <c r="I28" i="1"/>
  <c r="I43" i="1"/>
  <c r="I45" i="1"/>
  <c r="I42" i="1"/>
  <c r="T6" i="2"/>
  <c r="T35" i="1"/>
  <c r="S35" i="1"/>
  <c r="R35" i="1"/>
  <c r="Q35" i="1"/>
  <c r="P35" i="1"/>
  <c r="T34" i="1"/>
  <c r="S34" i="1"/>
  <c r="R34" i="1"/>
  <c r="Q34" i="1"/>
  <c r="P34" i="1"/>
  <c r="O35" i="1"/>
  <c r="O34" i="1"/>
  <c r="G39" i="1"/>
  <c r="F39" i="1"/>
  <c r="E39" i="1"/>
  <c r="D39" i="1"/>
  <c r="H39" i="1"/>
  <c r="C36" i="1"/>
  <c r="C39" i="1" s="1"/>
  <c r="O36" i="1" s="1"/>
  <c r="C33" i="1"/>
  <c r="D33" i="1"/>
  <c r="E33" i="1"/>
  <c r="S27" i="1"/>
  <c r="S31" i="1" s="1"/>
  <c r="R27" i="1"/>
  <c r="R31" i="1" s="1"/>
  <c r="Q27" i="1"/>
  <c r="Q31" i="1" s="1"/>
  <c r="P27" i="1"/>
  <c r="P31" i="1" s="1"/>
  <c r="O27" i="1"/>
  <c r="O31" i="1" s="1"/>
  <c r="T27" i="1"/>
  <c r="T31" i="1" s="1"/>
  <c r="O15" i="1"/>
  <c r="S15" i="1"/>
  <c r="R15" i="1"/>
  <c r="Q15" i="1"/>
  <c r="P15" i="1"/>
  <c r="T15" i="1"/>
  <c r="F33" i="1"/>
  <c r="G33" i="1"/>
  <c r="H33" i="1"/>
  <c r="G26" i="1"/>
  <c r="F26" i="1"/>
  <c r="E26" i="1"/>
  <c r="D26" i="1"/>
  <c r="C26" i="1"/>
  <c r="H26" i="1"/>
  <c r="G17" i="1"/>
  <c r="G41" i="1" s="1"/>
  <c r="F17" i="1"/>
  <c r="E17" i="1"/>
  <c r="D17" i="1"/>
  <c r="D42" i="1" s="1"/>
  <c r="C17" i="1"/>
  <c r="C43" i="1" s="1"/>
  <c r="H17" i="1"/>
  <c r="H41" i="1" s="1"/>
  <c r="C4" i="1" a="1"/>
  <c r="I47" i="1" l="1"/>
  <c r="I32" i="1"/>
  <c r="I34" i="1" s="1"/>
  <c r="S36" i="1"/>
  <c r="T45" i="1"/>
  <c r="Q36" i="1"/>
  <c r="R36" i="1"/>
  <c r="C42" i="1"/>
  <c r="T36" i="1"/>
  <c r="D40" i="1"/>
  <c r="H42" i="1"/>
  <c r="P36" i="1"/>
  <c r="D43" i="1"/>
  <c r="H43" i="1"/>
  <c r="S40" i="1"/>
  <c r="T40" i="1"/>
  <c r="E45" i="1"/>
  <c r="Q41" i="1"/>
  <c r="Q42" i="1" s="1"/>
  <c r="E44" i="1"/>
  <c r="E46" i="1"/>
  <c r="H40" i="1"/>
  <c r="O40" i="1"/>
  <c r="D41" i="1"/>
  <c r="E40" i="1"/>
  <c r="E41" i="1"/>
  <c r="R41" i="1"/>
  <c r="R42" i="1" s="1"/>
  <c r="F44" i="1"/>
  <c r="F46" i="1"/>
  <c r="F45" i="1"/>
  <c r="F40" i="1"/>
  <c r="P20" i="1"/>
  <c r="P37" i="1" s="1"/>
  <c r="P45" i="1"/>
  <c r="H28" i="1"/>
  <c r="T43" i="1" s="1"/>
  <c r="Q20" i="1"/>
  <c r="Q33" i="1" s="1"/>
  <c r="Q45" i="1"/>
  <c r="F41" i="1"/>
  <c r="T37" i="1"/>
  <c r="S20" i="1"/>
  <c r="S45" i="1"/>
  <c r="O20" i="1"/>
  <c r="O33" i="1" s="1"/>
  <c r="O45" i="1"/>
  <c r="S41" i="1"/>
  <c r="S42" i="1" s="1"/>
  <c r="G44" i="1"/>
  <c r="G46" i="1"/>
  <c r="G45" i="1"/>
  <c r="F43" i="1"/>
  <c r="G40" i="1"/>
  <c r="G28" i="1"/>
  <c r="S43" i="1" s="1"/>
  <c r="H44" i="1"/>
  <c r="T41" i="1"/>
  <c r="H46" i="1"/>
  <c r="H45" i="1"/>
  <c r="P40" i="1"/>
  <c r="E42" i="1"/>
  <c r="R20" i="1"/>
  <c r="R37" i="1" s="1"/>
  <c r="R45" i="1"/>
  <c r="C45" i="1"/>
  <c r="O41" i="1"/>
  <c r="O42" i="1" s="1"/>
  <c r="C44" i="1"/>
  <c r="C46" i="1"/>
  <c r="Q40" i="1"/>
  <c r="C40" i="1"/>
  <c r="F42" i="1"/>
  <c r="E43" i="1"/>
  <c r="G43" i="1"/>
  <c r="F28" i="1"/>
  <c r="R43" i="1" s="1"/>
  <c r="P41" i="1"/>
  <c r="P42" i="1" s="1"/>
  <c r="D44" i="1"/>
  <c r="D45" i="1"/>
  <c r="D46" i="1"/>
  <c r="R40" i="1"/>
  <c r="C41" i="1"/>
  <c r="G42" i="1"/>
  <c r="C28" i="1"/>
  <c r="R33" i="1"/>
  <c r="D28" i="1"/>
  <c r="E28" i="1"/>
  <c r="Q43" i="1" s="1"/>
  <c r="C6" i="1"/>
  <c r="I48" i="1" l="1"/>
  <c r="I37" i="1"/>
  <c r="P33" i="1"/>
  <c r="P38" i="1" s="1"/>
  <c r="Q37" i="1"/>
  <c r="S44" i="1"/>
  <c r="G47" i="1"/>
  <c r="G32" i="1"/>
  <c r="G34" i="1" s="1"/>
  <c r="E32" i="1"/>
  <c r="E34" i="1" s="1"/>
  <c r="E47" i="1"/>
  <c r="Q44" i="1"/>
  <c r="T42" i="1"/>
  <c r="D32" i="1"/>
  <c r="D34" i="1" s="1"/>
  <c r="D47" i="1"/>
  <c r="P44" i="1"/>
  <c r="H47" i="1"/>
  <c r="T44" i="1"/>
  <c r="H32" i="1"/>
  <c r="P43" i="1"/>
  <c r="T33" i="1"/>
  <c r="T38" i="1" s="1"/>
  <c r="Q38" i="1"/>
  <c r="C32" i="1"/>
  <c r="C34" i="1" s="1"/>
  <c r="O44" i="1"/>
  <c r="C47" i="1"/>
  <c r="O38" i="1"/>
  <c r="S37" i="1"/>
  <c r="O37" i="1"/>
  <c r="S33" i="1"/>
  <c r="S38" i="1" s="1"/>
  <c r="F47" i="1"/>
  <c r="R44" i="1"/>
  <c r="F32" i="1"/>
  <c r="F34" i="1" s="1"/>
  <c r="R38" i="1"/>
  <c r="O43" i="1"/>
  <c r="C25" i="2" s="1" a="1"/>
  <c r="Q39" i="1" l="1"/>
  <c r="P39" i="1"/>
  <c r="H34" i="1"/>
  <c r="R39" i="1"/>
  <c r="T39" i="1"/>
  <c r="D37" i="1"/>
  <c r="D48" i="1"/>
  <c r="E37" i="1"/>
  <c r="E48" i="1"/>
  <c r="G48" i="1"/>
  <c r="G37" i="1"/>
  <c r="S39" i="1"/>
  <c r="F48" i="1"/>
  <c r="F37" i="1"/>
  <c r="O39" i="1"/>
  <c r="C37" i="1"/>
  <c r="C48" i="1"/>
  <c r="H48" i="1" l="1"/>
  <c r="H3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<sst xmlns="http://schemas.openxmlformats.org/spreadsheetml/2006/main" count="133" uniqueCount="103">
  <si>
    <t>Price</t>
  </si>
  <si>
    <t>Shares outstanding</t>
  </si>
  <si>
    <t>Mkt cap</t>
  </si>
  <si>
    <t>Revenues</t>
  </si>
  <si>
    <t>1Y</t>
  </si>
  <si>
    <t>2Y</t>
  </si>
  <si>
    <t>5Y</t>
  </si>
  <si>
    <t>Assets</t>
  </si>
  <si>
    <t>Current</t>
  </si>
  <si>
    <t>2019</t>
  </si>
  <si>
    <t>2020</t>
  </si>
  <si>
    <t>2021</t>
  </si>
  <si>
    <t>2022</t>
  </si>
  <si>
    <t>2023</t>
  </si>
  <si>
    <t>2024</t>
  </si>
  <si>
    <t>.</t>
  </si>
  <si>
    <t>Physical Stores</t>
  </si>
  <si>
    <t>Online Stores</t>
  </si>
  <si>
    <t>3rd-Party Seller Services</t>
  </si>
  <si>
    <t>Advertising Services</t>
  </si>
  <si>
    <t>Subscription Services</t>
  </si>
  <si>
    <t>AWS</t>
  </si>
  <si>
    <t>Other</t>
  </si>
  <si>
    <t>Total Revenue</t>
  </si>
  <si>
    <t>Geographical Revenue</t>
  </si>
  <si>
    <t>US</t>
  </si>
  <si>
    <t>UK</t>
  </si>
  <si>
    <t>Jap</t>
  </si>
  <si>
    <t>Else</t>
  </si>
  <si>
    <t>Total</t>
  </si>
  <si>
    <t>Operating Expenses</t>
  </si>
  <si>
    <t>Cost of sales</t>
  </si>
  <si>
    <t>Fulfullment</t>
  </si>
  <si>
    <t>Tech &amp; infrastructure</t>
  </si>
  <si>
    <t>S&amp;M</t>
  </si>
  <si>
    <t>G&amp;A</t>
  </si>
  <si>
    <t>Total Operating Expenses</t>
  </si>
  <si>
    <t>EBITDA</t>
  </si>
  <si>
    <t>Interest income</t>
  </si>
  <si>
    <t>Interest expense</t>
  </si>
  <si>
    <t>Other income</t>
  </si>
  <si>
    <t>EBT</t>
  </si>
  <si>
    <t>Taxes</t>
  </si>
  <si>
    <t>Net income</t>
  </si>
  <si>
    <t>EPS</t>
  </si>
  <si>
    <t>Cash</t>
  </si>
  <si>
    <t>Marketable securities</t>
  </si>
  <si>
    <t>Inventories</t>
  </si>
  <si>
    <t>AR</t>
  </si>
  <si>
    <t>Total Current</t>
  </si>
  <si>
    <t>PPE, net</t>
  </si>
  <si>
    <t>Leases</t>
  </si>
  <si>
    <t>Goodwill</t>
  </si>
  <si>
    <t>Total Assets</t>
  </si>
  <si>
    <t>Liabilities</t>
  </si>
  <si>
    <t>AP</t>
  </si>
  <si>
    <t>Accr expenses</t>
  </si>
  <si>
    <t>Unearned revenue</t>
  </si>
  <si>
    <t>LT debt</t>
  </si>
  <si>
    <t>Total Liabilities</t>
  </si>
  <si>
    <t>Equity</t>
  </si>
  <si>
    <t>Debt</t>
  </si>
  <si>
    <t>EV</t>
  </si>
  <si>
    <t>Mkt price</t>
  </si>
  <si>
    <t>Online Stores to Rev</t>
  </si>
  <si>
    <t>Physical Stores to Rev</t>
  </si>
  <si>
    <t>3rd-Party Seller Services to Rev</t>
  </si>
  <si>
    <t>Advertising Services to Rev</t>
  </si>
  <si>
    <t>AWS to Rev</t>
  </si>
  <si>
    <t>Other to Rev</t>
  </si>
  <si>
    <t>Operating Margin</t>
  </si>
  <si>
    <t>Net Margin</t>
  </si>
  <si>
    <t>Revenue Turnover</t>
  </si>
  <si>
    <t>EM</t>
  </si>
  <si>
    <t>ROE</t>
  </si>
  <si>
    <t>Real debt to Liabilities</t>
  </si>
  <si>
    <t>PPE turnover</t>
  </si>
  <si>
    <t>Yearly turnover (days)</t>
  </si>
  <si>
    <t>EV/EBITDA</t>
  </si>
  <si>
    <t>EBITDA / EV</t>
  </si>
  <si>
    <t>EV / EBITDA</t>
  </si>
  <si>
    <t>Amazon's (AMZN) Notes:</t>
  </si>
  <si>
    <t>"3rd-Party Seller Services" account in the income statement covers commission fees from Amazon sellers, fulfillment feels (FBA) on sellers, and</t>
  </si>
  <si>
    <t>advertising/subscription fees for professional selling accounts.</t>
  </si>
  <si>
    <t>Various trends in the income statement for growth in YoY and 2nd Year difference, with AWS' revenue stream being the prime example of their</t>
  </si>
  <si>
    <t>consistent growth.</t>
  </si>
  <si>
    <t>Current ratio</t>
  </si>
  <si>
    <t>Ger</t>
  </si>
  <si>
    <t>Weight</t>
  </si>
  <si>
    <t>WA</t>
  </si>
  <si>
    <t>2025</t>
  </si>
  <si>
    <t>Screening Score</t>
  </si>
  <si>
    <t>Column1</t>
  </si>
  <si>
    <t>Revenue (CAGR)</t>
  </si>
  <si>
    <t>EBITDA Margin</t>
  </si>
  <si>
    <t>ROIC</t>
  </si>
  <si>
    <t>Debt-to-EBITDA</t>
  </si>
  <si>
    <t>EPS σ</t>
  </si>
  <si>
    <t>EV-to-EBITDA</t>
  </si>
  <si>
    <t>Industry</t>
  </si>
  <si>
    <t>IC</t>
  </si>
  <si>
    <t>Internet Retail</t>
  </si>
  <si>
    <t>Amazon.com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</si>
</sst>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43" formatCode="_(* #,##0.00_);_(* \(#,##0.00\);_(* &quot;-&quot;??_);_(@_)"/>
    <numFmt numFmtId="164" formatCode="_([$$-409]* #,##0.00_);_([$$-409]* \(#,##0.00\);_([$$-409]* &quot;-&quot;??_);_(@_)"/>
    <numFmt numFmtId="165" formatCode="_(* #,##0.0_);_(* \(#,##0.0\);_(* &quot;-&quot;??_);_(@_)"/>
    <numFmt numFmtId="166" formatCode="_(* #,##0_);_(* \(#,##0\);_(* &quot;-&quot;??_);_(@_)"/>
    <numFmt numFmtId="167" formatCode="_(* #,##0.000_);_(* \(#,##0.000\);_(* &quot;-&quot;??_);_(@_)"/>
    <numFmt numFmtId="168" formatCode="0.0%"/>
    <numFmt numFmtId="169" formatCode="0.000"/>
  </numFmts>
  <fonts count="19" x14ac:knownFonts="1">
    <font>
      <sz val="11"/>
      <color theme="1"/>
      <name val="Aptos Narrow"/>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Aptos Narrow"/>
      <family val="2"/>
      <scheme val="minor"/>
    </font>
    <font>
      <sz val="10"/>
      <color theme="1"/>
      <name val="Arial"/>
      <family val="2"/>
    </font>
    <font>
      <b/>
      <sz val="10"/>
      <color theme="1"/>
      <name val="Arial"/>
      <family val="2"/>
    </font>
    <font>
      <sz val="10"/>
      <color theme="4"/>
      <name val="Arial"/>
      <family val="2"/>
    </font>
    <font>
      <sz val="10"/>
      <name val="Arial"/>
      <family val="2"/>
    </font>
    <font>
      <b/>
      <sz val="10"/>
      <name val="Arial"/>
      <family val="2"/>
    </font>
    <font>
      <sz val="12"/>
      <color theme="1"/>
      <name val="Arial"/>
      <family val="2"/>
    </font>
    <font>
      <b/>
      <sz val="16"/>
      <color theme="1"/>
      <name val="Arial"/>
      <family val="2"/>
    </font>
    <font>
      <b/>
      <sz val="12"/>
      <color theme="1"/>
      <name val="Arial"/>
      <family val="2"/>
    </font>
    <font>
      <sz val="12"/>
      <color theme="4"/>
      <name val="Arial"/>
      <family val="2"/>
    </font>
    <font>
      <sz val="12"/>
      <color theme="0"/>
      <name val="Arial"/>
      <family val="2"/>
    </font>
    <font>
      <b/>
      <sz val="10"/>
      <color theme="0"/>
      <name val="Arial"/>
      <family val="2"/>
    </font>
    <font>
      <b/>
      <sz val="15"/>
      <color theme="1"/>
      <name val="Arial"/>
      <family val="2"/>
    </font>
  </fonts>
  <fills count="6">
    <fill>
      <patternFill patternType="none"/>
    </fill>
    <fill>
      <patternFill patternType="gray125"/>
    </fill>
    <fill>
      <patternFill patternType="solid">
        <fgColor rgb="FFFFFF00"/>
        <bgColor indexed="64"/>
      </patternFill>
    </fill>
    <fill>
      <patternFill patternType="solid">
        <fgColor rgb="FF94DCF8"/>
        <bgColor indexed="64"/>
      </patternFill>
    </fill>
    <fill>
      <patternFill patternType="solid">
        <fgColor rgb="FFB5E6A2"/>
        <bgColor indexed="64"/>
      </patternFill>
    </fill>
    <fill>
      <patternFill patternType="solid">
        <fgColor rgb="FFFF0000"/>
        <bgColor indexed="64"/>
      </patternFill>
    </fill>
  </fills>
  <borders count="6">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s>
  <cellStyleXfs count="4">
    <xf numFmtId="0" fontId="0" fillId="0" borderId="0"/>
    <xf numFmtId="43" fontId="6" fillId="0" borderId="0" applyFont="0" applyFill="0" applyBorder="0" applyAlignment="0" applyProtection="0"/>
    <xf numFmtId="44" fontId="6" fillId="0" borderId="0" applyFont="0" applyFill="0" applyBorder="0" applyAlignment="0" applyProtection="0"/>
    <xf numFmtId="9" fontId="6" fillId="0" borderId="0" applyFont="0" applyFill="0" applyBorder="0" applyAlignment="0" applyProtection="0"/>
  </cellStyleXfs>
  <cellXfs count="85">
    <xf numFmtId="0" fontId="0" fillId="0" borderId="0" xfId="0"/>
    <xf numFmtId="0" fontId="7" fillId="0" borderId="0" xfId="0" applyFont="1"/>
    <xf numFmtId="164" fontId="7" fillId="0" borderId="0" xfId="0" applyNumberFormat="1" applyFont="1"/>
    <xf numFmtId="165" fontId="7" fillId="0" borderId="0" xfId="1" applyNumberFormat="1" applyFont="1"/>
    <xf numFmtId="0" fontId="8" fillId="0" borderId="1" xfId="0" applyFont="1" applyBorder="1"/>
    <xf numFmtId="0" fontId="8" fillId="0" borderId="2" xfId="0" applyFont="1" applyBorder="1"/>
    <xf numFmtId="0" fontId="7" fillId="0" borderId="2" xfId="0" applyFont="1" applyBorder="1"/>
    <xf numFmtId="0" fontId="8" fillId="0" borderId="2" xfId="0" applyFont="1" applyBorder="1" applyAlignment="1">
      <alignment horizontal="left"/>
    </xf>
    <xf numFmtId="0" fontId="8" fillId="0" borderId="0" xfId="0" applyFont="1"/>
    <xf numFmtId="0" fontId="8" fillId="2" borderId="1" xfId="0" applyFont="1" applyFill="1" applyBorder="1" applyAlignment="1">
      <alignment horizontal="center"/>
    </xf>
    <xf numFmtId="0" fontId="8" fillId="3" borderId="1" xfId="0" applyFont="1" applyFill="1" applyBorder="1" applyAlignment="1">
      <alignment horizontal="center"/>
    </xf>
    <xf numFmtId="0" fontId="8" fillId="4" borderId="1" xfId="0" applyFont="1" applyFill="1" applyBorder="1" applyAlignment="1">
      <alignment horizontal="center"/>
    </xf>
    <xf numFmtId="0" fontId="9" fillId="0" borderId="3" xfId="0" applyFont="1" applyBorder="1"/>
    <xf numFmtId="165" fontId="7" fillId="0" borderId="0" xfId="1" applyNumberFormat="1" applyFont="1" applyBorder="1"/>
    <xf numFmtId="167" fontId="4" fillId="0" borderId="0" xfId="1" applyNumberFormat="1" applyFont="1" applyBorder="1"/>
    <xf numFmtId="0" fontId="8" fillId="0" borderId="2" xfId="0" applyFont="1" applyBorder="1" applyAlignment="1">
      <alignment horizontal="left" indent="2"/>
    </xf>
    <xf numFmtId="0" fontId="3" fillId="0" borderId="0" xfId="0" applyFont="1"/>
    <xf numFmtId="0" fontId="3" fillId="0" borderId="2" xfId="0" applyFont="1" applyBorder="1"/>
    <xf numFmtId="0" fontId="3" fillId="0" borderId="2" xfId="0" applyFont="1" applyBorder="1" applyAlignment="1">
      <alignment horizontal="left" indent="1"/>
    </xf>
    <xf numFmtId="166" fontId="7" fillId="0" borderId="0" xfId="1" applyNumberFormat="1" applyFont="1" applyBorder="1"/>
    <xf numFmtId="166" fontId="8" fillId="0" borderId="0" xfId="1" applyNumberFormat="1" applyFont="1" applyBorder="1"/>
    <xf numFmtId="0" fontId="8" fillId="0" borderId="5" xfId="0" applyFont="1" applyBorder="1" applyAlignment="1">
      <alignment horizontal="left" indent="2"/>
    </xf>
    <xf numFmtId="166" fontId="8" fillId="0" borderId="4" xfId="1" applyNumberFormat="1" applyFont="1" applyBorder="1"/>
    <xf numFmtId="166" fontId="3" fillId="0" borderId="0" xfId="1" applyNumberFormat="1" applyFont="1"/>
    <xf numFmtId="166" fontId="6" fillId="0" borderId="0" xfId="1" applyNumberFormat="1" applyFont="1"/>
    <xf numFmtId="166" fontId="3" fillId="0" borderId="0" xfId="1" applyNumberFormat="1" applyFont="1" applyBorder="1"/>
    <xf numFmtId="0" fontId="8" fillId="0" borderId="5" xfId="0" applyFont="1" applyBorder="1" applyAlignment="1">
      <alignment horizontal="left" indent="1"/>
    </xf>
    <xf numFmtId="44" fontId="3" fillId="0" borderId="0" xfId="2" applyFont="1" applyBorder="1"/>
    <xf numFmtId="0" fontId="2" fillId="0" borderId="2" xfId="0" applyFont="1" applyBorder="1" applyAlignment="1">
      <alignment horizontal="left" indent="1"/>
    </xf>
    <xf numFmtId="0" fontId="2" fillId="0" borderId="2" xfId="0" applyFont="1" applyBorder="1"/>
    <xf numFmtId="0" fontId="2" fillId="0" borderId="2" xfId="0" applyFont="1" applyBorder="1" applyAlignment="1">
      <alignment horizontal="left"/>
    </xf>
    <xf numFmtId="166" fontId="7" fillId="0" borderId="0" xfId="1" applyNumberFormat="1" applyFont="1"/>
    <xf numFmtId="166" fontId="0" fillId="0" borderId="0" xfId="1" applyNumberFormat="1" applyFont="1"/>
    <xf numFmtId="166" fontId="8" fillId="0" borderId="0" xfId="1" applyNumberFormat="1" applyFont="1" applyBorder="1" applyAlignment="1">
      <alignment horizontal="left" indent="1"/>
    </xf>
    <xf numFmtId="166" fontId="5" fillId="0" borderId="0" xfId="1" applyNumberFormat="1" applyFont="1" applyBorder="1"/>
    <xf numFmtId="166" fontId="2" fillId="0" borderId="0" xfId="1" applyNumberFormat="1" applyFont="1" applyBorder="1"/>
    <xf numFmtId="0" fontId="10" fillId="2" borderId="0" xfId="0" applyFont="1" applyFill="1"/>
    <xf numFmtId="0" fontId="10" fillId="3" borderId="0" xfId="0" applyFont="1" applyFill="1"/>
    <xf numFmtId="0" fontId="10" fillId="4" borderId="0" xfId="0" applyFont="1" applyFill="1"/>
    <xf numFmtId="9" fontId="10" fillId="3" borderId="0" xfId="3" applyFont="1" applyFill="1" applyBorder="1"/>
    <xf numFmtId="9" fontId="10" fillId="2" borderId="0" xfId="3" applyFont="1" applyFill="1" applyBorder="1"/>
    <xf numFmtId="9" fontId="10" fillId="4" borderId="0" xfId="3" applyFont="1" applyFill="1" applyBorder="1"/>
    <xf numFmtId="0" fontId="10" fillId="0" borderId="0" xfId="0" applyFont="1"/>
    <xf numFmtId="9" fontId="10" fillId="2" borderId="0" xfId="3" applyFont="1" applyFill="1"/>
    <xf numFmtId="9" fontId="10" fillId="3" borderId="0" xfId="3" applyFont="1" applyFill="1"/>
    <xf numFmtId="9" fontId="10" fillId="4" borderId="0" xfId="3" applyFont="1" applyFill="1"/>
    <xf numFmtId="0" fontId="2" fillId="0" borderId="0" xfId="0" applyFont="1"/>
    <xf numFmtId="166" fontId="2" fillId="0" borderId="0" xfId="1" applyNumberFormat="1" applyFont="1"/>
    <xf numFmtId="9" fontId="4" fillId="0" borderId="0" xfId="3" applyFont="1" applyBorder="1"/>
    <xf numFmtId="9" fontId="2" fillId="0" borderId="0" xfId="3" applyFont="1"/>
    <xf numFmtId="165" fontId="2" fillId="0" borderId="0" xfId="1" applyNumberFormat="1" applyFont="1"/>
    <xf numFmtId="167" fontId="2" fillId="0" borderId="0" xfId="1" applyNumberFormat="1" applyFont="1"/>
    <xf numFmtId="168" fontId="2" fillId="0" borderId="0" xfId="3" applyNumberFormat="1" applyFont="1"/>
    <xf numFmtId="0" fontId="12" fillId="0" borderId="0" xfId="0" applyFont="1"/>
    <xf numFmtId="0" fontId="13" fillId="0" borderId="0" xfId="0" applyFont="1"/>
    <xf numFmtId="0" fontId="12" fillId="0" borderId="0" xfId="0" applyFont="1" applyAlignment="1">
      <alignment horizontal="center"/>
    </xf>
    <xf numFmtId="0" fontId="8" fillId="0" borderId="0" xfId="1" applyNumberFormat="1" applyFont="1"/>
    <xf numFmtId="165" fontId="3" fillId="0" borderId="0" xfId="1" applyNumberFormat="1" applyFont="1"/>
    <xf numFmtId="0" fontId="2" fillId="0" borderId="0" xfId="1" applyNumberFormat="1" applyFont="1"/>
    <xf numFmtId="167" fontId="3" fillId="0" borderId="0" xfId="1" applyNumberFormat="1" applyFont="1"/>
    <xf numFmtId="43" fontId="3" fillId="0" borderId="0" xfId="1" applyFont="1"/>
    <xf numFmtId="9" fontId="3" fillId="0" borderId="0" xfId="3" applyFont="1"/>
    <xf numFmtId="166" fontId="2" fillId="0" borderId="0" xfId="1" applyNumberFormat="1" applyFont="1" applyAlignment="1">
      <alignment horizontal="left" indent="1"/>
    </xf>
    <xf numFmtId="168" fontId="3" fillId="0" borderId="0" xfId="3" applyNumberFormat="1" applyFont="1" applyBorder="1"/>
    <xf numFmtId="10" fontId="3" fillId="0" borderId="0" xfId="3" applyNumberFormat="1" applyFont="1" applyBorder="1"/>
    <xf numFmtId="166" fontId="1" fillId="0" borderId="0" xfId="1" applyNumberFormat="1" applyFont="1"/>
    <xf numFmtId="166" fontId="1" fillId="0" borderId="0" xfId="1" applyNumberFormat="1" applyFont="1" applyBorder="1"/>
    <xf numFmtId="166" fontId="1" fillId="0" borderId="0" xfId="1" applyNumberFormat="1" applyFont="1" applyBorder="1" applyAlignment="1">
      <alignment horizontal="left" indent="1"/>
    </xf>
    <xf numFmtId="168" fontId="10" fillId="2" borderId="0" xfId="3" applyNumberFormat="1" applyFont="1" applyFill="1" applyBorder="1"/>
    <xf numFmtId="168" fontId="10" fillId="3" borderId="0" xfId="3" applyNumberFormat="1" applyFont="1" applyFill="1" applyBorder="1"/>
    <xf numFmtId="168" fontId="10" fillId="4" borderId="0" xfId="3" applyNumberFormat="1" applyFont="1" applyFill="1" applyBorder="1"/>
    <xf numFmtId="168" fontId="11" fillId="2" borderId="4" xfId="3" applyNumberFormat="1" applyFont="1" applyFill="1" applyBorder="1"/>
    <xf numFmtId="168" fontId="11" fillId="3" borderId="4" xfId="3" applyNumberFormat="1" applyFont="1" applyFill="1" applyBorder="1"/>
    <xf numFmtId="168" fontId="11" fillId="4" borderId="4" xfId="3" applyNumberFormat="1" applyFont="1" applyFill="1" applyBorder="1"/>
    <xf numFmtId="0" fontId="14" fillId="0" borderId="0" xfId="0" applyFont="1"/>
    <xf numFmtId="0" fontId="15" fillId="0" borderId="0" xfId="0" applyFont="1"/>
    <xf numFmtId="0" fontId="16" fillId="0" borderId="0" xfId="0" applyFont="1" applyAlignment="1">
      <alignment horizontal="right"/>
    </xf>
    <xf numFmtId="10" fontId="12" fillId="0" borderId="0" xfId="3" applyNumberFormat="1" applyFont="1"/>
    <xf numFmtId="169" fontId="12" fillId="0" borderId="0" xfId="0" applyNumberFormat="1" applyFont="1"/>
    <xf numFmtId="2" fontId="12" fillId="0" borderId="0" xfId="0" applyNumberFormat="1" applyFont="1"/>
    <xf numFmtId="0" fontId="12" fillId="0" borderId="0" xfId="0" applyFont="1" applyAlignment="1">
      <alignment horizontal="right"/>
    </xf>
    <xf numFmtId="0" fontId="1" fillId="0" borderId="2" xfId="0" applyFont="1" applyBorder="1"/>
    <xf numFmtId="168" fontId="17" fillId="5" borderId="0" xfId="3" applyNumberFormat="1" applyFont="1" applyFill="1" applyBorder="1"/>
    <xf numFmtId="168" fontId="17" fillId="5" borderId="4" xfId="3" applyNumberFormat="1" applyFont="1" applyFill="1" applyBorder="1"/>
    <xf numFmtId="0" fontId="18" fillId="0" borderId="0" xfId="0" applyFont="1"/>
  </cellXfs>
  <cellStyles count="4">
    <cellStyle name="Comma" xfId="1" builtinId="3"/>
    <cellStyle name="Currency" xfId="2" builtinId="4"/>
    <cellStyle name="Normal" xfId="0" builtinId="0"/>
    <cellStyle name="Percent" xfId="3" builtinId="5"/>
  </cellStyles>
  <dxfs count="26">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numFmt numFmtId="166" formatCode="_(* #,##0_);_(* \(#,##0\);_(* &quot;-&quot;??_);_(@_)"/>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border outline="0">
        <bottom style="thin">
          <color indexed="64"/>
        </bottom>
      </border>
    </dxf>
    <dxf>
      <font>
        <b/>
        <i val="0"/>
        <strike val="0"/>
        <condense val="0"/>
        <extend val="0"/>
        <outline val="0"/>
        <shadow val="0"/>
        <u val="none"/>
        <vertAlign val="baseline"/>
        <sz val="10"/>
        <color theme="1"/>
        <name val="Arial"/>
        <family val="2"/>
        <scheme val="none"/>
      </font>
    </dxf>
  </dxfs>
  <tableStyles count="0" defaultTableStyle="TableStyleMedium2" defaultPivotStyle="PivotStyleLight16"/>
  <colors>
    <mruColors>
      <color rgb="FFB5E6A2"/>
      <color rgb="FFB5E600"/>
      <color rgb="FF94DCF8"/>
      <color rgb="FF94D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13" Type="http://schemas.microsoft.com/office/2017/06/relationships/rdRichValueTypes" Target="richData/rdRichValueTyp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17/06/relationships/rdSupportingPropertyBag" Target="richData/rdsupportingpropertybag.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17/06/relationships/rdSupportingPropertyBagStructure" Target="richData/rdsupportingpropertybagstructure.xml"/><Relationship Id="rId5" Type="http://schemas.openxmlformats.org/officeDocument/2006/relationships/styles" Target="styles.xml"/><Relationship Id="rId15" Type="http://schemas.openxmlformats.org/officeDocument/2006/relationships/customXml" Target="../customXml/item1.xml"/><Relationship Id="rId10" Type="http://schemas.microsoft.com/office/2017/06/relationships/richStyles" Target="richData/richStyles.xml"/><Relationship Id="rId19" Type="http://schemas.microsoft.com/office/2006/relationships/vbaProject" Target="vbaProject.bin"/><Relationship Id="rId4" Type="http://schemas.openxmlformats.org/officeDocument/2006/relationships/theme" Target="theme/theme1.xml"/><Relationship Id="rId9" Type="http://schemas.microsoft.com/office/2017/06/relationships/rdRichValueStructure" Target="richData/rdrichvaluestructure.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Geographical Rev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Analysis!$C$5</c:f>
              <c:strCache>
                <c:ptCount val="1"/>
                <c:pt idx="0">
                  <c:v>US</c:v>
                </c:pt>
              </c:strCache>
            </c:strRef>
          </c:tx>
          <c:spPr>
            <a:solidFill>
              <a:schemeClr val="accent1"/>
            </a:solidFill>
            <a:ln>
              <a:noFill/>
            </a:ln>
            <a:effectLst/>
          </c:spPr>
          <c:invertIfNegative val="0"/>
          <c:cat>
            <c:numRef>
              <c:f>Analysis!$B$6:$B$11</c:f>
              <c:numCache>
                <c:formatCode>General</c:formatCode>
                <c:ptCount val="6"/>
                <c:pt idx="0">
                  <c:v>2019</c:v>
                </c:pt>
                <c:pt idx="1">
                  <c:v>2020</c:v>
                </c:pt>
                <c:pt idx="2">
                  <c:v>2021</c:v>
                </c:pt>
                <c:pt idx="3">
                  <c:v>2022</c:v>
                </c:pt>
                <c:pt idx="4">
                  <c:v>2023</c:v>
                </c:pt>
                <c:pt idx="5">
                  <c:v>2024</c:v>
                </c:pt>
              </c:numCache>
            </c:numRef>
          </c:cat>
          <c:val>
            <c:numRef>
              <c:f>Analysis!$C$6:$C$11</c:f>
              <c:numCache>
                <c:formatCode>_(* #,##0_);_(* \(#,##0\);_(* "-"??_);_(@_)</c:formatCode>
                <c:ptCount val="6"/>
                <c:pt idx="0">
                  <c:v>193636</c:v>
                </c:pt>
                <c:pt idx="1">
                  <c:v>263520</c:v>
                </c:pt>
                <c:pt idx="2">
                  <c:v>314006</c:v>
                </c:pt>
                <c:pt idx="3">
                  <c:v>356113</c:v>
                </c:pt>
                <c:pt idx="4">
                  <c:v>395637</c:v>
                </c:pt>
                <c:pt idx="5">
                  <c:v>438015</c:v>
                </c:pt>
              </c:numCache>
            </c:numRef>
          </c:val>
          <c:extLst>
            <c:ext xmlns:c16="http://schemas.microsoft.com/office/drawing/2014/chart" uri="{C3380CC4-5D6E-409C-BE32-E72D297353CC}">
              <c16:uniqueId val="{00000000-EAD3-41CC-9282-60EE83E2453B}"/>
            </c:ext>
          </c:extLst>
        </c:ser>
        <c:ser>
          <c:idx val="1"/>
          <c:order val="1"/>
          <c:tx>
            <c:strRef>
              <c:f>Analysis!$D$5</c:f>
              <c:strCache>
                <c:ptCount val="1"/>
                <c:pt idx="0">
                  <c:v>Ger</c:v>
                </c:pt>
              </c:strCache>
            </c:strRef>
          </c:tx>
          <c:spPr>
            <a:solidFill>
              <a:schemeClr val="accent2"/>
            </a:solidFill>
            <a:ln>
              <a:noFill/>
            </a:ln>
            <a:effectLst/>
          </c:spPr>
          <c:invertIfNegative val="0"/>
          <c:cat>
            <c:numRef>
              <c:f>Analysis!$B$6:$B$11</c:f>
              <c:numCache>
                <c:formatCode>General</c:formatCode>
                <c:ptCount val="6"/>
                <c:pt idx="0">
                  <c:v>2019</c:v>
                </c:pt>
                <c:pt idx="1">
                  <c:v>2020</c:v>
                </c:pt>
                <c:pt idx="2">
                  <c:v>2021</c:v>
                </c:pt>
                <c:pt idx="3">
                  <c:v>2022</c:v>
                </c:pt>
                <c:pt idx="4">
                  <c:v>2023</c:v>
                </c:pt>
                <c:pt idx="5">
                  <c:v>2024</c:v>
                </c:pt>
              </c:numCache>
            </c:numRef>
          </c:cat>
          <c:val>
            <c:numRef>
              <c:f>Analysis!$D$6:$D$11</c:f>
              <c:numCache>
                <c:formatCode>_(* #,##0_);_(* \(#,##0\);_(* "-"??_);_(@_)</c:formatCode>
                <c:ptCount val="6"/>
                <c:pt idx="0">
                  <c:v>22232</c:v>
                </c:pt>
                <c:pt idx="1">
                  <c:v>29565</c:v>
                </c:pt>
                <c:pt idx="2">
                  <c:v>37326</c:v>
                </c:pt>
                <c:pt idx="3">
                  <c:v>33598</c:v>
                </c:pt>
                <c:pt idx="4">
                  <c:v>37588</c:v>
                </c:pt>
                <c:pt idx="5">
                  <c:v>40856</c:v>
                </c:pt>
              </c:numCache>
            </c:numRef>
          </c:val>
          <c:extLst>
            <c:ext xmlns:c16="http://schemas.microsoft.com/office/drawing/2014/chart" uri="{C3380CC4-5D6E-409C-BE32-E72D297353CC}">
              <c16:uniqueId val="{00000001-EAD3-41CC-9282-60EE83E2453B}"/>
            </c:ext>
          </c:extLst>
        </c:ser>
        <c:ser>
          <c:idx val="2"/>
          <c:order val="2"/>
          <c:tx>
            <c:strRef>
              <c:f>Analysis!$E$5</c:f>
              <c:strCache>
                <c:ptCount val="1"/>
                <c:pt idx="0">
                  <c:v>UK</c:v>
                </c:pt>
              </c:strCache>
            </c:strRef>
          </c:tx>
          <c:spPr>
            <a:solidFill>
              <a:schemeClr val="accent3"/>
            </a:solidFill>
            <a:ln>
              <a:noFill/>
            </a:ln>
            <a:effectLst/>
          </c:spPr>
          <c:invertIfNegative val="0"/>
          <c:cat>
            <c:numRef>
              <c:f>Analysis!$B$6:$B$11</c:f>
              <c:numCache>
                <c:formatCode>General</c:formatCode>
                <c:ptCount val="6"/>
                <c:pt idx="0">
                  <c:v>2019</c:v>
                </c:pt>
                <c:pt idx="1">
                  <c:v>2020</c:v>
                </c:pt>
                <c:pt idx="2">
                  <c:v>2021</c:v>
                </c:pt>
                <c:pt idx="3">
                  <c:v>2022</c:v>
                </c:pt>
                <c:pt idx="4">
                  <c:v>2023</c:v>
                </c:pt>
                <c:pt idx="5">
                  <c:v>2024</c:v>
                </c:pt>
              </c:numCache>
            </c:numRef>
          </c:cat>
          <c:val>
            <c:numRef>
              <c:f>Analysis!$E$6:$E$11</c:f>
              <c:numCache>
                <c:formatCode>_(* #,##0_);_(* \(#,##0\);_(* "-"??_);_(@_)</c:formatCode>
                <c:ptCount val="6"/>
                <c:pt idx="0">
                  <c:v>17527</c:v>
                </c:pt>
                <c:pt idx="1">
                  <c:v>26483</c:v>
                </c:pt>
                <c:pt idx="2">
                  <c:v>31914</c:v>
                </c:pt>
                <c:pt idx="3">
                  <c:v>30074</c:v>
                </c:pt>
                <c:pt idx="4">
                  <c:v>33591</c:v>
                </c:pt>
                <c:pt idx="5">
                  <c:v>37855</c:v>
                </c:pt>
              </c:numCache>
            </c:numRef>
          </c:val>
          <c:extLst>
            <c:ext xmlns:c16="http://schemas.microsoft.com/office/drawing/2014/chart" uri="{C3380CC4-5D6E-409C-BE32-E72D297353CC}">
              <c16:uniqueId val="{00000002-EAD3-41CC-9282-60EE83E2453B}"/>
            </c:ext>
          </c:extLst>
        </c:ser>
        <c:ser>
          <c:idx val="3"/>
          <c:order val="3"/>
          <c:tx>
            <c:strRef>
              <c:f>Analysis!$F$5</c:f>
              <c:strCache>
                <c:ptCount val="1"/>
                <c:pt idx="0">
                  <c:v>Jap</c:v>
                </c:pt>
              </c:strCache>
            </c:strRef>
          </c:tx>
          <c:spPr>
            <a:solidFill>
              <a:schemeClr val="accent4"/>
            </a:solidFill>
            <a:ln>
              <a:noFill/>
            </a:ln>
            <a:effectLst/>
          </c:spPr>
          <c:invertIfNegative val="0"/>
          <c:cat>
            <c:numRef>
              <c:f>Analysis!$B$6:$B$11</c:f>
              <c:numCache>
                <c:formatCode>General</c:formatCode>
                <c:ptCount val="6"/>
                <c:pt idx="0">
                  <c:v>2019</c:v>
                </c:pt>
                <c:pt idx="1">
                  <c:v>2020</c:v>
                </c:pt>
                <c:pt idx="2">
                  <c:v>2021</c:v>
                </c:pt>
                <c:pt idx="3">
                  <c:v>2022</c:v>
                </c:pt>
                <c:pt idx="4">
                  <c:v>2023</c:v>
                </c:pt>
                <c:pt idx="5">
                  <c:v>2024</c:v>
                </c:pt>
              </c:numCache>
            </c:numRef>
          </c:cat>
          <c:val>
            <c:numRef>
              <c:f>Analysis!$F$6:$F$11</c:f>
              <c:numCache>
                <c:formatCode>_(* #,##0_);_(* \(#,##0\);_(* "-"??_);_(@_)</c:formatCode>
                <c:ptCount val="6"/>
                <c:pt idx="0">
                  <c:v>16002</c:v>
                </c:pt>
                <c:pt idx="1">
                  <c:v>20461</c:v>
                </c:pt>
                <c:pt idx="2">
                  <c:v>23071</c:v>
                </c:pt>
                <c:pt idx="3">
                  <c:v>24396</c:v>
                </c:pt>
                <c:pt idx="4">
                  <c:v>26002</c:v>
                </c:pt>
                <c:pt idx="5">
                  <c:v>27401</c:v>
                </c:pt>
              </c:numCache>
            </c:numRef>
          </c:val>
          <c:extLst>
            <c:ext xmlns:c16="http://schemas.microsoft.com/office/drawing/2014/chart" uri="{C3380CC4-5D6E-409C-BE32-E72D297353CC}">
              <c16:uniqueId val="{00000003-EAD3-41CC-9282-60EE83E2453B}"/>
            </c:ext>
          </c:extLst>
        </c:ser>
        <c:ser>
          <c:idx val="4"/>
          <c:order val="4"/>
          <c:tx>
            <c:strRef>
              <c:f>Analysis!$G$5</c:f>
              <c:strCache>
                <c:ptCount val="1"/>
                <c:pt idx="0">
                  <c:v>Else</c:v>
                </c:pt>
              </c:strCache>
            </c:strRef>
          </c:tx>
          <c:spPr>
            <a:solidFill>
              <a:schemeClr val="accent5"/>
            </a:solidFill>
            <a:ln>
              <a:noFill/>
            </a:ln>
            <a:effectLst/>
          </c:spPr>
          <c:invertIfNegative val="0"/>
          <c:cat>
            <c:numRef>
              <c:f>Analysis!$B$6:$B$11</c:f>
              <c:numCache>
                <c:formatCode>General</c:formatCode>
                <c:ptCount val="6"/>
                <c:pt idx="0">
                  <c:v>2019</c:v>
                </c:pt>
                <c:pt idx="1">
                  <c:v>2020</c:v>
                </c:pt>
                <c:pt idx="2">
                  <c:v>2021</c:v>
                </c:pt>
                <c:pt idx="3">
                  <c:v>2022</c:v>
                </c:pt>
                <c:pt idx="4">
                  <c:v>2023</c:v>
                </c:pt>
                <c:pt idx="5">
                  <c:v>2024</c:v>
                </c:pt>
              </c:numCache>
            </c:numRef>
          </c:cat>
          <c:val>
            <c:numRef>
              <c:f>Analysis!$G$6:$G$11</c:f>
              <c:numCache>
                <c:formatCode>_(* #,##0_);_(* \(#,##0\);_(* "-"??_);_(@_)</c:formatCode>
                <c:ptCount val="6"/>
                <c:pt idx="0">
                  <c:v>31125</c:v>
                </c:pt>
                <c:pt idx="1">
                  <c:v>46035</c:v>
                </c:pt>
                <c:pt idx="2">
                  <c:v>63505</c:v>
                </c:pt>
                <c:pt idx="3">
                  <c:v>69802</c:v>
                </c:pt>
                <c:pt idx="4">
                  <c:v>81967</c:v>
                </c:pt>
                <c:pt idx="5">
                  <c:v>93832</c:v>
                </c:pt>
              </c:numCache>
            </c:numRef>
          </c:val>
          <c:extLst>
            <c:ext xmlns:c16="http://schemas.microsoft.com/office/drawing/2014/chart" uri="{C3380CC4-5D6E-409C-BE32-E72D297353CC}">
              <c16:uniqueId val="{00000004-EAD3-41CC-9282-60EE83E2453B}"/>
            </c:ext>
          </c:extLst>
        </c:ser>
        <c:dLbls>
          <c:showLegendKey val="0"/>
          <c:showVal val="0"/>
          <c:showCatName val="0"/>
          <c:showSerName val="0"/>
          <c:showPercent val="0"/>
          <c:showBubbleSize val="0"/>
        </c:dLbls>
        <c:gapWidth val="219"/>
        <c:overlap val="-27"/>
        <c:axId val="370027039"/>
        <c:axId val="370024639"/>
      </c:barChart>
      <c:catAx>
        <c:axId val="3700270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70024639"/>
        <c:crosses val="autoZero"/>
        <c:auto val="1"/>
        <c:lblAlgn val="ctr"/>
        <c:lblOffset val="100"/>
        <c:noMultiLvlLbl val="0"/>
      </c:catAx>
      <c:valAx>
        <c:axId val="370024639"/>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700270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Rev Breakdown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Analysis!$L$6</c:f>
              <c:strCache>
                <c:ptCount val="1"/>
                <c:pt idx="0">
                  <c:v>2019</c:v>
                </c:pt>
              </c:strCache>
            </c:strRef>
          </c:tx>
          <c:spPr>
            <a:solidFill>
              <a:schemeClr val="tx2">
                <a:lumMod val="10000"/>
                <a:lumOff val="90000"/>
              </a:schemeClr>
            </a:solidFill>
            <a:ln>
              <a:noFill/>
            </a:ln>
            <a:effectLst/>
          </c:spPr>
          <c:invertIfNegative val="0"/>
          <c:cat>
            <c:strRef>
              <c:f>Analysis!$M$4:$S$5</c:f>
              <c:strCache>
                <c:ptCount val="7"/>
                <c:pt idx="0">
                  <c:v>Online Stores</c:v>
                </c:pt>
                <c:pt idx="1">
                  <c:v>Physical Stores</c:v>
                </c:pt>
                <c:pt idx="2">
                  <c:v>3rd-Party Seller Services</c:v>
                </c:pt>
                <c:pt idx="3">
                  <c:v>Advertising Services</c:v>
                </c:pt>
                <c:pt idx="4">
                  <c:v>Subscription Services</c:v>
                </c:pt>
                <c:pt idx="5">
                  <c:v>AWS</c:v>
                </c:pt>
                <c:pt idx="6">
                  <c:v>Other</c:v>
                </c:pt>
              </c:strCache>
            </c:strRef>
          </c:cat>
          <c:val>
            <c:numRef>
              <c:f>Analysis!$M$6:$S$6</c:f>
              <c:numCache>
                <c:formatCode>_(* #,##0_);_(* \(#,##0\);_(* "-"??_);_(@_)</c:formatCode>
                <c:ptCount val="7"/>
                <c:pt idx="0">
                  <c:v>141247</c:v>
                </c:pt>
                <c:pt idx="1">
                  <c:v>17192</c:v>
                </c:pt>
                <c:pt idx="2">
                  <c:v>53762</c:v>
                </c:pt>
                <c:pt idx="3">
                  <c:v>12625</c:v>
                </c:pt>
                <c:pt idx="4">
                  <c:v>19210</c:v>
                </c:pt>
                <c:pt idx="5">
                  <c:v>35026</c:v>
                </c:pt>
                <c:pt idx="6">
                  <c:v>1460</c:v>
                </c:pt>
              </c:numCache>
            </c:numRef>
          </c:val>
          <c:extLst>
            <c:ext xmlns:c16="http://schemas.microsoft.com/office/drawing/2014/chart" uri="{C3380CC4-5D6E-409C-BE32-E72D297353CC}">
              <c16:uniqueId val="{00000000-8B71-4F66-AE96-7C189360F768}"/>
            </c:ext>
          </c:extLst>
        </c:ser>
        <c:ser>
          <c:idx val="1"/>
          <c:order val="1"/>
          <c:tx>
            <c:strRef>
              <c:f>Analysis!$L$7</c:f>
              <c:strCache>
                <c:ptCount val="1"/>
                <c:pt idx="0">
                  <c:v>2020</c:v>
                </c:pt>
              </c:strCache>
            </c:strRef>
          </c:tx>
          <c:spPr>
            <a:solidFill>
              <a:schemeClr val="tx2">
                <a:lumMod val="25000"/>
                <a:lumOff val="75000"/>
              </a:schemeClr>
            </a:solidFill>
            <a:ln>
              <a:noFill/>
            </a:ln>
            <a:effectLst/>
          </c:spPr>
          <c:invertIfNegative val="0"/>
          <c:cat>
            <c:strRef>
              <c:f>Analysis!$M$4:$S$5</c:f>
              <c:strCache>
                <c:ptCount val="7"/>
                <c:pt idx="0">
                  <c:v>Online Stores</c:v>
                </c:pt>
                <c:pt idx="1">
                  <c:v>Physical Stores</c:v>
                </c:pt>
                <c:pt idx="2">
                  <c:v>3rd-Party Seller Services</c:v>
                </c:pt>
                <c:pt idx="3">
                  <c:v>Advertising Services</c:v>
                </c:pt>
                <c:pt idx="4">
                  <c:v>Subscription Services</c:v>
                </c:pt>
                <c:pt idx="5">
                  <c:v>AWS</c:v>
                </c:pt>
                <c:pt idx="6">
                  <c:v>Other</c:v>
                </c:pt>
              </c:strCache>
            </c:strRef>
          </c:cat>
          <c:val>
            <c:numRef>
              <c:f>Analysis!$M$7:$S$7</c:f>
              <c:numCache>
                <c:formatCode>_(* #,##0_);_(* \(#,##0\);_(* "-"??_);_(@_)</c:formatCode>
                <c:ptCount val="7"/>
                <c:pt idx="0">
                  <c:v>197346</c:v>
                </c:pt>
                <c:pt idx="1">
                  <c:v>16227</c:v>
                </c:pt>
                <c:pt idx="2">
                  <c:v>80461</c:v>
                </c:pt>
                <c:pt idx="3">
                  <c:v>25207</c:v>
                </c:pt>
                <c:pt idx="4">
                  <c:v>19773</c:v>
                </c:pt>
                <c:pt idx="5">
                  <c:v>45370</c:v>
                </c:pt>
                <c:pt idx="6">
                  <c:v>1680</c:v>
                </c:pt>
              </c:numCache>
            </c:numRef>
          </c:val>
          <c:extLst>
            <c:ext xmlns:c16="http://schemas.microsoft.com/office/drawing/2014/chart" uri="{C3380CC4-5D6E-409C-BE32-E72D297353CC}">
              <c16:uniqueId val="{00000001-8B71-4F66-AE96-7C189360F768}"/>
            </c:ext>
          </c:extLst>
        </c:ser>
        <c:ser>
          <c:idx val="2"/>
          <c:order val="2"/>
          <c:tx>
            <c:strRef>
              <c:f>Analysis!$L$8</c:f>
              <c:strCache>
                <c:ptCount val="1"/>
                <c:pt idx="0">
                  <c:v>2021</c:v>
                </c:pt>
              </c:strCache>
            </c:strRef>
          </c:tx>
          <c:spPr>
            <a:solidFill>
              <a:schemeClr val="tx2">
                <a:lumMod val="50000"/>
                <a:lumOff val="50000"/>
              </a:schemeClr>
            </a:solidFill>
            <a:ln>
              <a:noFill/>
            </a:ln>
            <a:effectLst/>
          </c:spPr>
          <c:invertIfNegative val="0"/>
          <c:cat>
            <c:strRef>
              <c:f>Analysis!$M$4:$S$5</c:f>
              <c:strCache>
                <c:ptCount val="7"/>
                <c:pt idx="0">
                  <c:v>Online Stores</c:v>
                </c:pt>
                <c:pt idx="1">
                  <c:v>Physical Stores</c:v>
                </c:pt>
                <c:pt idx="2">
                  <c:v>3rd-Party Seller Services</c:v>
                </c:pt>
                <c:pt idx="3">
                  <c:v>Advertising Services</c:v>
                </c:pt>
                <c:pt idx="4">
                  <c:v>Subscription Services</c:v>
                </c:pt>
                <c:pt idx="5">
                  <c:v>AWS</c:v>
                </c:pt>
                <c:pt idx="6">
                  <c:v>Other</c:v>
                </c:pt>
              </c:strCache>
            </c:strRef>
          </c:cat>
          <c:val>
            <c:numRef>
              <c:f>Analysis!$M$8:$S$8</c:f>
              <c:numCache>
                <c:formatCode>_(* #,##0_);_(* \(#,##0\);_(* "-"??_);_(@_)</c:formatCode>
                <c:ptCount val="7"/>
                <c:pt idx="0">
                  <c:v>222075</c:v>
                </c:pt>
                <c:pt idx="1">
                  <c:v>17075</c:v>
                </c:pt>
                <c:pt idx="2">
                  <c:v>103366</c:v>
                </c:pt>
                <c:pt idx="3">
                  <c:v>31768</c:v>
                </c:pt>
                <c:pt idx="4">
                  <c:v>31160</c:v>
                </c:pt>
                <c:pt idx="5">
                  <c:v>62202</c:v>
                </c:pt>
                <c:pt idx="6">
                  <c:v>2176</c:v>
                </c:pt>
              </c:numCache>
            </c:numRef>
          </c:val>
          <c:extLst>
            <c:ext xmlns:c16="http://schemas.microsoft.com/office/drawing/2014/chart" uri="{C3380CC4-5D6E-409C-BE32-E72D297353CC}">
              <c16:uniqueId val="{00000002-8B71-4F66-AE96-7C189360F768}"/>
            </c:ext>
          </c:extLst>
        </c:ser>
        <c:ser>
          <c:idx val="3"/>
          <c:order val="3"/>
          <c:tx>
            <c:strRef>
              <c:f>Analysis!$L$9</c:f>
              <c:strCache>
                <c:ptCount val="1"/>
                <c:pt idx="0">
                  <c:v>2022</c:v>
                </c:pt>
              </c:strCache>
            </c:strRef>
          </c:tx>
          <c:spPr>
            <a:solidFill>
              <a:schemeClr val="accent4"/>
            </a:solidFill>
            <a:ln>
              <a:noFill/>
            </a:ln>
            <a:effectLst/>
          </c:spPr>
          <c:invertIfNegative val="0"/>
          <c:cat>
            <c:strRef>
              <c:f>Analysis!$M$4:$S$5</c:f>
              <c:strCache>
                <c:ptCount val="7"/>
                <c:pt idx="0">
                  <c:v>Online Stores</c:v>
                </c:pt>
                <c:pt idx="1">
                  <c:v>Physical Stores</c:v>
                </c:pt>
                <c:pt idx="2">
                  <c:v>3rd-Party Seller Services</c:v>
                </c:pt>
                <c:pt idx="3">
                  <c:v>Advertising Services</c:v>
                </c:pt>
                <c:pt idx="4">
                  <c:v>Subscription Services</c:v>
                </c:pt>
                <c:pt idx="5">
                  <c:v>AWS</c:v>
                </c:pt>
                <c:pt idx="6">
                  <c:v>Other</c:v>
                </c:pt>
              </c:strCache>
            </c:strRef>
          </c:cat>
          <c:val>
            <c:numRef>
              <c:f>Analysis!$M$9:$S$9</c:f>
              <c:numCache>
                <c:formatCode>_(* #,##0_);_(* \(#,##0\);_(* "-"??_);_(@_)</c:formatCode>
                <c:ptCount val="7"/>
                <c:pt idx="0">
                  <c:v>220004</c:v>
                </c:pt>
                <c:pt idx="1">
                  <c:v>18963</c:v>
                </c:pt>
                <c:pt idx="2">
                  <c:v>117716</c:v>
                </c:pt>
                <c:pt idx="3">
                  <c:v>37739</c:v>
                </c:pt>
                <c:pt idx="4">
                  <c:v>35218</c:v>
                </c:pt>
                <c:pt idx="5">
                  <c:v>80096</c:v>
                </c:pt>
                <c:pt idx="6">
                  <c:v>4247</c:v>
                </c:pt>
              </c:numCache>
            </c:numRef>
          </c:val>
          <c:extLst>
            <c:ext xmlns:c16="http://schemas.microsoft.com/office/drawing/2014/chart" uri="{C3380CC4-5D6E-409C-BE32-E72D297353CC}">
              <c16:uniqueId val="{00000003-8B71-4F66-AE96-7C189360F768}"/>
            </c:ext>
          </c:extLst>
        </c:ser>
        <c:ser>
          <c:idx val="4"/>
          <c:order val="4"/>
          <c:tx>
            <c:strRef>
              <c:f>Analysis!$L$10</c:f>
              <c:strCache>
                <c:ptCount val="1"/>
                <c:pt idx="0">
                  <c:v>2023</c:v>
                </c:pt>
              </c:strCache>
            </c:strRef>
          </c:tx>
          <c:spPr>
            <a:solidFill>
              <a:schemeClr val="tx2">
                <a:lumMod val="75000"/>
                <a:lumOff val="25000"/>
              </a:schemeClr>
            </a:solidFill>
            <a:ln>
              <a:noFill/>
            </a:ln>
            <a:effectLst/>
          </c:spPr>
          <c:invertIfNegative val="0"/>
          <c:cat>
            <c:strRef>
              <c:f>Analysis!$M$4:$S$5</c:f>
              <c:strCache>
                <c:ptCount val="7"/>
                <c:pt idx="0">
                  <c:v>Online Stores</c:v>
                </c:pt>
                <c:pt idx="1">
                  <c:v>Physical Stores</c:v>
                </c:pt>
                <c:pt idx="2">
                  <c:v>3rd-Party Seller Services</c:v>
                </c:pt>
                <c:pt idx="3">
                  <c:v>Advertising Services</c:v>
                </c:pt>
                <c:pt idx="4">
                  <c:v>Subscription Services</c:v>
                </c:pt>
                <c:pt idx="5">
                  <c:v>AWS</c:v>
                </c:pt>
                <c:pt idx="6">
                  <c:v>Other</c:v>
                </c:pt>
              </c:strCache>
            </c:strRef>
          </c:cat>
          <c:val>
            <c:numRef>
              <c:f>Analysis!$M$10:$S$10</c:f>
              <c:numCache>
                <c:formatCode>_(* #,##0_);_(* \(#,##0\);_(* "-"??_);_(@_)</c:formatCode>
                <c:ptCount val="7"/>
                <c:pt idx="0">
                  <c:v>231872</c:v>
                </c:pt>
                <c:pt idx="1">
                  <c:v>20030</c:v>
                </c:pt>
                <c:pt idx="2">
                  <c:v>140053</c:v>
                </c:pt>
                <c:pt idx="3">
                  <c:v>46906</c:v>
                </c:pt>
                <c:pt idx="4">
                  <c:v>40209</c:v>
                </c:pt>
                <c:pt idx="5">
                  <c:v>90757</c:v>
                </c:pt>
                <c:pt idx="6">
                  <c:v>4958</c:v>
                </c:pt>
              </c:numCache>
            </c:numRef>
          </c:val>
          <c:extLst>
            <c:ext xmlns:c16="http://schemas.microsoft.com/office/drawing/2014/chart" uri="{C3380CC4-5D6E-409C-BE32-E72D297353CC}">
              <c16:uniqueId val="{00000004-8B71-4F66-AE96-7C189360F768}"/>
            </c:ext>
          </c:extLst>
        </c:ser>
        <c:ser>
          <c:idx val="5"/>
          <c:order val="5"/>
          <c:tx>
            <c:strRef>
              <c:f>Analysis!$L$11</c:f>
              <c:strCache>
                <c:ptCount val="1"/>
                <c:pt idx="0">
                  <c:v>2024</c:v>
                </c:pt>
              </c:strCache>
            </c:strRef>
          </c:tx>
          <c:spPr>
            <a:solidFill>
              <a:schemeClr val="tx2">
                <a:lumMod val="90000"/>
                <a:lumOff val="10000"/>
              </a:schemeClr>
            </a:solidFill>
            <a:ln>
              <a:noFill/>
            </a:ln>
            <a:effectLst/>
          </c:spPr>
          <c:invertIfNegative val="0"/>
          <c:cat>
            <c:strRef>
              <c:f>Analysis!$M$4:$S$5</c:f>
              <c:strCache>
                <c:ptCount val="7"/>
                <c:pt idx="0">
                  <c:v>Online Stores</c:v>
                </c:pt>
                <c:pt idx="1">
                  <c:v>Physical Stores</c:v>
                </c:pt>
                <c:pt idx="2">
                  <c:v>3rd-Party Seller Services</c:v>
                </c:pt>
                <c:pt idx="3">
                  <c:v>Advertising Services</c:v>
                </c:pt>
                <c:pt idx="4">
                  <c:v>Subscription Services</c:v>
                </c:pt>
                <c:pt idx="5">
                  <c:v>AWS</c:v>
                </c:pt>
                <c:pt idx="6">
                  <c:v>Other</c:v>
                </c:pt>
              </c:strCache>
            </c:strRef>
          </c:cat>
          <c:val>
            <c:numRef>
              <c:f>Analysis!$M$11:$S$11</c:f>
              <c:numCache>
                <c:formatCode>_(* #,##0_);_(* \(#,##0\);_(* "-"??_);_(@_)</c:formatCode>
                <c:ptCount val="7"/>
                <c:pt idx="0">
                  <c:v>247029</c:v>
                </c:pt>
                <c:pt idx="1">
                  <c:v>21215</c:v>
                </c:pt>
                <c:pt idx="2">
                  <c:v>156146</c:v>
                </c:pt>
                <c:pt idx="3">
                  <c:v>56214</c:v>
                </c:pt>
                <c:pt idx="4">
                  <c:v>44374</c:v>
                </c:pt>
                <c:pt idx="5">
                  <c:v>107556</c:v>
                </c:pt>
                <c:pt idx="6">
                  <c:v>5425</c:v>
                </c:pt>
              </c:numCache>
            </c:numRef>
          </c:val>
          <c:extLst>
            <c:ext xmlns:c16="http://schemas.microsoft.com/office/drawing/2014/chart" uri="{C3380CC4-5D6E-409C-BE32-E72D297353CC}">
              <c16:uniqueId val="{00000005-8B71-4F66-AE96-7C189360F768}"/>
            </c:ext>
          </c:extLst>
        </c:ser>
        <c:dLbls>
          <c:showLegendKey val="0"/>
          <c:showVal val="0"/>
          <c:showCatName val="0"/>
          <c:showSerName val="0"/>
          <c:showPercent val="0"/>
          <c:showBubbleSize val="0"/>
        </c:dLbls>
        <c:gapWidth val="219"/>
        <c:overlap val="-27"/>
        <c:axId val="694786303"/>
        <c:axId val="694781503"/>
      </c:barChart>
      <c:catAx>
        <c:axId val="69478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94781503"/>
        <c:crosses val="autoZero"/>
        <c:auto val="1"/>
        <c:lblAlgn val="ctr"/>
        <c:lblOffset val="100"/>
        <c:noMultiLvlLbl val="0"/>
      </c:catAx>
      <c:valAx>
        <c:axId val="694781503"/>
        <c:scaling>
          <c:orientation val="minMax"/>
        </c:scaling>
        <c:delete val="0"/>
        <c:axPos val="l"/>
        <c:majorGridlines>
          <c:spPr>
            <a:ln w="9525" cap="flat" cmpd="sng" algn="ctr">
              <a:solidFill>
                <a:schemeClr val="tx1">
                  <a:lumMod val="15000"/>
                  <a:lumOff val="85000"/>
                </a:schemeClr>
              </a:solidFill>
              <a:round/>
            </a:ln>
            <a:effectLst/>
          </c:spPr>
        </c:majorGridlines>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947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EV / EBITDA Trendline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lineChart>
        <c:grouping val="standard"/>
        <c:varyColors val="0"/>
        <c:ser>
          <c:idx val="0"/>
          <c:order val="0"/>
          <c:tx>
            <c:strRef>
              <c:f>Analysis!$C$24</c:f>
              <c:strCache>
                <c:ptCount val="1"/>
                <c:pt idx="0">
                  <c:v> EV/EBITDA </c:v>
                </c:pt>
              </c:strCache>
            </c:strRef>
          </c:tx>
          <c:spPr>
            <a:ln w="28575" cap="rnd">
              <a:solidFill>
                <a:schemeClr val="accent1"/>
              </a:solidFill>
              <a:round/>
            </a:ln>
            <a:effectLst/>
          </c:spPr>
          <c:marker>
            <c:symbol val="none"/>
          </c:marker>
          <c:dLbls>
            <c:dLbl>
              <c:idx val="1"/>
              <c:layout>
                <c:manualLayout>
                  <c:x val="-3.8722918510925776E-2"/>
                  <c:y val="2.912273570696185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8B-4EA8-A861-0F5641A5A3AE}"/>
                </c:ext>
              </c:extLst>
            </c:dLbl>
            <c:dLbl>
              <c:idx val="4"/>
              <c:layout>
                <c:manualLayout>
                  <c:x val="-1.3081892869900138E-2"/>
                  <c:y val="-2.5648330937997704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08B-4EA8-A861-0F5641A5A3AE}"/>
                </c:ext>
              </c:extLst>
            </c:dLbl>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Analysis!$B$25:$B$30</c:f>
              <c:numCache>
                <c:formatCode>General</c:formatCode>
                <c:ptCount val="6"/>
                <c:pt idx="0">
                  <c:v>2019</c:v>
                </c:pt>
                <c:pt idx="1">
                  <c:v>2020</c:v>
                </c:pt>
                <c:pt idx="2">
                  <c:v>2021</c:v>
                </c:pt>
                <c:pt idx="3">
                  <c:v>2022</c:v>
                </c:pt>
                <c:pt idx="4">
                  <c:v>2023</c:v>
                </c:pt>
                <c:pt idx="5">
                  <c:v>2024</c:v>
                </c:pt>
              </c:numCache>
            </c:numRef>
          </c:cat>
          <c:val>
            <c:numRef>
              <c:f>Analysis!$C$25:$C$30</c:f>
              <c:numCache>
                <c:formatCode>_(* #,##0.0_);_(* \(#,##0.0\);_(* "-"??_);_(@_)</c:formatCode>
                <c:ptCount val="6"/>
                <c:pt idx="0">
                  <c:v>61.872237122618799</c:v>
                </c:pt>
                <c:pt idx="1">
                  <c:v>68.655048255382326</c:v>
                </c:pt>
                <c:pt idx="2">
                  <c:v>65.894981309538167</c:v>
                </c:pt>
                <c:pt idx="3">
                  <c:v>69.644023514043113</c:v>
                </c:pt>
                <c:pt idx="4">
                  <c:v>42.48584825789645</c:v>
                </c:pt>
                <c:pt idx="5">
                  <c:v>33.58216129925794</c:v>
                </c:pt>
              </c:numCache>
            </c:numRef>
          </c:val>
          <c:smooth val="0"/>
          <c:extLst>
            <c:ext xmlns:c16="http://schemas.microsoft.com/office/drawing/2014/chart" uri="{C3380CC4-5D6E-409C-BE32-E72D297353CC}">
              <c16:uniqueId val="{00000000-508B-4EA8-A861-0F5641A5A3AE}"/>
            </c:ext>
          </c:extLst>
        </c:ser>
        <c:ser>
          <c:idx val="1"/>
          <c:order val="1"/>
          <c:tx>
            <c:strRef>
              <c:f>Analysis!$D$24</c:f>
              <c:strCache>
                <c:ptCount val="1"/>
                <c:pt idx="0">
                  <c:v> WA </c:v>
                </c:pt>
              </c:strCache>
            </c:strRef>
          </c:tx>
          <c:spPr>
            <a:ln w="28575" cap="rnd">
              <a:solidFill>
                <a:schemeClr val="accent3">
                  <a:lumMod val="60000"/>
                  <a:lumOff val="40000"/>
                </a:schemeClr>
              </a:solidFill>
              <a:round/>
            </a:ln>
            <a:effectLst/>
          </c:spPr>
          <c:marker>
            <c:symbol val="none"/>
          </c:marker>
          <c:dLbls>
            <c:delete val="1"/>
          </c:dLbls>
          <c:cat>
            <c:numRef>
              <c:f>Analysis!$B$25:$B$30</c:f>
              <c:numCache>
                <c:formatCode>General</c:formatCode>
                <c:ptCount val="6"/>
                <c:pt idx="0">
                  <c:v>2019</c:v>
                </c:pt>
                <c:pt idx="1">
                  <c:v>2020</c:v>
                </c:pt>
                <c:pt idx="2">
                  <c:v>2021</c:v>
                </c:pt>
                <c:pt idx="3">
                  <c:v>2022</c:v>
                </c:pt>
                <c:pt idx="4">
                  <c:v>2023</c:v>
                </c:pt>
                <c:pt idx="5">
                  <c:v>2024</c:v>
                </c:pt>
              </c:numCache>
            </c:numRef>
          </c:cat>
          <c:val>
            <c:numRef>
              <c:f>Analysis!$D$25:$D$30</c:f>
              <c:numCache>
                <c:formatCode>_(* #,##0.00_);_(* \(#,##0.00\);_(* "-"??_);_(@_)</c:formatCode>
                <c:ptCount val="6"/>
                <c:pt idx="0">
                  <c:v>49.6</c:v>
                </c:pt>
                <c:pt idx="1">
                  <c:v>49.6</c:v>
                </c:pt>
                <c:pt idx="2">
                  <c:v>49.6</c:v>
                </c:pt>
                <c:pt idx="3">
                  <c:v>49.6</c:v>
                </c:pt>
                <c:pt idx="4">
                  <c:v>49.6</c:v>
                </c:pt>
                <c:pt idx="5">
                  <c:v>49.6</c:v>
                </c:pt>
              </c:numCache>
            </c:numRef>
          </c:val>
          <c:smooth val="0"/>
          <c:extLst>
            <c:ext xmlns:c16="http://schemas.microsoft.com/office/drawing/2014/chart" uri="{C3380CC4-5D6E-409C-BE32-E72D297353CC}">
              <c16:uniqueId val="{00000001-508B-4EA8-A861-0F5641A5A3AE}"/>
            </c:ext>
          </c:extLst>
        </c:ser>
        <c:dLbls>
          <c:dLblPos val="t"/>
          <c:showLegendKey val="0"/>
          <c:showVal val="1"/>
          <c:showCatName val="0"/>
          <c:showSerName val="0"/>
          <c:showPercent val="0"/>
          <c:showBubbleSize val="0"/>
        </c:dLbls>
        <c:smooth val="0"/>
        <c:axId val="1503623167"/>
        <c:axId val="1503625087"/>
      </c:lineChart>
      <c:catAx>
        <c:axId val="150362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03625087"/>
        <c:crosses val="autoZero"/>
        <c:auto val="1"/>
        <c:lblAlgn val="ctr"/>
        <c:lblOffset val="100"/>
        <c:noMultiLvlLbl val="0"/>
      </c:catAx>
      <c:valAx>
        <c:axId val="1503625087"/>
        <c:scaling>
          <c:orientation val="minMax"/>
        </c:scaling>
        <c:delete val="0"/>
        <c:axPos val="l"/>
        <c:majorGridlines>
          <c:spPr>
            <a:ln w="9525" cap="flat" cmpd="sng" algn="ctr">
              <a:solidFill>
                <a:schemeClr val="tx1">
                  <a:lumMod val="15000"/>
                  <a:lumOff val="85000"/>
                </a:schemeClr>
              </a:solidFill>
              <a:round/>
            </a:ln>
            <a:effectLst/>
          </c:spPr>
        </c:majorGridlines>
        <c:numFmt formatCode="_(* #,##0.0_);_(* \(#,##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503623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 of Total Rev by Segments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Analysis!$M$24</c:f>
              <c:strCache>
                <c:ptCount val="1"/>
                <c:pt idx="0">
                  <c:v>2019</c:v>
                </c:pt>
              </c:strCache>
            </c:strRef>
          </c:tx>
          <c:spPr>
            <a:solidFill>
              <a:schemeClr val="tx2">
                <a:lumMod val="10000"/>
                <a:lumOff val="90000"/>
              </a:schemeClr>
            </a:solidFill>
            <a:ln>
              <a:noFill/>
            </a:ln>
            <a:effectLst/>
          </c:spPr>
          <c:invertIfNegative val="0"/>
          <c:cat>
            <c:strRef>
              <c:f>Analysis!$L$25:$L$35</c:f>
              <c:strCache>
                <c:ptCount val="11"/>
                <c:pt idx="0">
                  <c:v> Online Stores </c:v>
                </c:pt>
                <c:pt idx="2">
                  <c:v> Physical Stores </c:v>
                </c:pt>
                <c:pt idx="4">
                  <c:v> 3rd-Party Seller Services </c:v>
                </c:pt>
                <c:pt idx="6">
                  <c:v> Advertising Services </c:v>
                </c:pt>
                <c:pt idx="8">
                  <c:v> Subscription Services </c:v>
                </c:pt>
                <c:pt idx="10">
                  <c:v> AWS </c:v>
                </c:pt>
              </c:strCache>
            </c:strRef>
          </c:cat>
          <c:val>
            <c:numRef>
              <c:f>Analysis!$M$25:$M$35</c:f>
              <c:numCache>
                <c:formatCode>0%</c:formatCode>
                <c:ptCount val="11"/>
                <c:pt idx="0">
                  <c:v>0.50351487583861521</c:v>
                </c:pt>
                <c:pt idx="2">
                  <c:v>6.1285745859504782E-2</c:v>
                </c:pt>
                <c:pt idx="4">
                  <c:v>0.19164985277447044</c:v>
                </c:pt>
                <c:pt idx="6">
                  <c:v>4.5005382822024653E-2</c:v>
                </c:pt>
                <c:pt idx="8">
                  <c:v>6.8479477545433154E-2</c:v>
                </c:pt>
                <c:pt idx="10">
                  <c:v>0.12486008227518697</c:v>
                </c:pt>
              </c:numCache>
            </c:numRef>
          </c:val>
          <c:extLst>
            <c:ext xmlns:c16="http://schemas.microsoft.com/office/drawing/2014/chart" uri="{C3380CC4-5D6E-409C-BE32-E72D297353CC}">
              <c16:uniqueId val="{00000000-8B71-4F66-AE96-7C189360F768}"/>
            </c:ext>
          </c:extLst>
        </c:ser>
        <c:ser>
          <c:idx val="1"/>
          <c:order val="1"/>
          <c:tx>
            <c:strRef>
              <c:f>Analysis!$N$24</c:f>
              <c:strCache>
                <c:ptCount val="1"/>
                <c:pt idx="0">
                  <c:v>2020</c:v>
                </c:pt>
              </c:strCache>
            </c:strRef>
          </c:tx>
          <c:spPr>
            <a:solidFill>
              <a:schemeClr val="tx2">
                <a:lumMod val="25000"/>
                <a:lumOff val="75000"/>
              </a:schemeClr>
            </a:solidFill>
            <a:ln>
              <a:noFill/>
            </a:ln>
            <a:effectLst/>
          </c:spPr>
          <c:invertIfNegative val="0"/>
          <c:cat>
            <c:strRef>
              <c:f>Analysis!$L$25:$L$35</c:f>
              <c:strCache>
                <c:ptCount val="11"/>
                <c:pt idx="0">
                  <c:v> Online Stores </c:v>
                </c:pt>
                <c:pt idx="2">
                  <c:v> Physical Stores </c:v>
                </c:pt>
                <c:pt idx="4">
                  <c:v> 3rd-Party Seller Services </c:v>
                </c:pt>
                <c:pt idx="6">
                  <c:v> Advertising Services </c:v>
                </c:pt>
                <c:pt idx="8">
                  <c:v> Subscription Services </c:v>
                </c:pt>
                <c:pt idx="10">
                  <c:v> AWS </c:v>
                </c:pt>
              </c:strCache>
            </c:strRef>
          </c:cat>
          <c:val>
            <c:numRef>
              <c:f>Analysis!$N$25:$N$35</c:f>
              <c:numCache>
                <c:formatCode>0%</c:formatCode>
                <c:ptCount val="11"/>
                <c:pt idx="0">
                  <c:v>0.51117431306726346</c:v>
                </c:pt>
                <c:pt idx="2">
                  <c:v>4.2031891085415891E-2</c:v>
                </c:pt>
                <c:pt idx="4">
                  <c:v>0.20841363090057607</c:v>
                </c:pt>
                <c:pt idx="6">
                  <c:v>6.5292283144763569E-2</c:v>
                </c:pt>
                <c:pt idx="8">
                  <c:v>5.1216896680343155E-2</c:v>
                </c:pt>
                <c:pt idx="10">
                  <c:v>0.11751937502590244</c:v>
                </c:pt>
              </c:numCache>
            </c:numRef>
          </c:val>
          <c:extLst>
            <c:ext xmlns:c16="http://schemas.microsoft.com/office/drawing/2014/chart" uri="{C3380CC4-5D6E-409C-BE32-E72D297353CC}">
              <c16:uniqueId val="{00000001-8B71-4F66-AE96-7C189360F768}"/>
            </c:ext>
          </c:extLst>
        </c:ser>
        <c:ser>
          <c:idx val="2"/>
          <c:order val="2"/>
          <c:tx>
            <c:strRef>
              <c:f>Analysis!$O$24</c:f>
              <c:strCache>
                <c:ptCount val="1"/>
                <c:pt idx="0">
                  <c:v>2021</c:v>
                </c:pt>
              </c:strCache>
            </c:strRef>
          </c:tx>
          <c:spPr>
            <a:solidFill>
              <a:schemeClr val="tx2">
                <a:lumMod val="50000"/>
                <a:lumOff val="50000"/>
              </a:schemeClr>
            </a:solidFill>
            <a:ln>
              <a:noFill/>
            </a:ln>
            <a:effectLst/>
          </c:spPr>
          <c:invertIfNegative val="0"/>
          <c:cat>
            <c:strRef>
              <c:f>Analysis!$L$25:$L$35</c:f>
              <c:strCache>
                <c:ptCount val="11"/>
                <c:pt idx="0">
                  <c:v> Online Stores </c:v>
                </c:pt>
                <c:pt idx="2">
                  <c:v> Physical Stores </c:v>
                </c:pt>
                <c:pt idx="4">
                  <c:v> 3rd-Party Seller Services </c:v>
                </c:pt>
                <c:pt idx="6">
                  <c:v> Advertising Services </c:v>
                </c:pt>
                <c:pt idx="8">
                  <c:v> Subscription Services </c:v>
                </c:pt>
                <c:pt idx="10">
                  <c:v> AWS </c:v>
                </c:pt>
              </c:strCache>
            </c:strRef>
          </c:cat>
          <c:val>
            <c:numRef>
              <c:f>Analysis!$O$25:$O$35</c:f>
              <c:numCache>
                <c:formatCode>0%</c:formatCode>
                <c:ptCount val="11"/>
                <c:pt idx="0">
                  <c:v>0.47267901460553147</c:v>
                </c:pt>
                <c:pt idx="2">
                  <c:v>3.6343551387546774E-2</c:v>
                </c:pt>
                <c:pt idx="4">
                  <c:v>0.22001098288287904</c:v>
                </c:pt>
                <c:pt idx="6">
                  <c:v>6.7617097539067986E-2</c:v>
                </c:pt>
                <c:pt idx="8">
                  <c:v>6.632299040913367E-2</c:v>
                </c:pt>
                <c:pt idx="10">
                  <c:v>0.13239482186870771</c:v>
                </c:pt>
              </c:numCache>
            </c:numRef>
          </c:val>
          <c:extLst>
            <c:ext xmlns:c16="http://schemas.microsoft.com/office/drawing/2014/chart" uri="{C3380CC4-5D6E-409C-BE32-E72D297353CC}">
              <c16:uniqueId val="{00000002-8B71-4F66-AE96-7C189360F768}"/>
            </c:ext>
          </c:extLst>
        </c:ser>
        <c:ser>
          <c:idx val="3"/>
          <c:order val="3"/>
          <c:tx>
            <c:strRef>
              <c:f>Analysis!$P$24</c:f>
              <c:strCache>
                <c:ptCount val="1"/>
                <c:pt idx="0">
                  <c:v>2022</c:v>
                </c:pt>
              </c:strCache>
            </c:strRef>
          </c:tx>
          <c:spPr>
            <a:solidFill>
              <a:schemeClr val="accent4"/>
            </a:solidFill>
            <a:ln>
              <a:noFill/>
            </a:ln>
            <a:effectLst/>
          </c:spPr>
          <c:invertIfNegative val="0"/>
          <c:cat>
            <c:strRef>
              <c:f>Analysis!$L$25:$L$35</c:f>
              <c:strCache>
                <c:ptCount val="11"/>
                <c:pt idx="0">
                  <c:v> Online Stores </c:v>
                </c:pt>
                <c:pt idx="2">
                  <c:v> Physical Stores </c:v>
                </c:pt>
                <c:pt idx="4">
                  <c:v> 3rd-Party Seller Services </c:v>
                </c:pt>
                <c:pt idx="6">
                  <c:v> Advertising Services </c:v>
                </c:pt>
                <c:pt idx="8">
                  <c:v> Subscription Services </c:v>
                </c:pt>
                <c:pt idx="10">
                  <c:v> AWS </c:v>
                </c:pt>
              </c:strCache>
            </c:strRef>
          </c:cat>
          <c:val>
            <c:numRef>
              <c:f>Analysis!$P$25:$P$35</c:f>
              <c:numCache>
                <c:formatCode>0%</c:formatCode>
                <c:ptCount val="11"/>
                <c:pt idx="0">
                  <c:v>0.42803750318590306</c:v>
                </c:pt>
                <c:pt idx="2">
                  <c:v>3.68942163456768E-2</c:v>
                </c:pt>
                <c:pt idx="4">
                  <c:v>0.22902703007687025</c:v>
                </c:pt>
                <c:pt idx="6">
                  <c:v>7.3424607428650368E-2</c:v>
                </c:pt>
                <c:pt idx="8">
                  <c:v>6.8519775945897046E-2</c:v>
                </c:pt>
                <c:pt idx="10">
                  <c:v>0.15583394781539467</c:v>
                </c:pt>
              </c:numCache>
            </c:numRef>
          </c:val>
          <c:extLst>
            <c:ext xmlns:c16="http://schemas.microsoft.com/office/drawing/2014/chart" uri="{C3380CC4-5D6E-409C-BE32-E72D297353CC}">
              <c16:uniqueId val="{00000003-8B71-4F66-AE96-7C189360F768}"/>
            </c:ext>
          </c:extLst>
        </c:ser>
        <c:ser>
          <c:idx val="4"/>
          <c:order val="4"/>
          <c:tx>
            <c:strRef>
              <c:f>Analysis!$Q$24</c:f>
              <c:strCache>
                <c:ptCount val="1"/>
                <c:pt idx="0">
                  <c:v>2023</c:v>
                </c:pt>
              </c:strCache>
            </c:strRef>
          </c:tx>
          <c:spPr>
            <a:solidFill>
              <a:schemeClr val="tx2">
                <a:lumMod val="75000"/>
                <a:lumOff val="25000"/>
              </a:schemeClr>
            </a:solidFill>
            <a:ln>
              <a:noFill/>
            </a:ln>
            <a:effectLst/>
          </c:spPr>
          <c:invertIfNegative val="0"/>
          <c:cat>
            <c:strRef>
              <c:f>Analysis!$L$25:$L$35</c:f>
              <c:strCache>
                <c:ptCount val="11"/>
                <c:pt idx="0">
                  <c:v> Online Stores </c:v>
                </c:pt>
                <c:pt idx="2">
                  <c:v> Physical Stores </c:v>
                </c:pt>
                <c:pt idx="4">
                  <c:v> 3rd-Party Seller Services </c:v>
                </c:pt>
                <c:pt idx="6">
                  <c:v> Advertising Services </c:v>
                </c:pt>
                <c:pt idx="8">
                  <c:v> Subscription Services </c:v>
                </c:pt>
                <c:pt idx="10">
                  <c:v> AWS </c:v>
                </c:pt>
              </c:strCache>
            </c:strRef>
          </c:cat>
          <c:val>
            <c:numRef>
              <c:f>Analysis!$Q$25:$Q$35</c:f>
              <c:numCache>
                <c:formatCode>0%</c:formatCode>
                <c:ptCount val="11"/>
                <c:pt idx="0">
                  <c:v>0.40340649112276766</c:v>
                </c:pt>
                <c:pt idx="2">
                  <c:v>3.4847812660386057E-2</c:v>
                </c:pt>
                <c:pt idx="4">
                  <c:v>0.24366154301173482</c:v>
                </c:pt>
                <c:pt idx="6">
                  <c:v>8.1606165783727827E-2</c:v>
                </c:pt>
                <c:pt idx="8">
                  <c:v>6.9954852684047081E-2</c:v>
                </c:pt>
                <c:pt idx="10">
                  <c:v>0.15789730072983812</c:v>
                </c:pt>
              </c:numCache>
            </c:numRef>
          </c:val>
          <c:extLst>
            <c:ext xmlns:c16="http://schemas.microsoft.com/office/drawing/2014/chart" uri="{C3380CC4-5D6E-409C-BE32-E72D297353CC}">
              <c16:uniqueId val="{00000004-8B71-4F66-AE96-7C189360F768}"/>
            </c:ext>
          </c:extLst>
        </c:ser>
        <c:ser>
          <c:idx val="5"/>
          <c:order val="5"/>
          <c:tx>
            <c:strRef>
              <c:f>Analysis!$R$24</c:f>
              <c:strCache>
                <c:ptCount val="1"/>
                <c:pt idx="0">
                  <c:v>2024</c:v>
                </c:pt>
              </c:strCache>
            </c:strRef>
          </c:tx>
          <c:spPr>
            <a:solidFill>
              <a:schemeClr val="tx2">
                <a:lumMod val="90000"/>
                <a:lumOff val="10000"/>
              </a:schemeClr>
            </a:solidFill>
            <a:ln>
              <a:noFill/>
            </a:ln>
            <a:effectLst/>
          </c:spPr>
          <c:invertIfNegative val="0"/>
          <c:cat>
            <c:strRef>
              <c:f>Analysis!$L$25:$L$35</c:f>
              <c:strCache>
                <c:ptCount val="11"/>
                <c:pt idx="0">
                  <c:v> Online Stores </c:v>
                </c:pt>
                <c:pt idx="2">
                  <c:v> Physical Stores </c:v>
                </c:pt>
                <c:pt idx="4">
                  <c:v> 3rd-Party Seller Services </c:v>
                </c:pt>
                <c:pt idx="6">
                  <c:v> Advertising Services </c:v>
                </c:pt>
                <c:pt idx="8">
                  <c:v> Subscription Services </c:v>
                </c:pt>
                <c:pt idx="10">
                  <c:v> AWS </c:v>
                </c:pt>
              </c:strCache>
            </c:strRef>
          </c:cat>
          <c:val>
            <c:numRef>
              <c:f>Analysis!$R$25:$R$35</c:f>
              <c:numCache>
                <c:formatCode>0%</c:formatCode>
                <c:ptCount val="11"/>
                <c:pt idx="0">
                  <c:v>0.38721767386305389</c:v>
                </c:pt>
                <c:pt idx="2">
                  <c:v>3.3254488141087439E-2</c:v>
                </c:pt>
                <c:pt idx="4">
                  <c:v>0.24475867571427004</c:v>
                </c:pt>
                <c:pt idx="6">
                  <c:v>8.811538045548381E-2</c:v>
                </c:pt>
                <c:pt idx="8">
                  <c:v>6.9556194050087852E-2</c:v>
                </c:pt>
                <c:pt idx="10">
                  <c:v>0.16859390650496348</c:v>
                </c:pt>
              </c:numCache>
            </c:numRef>
          </c:val>
          <c:extLst>
            <c:ext xmlns:c16="http://schemas.microsoft.com/office/drawing/2014/chart" uri="{C3380CC4-5D6E-409C-BE32-E72D297353CC}">
              <c16:uniqueId val="{00000005-8B71-4F66-AE96-7C189360F768}"/>
            </c:ext>
          </c:extLst>
        </c:ser>
        <c:dLbls>
          <c:showLegendKey val="0"/>
          <c:showVal val="0"/>
          <c:showCatName val="0"/>
          <c:showSerName val="0"/>
          <c:showPercent val="0"/>
          <c:showBubbleSize val="0"/>
        </c:dLbls>
        <c:gapWidth val="219"/>
        <c:overlap val="-27"/>
        <c:axId val="694786303"/>
        <c:axId val="694781503"/>
      </c:barChart>
      <c:catAx>
        <c:axId val="6947863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94781503"/>
        <c:crosses val="autoZero"/>
        <c:auto val="1"/>
        <c:lblAlgn val="ctr"/>
        <c:lblOffset val="100"/>
        <c:noMultiLvlLbl val="0"/>
      </c:catAx>
      <c:valAx>
        <c:axId val="69478150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r>
                  <a:rPr lang="en-US"/>
                  <a:t>% of Total Rev</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6947863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3</xdr:col>
      <xdr:colOff>685800</xdr:colOff>
      <xdr:row>1</xdr:row>
      <xdr:rowOff>61270</xdr:rowOff>
    </xdr:from>
    <xdr:to>
      <xdr:col>7</xdr:col>
      <xdr:colOff>666750</xdr:colOff>
      <xdr:row>6</xdr:row>
      <xdr:rowOff>95250</xdr:rowOff>
    </xdr:to>
    <xdr:pic>
      <xdr:nvPicPr>
        <xdr:cNvPr id="3" name="Picture 2">
          <a:extLst>
            <a:ext uri="{FF2B5EF4-FFF2-40B4-BE49-F238E27FC236}">
              <a16:creationId xmlns:a16="http://schemas.microsoft.com/office/drawing/2014/main" id="{880D5FE7-EA86-B5B0-C036-3338F1BAEDDD}"/>
            </a:ext>
          </a:extLst>
        </xdr:cNvPr>
        <xdr:cNvPicPr>
          <a:picLocks noChangeAspect="1"/>
        </xdr:cNvPicPr>
      </xdr:nvPicPr>
      <xdr:blipFill>
        <a:blip xmlns:r="http://schemas.openxmlformats.org/officeDocument/2006/relationships" r:embed="rId1"/>
        <a:stretch>
          <a:fillRect/>
        </a:stretch>
      </xdr:blipFill>
      <xdr:spPr>
        <a:xfrm>
          <a:off x="3886200" y="223195"/>
          <a:ext cx="2800350" cy="84360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714374</xdr:colOff>
      <xdr:row>1</xdr:row>
      <xdr:rowOff>161924</xdr:rowOff>
    </xdr:from>
    <xdr:to>
      <xdr:col>10</xdr:col>
      <xdr:colOff>704850</xdr:colOff>
      <xdr:row>22</xdr:row>
      <xdr:rowOff>9524</xdr:rowOff>
    </xdr:to>
    <xdr:graphicFrame macro="">
      <xdr:nvGraphicFramePr>
        <xdr:cNvPr id="2" name="Chart 1">
          <a:extLst>
            <a:ext uri="{FF2B5EF4-FFF2-40B4-BE49-F238E27FC236}">
              <a16:creationId xmlns:a16="http://schemas.microsoft.com/office/drawing/2014/main" id="{2800A13D-5DC2-EE58-D430-329055A007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1</xdr:row>
      <xdr:rowOff>161924</xdr:rowOff>
    </xdr:from>
    <xdr:to>
      <xdr:col>21</xdr:col>
      <xdr:colOff>0</xdr:colOff>
      <xdr:row>22</xdr:row>
      <xdr:rowOff>9524</xdr:rowOff>
    </xdr:to>
    <xdr:graphicFrame macro="">
      <xdr:nvGraphicFramePr>
        <xdr:cNvPr id="5" name="Chart 4">
          <a:extLst>
            <a:ext uri="{FF2B5EF4-FFF2-40B4-BE49-F238E27FC236}">
              <a16:creationId xmlns:a16="http://schemas.microsoft.com/office/drawing/2014/main" id="{7F443C79-BD7B-FA9C-ABE4-E6DDE30CA3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714374</xdr:colOff>
      <xdr:row>22</xdr:row>
      <xdr:rowOff>9525</xdr:rowOff>
    </xdr:from>
    <xdr:to>
      <xdr:col>10</xdr:col>
      <xdr:colOff>704849</xdr:colOff>
      <xdr:row>41</xdr:row>
      <xdr:rowOff>152400</xdr:rowOff>
    </xdr:to>
    <xdr:graphicFrame macro="">
      <xdr:nvGraphicFramePr>
        <xdr:cNvPr id="9" name="Chart 8">
          <a:extLst>
            <a:ext uri="{FF2B5EF4-FFF2-40B4-BE49-F238E27FC236}">
              <a16:creationId xmlns:a16="http://schemas.microsoft.com/office/drawing/2014/main" id="{8BCF14CF-86F5-F6E4-D125-AA4D912FC0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22</xdr:row>
      <xdr:rowOff>9525</xdr:rowOff>
    </xdr:from>
    <xdr:to>
      <xdr:col>21</xdr:col>
      <xdr:colOff>0</xdr:colOff>
      <xdr:row>41</xdr:row>
      <xdr:rowOff>152400</xdr:rowOff>
    </xdr:to>
    <xdr:graphicFrame macro="">
      <xdr:nvGraphicFramePr>
        <xdr:cNvPr id="14" name="Chart 13">
          <a:extLst>
            <a:ext uri="{FF2B5EF4-FFF2-40B4-BE49-F238E27FC236}">
              <a16:creationId xmlns:a16="http://schemas.microsoft.com/office/drawing/2014/main" id="{B8C9FE64-E16E-7F5A-4072-0A28C5F9D0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https://www.bing.com/financeapi/forcetrigger?t=a1nhlh&amp;q=XNAS%3aAMZN&amp;form=skydnc</v>
    <v>Learn more on Bing</v>
  </rv>
  <rv s="1">
    <v>en-US</v>
    <v>a1nhlh</v>
    <v>268435456</v>
    <v>1</v>
    <v>Powered by Refinitiv</v>
    <v>0</v>
    <v>AMAZON.COM, INC. (XNAS:AMZN)</v>
    <v>2</v>
    <v>3</v>
    <v>Finance</v>
    <v>4</v>
    <v>278.56</v>
    <v>196</v>
    <v>1.4742</v>
    <v>7.45</v>
    <v>1.083E-3</v>
    <v>3.2017000000000004E-2</v>
    <v>0.26</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1575000</v>
    <v>Nasdaq Stock Market</v>
    <v>XNAS</v>
    <v>XNAS</v>
    <v>410 Terry Avenue North, SEATTLE, WA, 98109 US</v>
    <v>249.71</v>
    <v>Diversified Retail</v>
    <v>Stock</v>
    <v>46202.905006087502</v>
    <v>0</v>
    <v>233.8</v>
    <v>2583212395400</v>
    <v>AMAZON.COM, INC.</v>
    <v>AMAZON.COM, INC.</v>
    <v>234.215</v>
    <v>27.8081</v>
    <v>232.69</v>
    <v>240.14</v>
    <v>240.4</v>
    <v>10757110000</v>
    <v>AMZN</v>
    <v>AMAZON.COM, INC. (XNAS:AMZN)</v>
    <v>76064307</v>
    <v>56312977</v>
    <v>1996</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3836D17-CF5B-4D77-8F3B-A3DD174F8D54}" name="Table1" displayName="Table1" ref="B8:I48" totalsRowShown="0" headerRowDxfId="25" dataDxfId="23" headerRowBorderDxfId="24" dataCellStyle="Comma">
  <autoFilter ref="B8:I48" xr:uid="{23836D17-CF5B-4D77-8F3B-A3DD174F8D54}"/>
  <tableColumns count="8">
    <tableColumn id="1" xr3:uid="{C56CB535-0884-4EB6-8247-BC7076E0F9ED}" name="." dataDxfId="22"/>
    <tableColumn id="2" xr3:uid="{5CB05335-81A4-4F9E-91AE-D7275C95F89C}" name="2019" dataDxfId="21" dataCellStyle="Comma"/>
    <tableColumn id="3" xr3:uid="{A67758F4-C8A9-49AB-B402-3C6C6623F38E}" name="2020" dataDxfId="20" dataCellStyle="Comma"/>
    <tableColumn id="4" xr3:uid="{D2EB0291-4E53-45C5-9A55-496776298FCF}" name="2021" dataDxfId="19" dataCellStyle="Comma"/>
    <tableColumn id="5" xr3:uid="{8BBF933F-D97B-42BA-9EF9-C011F65930FC}" name="2022" dataDxfId="18" dataCellStyle="Comma"/>
    <tableColumn id="6" xr3:uid="{5B24A045-0943-4881-8988-3CC50E6754BD}" name="2023" dataDxfId="17" dataCellStyle="Comma"/>
    <tableColumn id="7" xr3:uid="{0F4D0575-18E6-42CA-A6D9-2FCC3DD18D8B}" name="2024" dataDxfId="16" dataCellStyle="Comma"/>
    <tableColumn id="8" xr3:uid="{8C5170C0-8D6A-431E-81D3-7E80DAF80784}" name="2025" dataDxfId="15" dataCellStyle="Comma"/>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20BF547-D843-4B46-A130-6CFC2B9CD1F8}" name="Table2" displayName="Table2" ref="N8:U46" totalsRowShown="0" headerRowDxfId="14" dataDxfId="12" headerRowBorderDxfId="13" dataCellStyle="Comma">
  <autoFilter ref="N8:U46" xr:uid="{120BF547-D843-4B46-A130-6CFC2B9CD1F8}"/>
  <tableColumns count="8">
    <tableColumn id="1" xr3:uid="{DB29C79D-FAB6-484C-9815-A2E8E1E77194}" name="."/>
    <tableColumn id="2" xr3:uid="{3C41FD2C-CF3B-45B9-83D3-DF70DA3F9D5A}" name="2019" dataDxfId="11" dataCellStyle="Comma"/>
    <tableColumn id="3" xr3:uid="{2DFCE98E-C0C8-42EE-BB58-7255714974F0}" name="2020" dataDxfId="10" dataCellStyle="Comma"/>
    <tableColumn id="4" xr3:uid="{44C5D0A9-3EFA-4FEC-93F4-6F50F976863F}" name="2021" dataDxfId="9" dataCellStyle="Comma"/>
    <tableColumn id="5" xr3:uid="{4743886E-940B-4EE9-A1FC-1D090FB5B393}" name="2022" dataDxfId="8" dataCellStyle="Comma"/>
    <tableColumn id="6" xr3:uid="{64A6DC66-AB43-4E0F-8986-3CD831887B8C}" name="2023" dataDxfId="7" dataCellStyle="Comma"/>
    <tableColumn id="7" xr3:uid="{3B18363B-4162-4DCB-B417-6622816301E4}" name="2024" dataDxfId="6" dataCellStyle="Comma"/>
    <tableColumn id="8" xr3:uid="{87EA8A72-3365-4115-B278-36A6C79B9140}" name="2025" dataDxfId="5" dataCellStyle="Comma"/>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439435-DF47-4941-828D-A8571D75B54E}" name="Table810" displayName="Table810" ref="B5:D13" totalsRowShown="0" headerRowDxfId="4" dataDxfId="3">
  <autoFilter ref="B5:D13" xr:uid="{14439435-DF47-4941-828D-A8571D75B54E}">
    <filterColumn colId="0" hiddenButton="1"/>
    <filterColumn colId="1" hiddenButton="1"/>
    <filterColumn colId="2" hiddenButton="1"/>
  </autoFilter>
  <tableColumns count="3">
    <tableColumn id="1" xr3:uid="{962C6DAD-4015-45C3-AC85-B3E50BCF04D9}" name="Screening Score" dataDxfId="2"/>
    <tableColumn id="2" xr3:uid="{980896EE-8028-461A-961E-B4D68EA13D2D}" name="Column1" dataDxfId="1"/>
    <tableColumn id="3" xr3:uid="{814A5BE7-FE97-4DC6-BB50-8CC5AE2A88F9}" name="2025"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table" Target="../tables/table2.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332568-5640-4B84-AC29-1C6BDB0C1A0A}">
  <sheetPr>
    <pageSetUpPr fitToPage="1"/>
  </sheetPr>
  <dimension ref="A1:X48"/>
  <sheetViews>
    <sheetView tabSelected="1" topLeftCell="D15" zoomScale="115" zoomScaleNormal="115" workbookViewId="0">
      <selection activeCell="R43" sqref="R43"/>
    </sheetView>
  </sheetViews>
  <sheetFormatPr defaultColWidth="10.5703125" defaultRowHeight="12.75" x14ac:dyDescent="0.2"/>
  <cols>
    <col min="1" max="1" width="10.5703125" style="1"/>
    <col min="2" max="2" width="27.7109375" style="1" customWidth="1"/>
    <col min="3" max="3" width="11.85546875" style="19" bestFit="1" customWidth="1"/>
    <col min="4" max="7" width="10.5703125" style="19"/>
    <col min="8" max="9" width="10.5703125" style="19" customWidth="1"/>
    <col min="10" max="12" width="10.5703125" style="42"/>
    <col min="13" max="13" width="5.5703125" style="1" customWidth="1"/>
    <col min="14" max="14" width="25.5703125" style="1" customWidth="1"/>
    <col min="15" max="21" width="10.5703125" style="13"/>
    <col min="22" max="24" width="10.5703125" style="42"/>
    <col min="25" max="16384" width="10.5703125" style="1"/>
  </cols>
  <sheetData>
    <row r="1" spans="2:24" x14ac:dyDescent="0.2">
      <c r="C1" s="1"/>
      <c r="D1" s="1"/>
      <c r="E1" s="1"/>
      <c r="F1" s="1"/>
      <c r="G1" s="1"/>
      <c r="H1" s="1"/>
      <c r="I1" s="1"/>
      <c r="J1" s="1"/>
      <c r="K1" s="1"/>
      <c r="L1" s="1"/>
      <c r="O1" s="1"/>
      <c r="P1" s="1"/>
      <c r="Q1" s="1"/>
      <c r="R1" s="1"/>
      <c r="S1" s="1"/>
      <c r="T1" s="1"/>
      <c r="U1" s="1"/>
      <c r="V1" s="1"/>
      <c r="W1" s="1"/>
      <c r="X1" s="1"/>
    </row>
    <row r="2" spans="2:24" x14ac:dyDescent="0.2">
      <c r="C2" s="1"/>
      <c r="D2" s="1"/>
      <c r="E2" s="1"/>
      <c r="F2" s="1"/>
      <c r="G2" s="1"/>
      <c r="H2" s="1"/>
      <c r="I2" s="1"/>
      <c r="J2" s="1"/>
      <c r="K2" s="1"/>
      <c r="L2" s="1"/>
      <c r="O2" s="1"/>
      <c r="P2" s="1"/>
      <c r="Q2" s="1"/>
      <c r="R2" s="1"/>
      <c r="S2" s="1"/>
      <c r="T2" s="1"/>
      <c r="U2" s="1"/>
      <c r="V2" s="1"/>
      <c r="W2" s="1"/>
      <c r="X2" s="1"/>
    </row>
    <row r="3" spans="2:24" x14ac:dyDescent="0.2">
      <c r="B3" s="16" t="e" vm="1">
        <v>#VALUE!</v>
      </c>
      <c r="C3" s="1"/>
      <c r="D3" s="1"/>
      <c r="E3" s="1"/>
      <c r="F3" s="1"/>
      <c r="G3" s="1"/>
      <c r="H3" s="1"/>
      <c r="I3" s="1"/>
      <c r="J3" s="1"/>
      <c r="K3" s="1"/>
      <c r="L3" s="1"/>
      <c r="O3" s="1"/>
      <c r="P3" s="1"/>
      <c r="Q3" s="1"/>
      <c r="R3" s="1"/>
      <c r="S3" s="1"/>
      <c r="T3" s="1"/>
      <c r="U3" s="1"/>
      <c r="V3" s="1"/>
      <c r="W3" s="1"/>
      <c r="X3" s="1"/>
    </row>
    <row r="4" spans="2:24" x14ac:dyDescent="0.2">
      <c r="B4" s="1" t="s">
        <v>0</v>
      </c>
      <c r="C4" s="2" cm="1">
        <f t="array" aca="1" ref="C4" ca="1">_FV(B3,"Price")</f>
        <v>240.14</v>
      </c>
      <c r="D4" s="1"/>
      <c r="E4" s="1"/>
      <c r="F4" s="1"/>
      <c r="G4" s="1"/>
      <c r="H4" s="1"/>
      <c r="I4" s="1"/>
      <c r="J4" s="1"/>
      <c r="K4" s="1"/>
      <c r="L4" s="1"/>
      <c r="O4" s="1"/>
      <c r="P4" s="1"/>
      <c r="Q4" s="1"/>
      <c r="R4" s="1"/>
      <c r="S4" s="1"/>
      <c r="T4" s="1"/>
      <c r="U4" s="1"/>
      <c r="V4" s="1"/>
      <c r="W4" s="1"/>
      <c r="X4" s="1"/>
    </row>
    <row r="5" spans="2:24" x14ac:dyDescent="0.2">
      <c r="B5" s="1" t="s">
        <v>1</v>
      </c>
      <c r="C5" s="3">
        <v>10616</v>
      </c>
      <c r="D5" s="1"/>
      <c r="E5" s="1"/>
      <c r="F5" s="1"/>
      <c r="G5" s="1"/>
      <c r="H5" s="1"/>
      <c r="I5" s="1"/>
      <c r="J5" s="1"/>
      <c r="K5" s="1"/>
      <c r="L5" s="1"/>
      <c r="O5" s="1"/>
      <c r="P5" s="1"/>
      <c r="Q5" s="1"/>
      <c r="R5" s="1"/>
      <c r="S5" s="1"/>
      <c r="T5" s="1"/>
      <c r="U5" s="1"/>
      <c r="V5" s="1"/>
      <c r="W5" s="1"/>
      <c r="X5" s="1"/>
    </row>
    <row r="6" spans="2:24" x14ac:dyDescent="0.2">
      <c r="B6" s="1" t="s">
        <v>2</v>
      </c>
      <c r="C6" s="3">
        <f ca="1">C4*C5</f>
        <v>2549326.2399999998</v>
      </c>
      <c r="D6" s="1"/>
      <c r="E6" s="1"/>
      <c r="F6" s="1"/>
      <c r="G6" s="1"/>
      <c r="H6" s="1"/>
      <c r="I6" s="1"/>
      <c r="J6" s="1"/>
      <c r="K6" s="1"/>
      <c r="L6" s="1"/>
      <c r="O6" s="1"/>
      <c r="P6" s="1"/>
      <c r="Q6" s="1"/>
      <c r="R6" s="1"/>
      <c r="S6" s="1"/>
      <c r="T6" s="1"/>
      <c r="U6" s="1"/>
      <c r="V6" s="1"/>
      <c r="W6" s="1"/>
      <c r="X6" s="1"/>
    </row>
    <row r="7" spans="2:24" x14ac:dyDescent="0.2">
      <c r="C7" s="1"/>
      <c r="D7" s="1"/>
      <c r="E7" s="1"/>
      <c r="F7" s="1"/>
      <c r="G7" s="1"/>
      <c r="H7" s="1"/>
      <c r="I7" s="1"/>
      <c r="J7" s="1"/>
      <c r="K7" s="1"/>
      <c r="L7" s="1"/>
      <c r="O7" s="1"/>
      <c r="P7" s="1"/>
      <c r="Q7" s="1"/>
      <c r="R7" s="1"/>
      <c r="S7" s="1"/>
      <c r="T7" s="1"/>
      <c r="U7" s="1"/>
      <c r="V7" s="1"/>
      <c r="W7" s="1"/>
      <c r="X7" s="1"/>
    </row>
    <row r="8" spans="2:24" x14ac:dyDescent="0.2">
      <c r="B8" s="12" t="s">
        <v>15</v>
      </c>
      <c r="C8" s="4" t="s">
        <v>9</v>
      </c>
      <c r="D8" s="4" t="s">
        <v>10</v>
      </c>
      <c r="E8" s="4" t="s">
        <v>11</v>
      </c>
      <c r="F8" s="4" t="s">
        <v>12</v>
      </c>
      <c r="G8" s="4" t="s">
        <v>13</v>
      </c>
      <c r="H8" s="4" t="s">
        <v>14</v>
      </c>
      <c r="I8" s="4" t="s">
        <v>90</v>
      </c>
      <c r="J8" s="9" t="s">
        <v>4</v>
      </c>
      <c r="K8" s="10" t="s">
        <v>5</v>
      </c>
      <c r="L8" s="11" t="s">
        <v>6</v>
      </c>
      <c r="N8" s="12" t="s">
        <v>15</v>
      </c>
      <c r="O8" s="4" t="s">
        <v>9</v>
      </c>
      <c r="P8" s="4" t="s">
        <v>10</v>
      </c>
      <c r="Q8" s="4" t="s">
        <v>11</v>
      </c>
      <c r="R8" s="4" t="s">
        <v>12</v>
      </c>
      <c r="S8" s="4" t="s">
        <v>13</v>
      </c>
      <c r="T8" s="4" t="s">
        <v>14</v>
      </c>
      <c r="U8" s="4" t="s">
        <v>90</v>
      </c>
      <c r="V8" s="9" t="s">
        <v>4</v>
      </c>
      <c r="W8" s="10" t="s">
        <v>5</v>
      </c>
      <c r="X8" s="11" t="s">
        <v>6</v>
      </c>
    </row>
    <row r="9" spans="2:24" ht="15" x14ac:dyDescent="0.25">
      <c r="B9" s="7" t="s">
        <v>3</v>
      </c>
      <c r="C9" s="23"/>
      <c r="D9" s="24"/>
      <c r="E9" s="23"/>
      <c r="F9" s="23"/>
      <c r="G9" s="23"/>
      <c r="H9" s="23"/>
      <c r="I9" s="65"/>
      <c r="J9" s="36"/>
      <c r="K9" s="37"/>
      <c r="L9" s="38"/>
      <c r="N9" s="7" t="s">
        <v>7</v>
      </c>
      <c r="O9" s="31"/>
      <c r="P9" s="32"/>
      <c r="Q9" s="31"/>
      <c r="R9" s="31"/>
      <c r="S9" s="31"/>
      <c r="T9" s="31"/>
      <c r="U9" s="65"/>
      <c r="V9" s="36"/>
      <c r="W9" s="37"/>
      <c r="X9" s="38"/>
    </row>
    <row r="10" spans="2:24" x14ac:dyDescent="0.2">
      <c r="B10" s="18" t="s">
        <v>17</v>
      </c>
      <c r="C10" s="25">
        <v>141247</v>
      </c>
      <c r="D10" s="25">
        <v>197346</v>
      </c>
      <c r="E10" s="25">
        <v>222075</v>
      </c>
      <c r="F10" s="25">
        <v>220004</v>
      </c>
      <c r="G10" s="25">
        <v>231872</v>
      </c>
      <c r="H10" s="25">
        <v>247029</v>
      </c>
      <c r="I10" s="66">
        <v>269287</v>
      </c>
      <c r="J10" s="68">
        <f>LN(Table1[[#This Row],[2025]]/Table1[[#This Row],[2024]])</f>
        <v>8.6271986708235313E-2</v>
      </c>
      <c r="K10" s="69">
        <f>LN(Table1[[#This Row],[2025]]/Table1[[#This Row],[2023]])</f>
        <v>0.14959223007859684</v>
      </c>
      <c r="L10" s="82">
        <f>LN(Table1[[#This Row],[2025]]/Table1[[#This Row],[2019]])</f>
        <v>0.64526759448826099</v>
      </c>
      <c r="N10" s="5" t="s">
        <v>8</v>
      </c>
      <c r="O10" s="31"/>
      <c r="P10" s="31"/>
      <c r="Q10" s="31"/>
      <c r="R10" s="31"/>
      <c r="S10" s="31"/>
      <c r="T10" s="31"/>
      <c r="U10" s="65"/>
      <c r="V10" s="43"/>
      <c r="W10" s="44"/>
      <c r="X10" s="45"/>
    </row>
    <row r="11" spans="2:24" x14ac:dyDescent="0.2">
      <c r="B11" s="18" t="s">
        <v>16</v>
      </c>
      <c r="C11" s="25">
        <v>17192</v>
      </c>
      <c r="D11" s="25">
        <v>16227</v>
      </c>
      <c r="E11" s="25">
        <v>17075</v>
      </c>
      <c r="F11" s="25">
        <v>18963</v>
      </c>
      <c r="G11" s="25">
        <v>20030</v>
      </c>
      <c r="H11" s="25">
        <v>21215</v>
      </c>
      <c r="I11" s="66">
        <v>22561</v>
      </c>
      <c r="J11" s="68">
        <f>LN(Table1[[#This Row],[2025]]/Table1[[#This Row],[2024]])</f>
        <v>6.1514273234325956E-2</v>
      </c>
      <c r="K11" s="69">
        <f>LN(Table1[[#This Row],[2025]]/Table1[[#This Row],[2023]])</f>
        <v>0.11899160221088723</v>
      </c>
      <c r="L11" s="70">
        <f>LN(Table1[[#This Row],[2025]]/Table1[[#This Row],[2019]])</f>
        <v>0.27177859254840481</v>
      </c>
      <c r="N11" s="28" t="s">
        <v>45</v>
      </c>
      <c r="O11" s="19">
        <v>36092</v>
      </c>
      <c r="P11" s="19">
        <v>42122</v>
      </c>
      <c r="Q11" s="19">
        <v>36220</v>
      </c>
      <c r="R11" s="19">
        <v>53888</v>
      </c>
      <c r="S11" s="19">
        <v>73387</v>
      </c>
      <c r="T11" s="19">
        <v>78779</v>
      </c>
      <c r="U11" s="66">
        <v>86810</v>
      </c>
      <c r="V11" s="82">
        <f>LN(Table2[[#This Row],[2025]]/Table2[[#This Row],[2024]])</f>
        <v>9.7075358518570964E-2</v>
      </c>
      <c r="W11" s="82">
        <f>LN(Table2[[#This Row],[2025]]/Table2[[#This Row],[2023]])</f>
        <v>0.16797501418600011</v>
      </c>
      <c r="X11" s="82">
        <f>LN(Table2[[#This Row],[2025]]/Table2[[#This Row],[2019]])</f>
        <v>0.87765058827146225</v>
      </c>
    </row>
    <row r="12" spans="2:24" x14ac:dyDescent="0.2">
      <c r="B12" s="18" t="s">
        <v>18</v>
      </c>
      <c r="C12" s="25">
        <v>53762</v>
      </c>
      <c r="D12" s="25">
        <v>80461</v>
      </c>
      <c r="E12" s="25">
        <v>103366</v>
      </c>
      <c r="F12" s="25">
        <v>117716</v>
      </c>
      <c r="G12" s="25">
        <v>140053</v>
      </c>
      <c r="H12" s="25">
        <v>156146</v>
      </c>
      <c r="I12" s="66">
        <v>172162</v>
      </c>
      <c r="J12" s="82">
        <f>LN(Table1[[#This Row],[2025]]/Table1[[#This Row],[2024]])</f>
        <v>9.764442699982373E-2</v>
      </c>
      <c r="K12" s="82">
        <f>LN(Table1[[#This Row],[2025]]/Table1[[#This Row],[2023]])</f>
        <v>0.20641497160852085</v>
      </c>
      <c r="L12" s="82">
        <f>LN(Table1[[#This Row],[2025]]/Table1[[#This Row],[2019]])</f>
        <v>1.1638689961024582</v>
      </c>
      <c r="N12" s="28" t="s">
        <v>46</v>
      </c>
      <c r="O12" s="19">
        <v>18929</v>
      </c>
      <c r="P12" s="19">
        <v>42274</v>
      </c>
      <c r="Q12" s="19">
        <v>59829</v>
      </c>
      <c r="R12" s="19">
        <v>16138</v>
      </c>
      <c r="S12" s="19">
        <v>13393</v>
      </c>
      <c r="T12" s="19">
        <v>22423</v>
      </c>
      <c r="U12" s="66">
        <v>36219</v>
      </c>
      <c r="V12" s="82">
        <f>LN(Table2[[#This Row],[2025]]/Table2[[#This Row],[2024]])</f>
        <v>0.47949662522696646</v>
      </c>
      <c r="W12" s="82">
        <f>LN(Table2[[#This Row],[2025]]/Table2[[#This Row],[2023]])</f>
        <v>0.99485166061337493</v>
      </c>
      <c r="X12" s="70">
        <f>LN(Table2[[#This Row],[2025]]/Table2[[#This Row],[2019]])</f>
        <v>0.64888870539427768</v>
      </c>
    </row>
    <row r="13" spans="2:24" x14ac:dyDescent="0.2">
      <c r="B13" s="18" t="s">
        <v>19</v>
      </c>
      <c r="C13" s="25">
        <v>12625</v>
      </c>
      <c r="D13" s="25">
        <v>25207</v>
      </c>
      <c r="E13" s="25">
        <v>31768</v>
      </c>
      <c r="F13" s="25">
        <v>37739</v>
      </c>
      <c r="G13" s="25">
        <v>46906</v>
      </c>
      <c r="H13" s="25">
        <v>56214</v>
      </c>
      <c r="I13" s="66">
        <v>68635</v>
      </c>
      <c r="J13" s="82">
        <f>LN(Table1[[#This Row],[2025]]/Table1[[#This Row],[2024]])</f>
        <v>0.19963677250651676</v>
      </c>
      <c r="K13" s="82">
        <f>LN(Table1[[#This Row],[2025]]/Table1[[#This Row],[2023]])</f>
        <v>0.38065700966423738</v>
      </c>
      <c r="L13" s="82">
        <f>LN(Table1[[#This Row],[2025]]/Table1[[#This Row],[2019]])</f>
        <v>1.6931236335421995</v>
      </c>
      <c r="N13" s="28" t="s">
        <v>47</v>
      </c>
      <c r="O13" s="19">
        <v>20497</v>
      </c>
      <c r="P13" s="19">
        <v>23795</v>
      </c>
      <c r="Q13" s="19">
        <v>32640</v>
      </c>
      <c r="R13" s="19">
        <v>34405</v>
      </c>
      <c r="S13" s="19">
        <v>33318</v>
      </c>
      <c r="T13" s="19">
        <v>34214</v>
      </c>
      <c r="U13" s="66">
        <v>38325</v>
      </c>
      <c r="V13" s="68">
        <f>LN(Table2[[#This Row],[2025]]/Table2[[#This Row],[2024]])</f>
        <v>0.11346750772777765</v>
      </c>
      <c r="W13" s="69">
        <f>LN(Table2[[#This Row],[2025]]/Table2[[#This Row],[2023]])</f>
        <v>0.14000463327035276</v>
      </c>
      <c r="X13" s="70">
        <f>LN(Table2[[#This Row],[2025]]/Table2[[#This Row],[2019]])</f>
        <v>0.62582389078588674</v>
      </c>
    </row>
    <row r="14" spans="2:24" x14ac:dyDescent="0.2">
      <c r="B14" s="18" t="s">
        <v>20</v>
      </c>
      <c r="C14" s="25">
        <v>19210</v>
      </c>
      <c r="D14" s="25">
        <v>19773</v>
      </c>
      <c r="E14" s="25">
        <v>31160</v>
      </c>
      <c r="F14" s="25">
        <v>35218</v>
      </c>
      <c r="G14" s="25">
        <v>40209</v>
      </c>
      <c r="H14" s="25">
        <v>44374</v>
      </c>
      <c r="I14" s="66">
        <v>49619</v>
      </c>
      <c r="J14" s="68">
        <f>LN(Table1[[#This Row],[2025]]/Table1[[#This Row],[2024]])</f>
        <v>0.1117201125661398</v>
      </c>
      <c r="K14" s="69">
        <f>LN(Table1[[#This Row],[2025]]/Table1[[#This Row],[2023]])</f>
        <v>0.2102829737320612</v>
      </c>
      <c r="L14" s="70">
        <f>LN(Table1[[#This Row],[2025]]/Table1[[#This Row],[2019]])</f>
        <v>0.94894284811606511</v>
      </c>
      <c r="N14" s="28" t="s">
        <v>48</v>
      </c>
      <c r="O14" s="19">
        <v>20816</v>
      </c>
      <c r="P14" s="19">
        <v>24542</v>
      </c>
      <c r="Q14" s="19">
        <v>32891</v>
      </c>
      <c r="R14" s="19">
        <v>42360</v>
      </c>
      <c r="S14" s="19">
        <v>52253</v>
      </c>
      <c r="T14" s="19">
        <v>55451</v>
      </c>
      <c r="U14" s="66">
        <v>67729</v>
      </c>
      <c r="V14" s="68">
        <f>LN(Table2[[#This Row],[2025]]/Table2[[#This Row],[2024]])</f>
        <v>0.20001470071282421</v>
      </c>
      <c r="W14" s="69">
        <f>LN(Table2[[#This Row],[2025]]/Table2[[#This Row],[2023]])</f>
        <v>0.25941714314707637</v>
      </c>
      <c r="X14" s="70">
        <f>LN(Table2[[#This Row],[2025]]/Table2[[#This Row],[2019]])</f>
        <v>1.1797925268415392</v>
      </c>
    </row>
    <row r="15" spans="2:24" ht="13.5" thickBot="1" x14ac:dyDescent="0.25">
      <c r="B15" s="18" t="s">
        <v>21</v>
      </c>
      <c r="C15" s="25">
        <v>35026</v>
      </c>
      <c r="D15" s="25">
        <v>45370</v>
      </c>
      <c r="E15" s="25">
        <v>62202</v>
      </c>
      <c r="F15" s="25">
        <v>80096</v>
      </c>
      <c r="G15" s="25">
        <v>90757</v>
      </c>
      <c r="H15" s="25">
        <v>107556</v>
      </c>
      <c r="I15" s="66">
        <v>128725</v>
      </c>
      <c r="J15" s="82">
        <f>LN(Table1[[#This Row],[2025]]/Table1[[#This Row],[2024]])</f>
        <v>0.17966670376898014</v>
      </c>
      <c r="K15" s="82">
        <f>LN(Table1[[#This Row],[2025]]/Table1[[#This Row],[2023]])</f>
        <v>0.34949274077576914</v>
      </c>
      <c r="L15" s="82">
        <f>LN(Table1[[#This Row],[2025]]/Table1[[#This Row],[2019]])</f>
        <v>1.3015877030817324</v>
      </c>
      <c r="N15" s="21" t="s">
        <v>49</v>
      </c>
      <c r="O15" s="22">
        <f t="shared" ref="O15:S15" si="0">SUM(O11:O14)</f>
        <v>96334</v>
      </c>
      <c r="P15" s="22">
        <f t="shared" si="0"/>
        <v>132733</v>
      </c>
      <c r="Q15" s="22">
        <f t="shared" si="0"/>
        <v>161580</v>
      </c>
      <c r="R15" s="22">
        <f t="shared" si="0"/>
        <v>146791</v>
      </c>
      <c r="S15" s="22">
        <f t="shared" si="0"/>
        <v>172351</v>
      </c>
      <c r="T15" s="22">
        <f>SUM(T11:T14)</f>
        <v>190867</v>
      </c>
      <c r="U15" s="22">
        <f>SUM(U11:U14)</f>
        <v>229083</v>
      </c>
      <c r="V15" s="83">
        <f>LN(Table2[[#This Row],[2025]]/Table2[[#This Row],[2024]])</f>
        <v>0.18250753288739482</v>
      </c>
      <c r="W15" s="72">
        <f>LN(Table2[[#This Row],[2025]]/Table2[[#This Row],[2023]])</f>
        <v>0.28455128820877795</v>
      </c>
      <c r="X15" s="73">
        <f>LN(Table2[[#This Row],[2025]]/Table2[[#This Row],[2019]])</f>
        <v>0.86626306346601267</v>
      </c>
    </row>
    <row r="16" spans="2:24" x14ac:dyDescent="0.2">
      <c r="B16" s="18" t="s">
        <v>22</v>
      </c>
      <c r="C16" s="25">
        <v>1460</v>
      </c>
      <c r="D16" s="25">
        <v>1680</v>
      </c>
      <c r="E16" s="25">
        <v>2176</v>
      </c>
      <c r="F16" s="25">
        <v>4247</v>
      </c>
      <c r="G16" s="25">
        <v>4958</v>
      </c>
      <c r="H16" s="25">
        <v>5425</v>
      </c>
      <c r="I16" s="66">
        <v>5935</v>
      </c>
      <c r="J16" s="68">
        <f>LN(Table1[[#This Row],[2025]]/Table1[[#This Row],[2024]])</f>
        <v>8.9849128635108189E-2</v>
      </c>
      <c r="K16" s="69">
        <f>LN(Table1[[#This Row],[2025]]/Table1[[#This Row],[2023]])</f>
        <v>0.17986459444863268</v>
      </c>
      <c r="L16" s="70">
        <f>LN(Table1[[#This Row],[2025]]/Table1[[#This Row],[2019]])</f>
        <v>1.4024305923413862</v>
      </c>
      <c r="N16" s="30" t="s">
        <v>50</v>
      </c>
      <c r="O16" s="19">
        <v>72705</v>
      </c>
      <c r="P16" s="19">
        <v>113114</v>
      </c>
      <c r="Q16" s="19">
        <v>160281</v>
      </c>
      <c r="R16" s="19">
        <v>186715</v>
      </c>
      <c r="S16" s="19">
        <v>204177</v>
      </c>
      <c r="T16" s="19">
        <v>252665</v>
      </c>
      <c r="U16" s="66">
        <v>357025</v>
      </c>
      <c r="V16" s="82">
        <f>LN(Table2[[#This Row],[2025]]/Table2[[#This Row],[2024]])</f>
        <v>0.3457413066925592</v>
      </c>
      <c r="W16" s="69">
        <f>LN(Table2[[#This Row],[2025]]/Table2[[#This Row],[2023]])</f>
        <v>0.55881854262408293</v>
      </c>
      <c r="X16" s="82">
        <f>LN(Table2[[#This Row],[2025]]/Table2[[#This Row],[2019]])</f>
        <v>1.5913956493735477</v>
      </c>
    </row>
    <row r="17" spans="1:24" ht="13.5" thickBot="1" x14ac:dyDescent="0.25">
      <c r="B17" s="21" t="s">
        <v>23</v>
      </c>
      <c r="C17" s="22">
        <f t="shared" ref="C17:G17" si="1">SUM(C10:C16)</f>
        <v>280522</v>
      </c>
      <c r="D17" s="22">
        <f t="shared" si="1"/>
        <v>386064</v>
      </c>
      <c r="E17" s="22">
        <f t="shared" si="1"/>
        <v>469822</v>
      </c>
      <c r="F17" s="22">
        <f t="shared" si="1"/>
        <v>513983</v>
      </c>
      <c r="G17" s="22">
        <f t="shared" si="1"/>
        <v>574785</v>
      </c>
      <c r="H17" s="22">
        <f>SUM(H10:H16)</f>
        <v>637959</v>
      </c>
      <c r="I17" s="22">
        <f>SUM(I10:I16)</f>
        <v>716924</v>
      </c>
      <c r="J17" s="83">
        <f>LN(Table1[[#This Row],[2025]]/Table1[[#This Row],[2024]])</f>
        <v>0.11669581981398924</v>
      </c>
      <c r="K17" s="83">
        <f>LN(Table1[[#This Row],[2025]]/Table1[[#This Row],[2023]])</f>
        <v>0.22097377993995976</v>
      </c>
      <c r="L17" s="83">
        <f>LN(Table1[[#This Row],[2025]]/Table1[[#This Row],[2019]])</f>
        <v>0.93831768451119857</v>
      </c>
      <c r="N17" s="30" t="s">
        <v>51</v>
      </c>
      <c r="O17" s="19">
        <v>25141</v>
      </c>
      <c r="P17" s="19">
        <v>37553</v>
      </c>
      <c r="Q17" s="19">
        <v>56082</v>
      </c>
      <c r="R17" s="19">
        <v>66123</v>
      </c>
      <c r="S17" s="19">
        <v>72513</v>
      </c>
      <c r="T17" s="19">
        <v>76141</v>
      </c>
      <c r="U17" s="66">
        <v>86054</v>
      </c>
      <c r="V17" s="82">
        <f>LN(Table2[[#This Row],[2025]]/Table2[[#This Row],[2024]])</f>
        <v>0.12238812160996643</v>
      </c>
      <c r="W17" s="69">
        <f>LN(Table2[[#This Row],[2025]]/Table2[[#This Row],[2023]])</f>
        <v>0.17120915004787018</v>
      </c>
      <c r="X17" s="82">
        <f>LN(Table2[[#This Row],[2025]]/Table2[[#This Row],[2019]])</f>
        <v>1.2304750265607263</v>
      </c>
    </row>
    <row r="18" spans="1:24" x14ac:dyDescent="0.2">
      <c r="B18" s="6"/>
      <c r="C18" s="25"/>
      <c r="D18" s="25"/>
      <c r="E18" s="25"/>
      <c r="F18" s="25"/>
      <c r="G18" s="25"/>
      <c r="H18" s="25"/>
      <c r="I18" s="66"/>
      <c r="J18" s="40"/>
      <c r="K18" s="39"/>
      <c r="L18" s="41"/>
      <c r="N18" s="30" t="s">
        <v>52</v>
      </c>
      <c r="O18" s="19">
        <v>14754</v>
      </c>
      <c r="P18" s="19">
        <v>15017</v>
      </c>
      <c r="Q18" s="19">
        <v>15371</v>
      </c>
      <c r="R18" s="19">
        <v>20288</v>
      </c>
      <c r="S18" s="19">
        <v>22789</v>
      </c>
      <c r="T18" s="19">
        <v>23074</v>
      </c>
      <c r="U18" s="66">
        <v>23273</v>
      </c>
      <c r="V18" s="68">
        <f>LN(Table2[[#This Row],[2025]]/Table2[[#This Row],[2024]])</f>
        <v>8.5874478574299359E-3</v>
      </c>
      <c r="W18" s="69">
        <f>LN(Table2[[#This Row],[2025]]/Table2[[#This Row],[2023]])</f>
        <v>2.1015926961893656E-2</v>
      </c>
      <c r="X18" s="70">
        <f>LN(Table2[[#This Row],[2025]]/Table2[[#This Row],[2019]])</f>
        <v>0.45577965790041741</v>
      </c>
    </row>
    <row r="19" spans="1:24" x14ac:dyDescent="0.2">
      <c r="B19" s="5" t="s">
        <v>30</v>
      </c>
      <c r="C19" s="25"/>
      <c r="D19" s="25"/>
      <c r="E19" s="25"/>
      <c r="F19" s="25"/>
      <c r="G19" s="25"/>
      <c r="H19" s="25"/>
      <c r="I19" s="66"/>
      <c r="J19" s="40"/>
      <c r="K19" s="39"/>
      <c r="L19" s="41"/>
      <c r="N19" s="30" t="s">
        <v>22</v>
      </c>
      <c r="O19" s="19">
        <v>16314</v>
      </c>
      <c r="P19" s="19">
        <v>22778</v>
      </c>
      <c r="Q19" s="19">
        <v>27235</v>
      </c>
      <c r="R19" s="19">
        <v>42758</v>
      </c>
      <c r="S19" s="19">
        <v>56024</v>
      </c>
      <c r="T19" s="19">
        <v>82147</v>
      </c>
      <c r="U19" s="66">
        <v>122607</v>
      </c>
      <c r="V19" s="82">
        <f>LN(Table2[[#This Row],[2025]]/Table2[[#This Row],[2024]])</f>
        <v>0.40047379286728829</v>
      </c>
      <c r="W19" s="69">
        <f>LN(Table2[[#This Row],[2025]]/Table2[[#This Row],[2023]])</f>
        <v>0.78320394776692659</v>
      </c>
      <c r="X19" s="70">
        <f>LN(Table2[[#This Row],[2025]]/Table2[[#This Row],[2019]])</f>
        <v>2.0169604832417543</v>
      </c>
    </row>
    <row r="20" spans="1:24" s="8" customFormat="1" ht="13.5" thickBot="1" x14ac:dyDescent="0.25">
      <c r="A20" s="1"/>
      <c r="B20" s="18" t="s">
        <v>31</v>
      </c>
      <c r="C20" s="25">
        <v>165536</v>
      </c>
      <c r="D20" s="25">
        <v>233307</v>
      </c>
      <c r="E20" s="25">
        <v>272344</v>
      </c>
      <c r="F20" s="25">
        <v>288831</v>
      </c>
      <c r="G20" s="25">
        <v>304739</v>
      </c>
      <c r="H20" s="25">
        <v>326288</v>
      </c>
      <c r="I20" s="66">
        <v>356414</v>
      </c>
      <c r="J20" s="68">
        <f>LN(Table1[[#This Row],[2025]]/Table1[[#This Row],[2024]])</f>
        <v>8.8312549581105279E-2</v>
      </c>
      <c r="K20" s="69">
        <f>LN(Table1[[#This Row],[2025]]/Table1[[#This Row],[2023]])</f>
        <v>0.15663730398112885</v>
      </c>
      <c r="L20" s="82">
        <f>LN(Table1[[#This Row],[2025]]/Table1[[#This Row],[2019]])</f>
        <v>0.766904282709992</v>
      </c>
      <c r="M20" s="1"/>
      <c r="N20" s="21" t="s">
        <v>53</v>
      </c>
      <c r="O20" s="22">
        <f t="shared" ref="O20:S20" si="2">SUM(O15:O19)</f>
        <v>225248</v>
      </c>
      <c r="P20" s="22">
        <f t="shared" si="2"/>
        <v>321195</v>
      </c>
      <c r="Q20" s="22">
        <f t="shared" si="2"/>
        <v>420549</v>
      </c>
      <c r="R20" s="22">
        <f t="shared" si="2"/>
        <v>462675</v>
      </c>
      <c r="S20" s="22">
        <f t="shared" si="2"/>
        <v>527854</v>
      </c>
      <c r="T20" s="22">
        <f>SUM(T15:T19)</f>
        <v>624894</v>
      </c>
      <c r="U20" s="22">
        <f>SUM(U15:U19)</f>
        <v>818042</v>
      </c>
      <c r="V20" s="83">
        <f>LN(Table2[[#This Row],[2025]]/Table2[[#This Row],[2024]])</f>
        <v>0.26933164467523196</v>
      </c>
      <c r="W20" s="83">
        <f>LN(Table2[[#This Row],[2025]]/Table2[[#This Row],[2023]])</f>
        <v>0.43809394971054427</v>
      </c>
      <c r="X20" s="83">
        <f>LN(Table2[[#This Row],[2025]]/Table2[[#This Row],[2019]])</f>
        <v>1.289711662602206</v>
      </c>
    </row>
    <row r="21" spans="1:24" x14ac:dyDescent="0.2">
      <c r="B21" s="18" t="s">
        <v>32</v>
      </c>
      <c r="C21" s="25">
        <v>40232</v>
      </c>
      <c r="D21" s="25">
        <v>58517</v>
      </c>
      <c r="E21" s="25">
        <v>75111</v>
      </c>
      <c r="F21" s="25">
        <v>84299</v>
      </c>
      <c r="G21" s="25">
        <v>90619</v>
      </c>
      <c r="H21" s="25">
        <v>98505</v>
      </c>
      <c r="I21" s="66">
        <v>109074</v>
      </c>
      <c r="J21" s="82">
        <f>LN(Table1[[#This Row],[2025]]/Table1[[#This Row],[2024]])</f>
        <v>0.10191924265293408</v>
      </c>
      <c r="K21" s="69">
        <f>LN(Table1[[#This Row],[2025]]/Table1[[#This Row],[2023]])</f>
        <v>0.18536264687746581</v>
      </c>
      <c r="L21" s="70">
        <f>LN(Table1[[#This Row],[2025]]/Table1[[#This Row],[2019]])</f>
        <v>0.99736385209431611</v>
      </c>
      <c r="N21" s="15"/>
      <c r="O21" s="33"/>
      <c r="P21" s="33"/>
      <c r="Q21" s="33"/>
      <c r="R21" s="33"/>
      <c r="S21" s="33"/>
      <c r="T21" s="33"/>
      <c r="U21" s="67"/>
      <c r="V21" s="40"/>
      <c r="W21" s="39"/>
      <c r="X21" s="41"/>
    </row>
    <row r="22" spans="1:24" x14ac:dyDescent="0.2">
      <c r="B22" s="18" t="s">
        <v>33</v>
      </c>
      <c r="C22" s="25">
        <v>35931</v>
      </c>
      <c r="D22" s="25">
        <v>42740</v>
      </c>
      <c r="E22" s="25">
        <v>56052</v>
      </c>
      <c r="F22" s="25">
        <v>73213</v>
      </c>
      <c r="G22" s="25">
        <v>85622</v>
      </c>
      <c r="H22" s="25">
        <v>88544</v>
      </c>
      <c r="I22" s="66">
        <v>108521</v>
      </c>
      <c r="J22" s="82">
        <f>LN(Table1[[#This Row],[2025]]/Table1[[#This Row],[2024]])</f>
        <v>0.20344409903502308</v>
      </c>
      <c r="K22" s="69">
        <f>LN(Table1[[#This Row],[2025]]/Table1[[#This Row],[2023]])</f>
        <v>0.23700144316729183</v>
      </c>
      <c r="L22" s="82">
        <f>LN(Table1[[#This Row],[2025]]/Table1[[#This Row],[2019]])</f>
        <v>1.105343270006059</v>
      </c>
      <c r="N22" s="5" t="s">
        <v>54</v>
      </c>
      <c r="O22" s="19"/>
      <c r="P22" s="19"/>
      <c r="Q22" s="19"/>
      <c r="R22" s="19"/>
      <c r="S22" s="19"/>
      <c r="T22" s="19"/>
      <c r="U22" s="66"/>
      <c r="V22" s="40"/>
      <c r="W22" s="39"/>
      <c r="X22" s="41"/>
    </row>
    <row r="23" spans="1:24" x14ac:dyDescent="0.2">
      <c r="B23" s="18" t="s">
        <v>34</v>
      </c>
      <c r="C23" s="25">
        <v>18878</v>
      </c>
      <c r="D23" s="25">
        <v>22008</v>
      </c>
      <c r="E23" s="25">
        <v>32551</v>
      </c>
      <c r="F23" s="25">
        <v>42238</v>
      </c>
      <c r="G23" s="25">
        <v>44370</v>
      </c>
      <c r="H23" s="25">
        <v>43907</v>
      </c>
      <c r="I23" s="66">
        <v>47129</v>
      </c>
      <c r="J23" s="68">
        <f>LN(Table1[[#This Row],[2025]]/Table1[[#This Row],[2024]])</f>
        <v>7.0814762129861944E-2</v>
      </c>
      <c r="K23" s="69">
        <f>LN(Table1[[#This Row],[2025]]/Table1[[#This Row],[2023]])</f>
        <v>6.0324957411804041E-2</v>
      </c>
      <c r="L23" s="70">
        <f>LN(Table1[[#This Row],[2025]]/Table1[[#This Row],[2019]])</f>
        <v>0.91489129989986961</v>
      </c>
      <c r="N23" s="5" t="s">
        <v>8</v>
      </c>
      <c r="O23" s="19"/>
      <c r="P23" s="19"/>
      <c r="Q23" s="19"/>
      <c r="R23" s="19"/>
      <c r="S23" s="19"/>
      <c r="T23" s="19"/>
      <c r="U23" s="66"/>
      <c r="V23" s="40"/>
      <c r="W23" s="39"/>
      <c r="X23" s="41"/>
    </row>
    <row r="24" spans="1:24" x14ac:dyDescent="0.2">
      <c r="B24" s="18" t="s">
        <v>35</v>
      </c>
      <c r="C24" s="25">
        <v>5203</v>
      </c>
      <c r="D24" s="25">
        <v>6668</v>
      </c>
      <c r="E24" s="25">
        <v>8823</v>
      </c>
      <c r="F24" s="25">
        <v>11891</v>
      </c>
      <c r="G24" s="25">
        <v>11816</v>
      </c>
      <c r="H24" s="25">
        <v>11359</v>
      </c>
      <c r="I24" s="66">
        <v>11172</v>
      </c>
      <c r="J24" s="68">
        <f>LN(Table1[[#This Row],[2025]]/Table1[[#This Row],[2024]])</f>
        <v>-1.6599733166354214E-2</v>
      </c>
      <c r="K24" s="69">
        <f>LN(Table1[[#This Row],[2025]]/Table1[[#This Row],[2023]])</f>
        <v>-5.6043897146148297E-2</v>
      </c>
      <c r="L24" s="70">
        <f>LN(Table1[[#This Row],[2025]]/Table1[[#This Row],[2019]])</f>
        <v>0.7641752657747638</v>
      </c>
      <c r="N24" s="28" t="s">
        <v>55</v>
      </c>
      <c r="O24" s="19">
        <v>47183</v>
      </c>
      <c r="P24" s="19">
        <v>72539</v>
      </c>
      <c r="Q24" s="19">
        <v>78664</v>
      </c>
      <c r="R24" s="19">
        <v>79600</v>
      </c>
      <c r="S24" s="19">
        <v>84981</v>
      </c>
      <c r="T24" s="19">
        <v>94363</v>
      </c>
      <c r="U24" s="66">
        <v>121909</v>
      </c>
      <c r="V24" s="82">
        <f>LN(Table2[[#This Row],[2025]]/Table2[[#This Row],[2024]])</f>
        <v>0.25612581760410807</v>
      </c>
      <c r="W24" s="69">
        <f>LN(Table2[[#This Row],[2025]]/Table2[[#This Row],[2023]])</f>
        <v>0.3608471626787455</v>
      </c>
      <c r="X24" s="82">
        <f>LN(Table2[[#This Row],[2025]]/Table2[[#This Row],[2019]])</f>
        <v>0.9492412065475001</v>
      </c>
    </row>
    <row r="25" spans="1:24" x14ac:dyDescent="0.2">
      <c r="B25" s="18" t="s">
        <v>22</v>
      </c>
      <c r="C25" s="25">
        <v>201</v>
      </c>
      <c r="D25" s="25">
        <v>-75</v>
      </c>
      <c r="E25" s="25">
        <v>62</v>
      </c>
      <c r="F25" s="25">
        <v>1263</v>
      </c>
      <c r="G25" s="25">
        <v>767</v>
      </c>
      <c r="H25" s="25">
        <v>763</v>
      </c>
      <c r="I25" s="66">
        <v>4639</v>
      </c>
      <c r="J25" s="82">
        <f>LN(Table1[[#This Row],[2025]]/Table1[[#This Row],[2024]])</f>
        <v>1.8049960734672867</v>
      </c>
      <c r="K25" s="69">
        <f>LN(Table1[[#This Row],[2025]]/Table1[[#This Row],[2023]])</f>
        <v>1.7997673033844874</v>
      </c>
      <c r="L25" s="82">
        <f>LN(Table1[[#This Row],[2025]]/Table1[[#This Row],[2019]])</f>
        <v>3.1389491966926681</v>
      </c>
      <c r="N25" s="28" t="s">
        <v>56</v>
      </c>
      <c r="O25" s="19">
        <v>32439</v>
      </c>
      <c r="P25" s="19">
        <v>44138</v>
      </c>
      <c r="Q25" s="19">
        <v>51775</v>
      </c>
      <c r="R25" s="19">
        <v>62566</v>
      </c>
      <c r="S25" s="19">
        <v>64709</v>
      </c>
      <c r="T25" s="19">
        <v>66965</v>
      </c>
      <c r="U25" s="66">
        <v>75520</v>
      </c>
      <c r="V25" s="68">
        <f>LN(Table2[[#This Row],[2025]]/Table2[[#This Row],[2024]])</f>
        <v>0.12022742699815989</v>
      </c>
      <c r="W25" s="69">
        <f>LN(Table2[[#This Row],[2025]]/Table2[[#This Row],[2023]])</f>
        <v>0.15449722644952402</v>
      </c>
      <c r="X25" s="70">
        <f>LN(Table2[[#This Row],[2025]]/Table2[[#This Row],[2019]])</f>
        <v>0.84503611920573551</v>
      </c>
    </row>
    <row r="26" spans="1:24" ht="13.5" thickBot="1" x14ac:dyDescent="0.25">
      <c r="B26" s="21" t="s">
        <v>36</v>
      </c>
      <c r="C26" s="22">
        <f t="shared" ref="C26:G26" si="3">SUM(C20:C25)</f>
        <v>265981</v>
      </c>
      <c r="D26" s="22">
        <f t="shared" si="3"/>
        <v>363165</v>
      </c>
      <c r="E26" s="22">
        <f t="shared" si="3"/>
        <v>444943</v>
      </c>
      <c r="F26" s="22">
        <f t="shared" si="3"/>
        <v>501735</v>
      </c>
      <c r="G26" s="22">
        <f t="shared" si="3"/>
        <v>537933</v>
      </c>
      <c r="H26" s="22">
        <f>SUM(H20:H25)</f>
        <v>569366</v>
      </c>
      <c r="I26" s="22">
        <f>SUM(I20:I25)</f>
        <v>636949</v>
      </c>
      <c r="J26" s="83">
        <f>LN(Table1[[#This Row],[2025]]/Table1[[#This Row],[2024]])</f>
        <v>0.11216612848903233</v>
      </c>
      <c r="K26" s="72">
        <f>LN(Table1[[#This Row],[2025]]/Table1[[#This Row],[2023]])</f>
        <v>0.16895557248198537</v>
      </c>
      <c r="L26" s="83">
        <f>LN(Table1[[#This Row],[2025]]/Table1[[#This Row],[2019]])</f>
        <v>0.87326471191348976</v>
      </c>
      <c r="N26" s="28" t="s">
        <v>57</v>
      </c>
      <c r="O26" s="19">
        <v>8190</v>
      </c>
      <c r="P26" s="19">
        <v>9708</v>
      </c>
      <c r="Q26" s="19">
        <v>11827</v>
      </c>
      <c r="R26" s="19">
        <v>13227</v>
      </c>
      <c r="S26" s="19">
        <v>15227</v>
      </c>
      <c r="T26" s="19">
        <v>18103</v>
      </c>
      <c r="U26" s="66">
        <v>20576</v>
      </c>
      <c r="V26" s="68">
        <f>LN(Table2[[#This Row],[2025]]/Table2[[#This Row],[2024]])</f>
        <v>0.1280476776614021</v>
      </c>
      <c r="W26" s="69">
        <f>LN(Table2[[#This Row],[2025]]/Table2[[#This Row],[2023]])</f>
        <v>0.30105518019661354</v>
      </c>
      <c r="X26" s="70">
        <f>LN(Table2[[#This Row],[2025]]/Table2[[#This Row],[2019]])</f>
        <v>0.92121145019023076</v>
      </c>
    </row>
    <row r="27" spans="1:24" s="8" customFormat="1" ht="13.5" thickBot="1" x14ac:dyDescent="0.25">
      <c r="A27" s="1"/>
      <c r="B27" s="17"/>
      <c r="C27" s="25"/>
      <c r="D27" s="25"/>
      <c r="E27" s="25"/>
      <c r="F27" s="25"/>
      <c r="G27" s="25"/>
      <c r="H27" s="25"/>
      <c r="I27" s="66"/>
      <c r="J27" s="40"/>
      <c r="K27" s="39"/>
      <c r="L27" s="41"/>
      <c r="M27" s="1"/>
      <c r="N27" s="21" t="s">
        <v>49</v>
      </c>
      <c r="O27" s="22">
        <f t="shared" ref="O27:S27" si="4">SUM(O24:O26)</f>
        <v>87812</v>
      </c>
      <c r="P27" s="22">
        <f t="shared" si="4"/>
        <v>126385</v>
      </c>
      <c r="Q27" s="22">
        <f t="shared" si="4"/>
        <v>142266</v>
      </c>
      <c r="R27" s="22">
        <f t="shared" si="4"/>
        <v>155393</v>
      </c>
      <c r="S27" s="22">
        <f t="shared" si="4"/>
        <v>164917</v>
      </c>
      <c r="T27" s="22">
        <f>SUM(T24:T26)</f>
        <v>179431</v>
      </c>
      <c r="U27" s="22">
        <f>SUM(U24:U26)</f>
        <v>218005</v>
      </c>
      <c r="V27" s="83">
        <f>LN(Table2[[#This Row],[2025]]/Table2[[#This Row],[2024]])</f>
        <v>0.19472726539280452</v>
      </c>
      <c r="W27" s="83">
        <f>LN(Table2[[#This Row],[2025]]/Table2[[#This Row],[2023]])</f>
        <v>0.27907568127052207</v>
      </c>
      <c r="X27" s="83">
        <f>LN(Table2[[#This Row],[2025]]/Table2[[#This Row],[2019]])</f>
        <v>0.90931983274420813</v>
      </c>
    </row>
    <row r="28" spans="1:24" x14ac:dyDescent="0.2">
      <c r="B28" s="5" t="s">
        <v>37</v>
      </c>
      <c r="C28" s="20">
        <f t="shared" ref="C28:G28" si="5">C17-C26</f>
        <v>14541</v>
      </c>
      <c r="D28" s="20">
        <f t="shared" si="5"/>
        <v>22899</v>
      </c>
      <c r="E28" s="20">
        <f t="shared" si="5"/>
        <v>24879</v>
      </c>
      <c r="F28" s="20">
        <f t="shared" si="5"/>
        <v>12248</v>
      </c>
      <c r="G28" s="20">
        <f t="shared" si="5"/>
        <v>36852</v>
      </c>
      <c r="H28" s="20">
        <f>H17-H26</f>
        <v>68593</v>
      </c>
      <c r="I28" s="20">
        <f>I17-I26</f>
        <v>79975</v>
      </c>
      <c r="J28" s="82">
        <f>LN(Table1[[#This Row],[2025]]/Table1[[#This Row],[2024]])</f>
        <v>0.15352359712658689</v>
      </c>
      <c r="K28" s="82">
        <f>LN(Table1[[#This Row],[2025]]/Table1[[#This Row],[2023]])</f>
        <v>0.77480419458889604</v>
      </c>
      <c r="L28" s="82">
        <f>LN(Table1[[#This Row],[2025]]/Table1[[#This Row],[2019]])</f>
        <v>1.7047418403042331</v>
      </c>
      <c r="N28" s="30" t="s">
        <v>51</v>
      </c>
      <c r="O28" s="35">
        <v>39791</v>
      </c>
      <c r="P28" s="35">
        <v>52573</v>
      </c>
      <c r="Q28" s="35">
        <v>67651</v>
      </c>
      <c r="R28" s="35">
        <v>72968</v>
      </c>
      <c r="S28" s="35">
        <v>77297</v>
      </c>
      <c r="T28" s="35">
        <v>78277</v>
      </c>
      <c r="U28" s="66">
        <v>87339</v>
      </c>
      <c r="V28" s="68">
        <f>LN(Table2[[#This Row],[2025]]/Table2[[#This Row],[2024]])</f>
        <v>0.10954328065595689</v>
      </c>
      <c r="W28" s="69">
        <f>LN(Table2[[#This Row],[2025]]/Table2[[#This Row],[2023]])</f>
        <v>0.12214195347576649</v>
      </c>
      <c r="X28" s="70">
        <f>LN(Table2[[#This Row],[2025]]/Table2[[#This Row],[2019]])</f>
        <v>0.78615634241846322</v>
      </c>
    </row>
    <row r="29" spans="1:24" x14ac:dyDescent="0.2">
      <c r="B29" s="17" t="s">
        <v>38</v>
      </c>
      <c r="C29" s="25">
        <v>832</v>
      </c>
      <c r="D29" s="25">
        <v>555</v>
      </c>
      <c r="E29" s="25">
        <v>448</v>
      </c>
      <c r="F29" s="25">
        <v>989</v>
      </c>
      <c r="G29" s="25">
        <v>2949</v>
      </c>
      <c r="H29" s="25">
        <v>4677</v>
      </c>
      <c r="I29" s="66">
        <v>4381</v>
      </c>
      <c r="J29" s="68">
        <f>LN(Table1[[#This Row],[2025]]/Table1[[#This Row],[2024]])</f>
        <v>-6.5379869911987798E-2</v>
      </c>
      <c r="K29" s="69">
        <f>LN(Table1[[#This Row],[2025]]/Table1[[#This Row],[2023]])</f>
        <v>0.39581087899862216</v>
      </c>
      <c r="L29" s="70">
        <f>LN(Table1[[#This Row],[2025]]/Table1[[#This Row],[2019]])</f>
        <v>1.6611998469926899</v>
      </c>
      <c r="N29" s="30" t="s">
        <v>58</v>
      </c>
      <c r="O29" s="35">
        <v>23414</v>
      </c>
      <c r="P29" s="35">
        <v>31816</v>
      </c>
      <c r="Q29" s="35">
        <v>48744</v>
      </c>
      <c r="R29" s="35">
        <v>67150</v>
      </c>
      <c r="S29" s="35">
        <v>58314</v>
      </c>
      <c r="T29" s="35">
        <v>52623</v>
      </c>
      <c r="U29" s="66">
        <v>65648</v>
      </c>
      <c r="V29" s="82">
        <f>LN(Table2[[#This Row],[2025]]/Table2[[#This Row],[2024]])</f>
        <v>0.22115384917007749</v>
      </c>
      <c r="W29" s="69">
        <f>LN(Table2[[#This Row],[2025]]/Table2[[#This Row],[2023]])</f>
        <v>0.11846493395044178</v>
      </c>
      <c r="X29" s="82">
        <f>LN(Table2[[#This Row],[2025]]/Table2[[#This Row],[2019]])</f>
        <v>1.0309730016423495</v>
      </c>
    </row>
    <row r="30" spans="1:24" x14ac:dyDescent="0.2">
      <c r="B30" s="17" t="s">
        <v>39</v>
      </c>
      <c r="C30" s="25">
        <v>-1600</v>
      </c>
      <c r="D30" s="25">
        <v>-1647</v>
      </c>
      <c r="E30" s="25">
        <v>-1809</v>
      </c>
      <c r="F30" s="25">
        <v>-2367</v>
      </c>
      <c r="G30" s="25">
        <v>-3182</v>
      </c>
      <c r="H30" s="25">
        <v>-2406</v>
      </c>
      <c r="I30" s="66">
        <v>-2274</v>
      </c>
      <c r="J30" s="68">
        <f>LN(Table1[[#This Row],[2025]]/Table1[[#This Row],[2024]])</f>
        <v>-5.6425222224142861E-2</v>
      </c>
      <c r="K30" s="82">
        <f>LN(Table1[[#This Row],[2025]]/Table1[[#This Row],[2023]])</f>
        <v>-0.33596953458725076</v>
      </c>
      <c r="L30" s="70">
        <f>LN(Table1[[#This Row],[2025]]/Table1[[#This Row],[2019]])</f>
        <v>0.3515367660826087</v>
      </c>
      <c r="N30" s="30" t="s">
        <v>22</v>
      </c>
      <c r="O30" s="35">
        <v>12171</v>
      </c>
      <c r="P30" s="35">
        <v>17017</v>
      </c>
      <c r="Q30" s="35">
        <v>23643</v>
      </c>
      <c r="R30" s="35">
        <v>21121</v>
      </c>
      <c r="S30" s="35">
        <v>25451</v>
      </c>
      <c r="T30" s="35">
        <v>28593</v>
      </c>
      <c r="U30" s="66">
        <v>35985</v>
      </c>
      <c r="V30" s="82">
        <f>LN(Table2[[#This Row],[2025]]/Table2[[#This Row],[2024]])</f>
        <v>0.22994025233616902</v>
      </c>
      <c r="W30" s="69">
        <f>LN(Table2[[#This Row],[2025]]/Table2[[#This Row],[2023]])</f>
        <v>0.34634715000433025</v>
      </c>
      <c r="X30" s="82">
        <f>LN(Table2[[#This Row],[2025]]/Table2[[#This Row],[2019]])</f>
        <v>1.0840461120673477</v>
      </c>
    </row>
    <row r="31" spans="1:24" ht="13.5" thickBot="1" x14ac:dyDescent="0.25">
      <c r="B31" s="17" t="s">
        <v>40</v>
      </c>
      <c r="C31" s="25">
        <v>203</v>
      </c>
      <c r="D31" s="25">
        <v>2371</v>
      </c>
      <c r="E31" s="25">
        <v>14633</v>
      </c>
      <c r="F31" s="25">
        <v>-16806</v>
      </c>
      <c r="G31" s="25">
        <v>938</v>
      </c>
      <c r="H31" s="25">
        <v>-2250</v>
      </c>
      <c r="I31" s="66">
        <v>15229</v>
      </c>
      <c r="J31" s="68" t="e">
        <f>LN(Table1[[#This Row],[2025]]/Table1[[#This Row],[2024]])</f>
        <v>#NUM!</v>
      </c>
      <c r="K31" s="69">
        <f>LN(Table1[[#This Row],[2025]]/Table1[[#This Row],[2023]])</f>
        <v>2.7872068348454664</v>
      </c>
      <c r="L31" s="70">
        <f>LN(Table1[[#This Row],[2025]]/Table1[[#This Row],[2019]])</f>
        <v>4.3177508048099034</v>
      </c>
      <c r="N31" s="21" t="s">
        <v>59</v>
      </c>
      <c r="O31" s="22">
        <f t="shared" ref="O31:S31" si="6">SUM(O27:O30)</f>
        <v>163188</v>
      </c>
      <c r="P31" s="22">
        <f t="shared" si="6"/>
        <v>227791</v>
      </c>
      <c r="Q31" s="22">
        <f t="shared" si="6"/>
        <v>282304</v>
      </c>
      <c r="R31" s="22">
        <f t="shared" si="6"/>
        <v>316632</v>
      </c>
      <c r="S31" s="22">
        <f t="shared" si="6"/>
        <v>325979</v>
      </c>
      <c r="T31" s="22">
        <f>SUM(T27:T30)</f>
        <v>338924</v>
      </c>
      <c r="U31" s="22">
        <f>SUM(U27:U30)</f>
        <v>406977</v>
      </c>
      <c r="V31" s="83">
        <f>LN(Table2[[#This Row],[2025]]/Table2[[#This Row],[2024]])</f>
        <v>0.18298077933344778</v>
      </c>
      <c r="W31" s="72">
        <f>LN(Table2[[#This Row],[2025]]/Table2[[#This Row],[2023]])</f>
        <v>0.22192371067535596</v>
      </c>
      <c r="X31" s="83">
        <f>LN(Table2[[#This Row],[2025]]/Table2[[#This Row],[2019]])</f>
        <v>0.91385376237445193</v>
      </c>
    </row>
    <row r="32" spans="1:24" ht="13.5" thickBot="1" x14ac:dyDescent="0.25">
      <c r="B32" s="26" t="s">
        <v>41</v>
      </c>
      <c r="C32" s="22">
        <f t="shared" ref="C32:G32" si="7">SUM(C28:C31)</f>
        <v>13976</v>
      </c>
      <c r="D32" s="22">
        <f t="shared" si="7"/>
        <v>24178</v>
      </c>
      <c r="E32" s="22">
        <f t="shared" si="7"/>
        <v>38151</v>
      </c>
      <c r="F32" s="22">
        <f t="shared" si="7"/>
        <v>-5936</v>
      </c>
      <c r="G32" s="22">
        <f t="shared" si="7"/>
        <v>37557</v>
      </c>
      <c r="H32" s="22">
        <f>SUM(H28:H31)</f>
        <v>68614</v>
      </c>
      <c r="I32" s="22">
        <f>SUM(I28:I31)</f>
        <v>97311</v>
      </c>
      <c r="J32" s="83">
        <f>LN(Table1[[#This Row],[2025]]/Table1[[#This Row],[2024]])</f>
        <v>0.34941543967455835</v>
      </c>
      <c r="K32" s="83">
        <f>LN(Table1[[#This Row],[2025]]/Table1[[#This Row],[2023]])</f>
        <v>0.9520522562715924</v>
      </c>
      <c r="L32" s="83">
        <f>LN(Table1[[#This Row],[2025]]/Table1[[#This Row],[2019]])</f>
        <v>1.940570462385472</v>
      </c>
      <c r="N32" s="15"/>
      <c r="O32" s="20"/>
      <c r="P32" s="20"/>
      <c r="Q32" s="20"/>
      <c r="R32" s="20"/>
      <c r="S32" s="20"/>
      <c r="T32" s="20"/>
      <c r="U32" s="66"/>
      <c r="V32" s="40"/>
      <c r="W32" s="39"/>
      <c r="X32" s="41"/>
    </row>
    <row r="33" spans="1:24" s="8" customFormat="1" x14ac:dyDescent="0.2">
      <c r="A33" s="1"/>
      <c r="B33" s="18" t="s">
        <v>42</v>
      </c>
      <c r="C33" s="25">
        <f>-2374-14</f>
        <v>-2388</v>
      </c>
      <c r="D33" s="25">
        <f>-2863+16</f>
        <v>-2847</v>
      </c>
      <c r="E33" s="25">
        <f>-4791+4</f>
        <v>-4787</v>
      </c>
      <c r="F33" s="25">
        <f>3217-3</f>
        <v>3214</v>
      </c>
      <c r="G33" s="25">
        <f>-7120-12</f>
        <v>-7132</v>
      </c>
      <c r="H33" s="25">
        <f>-9265-101</f>
        <v>-9366</v>
      </c>
      <c r="I33" s="66">
        <f>-19087+(-554)</f>
        <v>-19641</v>
      </c>
      <c r="J33" s="68">
        <f>LN(Table1[[#This Row],[2025]]/Table1[[#This Row],[2024]])</f>
        <v>0.74053310736571409</v>
      </c>
      <c r="K33" s="69">
        <f>LN(Table1[[#This Row],[2025]]/Table1[[#This Row],[2023]])</f>
        <v>1.0130275181261701</v>
      </c>
      <c r="L33" s="70">
        <f>LN(Table1[[#This Row],[2025]]/Table1[[#This Row],[2019]])</f>
        <v>2.1071630225967084</v>
      </c>
      <c r="M33" s="1"/>
      <c r="N33" s="5" t="s">
        <v>60</v>
      </c>
      <c r="O33" s="20">
        <f t="shared" ref="O33:S33" si="8">O20-O31</f>
        <v>62060</v>
      </c>
      <c r="P33" s="20">
        <f t="shared" si="8"/>
        <v>93404</v>
      </c>
      <c r="Q33" s="20">
        <f t="shared" si="8"/>
        <v>138245</v>
      </c>
      <c r="R33" s="20">
        <f t="shared" si="8"/>
        <v>146043</v>
      </c>
      <c r="S33" s="20">
        <f t="shared" si="8"/>
        <v>201875</v>
      </c>
      <c r="T33" s="20">
        <f>T20-T31</f>
        <v>285970</v>
      </c>
      <c r="U33" s="20">
        <f>U20-U31</f>
        <v>411065</v>
      </c>
      <c r="V33" s="82">
        <f>LN(Table2[[#This Row],[2025]]/Table2[[#This Row],[2024]])</f>
        <v>0.3628644426302074</v>
      </c>
      <c r="W33" s="82">
        <f>LN(Table2[[#This Row],[2025]]/Table2[[#This Row],[2023]])</f>
        <v>0.71110265886636759</v>
      </c>
      <c r="X33" s="82">
        <f>LN(Table2[[#This Row],[2025]]/Table2[[#This Row],[2019]])</f>
        <v>1.8906496938230546</v>
      </c>
    </row>
    <row r="34" spans="1:24" ht="13.5" thickBot="1" x14ac:dyDescent="0.25">
      <c r="B34" s="21" t="s">
        <v>43</v>
      </c>
      <c r="C34" s="22">
        <f t="shared" ref="C34:G34" si="9">SUM(C32:C33)</f>
        <v>11588</v>
      </c>
      <c r="D34" s="22">
        <f t="shared" si="9"/>
        <v>21331</v>
      </c>
      <c r="E34" s="22">
        <f t="shared" si="9"/>
        <v>33364</v>
      </c>
      <c r="F34" s="22">
        <f t="shared" si="9"/>
        <v>-2722</v>
      </c>
      <c r="G34" s="22">
        <f t="shared" si="9"/>
        <v>30425</v>
      </c>
      <c r="H34" s="22">
        <f>SUM(H32:H33)</f>
        <v>59248</v>
      </c>
      <c r="I34" s="22">
        <f>SUM(I32:I33)</f>
        <v>77670</v>
      </c>
      <c r="J34" s="71">
        <f>LN(Table1[[#This Row],[2025]]/Table1[[#This Row],[2024]])</f>
        <v>0.27073705826029915</v>
      </c>
      <c r="K34" s="72">
        <f>LN(Table1[[#This Row],[2025]]/Table1[[#This Row],[2023]])</f>
        <v>0.93720444355796506</v>
      </c>
      <c r="L34" s="73">
        <f>LN(Table1[[#This Row],[2025]]/Table1[[#This Row],[2019]])</f>
        <v>1.9024990025244519</v>
      </c>
      <c r="N34" s="29" t="s">
        <v>45</v>
      </c>
      <c r="O34" s="35">
        <f>O11+O12</f>
        <v>55021</v>
      </c>
      <c r="P34" s="35">
        <f t="shared" ref="P34:T34" si="10">P11+P12</f>
        <v>84396</v>
      </c>
      <c r="Q34" s="35">
        <f t="shared" si="10"/>
        <v>96049</v>
      </c>
      <c r="R34" s="35">
        <f t="shared" si="10"/>
        <v>70026</v>
      </c>
      <c r="S34" s="35">
        <f t="shared" si="10"/>
        <v>86780</v>
      </c>
      <c r="T34" s="35">
        <f t="shared" si="10"/>
        <v>101202</v>
      </c>
      <c r="U34" s="35">
        <f t="shared" ref="U34" si="11">U11+U12</f>
        <v>123029</v>
      </c>
      <c r="V34" s="82">
        <f>LN(Table2[[#This Row],[2025]]/Table2[[#This Row],[2024]])</f>
        <v>0.19530158043627424</v>
      </c>
      <c r="W34" s="69">
        <f>LN(Table2[[#This Row],[2025]]/Table2[[#This Row],[2023]])</f>
        <v>0.34904391957000208</v>
      </c>
      <c r="X34" s="70">
        <f>LN(Table2[[#This Row],[2025]]/Table2[[#This Row],[2019]])</f>
        <v>0.80470516939993042</v>
      </c>
    </row>
    <row r="35" spans="1:24" x14ac:dyDescent="0.2">
      <c r="B35" s="17"/>
      <c r="C35" s="25"/>
      <c r="D35" s="25"/>
      <c r="E35" s="25"/>
      <c r="F35" s="25"/>
      <c r="G35" s="25"/>
      <c r="H35" s="25"/>
      <c r="I35" s="66"/>
      <c r="J35" s="40"/>
      <c r="K35" s="39"/>
      <c r="L35" s="41"/>
      <c r="N35" s="29" t="s">
        <v>61</v>
      </c>
      <c r="O35" s="34">
        <f>O29</f>
        <v>23414</v>
      </c>
      <c r="P35" s="34">
        <f t="shared" ref="P35:T35" si="12">P29</f>
        <v>31816</v>
      </c>
      <c r="Q35" s="34">
        <f t="shared" si="12"/>
        <v>48744</v>
      </c>
      <c r="R35" s="34">
        <f t="shared" si="12"/>
        <v>67150</v>
      </c>
      <c r="S35" s="34">
        <f t="shared" si="12"/>
        <v>58314</v>
      </c>
      <c r="T35" s="34">
        <f t="shared" si="12"/>
        <v>52623</v>
      </c>
      <c r="U35" s="34">
        <f t="shared" ref="U35" si="13">U29</f>
        <v>65648</v>
      </c>
      <c r="V35" s="82">
        <f>LN(Table2[[#This Row],[2025]]/Table2[[#This Row],[2024]])</f>
        <v>0.22115384917007749</v>
      </c>
      <c r="W35" s="69">
        <f>LN(Table2[[#This Row],[2025]]/Table2[[#This Row],[2023]])</f>
        <v>0.11846493395044178</v>
      </c>
      <c r="X35" s="70">
        <f>LN(Table2[[#This Row],[2025]]/Table2[[#This Row],[2019]])</f>
        <v>1.0309730016423495</v>
      </c>
    </row>
    <row r="36" spans="1:24" x14ac:dyDescent="0.2">
      <c r="B36" s="17" t="s">
        <v>1</v>
      </c>
      <c r="C36" s="25">
        <f>20*504</f>
        <v>10080</v>
      </c>
      <c r="D36" s="25">
        <v>10005</v>
      </c>
      <c r="E36" s="25">
        <v>10117</v>
      </c>
      <c r="F36" s="25">
        <v>10189</v>
      </c>
      <c r="G36" s="25">
        <v>10492</v>
      </c>
      <c r="H36" s="25">
        <v>10721</v>
      </c>
      <c r="I36" s="66">
        <v>10827</v>
      </c>
      <c r="J36" s="68">
        <f>LN(Table1[[#This Row],[2025]]/Table1[[#This Row],[2024]])</f>
        <v>9.8385794546584793E-3</v>
      </c>
      <c r="K36" s="69">
        <f>LN(Table1[[#This Row],[2025]]/Table1[[#This Row],[2023]])</f>
        <v>3.1429952324133974E-2</v>
      </c>
      <c r="L36" s="70">
        <f>LN(Table1[[#This Row],[2025]]/Table1[[#This Row],[2019]])</f>
        <v>7.1489751685538713E-2</v>
      </c>
      <c r="N36" s="29" t="s">
        <v>62</v>
      </c>
      <c r="O36" s="34">
        <f t="shared" ref="O36:T36" si="14">C39-O34+O35</f>
        <v>899684.2</v>
      </c>
      <c r="P36" s="34">
        <f t="shared" si="14"/>
        <v>1572131.95</v>
      </c>
      <c r="Q36" s="34">
        <f t="shared" si="14"/>
        <v>1639401.24</v>
      </c>
      <c r="R36" s="34">
        <f t="shared" si="14"/>
        <v>853000</v>
      </c>
      <c r="S36" s="34">
        <f t="shared" si="14"/>
        <v>1565688.48</v>
      </c>
      <c r="T36" s="34">
        <f t="shared" si="14"/>
        <v>2303501.19</v>
      </c>
      <c r="U36" s="34">
        <f t="shared" ref="U36" si="15">I39-U34+U35</f>
        <v>2533520.1</v>
      </c>
      <c r="V36" s="68">
        <f>LN(Table2[[#This Row],[2025]]/Table2[[#This Row],[2024]])</f>
        <v>9.5179457592061908E-2</v>
      </c>
      <c r="W36" s="69">
        <f>LN(Table2[[#This Row],[2025]]/Table2[[#This Row],[2023]])</f>
        <v>0.48128402901402328</v>
      </c>
      <c r="X36" s="70">
        <f>LN(Table2[[#This Row],[2025]]/Table2[[#This Row],[2019]])</f>
        <v>1.0353211457135552</v>
      </c>
    </row>
    <row r="37" spans="1:24" x14ac:dyDescent="0.2">
      <c r="B37" s="17" t="s">
        <v>44</v>
      </c>
      <c r="C37" s="27">
        <f t="shared" ref="C37:G37" si="16">C34/C36</f>
        <v>1.1496031746031745</v>
      </c>
      <c r="D37" s="27">
        <f t="shared" si="16"/>
        <v>2.1320339830084958</v>
      </c>
      <c r="E37" s="27">
        <f t="shared" si="16"/>
        <v>3.2978155579717305</v>
      </c>
      <c r="F37" s="27">
        <f t="shared" si="16"/>
        <v>-0.2671508489547551</v>
      </c>
      <c r="G37" s="27">
        <f t="shared" si="16"/>
        <v>2.8998284407167367</v>
      </c>
      <c r="H37" s="27">
        <f>H34/H36</f>
        <v>5.5263501539035538</v>
      </c>
      <c r="I37" s="27">
        <f t="shared" ref="I37" si="17">I34/I36</f>
        <v>7.1737323358270988</v>
      </c>
      <c r="J37" s="82">
        <f>LN(Table1[[#This Row],[2025]]/Table1[[#This Row],[2024]])</f>
        <v>0.26089847880564049</v>
      </c>
      <c r="K37" s="82">
        <f>LN(Table1[[#This Row],[2025]]/Table1[[#This Row],[2023]])</f>
        <v>0.90577449123383103</v>
      </c>
      <c r="L37" s="82">
        <f>LN(Table1[[#This Row],[2025]]/Table1[[#This Row],[2019]])</f>
        <v>1.8310092508389133</v>
      </c>
      <c r="N37" s="29" t="s">
        <v>72</v>
      </c>
      <c r="O37" s="14">
        <f t="shared" ref="O37:T37" si="18">C17/O20</f>
        <v>1.2453917459866459</v>
      </c>
      <c r="P37" s="14">
        <f t="shared" si="18"/>
        <v>1.2019614253023865</v>
      </c>
      <c r="Q37" s="14">
        <f t="shared" si="18"/>
        <v>1.1171635172120253</v>
      </c>
      <c r="R37" s="14">
        <f t="shared" si="18"/>
        <v>1.1108942562273734</v>
      </c>
      <c r="S37" s="14">
        <f t="shared" si="18"/>
        <v>1.0889090543976174</v>
      </c>
      <c r="T37" s="14">
        <f t="shared" si="18"/>
        <v>1.0209075459197881</v>
      </c>
      <c r="U37" s="14">
        <f t="shared" ref="U37" si="19">I17/U20</f>
        <v>0.87639020979362914</v>
      </c>
      <c r="V37" s="82">
        <f>LN(Table2[[#This Row],[2025]]/Table2[[#This Row],[2024]])</f>
        <v>-0.15263582486124286</v>
      </c>
      <c r="W37" s="69">
        <f>LN(Table2[[#This Row],[2025]]/Table2[[#This Row],[2023]])</f>
        <v>-0.21712016977058451</v>
      </c>
      <c r="X37" s="82">
        <f>LN(Table2[[#This Row],[2025]]/Table2[[#This Row],[2019]])</f>
        <v>-0.35139397809100753</v>
      </c>
    </row>
    <row r="38" spans="1:24" x14ac:dyDescent="0.2">
      <c r="B38" s="29" t="s">
        <v>63</v>
      </c>
      <c r="C38" s="27">
        <v>92.39</v>
      </c>
      <c r="D38" s="27">
        <v>162.38999999999999</v>
      </c>
      <c r="E38" s="27">
        <v>166.72</v>
      </c>
      <c r="F38" s="27">
        <v>84</v>
      </c>
      <c r="G38" s="27">
        <v>151.94</v>
      </c>
      <c r="H38" s="27">
        <v>219.39</v>
      </c>
      <c r="I38" s="27">
        <v>239.3</v>
      </c>
      <c r="J38" s="68">
        <f>LN(Table1[[#This Row],[2025]]/Table1[[#This Row],[2024]])</f>
        <v>8.6867026963358338E-2</v>
      </c>
      <c r="K38" s="69">
        <f>LN(Table1[[#This Row],[2025]]/Table1[[#This Row],[2023]])</f>
        <v>0.45423228883925215</v>
      </c>
      <c r="L38" s="70">
        <f>LN(Table1[[#This Row],[2025]]/Table1[[#This Row],[2019]])</f>
        <v>0.95169924723167387</v>
      </c>
      <c r="N38" s="29" t="s">
        <v>73</v>
      </c>
      <c r="O38" s="14">
        <f>O20/O33</f>
        <v>3.6295198195294875</v>
      </c>
      <c r="P38" s="14">
        <f t="shared" ref="P38:T38" si="20">P20/P33</f>
        <v>3.4387713588283155</v>
      </c>
      <c r="Q38" s="14">
        <f t="shared" si="20"/>
        <v>3.0420557705522802</v>
      </c>
      <c r="R38" s="14">
        <f t="shared" si="20"/>
        <v>3.1680737864875415</v>
      </c>
      <c r="S38" s="14">
        <f t="shared" si="20"/>
        <v>2.6147566563467493</v>
      </c>
      <c r="T38" s="14">
        <f t="shared" si="20"/>
        <v>2.1851732699234185</v>
      </c>
      <c r="U38" s="14">
        <f t="shared" ref="U38" si="21">U20/U33</f>
        <v>1.9900551007748166</v>
      </c>
      <c r="V38" s="68">
        <f>LN(Table2[[#This Row],[2025]]/Table2[[#This Row],[2024]])</f>
        <v>-9.3532797954975364E-2</v>
      </c>
      <c r="W38" s="69">
        <f>LN(Table2[[#This Row],[2025]]/Table2[[#This Row],[2023]])</f>
        <v>-0.27300870915582326</v>
      </c>
      <c r="X38" s="70">
        <f>LN(Table2[[#This Row],[2025]]/Table2[[#This Row],[2019]])</f>
        <v>-0.60093803122084855</v>
      </c>
    </row>
    <row r="39" spans="1:24" x14ac:dyDescent="0.2">
      <c r="B39" s="29" t="s">
        <v>2</v>
      </c>
      <c r="C39" s="25">
        <f t="shared" ref="C39:G39" si="22">C36*C38</f>
        <v>931291.2</v>
      </c>
      <c r="D39" s="25">
        <f t="shared" si="22"/>
        <v>1624711.95</v>
      </c>
      <c r="E39" s="25">
        <f t="shared" si="22"/>
        <v>1686706.24</v>
      </c>
      <c r="F39" s="25">
        <f t="shared" si="22"/>
        <v>855876</v>
      </c>
      <c r="G39" s="25">
        <f t="shared" si="22"/>
        <v>1594154.48</v>
      </c>
      <c r="H39" s="25">
        <f>H36*H38</f>
        <v>2352080.19</v>
      </c>
      <c r="I39" s="25">
        <f t="shared" ref="I39" si="23">I36*I38</f>
        <v>2590901.1</v>
      </c>
      <c r="J39" s="68">
        <f>LN(Table1[[#This Row],[2025]]/Table1[[#This Row],[2024]])</f>
        <v>9.6705606418016773E-2</v>
      </c>
      <c r="K39" s="69">
        <f>LN(Table1[[#This Row],[2025]]/Table1[[#This Row],[2023]])</f>
        <v>0.48566224116338613</v>
      </c>
      <c r="L39" s="70">
        <f>LN(Table1[[#This Row],[2025]]/Table1[[#This Row],[2019]])</f>
        <v>1.0231889989172127</v>
      </c>
      <c r="N39" s="29" t="s">
        <v>74</v>
      </c>
      <c r="O39" s="48">
        <f t="shared" ref="O39:T39" si="24">C47*O37*O38</f>
        <v>0.2343055107960039</v>
      </c>
      <c r="P39" s="48">
        <f t="shared" si="24"/>
        <v>0.2451608068176952</v>
      </c>
      <c r="Q39" s="48">
        <f t="shared" si="24"/>
        <v>0.17996310897319975</v>
      </c>
      <c r="R39" s="48">
        <f t="shared" si="24"/>
        <v>8.3865710783810235E-2</v>
      </c>
      <c r="S39" s="48">
        <f t="shared" si="24"/>
        <v>0.18254860681114549</v>
      </c>
      <c r="T39" s="48">
        <f t="shared" si="24"/>
        <v>0.23986082456201702</v>
      </c>
      <c r="U39" s="48">
        <f t="shared" ref="U39" si="25">I47*U37*U38</f>
        <v>0.19455560556116427</v>
      </c>
      <c r="V39" s="82">
        <f>LN(Table2[[#This Row],[2025]]/Table2[[#This Row],[2024]])</f>
        <v>-0.20934084550362062</v>
      </c>
      <c r="W39" s="69">
        <f>LN(Table2[[#This Row],[2025]]/Table2[[#This Row],[2023]])</f>
        <v>6.3701535722528457E-2</v>
      </c>
      <c r="X39" s="70">
        <f>LN(Table2[[#This Row],[2025]]/Table2[[#This Row],[2019]])</f>
        <v>-0.18590785351882155</v>
      </c>
    </row>
    <row r="40" spans="1:24" x14ac:dyDescent="0.2">
      <c r="B40" s="29" t="s">
        <v>64</v>
      </c>
      <c r="C40" s="63">
        <f>C10/C$17</f>
        <v>0.50351487583861521</v>
      </c>
      <c r="D40" s="63">
        <f t="shared" ref="D40:H40" si="26">D10/D$17</f>
        <v>0.51117431306726346</v>
      </c>
      <c r="E40" s="63">
        <f t="shared" si="26"/>
        <v>0.47267901460553147</v>
      </c>
      <c r="F40" s="63">
        <f t="shared" si="26"/>
        <v>0.42803750318590306</v>
      </c>
      <c r="G40" s="63">
        <f t="shared" si="26"/>
        <v>0.40340649112276766</v>
      </c>
      <c r="H40" s="63">
        <f t="shared" si="26"/>
        <v>0.38721767386305389</v>
      </c>
      <c r="I40" s="63">
        <f t="shared" ref="I40" si="27">I10/I$17</f>
        <v>0.37561443053935983</v>
      </c>
      <c r="J40" s="68">
        <f>LN(Table1[[#This Row],[2025]]/Table1[[#This Row],[2024]])</f>
        <v>-3.0423833105753868E-2</v>
      </c>
      <c r="K40" s="69">
        <f>LN(Table1[[#This Row],[2025]]/Table1[[#This Row],[2023]])</f>
        <v>-7.1381549861363081E-2</v>
      </c>
      <c r="L40" s="70">
        <f>LN(Table1[[#This Row],[2025]]/Table1[[#This Row],[2019]])</f>
        <v>-0.29305009002293758</v>
      </c>
      <c r="N40" s="29" t="s">
        <v>75</v>
      </c>
      <c r="O40" s="49">
        <f>O35/O31</f>
        <v>0.14347868715836948</v>
      </c>
      <c r="P40" s="49">
        <f t="shared" ref="P40:T40" si="28">P35/P31</f>
        <v>0.13967189221698839</v>
      </c>
      <c r="Q40" s="49">
        <f t="shared" si="28"/>
        <v>0.17266492858762186</v>
      </c>
      <c r="R40" s="49">
        <f t="shared" si="28"/>
        <v>0.21207584830339321</v>
      </c>
      <c r="S40" s="49">
        <f t="shared" si="28"/>
        <v>0.17888882412670754</v>
      </c>
      <c r="T40" s="49">
        <f t="shared" si="28"/>
        <v>0.15526489714508268</v>
      </c>
      <c r="U40" s="49">
        <f t="shared" ref="U40" si="29">U35/U31</f>
        <v>0.1613064128931119</v>
      </c>
      <c r="V40" s="68">
        <f>LN(Table2[[#This Row],[2025]]/Table2[[#This Row],[2024]])</f>
        <v>3.8173069836629756E-2</v>
      </c>
      <c r="W40" s="69">
        <f>LN(Table2[[#This Row],[2025]]/Table2[[#This Row],[2023]])</f>
        <v>-0.10345877672491421</v>
      </c>
      <c r="X40" s="70">
        <f>LN(Table2[[#This Row],[2025]]/Table2[[#This Row],[2019]])</f>
        <v>0.11711923926789779</v>
      </c>
    </row>
    <row r="41" spans="1:24" x14ac:dyDescent="0.2">
      <c r="B41" s="29" t="s">
        <v>65</v>
      </c>
      <c r="C41" s="63">
        <f>C11/C$17</f>
        <v>6.1285745859504782E-2</v>
      </c>
      <c r="D41" s="63">
        <f t="shared" ref="D41:H41" si="30">D11/D$17</f>
        <v>4.2031891085415891E-2</v>
      </c>
      <c r="E41" s="63">
        <f t="shared" si="30"/>
        <v>3.6343551387546774E-2</v>
      </c>
      <c r="F41" s="63">
        <f t="shared" si="30"/>
        <v>3.68942163456768E-2</v>
      </c>
      <c r="G41" s="63">
        <f t="shared" si="30"/>
        <v>3.4847812660386057E-2</v>
      </c>
      <c r="H41" s="63">
        <f t="shared" si="30"/>
        <v>3.3254488141087439E-2</v>
      </c>
      <c r="I41" s="63">
        <f t="shared" ref="I41" si="31">I11/I$17</f>
        <v>3.1469165490344862E-2</v>
      </c>
      <c r="J41" s="68">
        <f>LN(Table1[[#This Row],[2025]]/Table1[[#This Row],[2024]])</f>
        <v>-5.518154657966344E-2</v>
      </c>
      <c r="K41" s="69">
        <f>LN(Table1[[#This Row],[2025]]/Table1[[#This Row],[2023]])</f>
        <v>-0.1019821777290726</v>
      </c>
      <c r="L41" s="82">
        <f>LN(Table1[[#This Row],[2025]]/Table1[[#This Row],[2019]])</f>
        <v>-0.66653909196279371</v>
      </c>
      <c r="N41" s="29" t="s">
        <v>76</v>
      </c>
      <c r="O41" s="51">
        <f t="shared" ref="O41:T41" si="32">C17/O16</f>
        <v>3.8583591224812599</v>
      </c>
      <c r="P41" s="51">
        <f t="shared" si="32"/>
        <v>3.4130523188995174</v>
      </c>
      <c r="Q41" s="51">
        <f t="shared" si="32"/>
        <v>2.9312395106094922</v>
      </c>
      <c r="R41" s="51">
        <f t="shared" si="32"/>
        <v>2.7527675869640897</v>
      </c>
      <c r="S41" s="51">
        <f t="shared" si="32"/>
        <v>2.8151309892887055</v>
      </c>
      <c r="T41" s="51">
        <f t="shared" si="32"/>
        <v>2.5249203490788199</v>
      </c>
      <c r="U41" s="51">
        <f t="shared" ref="U41" si="33">I17/U16</f>
        <v>2.0080498564526295</v>
      </c>
      <c r="V41" s="82">
        <f>LN(Table2[[#This Row],[2025]]/Table2[[#This Row],[2024]])</f>
        <v>-0.2290454868785699</v>
      </c>
      <c r="W41" s="69">
        <f>LN(Table2[[#This Row],[2025]]/Table2[[#This Row],[2023]])</f>
        <v>-0.33784476268412317</v>
      </c>
      <c r="X41" s="82">
        <f>LN(Table2[[#This Row],[2025]]/Table2[[#This Row],[2019]])</f>
        <v>-0.65307796486234926</v>
      </c>
    </row>
    <row r="42" spans="1:24" x14ac:dyDescent="0.2">
      <c r="B42" s="29" t="s">
        <v>66</v>
      </c>
      <c r="C42" s="63">
        <f t="shared" ref="C42:H46" si="34">C12/C$17</f>
        <v>0.19164985277447044</v>
      </c>
      <c r="D42" s="63">
        <f t="shared" si="34"/>
        <v>0.20841363090057607</v>
      </c>
      <c r="E42" s="63">
        <f t="shared" si="34"/>
        <v>0.22001098288287904</v>
      </c>
      <c r="F42" s="63">
        <f t="shared" si="34"/>
        <v>0.22902703007687025</v>
      </c>
      <c r="G42" s="63">
        <f t="shared" si="34"/>
        <v>0.24366154301173482</v>
      </c>
      <c r="H42" s="63">
        <f t="shared" si="34"/>
        <v>0.24475867571427004</v>
      </c>
      <c r="I42" s="63">
        <f t="shared" ref="I42" si="35">I12/I$17</f>
        <v>0.24013981956246408</v>
      </c>
      <c r="J42" s="68">
        <f>LN(Table1[[#This Row],[2025]]/Table1[[#This Row],[2024]])</f>
        <v>-1.9051392814165517E-2</v>
      </c>
      <c r="K42" s="69">
        <f>LN(Table1[[#This Row],[2025]]/Table1[[#This Row],[2023]])</f>
        <v>-1.4558808331438872E-2</v>
      </c>
      <c r="L42" s="70">
        <f>LN(Table1[[#This Row],[2025]]/Table1[[#This Row],[2019]])</f>
        <v>0.2255513115912598</v>
      </c>
      <c r="N42" s="28" t="s">
        <v>77</v>
      </c>
      <c r="O42" s="47">
        <f>365/O41</f>
        <v>94.599799659206766</v>
      </c>
      <c r="P42" s="47">
        <f t="shared" ref="P42:T42" si="36">365/P41</f>
        <v>106.94239815160181</v>
      </c>
      <c r="Q42" s="47">
        <f t="shared" si="36"/>
        <v>124.5207014571476</v>
      </c>
      <c r="R42" s="47">
        <f t="shared" si="36"/>
        <v>132.59383092436909</v>
      </c>
      <c r="S42" s="47">
        <f t="shared" si="36"/>
        <v>129.65648894804144</v>
      </c>
      <c r="T42" s="47">
        <f t="shared" si="36"/>
        <v>144.55901554802111</v>
      </c>
      <c r="U42" s="47">
        <f t="shared" ref="U42" si="37">365/U41</f>
        <v>181.76839525528507</v>
      </c>
      <c r="V42" s="68">
        <f>LN(Table2[[#This Row],[2025]]/Table2[[#This Row],[2024]])</f>
        <v>0.22904548687856985</v>
      </c>
      <c r="W42" s="69">
        <f>LN(Table2[[#This Row],[2025]]/Table2[[#This Row],[2023]])</f>
        <v>0.33784476268412322</v>
      </c>
      <c r="X42" s="70">
        <f>LN(Table2[[#This Row],[2025]]/Table2[[#This Row],[2019]])</f>
        <v>0.65307796486234915</v>
      </c>
    </row>
    <row r="43" spans="1:24" x14ac:dyDescent="0.2">
      <c r="B43" s="29" t="s">
        <v>67</v>
      </c>
      <c r="C43" s="63">
        <f t="shared" si="34"/>
        <v>4.5005382822024653E-2</v>
      </c>
      <c r="D43" s="63">
        <f t="shared" si="34"/>
        <v>6.5292283144763569E-2</v>
      </c>
      <c r="E43" s="63">
        <f t="shared" si="34"/>
        <v>6.7617097539067986E-2</v>
      </c>
      <c r="F43" s="63">
        <f t="shared" si="34"/>
        <v>7.3424607428650368E-2</v>
      </c>
      <c r="G43" s="63">
        <f t="shared" si="34"/>
        <v>8.1606165783727827E-2</v>
      </c>
      <c r="H43" s="63">
        <f t="shared" si="34"/>
        <v>8.811538045548381E-2</v>
      </c>
      <c r="I43" s="63">
        <f t="shared" ref="I43" si="38">I13/I$17</f>
        <v>9.5735391757006322E-2</v>
      </c>
      <c r="J43" s="82">
        <f>LN(Table1[[#This Row],[2025]]/Table1[[#This Row],[2024]])</f>
        <v>8.2940952692527464E-2</v>
      </c>
      <c r="K43" s="82">
        <f>LN(Table1[[#This Row],[2025]]/Table1[[#This Row],[2023]])</f>
        <v>0.15968322972427768</v>
      </c>
      <c r="L43" s="82">
        <f>LN(Table1[[#This Row],[2025]]/Table1[[#This Row],[2019]])</f>
        <v>0.75480594903100084</v>
      </c>
      <c r="N43" s="29" t="s">
        <v>80</v>
      </c>
      <c r="O43" s="50">
        <f t="shared" ref="O43:T43" si="39">O36/C28</f>
        <v>61.872237122618799</v>
      </c>
      <c r="P43" s="50">
        <f t="shared" si="39"/>
        <v>68.655048255382326</v>
      </c>
      <c r="Q43" s="50">
        <f t="shared" si="39"/>
        <v>65.894981309538167</v>
      </c>
      <c r="R43" s="50">
        <f t="shared" si="39"/>
        <v>69.644023514043113</v>
      </c>
      <c r="S43" s="50">
        <f t="shared" si="39"/>
        <v>42.48584825789645</v>
      </c>
      <c r="T43" s="50">
        <f t="shared" si="39"/>
        <v>33.58216129925794</v>
      </c>
      <c r="U43" s="50">
        <f t="shared" ref="U43" si="40">U36/I28</f>
        <v>31.678900906533293</v>
      </c>
      <c r="V43" s="68">
        <f>LN(Table2[[#This Row],[2025]]/Table2[[#This Row],[2024]])</f>
        <v>-5.8344139534525129E-2</v>
      </c>
      <c r="W43" s="82">
        <f>LN(Table2[[#This Row],[2025]]/Table2[[#This Row],[2023]])</f>
        <v>-0.29352016557487282</v>
      </c>
      <c r="X43" s="70">
        <f>LN(Table2[[#This Row],[2025]]/Table2[[#This Row],[2019]])</f>
        <v>-0.6694206945906781</v>
      </c>
    </row>
    <row r="44" spans="1:24" x14ac:dyDescent="0.2">
      <c r="B44" s="29" t="s">
        <v>20</v>
      </c>
      <c r="C44" s="63">
        <f t="shared" si="34"/>
        <v>6.8479477545433154E-2</v>
      </c>
      <c r="D44" s="63">
        <f t="shared" si="34"/>
        <v>5.1216896680343155E-2</v>
      </c>
      <c r="E44" s="63">
        <f t="shared" si="34"/>
        <v>6.632299040913367E-2</v>
      </c>
      <c r="F44" s="63">
        <f t="shared" si="34"/>
        <v>6.8519775945897046E-2</v>
      </c>
      <c r="G44" s="63">
        <f t="shared" si="34"/>
        <v>6.9954852684047081E-2</v>
      </c>
      <c r="H44" s="63">
        <f t="shared" si="34"/>
        <v>6.9556194050087852E-2</v>
      </c>
      <c r="I44" s="63">
        <f t="shared" ref="I44" si="41">I14/I$17</f>
        <v>6.9210962389318814E-2</v>
      </c>
      <c r="J44" s="68">
        <f>LN(Table1[[#This Row],[2025]]/Table1[[#This Row],[2024]])</f>
        <v>-4.9757072478492067E-3</v>
      </c>
      <c r="K44" s="69">
        <f>LN(Table1[[#This Row],[2025]]/Table1[[#This Row],[2023]])</f>
        <v>-1.0690806207898617E-2</v>
      </c>
      <c r="L44" s="70">
        <f>LN(Table1[[#This Row],[2025]]/Table1[[#This Row],[2019]])</f>
        <v>1.0625163604866789E-2</v>
      </c>
      <c r="N44" s="29" t="s">
        <v>79</v>
      </c>
      <c r="O44" s="52">
        <f t="shared" ref="O44:T44" si="42">C28/O36</f>
        <v>1.6162337851437204E-2</v>
      </c>
      <c r="P44" s="52">
        <f t="shared" si="42"/>
        <v>1.4565571293172944E-2</v>
      </c>
      <c r="Q44" s="52">
        <f t="shared" si="42"/>
        <v>1.5175662548602196E-2</v>
      </c>
      <c r="R44" s="52">
        <f t="shared" si="42"/>
        <v>1.4358733880422039E-2</v>
      </c>
      <c r="S44" s="52">
        <f t="shared" si="42"/>
        <v>2.3537249248969373E-2</v>
      </c>
      <c r="T44" s="52">
        <f t="shared" si="42"/>
        <v>2.9777714158680336E-2</v>
      </c>
      <c r="U44" s="52">
        <f t="shared" ref="U44" si="43">I28/U36</f>
        <v>3.1566751730132313E-2</v>
      </c>
      <c r="V44" s="68">
        <f>LN(Table2[[#This Row],[2025]]/Table2[[#This Row],[2024]])</f>
        <v>5.8344139534524976E-2</v>
      </c>
      <c r="W44" s="69">
        <f>LN(Table2[[#This Row],[2025]]/Table2[[#This Row],[2023]])</f>
        <v>0.29352016557487276</v>
      </c>
      <c r="X44" s="70">
        <f>LN(Table2[[#This Row],[2025]]/Table2[[#This Row],[2019]])</f>
        <v>0.66942069459067799</v>
      </c>
    </row>
    <row r="45" spans="1:24" x14ac:dyDescent="0.2">
      <c r="B45" s="29" t="s">
        <v>68</v>
      </c>
      <c r="C45" s="63">
        <f t="shared" si="34"/>
        <v>0.12486008227518697</v>
      </c>
      <c r="D45" s="63">
        <f t="shared" si="34"/>
        <v>0.11751937502590244</v>
      </c>
      <c r="E45" s="63">
        <f t="shared" si="34"/>
        <v>0.13239482186870771</v>
      </c>
      <c r="F45" s="63">
        <f t="shared" si="34"/>
        <v>0.15583394781539467</v>
      </c>
      <c r="G45" s="63">
        <f t="shared" si="34"/>
        <v>0.15789730072983812</v>
      </c>
      <c r="H45" s="63">
        <f t="shared" si="34"/>
        <v>0.16859390650496348</v>
      </c>
      <c r="I45" s="63">
        <f t="shared" ref="I45" si="44">I15/I$17</f>
        <v>0.17955180744402474</v>
      </c>
      <c r="J45" s="68">
        <f>LN(Table1[[#This Row],[2025]]/Table1[[#This Row],[2024]])</f>
        <v>6.2970883954990786E-2</v>
      </c>
      <c r="K45" s="69">
        <f>LN(Table1[[#This Row],[2025]]/Table1[[#This Row],[2023]])</f>
        <v>0.12851896083580922</v>
      </c>
      <c r="L45" s="70">
        <f>LN(Table1[[#This Row],[2025]]/Table1[[#This Row],[2019]])</f>
        <v>0.36327001857053387</v>
      </c>
      <c r="N45" s="29" t="s">
        <v>86</v>
      </c>
      <c r="O45" s="51">
        <f>O15/O27</f>
        <v>1.0970482394205803</v>
      </c>
      <c r="P45" s="51">
        <f t="shared" ref="P45:T45" si="45">P15/P27</f>
        <v>1.0502274795268425</v>
      </c>
      <c r="Q45" s="51">
        <f t="shared" si="45"/>
        <v>1.1357597739445826</v>
      </c>
      <c r="R45" s="51">
        <f t="shared" si="45"/>
        <v>0.9446435811136924</v>
      </c>
      <c r="S45" s="51">
        <f t="shared" si="45"/>
        <v>1.0450772206625152</v>
      </c>
      <c r="T45" s="51">
        <f t="shared" si="45"/>
        <v>1.0637348061371781</v>
      </c>
      <c r="U45" s="51">
        <f t="shared" ref="U45" si="46">U15/U27</f>
        <v>1.0508153482718285</v>
      </c>
      <c r="V45" s="68">
        <f>LN(Table2[[#This Row],[2025]]/Table2[[#This Row],[2024]])</f>
        <v>-1.2219732505409682E-2</v>
      </c>
      <c r="W45" s="69">
        <f>LN(Table2[[#This Row],[2025]]/Table2[[#This Row],[2023]])</f>
        <v>5.4756069382557821E-3</v>
      </c>
      <c r="X45" s="70">
        <f>LN(Table2[[#This Row],[2025]]/Table2[[#This Row],[2019]])</f>
        <v>-4.3056769278195378E-2</v>
      </c>
    </row>
    <row r="46" spans="1:24" x14ac:dyDescent="0.2">
      <c r="B46" s="29" t="s">
        <v>69</v>
      </c>
      <c r="C46" s="63">
        <f t="shared" si="34"/>
        <v>5.204582884764831E-3</v>
      </c>
      <c r="D46" s="63">
        <f t="shared" si="34"/>
        <v>4.3516100957354219E-3</v>
      </c>
      <c r="E46" s="63">
        <f t="shared" si="34"/>
        <v>4.6315413071333399E-3</v>
      </c>
      <c r="F46" s="63">
        <f t="shared" si="34"/>
        <v>8.2629192016078351E-3</v>
      </c>
      <c r="G46" s="63">
        <f t="shared" si="34"/>
        <v>8.6258340074984556E-3</v>
      </c>
      <c r="H46" s="63">
        <f t="shared" si="34"/>
        <v>8.5036812710534686E-3</v>
      </c>
      <c r="I46" s="63">
        <f t="shared" ref="I46" si="47">I16/I$17</f>
        <v>8.2784228174813505E-3</v>
      </c>
      <c r="J46" s="68">
        <f>LN(Table1[[#This Row],[2025]]/Table1[[#This Row],[2024]])</f>
        <v>-2.6846691178881145E-2</v>
      </c>
      <c r="K46" s="69">
        <f>LN(Table1[[#This Row],[2025]]/Table1[[#This Row],[2023]])</f>
        <v>-4.1109185491327215E-2</v>
      </c>
      <c r="L46" s="70">
        <f>LN(Table1[[#This Row],[2025]]/Table1[[#This Row],[2019]])</f>
        <v>0.46411290783018772</v>
      </c>
      <c r="N46" s="81" t="s">
        <v>100</v>
      </c>
      <c r="O46" s="65">
        <f>O15-O27+O16+O18</f>
        <v>95981</v>
      </c>
      <c r="P46" s="65">
        <f t="shared" ref="P46:U46" si="48">P15-P27+P16+P18</f>
        <v>134479</v>
      </c>
      <c r="Q46" s="65">
        <f t="shared" si="48"/>
        <v>194966</v>
      </c>
      <c r="R46" s="65">
        <f t="shared" si="48"/>
        <v>198401</v>
      </c>
      <c r="S46" s="65">
        <f t="shared" si="48"/>
        <v>234400</v>
      </c>
      <c r="T46" s="65">
        <f t="shared" si="48"/>
        <v>287175</v>
      </c>
      <c r="U46" s="65">
        <f t="shared" si="48"/>
        <v>391376</v>
      </c>
      <c r="V46" s="82">
        <f>LN(Table2[[#This Row],[2025]]/Table2[[#This Row],[2024]])</f>
        <v>0.30957694870605673</v>
      </c>
      <c r="W46" s="82">
        <f>LN(Table2[[#This Row],[2025]]/Table2[[#This Row],[2023]])</f>
        <v>0.51263967703466706</v>
      </c>
      <c r="X46" s="82">
        <f>LN(Table2[[#This Row],[2025]]/Table2[[#This Row],[2019]])</f>
        <v>1.4055184795244431</v>
      </c>
    </row>
    <row r="47" spans="1:24" x14ac:dyDescent="0.2">
      <c r="B47" s="29" t="s">
        <v>70</v>
      </c>
      <c r="C47" s="64">
        <f>C28/C17</f>
        <v>5.1835506662579051E-2</v>
      </c>
      <c r="D47" s="64">
        <f t="shared" ref="D47:H47" si="49">D28/D17</f>
        <v>5.9313999751336569E-2</v>
      </c>
      <c r="E47" s="64">
        <f t="shared" si="49"/>
        <v>5.2954097509269465E-2</v>
      </c>
      <c r="F47" s="64">
        <f t="shared" si="49"/>
        <v>2.3829581912242232E-2</v>
      </c>
      <c r="G47" s="64">
        <f t="shared" si="49"/>
        <v>6.4114407996033296E-2</v>
      </c>
      <c r="H47" s="64">
        <f t="shared" si="49"/>
        <v>0.1075194487420038</v>
      </c>
      <c r="I47" s="64">
        <f t="shared" ref="I47" si="50">I28/I17</f>
        <v>0.11155296795755199</v>
      </c>
      <c r="J47" s="68">
        <f>LN(Table1[[#This Row],[2025]]/Table1[[#This Row],[2024]])</f>
        <v>3.682777731259769E-2</v>
      </c>
      <c r="K47" s="69">
        <f>LN(Table1[[#This Row],[2025]]/Table1[[#This Row],[2023]])</f>
        <v>0.55383041464893634</v>
      </c>
      <c r="L47" s="70">
        <f>LN(Table1[[#This Row],[2025]]/Table1[[#This Row],[2019]])</f>
        <v>0.76642415579303447</v>
      </c>
      <c r="O47" s="3"/>
      <c r="P47" s="3"/>
      <c r="Q47" s="3"/>
      <c r="R47" s="3"/>
      <c r="S47" s="3"/>
      <c r="T47" s="3"/>
      <c r="U47" s="3"/>
    </row>
    <row r="48" spans="1:24" x14ac:dyDescent="0.2">
      <c r="B48" s="29" t="s">
        <v>71</v>
      </c>
      <c r="C48" s="64">
        <f>C34/C17</f>
        <v>4.1308703060722513E-2</v>
      </c>
      <c r="D48" s="64">
        <f t="shared" ref="D48:H48" si="51">D34/D17</f>
        <v>5.5252496995316841E-2</v>
      </c>
      <c r="E48" s="64">
        <f t="shared" si="51"/>
        <v>7.1014128755145567E-2</v>
      </c>
      <c r="F48" s="64">
        <f t="shared" si="51"/>
        <v>-5.2958950004183018E-3</v>
      </c>
      <c r="G48" s="64">
        <f t="shared" si="51"/>
        <v>5.2932835755978319E-2</v>
      </c>
      <c r="H48" s="64">
        <f t="shared" si="51"/>
        <v>9.2871171971866534E-2</v>
      </c>
      <c r="I48" s="64">
        <f t="shared" ref="I48" si="52">I34/I17</f>
        <v>0.10833784334183261</v>
      </c>
      <c r="J48" s="82">
        <f>LN(Table1[[#This Row],[2025]]/Table1[[#This Row],[2024]])</f>
        <v>0.15404123844630985</v>
      </c>
      <c r="K48" s="82">
        <f>LN(Table1[[#This Row],[2025]]/Table1[[#This Row],[2023]])</f>
        <v>0.71623066361800547</v>
      </c>
      <c r="L48" s="70">
        <f>LN(Table1[[#This Row],[2025]]/Table1[[#This Row],[2019]])</f>
        <v>0.96418131801325324</v>
      </c>
    </row>
  </sheetData>
  <pageMargins left="0.25" right="0.25" top="0.75" bottom="0.75" header="0.3" footer="0.3"/>
  <pageSetup scale="47" orientation="landscape" r:id="rId1"/>
  <drawing r:id="rId2"/>
  <tableParts count="2">
    <tablePart r:id="rId3"/>
    <tablePart r:id="rId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FA3E0-8AD2-4CE8-9A68-358D5A2289C7}">
  <sheetPr>
    <pageSetUpPr fitToPage="1"/>
  </sheetPr>
  <dimension ref="A1:T38"/>
  <sheetViews>
    <sheetView workbookViewId="0">
      <selection activeCell="E45" sqref="E45"/>
    </sheetView>
  </sheetViews>
  <sheetFormatPr defaultColWidth="10.7109375" defaultRowHeight="12.75" x14ac:dyDescent="0.2"/>
  <cols>
    <col min="1" max="2" width="10.7109375" style="16"/>
    <col min="3" max="3" width="10.7109375" style="23" customWidth="1"/>
    <col min="4" max="16384" width="10.7109375" style="23"/>
  </cols>
  <sheetData>
    <row r="1" spans="2:20" s="16" customFormat="1" ht="19.5" x14ac:dyDescent="0.3">
      <c r="B1" s="84" t="s">
        <v>102</v>
      </c>
    </row>
    <row r="2" spans="2:20" s="16" customFormat="1" ht="19.5" x14ac:dyDescent="0.3">
      <c r="B2" s="84"/>
    </row>
    <row r="3" spans="2:20" s="16" customFormat="1" x14ac:dyDescent="0.2">
      <c r="B3" s="8" t="s">
        <v>24</v>
      </c>
    </row>
    <row r="4" spans="2:20" s="16" customFormat="1" x14ac:dyDescent="0.2"/>
    <row r="5" spans="2:20" s="16" customFormat="1" x14ac:dyDescent="0.2">
      <c r="B5" s="8"/>
      <c r="C5" s="8" t="s">
        <v>25</v>
      </c>
      <c r="D5" s="8" t="s">
        <v>87</v>
      </c>
      <c r="E5" s="8" t="s">
        <v>26</v>
      </c>
      <c r="F5" s="8" t="s">
        <v>27</v>
      </c>
      <c r="G5" s="8" t="s">
        <v>28</v>
      </c>
      <c r="H5" s="8" t="s">
        <v>29</v>
      </c>
      <c r="L5" s="8"/>
      <c r="M5" s="8" t="str" cm="1">
        <f t="array" ref="M5:S5">TRANSPOSE(Statements!B10:B16)</f>
        <v>Online Stores</v>
      </c>
      <c r="N5" s="8" t="str">
        <v>Physical Stores</v>
      </c>
      <c r="O5" s="8" t="str">
        <v>3rd-Party Seller Services</v>
      </c>
      <c r="P5" s="8" t="str">
        <v>Advertising Services</v>
      </c>
      <c r="Q5" s="8" t="str">
        <v>Subscription Services</v>
      </c>
      <c r="R5" s="8" t="str">
        <v>AWS</v>
      </c>
      <c r="S5" s="8" t="str">
        <v>Other</v>
      </c>
    </row>
    <row r="6" spans="2:20" x14ac:dyDescent="0.2">
      <c r="B6" s="8">
        <v>2019</v>
      </c>
      <c r="C6" s="23">
        <v>193636</v>
      </c>
      <c r="D6" s="23">
        <v>22232</v>
      </c>
      <c r="E6" s="23">
        <v>17527</v>
      </c>
      <c r="F6" s="23">
        <v>16002</v>
      </c>
      <c r="G6" s="23">
        <v>31125</v>
      </c>
      <c r="H6" s="23">
        <f>SUM(C6:G6)</f>
        <v>280522</v>
      </c>
      <c r="L6" s="56">
        <v>2019</v>
      </c>
      <c r="M6" s="23" cm="1">
        <f t="array" ref="M6:S6">TRANSPOSE(Statements!C10:C16)</f>
        <v>141247</v>
      </c>
      <c r="N6" s="23">
        <v>17192</v>
      </c>
      <c r="O6" s="23">
        <v>53762</v>
      </c>
      <c r="P6" s="23">
        <v>12625</v>
      </c>
      <c r="Q6" s="23">
        <v>19210</v>
      </c>
      <c r="R6" s="23">
        <v>35026</v>
      </c>
      <c r="S6" s="23">
        <v>1460</v>
      </c>
      <c r="T6" s="23">
        <f>SUM(_xlfn.ANCHORARRAY(M6))</f>
        <v>280522</v>
      </c>
    </row>
    <row r="7" spans="2:20" x14ac:dyDescent="0.2">
      <c r="B7" s="8">
        <v>2020</v>
      </c>
      <c r="C7" s="23">
        <v>263520</v>
      </c>
      <c r="D7" s="23">
        <v>29565</v>
      </c>
      <c r="E7" s="23">
        <v>26483</v>
      </c>
      <c r="F7" s="23">
        <v>20461</v>
      </c>
      <c r="G7" s="23">
        <v>46035</v>
      </c>
      <c r="H7" s="23">
        <f t="shared" ref="H7:H10" si="0">SUM(C7:G7)</f>
        <v>386064</v>
      </c>
      <c r="L7" s="56">
        <v>2020</v>
      </c>
      <c r="M7" s="23" cm="1">
        <f t="array" ref="M7:S7">TRANSPOSE(Statements!D10:D16)</f>
        <v>197346</v>
      </c>
      <c r="N7" s="23">
        <v>16227</v>
      </c>
      <c r="O7" s="23">
        <v>80461</v>
      </c>
      <c r="P7" s="23">
        <v>25207</v>
      </c>
      <c r="Q7" s="23">
        <v>19773</v>
      </c>
      <c r="R7" s="23">
        <v>45370</v>
      </c>
      <c r="S7" s="23">
        <v>1680</v>
      </c>
      <c r="T7" s="23">
        <f t="shared" ref="T7:T11" si="1">SUM(_xlfn.ANCHORARRAY(M7))</f>
        <v>386064</v>
      </c>
    </row>
    <row r="8" spans="2:20" x14ac:dyDescent="0.2">
      <c r="B8" s="8">
        <v>2021</v>
      </c>
      <c r="C8" s="23">
        <v>314006</v>
      </c>
      <c r="D8" s="23">
        <v>37326</v>
      </c>
      <c r="E8" s="23">
        <v>31914</v>
      </c>
      <c r="F8" s="23">
        <v>23071</v>
      </c>
      <c r="G8" s="23">
        <v>63505</v>
      </c>
      <c r="H8" s="23">
        <f t="shared" si="0"/>
        <v>469822</v>
      </c>
      <c r="L8" s="56">
        <v>2021</v>
      </c>
      <c r="M8" s="23" cm="1">
        <f t="array" ref="M8:S8">TRANSPOSE(Statements!E10:E16)</f>
        <v>222075</v>
      </c>
      <c r="N8" s="23">
        <v>17075</v>
      </c>
      <c r="O8" s="23">
        <v>103366</v>
      </c>
      <c r="P8" s="23">
        <v>31768</v>
      </c>
      <c r="Q8" s="23">
        <v>31160</v>
      </c>
      <c r="R8" s="23">
        <v>62202</v>
      </c>
      <c r="S8" s="23">
        <v>2176</v>
      </c>
      <c r="T8" s="23">
        <f t="shared" si="1"/>
        <v>469822</v>
      </c>
    </row>
    <row r="9" spans="2:20" x14ac:dyDescent="0.2">
      <c r="B9" s="8">
        <v>2022</v>
      </c>
      <c r="C9" s="23">
        <v>356113</v>
      </c>
      <c r="D9" s="23">
        <v>33598</v>
      </c>
      <c r="E9" s="23">
        <v>30074</v>
      </c>
      <c r="F9" s="23">
        <v>24396</v>
      </c>
      <c r="G9" s="23">
        <v>69802</v>
      </c>
      <c r="H9" s="23">
        <f t="shared" si="0"/>
        <v>513983</v>
      </c>
      <c r="L9" s="56">
        <v>2022</v>
      </c>
      <c r="M9" s="23" cm="1">
        <f t="array" ref="M9:S9">TRANSPOSE(Statements!F10:F16)</f>
        <v>220004</v>
      </c>
      <c r="N9" s="23">
        <v>18963</v>
      </c>
      <c r="O9" s="23">
        <v>117716</v>
      </c>
      <c r="P9" s="23">
        <v>37739</v>
      </c>
      <c r="Q9" s="23">
        <v>35218</v>
      </c>
      <c r="R9" s="23">
        <v>80096</v>
      </c>
      <c r="S9" s="23">
        <v>4247</v>
      </c>
      <c r="T9" s="23">
        <f t="shared" si="1"/>
        <v>513983</v>
      </c>
    </row>
    <row r="10" spans="2:20" x14ac:dyDescent="0.2">
      <c r="B10" s="8">
        <v>2023</v>
      </c>
      <c r="C10" s="23">
        <v>395637</v>
      </c>
      <c r="D10" s="23">
        <v>37588</v>
      </c>
      <c r="E10" s="23">
        <v>33591</v>
      </c>
      <c r="F10" s="23">
        <v>26002</v>
      </c>
      <c r="G10" s="23">
        <v>81967</v>
      </c>
      <c r="H10" s="23">
        <f t="shared" si="0"/>
        <v>574785</v>
      </c>
      <c r="L10" s="56">
        <v>2023</v>
      </c>
      <c r="M10" s="23" cm="1">
        <f t="array" ref="M10:S10">TRANSPOSE(Statements!G10:G16)</f>
        <v>231872</v>
      </c>
      <c r="N10" s="23">
        <v>20030</v>
      </c>
      <c r="O10" s="23">
        <v>140053</v>
      </c>
      <c r="P10" s="23">
        <v>46906</v>
      </c>
      <c r="Q10" s="23">
        <v>40209</v>
      </c>
      <c r="R10" s="23">
        <v>90757</v>
      </c>
      <c r="S10" s="23">
        <v>4958</v>
      </c>
      <c r="T10" s="23">
        <f t="shared" si="1"/>
        <v>574785</v>
      </c>
    </row>
    <row r="11" spans="2:20" x14ac:dyDescent="0.2">
      <c r="B11" s="8">
        <v>2024</v>
      </c>
      <c r="C11" s="23">
        <v>438015</v>
      </c>
      <c r="D11" s="23">
        <v>40856</v>
      </c>
      <c r="E11" s="23">
        <v>37855</v>
      </c>
      <c r="F11" s="23">
        <v>27401</v>
      </c>
      <c r="G11" s="23">
        <v>93832</v>
      </c>
      <c r="H11" s="23">
        <f>SUM(C11:G11)</f>
        <v>637959</v>
      </c>
      <c r="L11" s="56">
        <v>2024</v>
      </c>
      <c r="M11" s="23" cm="1">
        <f t="array" ref="M11:S11">TRANSPOSE(Statements!H10:H16)</f>
        <v>247029</v>
      </c>
      <c r="N11" s="23">
        <v>21215</v>
      </c>
      <c r="O11" s="23">
        <v>156146</v>
      </c>
      <c r="P11" s="23">
        <v>56214</v>
      </c>
      <c r="Q11" s="23">
        <v>44374</v>
      </c>
      <c r="R11" s="23">
        <v>107556</v>
      </c>
      <c r="S11" s="23">
        <v>5425</v>
      </c>
      <c r="T11" s="23">
        <f t="shared" si="1"/>
        <v>637959</v>
      </c>
    </row>
    <row r="24" spans="2:19" x14ac:dyDescent="0.2">
      <c r="B24" s="46"/>
      <c r="C24" s="47" t="s">
        <v>78</v>
      </c>
      <c r="D24" s="47" t="s">
        <v>89</v>
      </c>
      <c r="E24" s="47" t="s">
        <v>88</v>
      </c>
      <c r="M24" s="58">
        <v>2019</v>
      </c>
      <c r="N24" s="58">
        <v>2020</v>
      </c>
      <c r="O24" s="58">
        <v>2021</v>
      </c>
      <c r="P24" s="58">
        <v>2022</v>
      </c>
      <c r="Q24" s="58">
        <v>2023</v>
      </c>
      <c r="R24" s="58">
        <v>2024</v>
      </c>
      <c r="S24" s="47"/>
    </row>
    <row r="25" spans="2:19" x14ac:dyDescent="0.2">
      <c r="B25" s="16">
        <v>2019</v>
      </c>
      <c r="C25" s="57" cm="1">
        <f t="array" ref="C25:C30">TRANSPOSE(Statements!O43:T43)</f>
        <v>61.872237122618799</v>
      </c>
      <c r="D25" s="60">
        <v>49.6</v>
      </c>
      <c r="E25" s="60">
        <v>0.03</v>
      </c>
      <c r="L25" s="47" t="s">
        <v>17</v>
      </c>
      <c r="M25" s="61">
        <v>0.50351487583861521</v>
      </c>
      <c r="N25" s="61">
        <v>0.51117431306726346</v>
      </c>
      <c r="O25" s="61">
        <v>0.47267901460553147</v>
      </c>
      <c r="P25" s="61">
        <v>0.42803750318590306</v>
      </c>
      <c r="Q25" s="61">
        <v>0.40340649112276766</v>
      </c>
      <c r="R25" s="61">
        <v>0.38721767386305389</v>
      </c>
      <c r="S25" s="47"/>
    </row>
    <row r="26" spans="2:19" x14ac:dyDescent="0.2">
      <c r="B26" s="16">
        <v>2020</v>
      </c>
      <c r="C26" s="57">
        <v>68.655048255382326</v>
      </c>
      <c r="D26" s="60">
        <v>49.6</v>
      </c>
      <c r="E26" s="60">
        <v>7.0000000000000007E-2</v>
      </c>
      <c r="L26" s="62"/>
      <c r="M26" s="61"/>
      <c r="N26" s="61"/>
      <c r="O26" s="61"/>
      <c r="P26" s="61"/>
      <c r="Q26" s="61"/>
      <c r="R26" s="61"/>
      <c r="S26" s="59"/>
    </row>
    <row r="27" spans="2:19" x14ac:dyDescent="0.2">
      <c r="B27" s="16">
        <v>2021</v>
      </c>
      <c r="C27" s="57">
        <v>65.894981309538167</v>
      </c>
      <c r="D27" s="60">
        <v>49.6</v>
      </c>
      <c r="E27" s="60">
        <v>0.12</v>
      </c>
      <c r="L27" s="47" t="s">
        <v>16</v>
      </c>
      <c r="M27" s="61">
        <v>6.1285745859504782E-2</v>
      </c>
      <c r="N27" s="61">
        <v>4.2031891085415891E-2</v>
      </c>
      <c r="O27" s="61">
        <v>3.6343551387546774E-2</v>
      </c>
      <c r="P27" s="61">
        <v>3.68942163456768E-2</v>
      </c>
      <c r="Q27" s="61">
        <v>3.4847812660386057E-2</v>
      </c>
      <c r="R27" s="61">
        <v>3.3254488141087439E-2</v>
      </c>
    </row>
    <row r="28" spans="2:19" x14ac:dyDescent="0.2">
      <c r="B28" s="16">
        <v>2022</v>
      </c>
      <c r="C28" s="57">
        <v>69.644023514043113</v>
      </c>
      <c r="D28" s="60">
        <v>49.6</v>
      </c>
      <c r="E28" s="60">
        <v>0.18</v>
      </c>
      <c r="L28" s="62"/>
      <c r="M28" s="61"/>
      <c r="N28" s="61"/>
      <c r="O28" s="61"/>
      <c r="P28" s="61"/>
      <c r="Q28" s="61"/>
      <c r="R28" s="61"/>
      <c r="S28" s="59"/>
    </row>
    <row r="29" spans="2:19" x14ac:dyDescent="0.2">
      <c r="B29" s="16">
        <v>2023</v>
      </c>
      <c r="C29" s="57">
        <v>42.48584825789645</v>
      </c>
      <c r="D29" s="60">
        <v>49.6</v>
      </c>
      <c r="E29" s="60">
        <v>0.26</v>
      </c>
      <c r="L29" s="47" t="s">
        <v>18</v>
      </c>
      <c r="M29" s="61">
        <v>0.19164985277447044</v>
      </c>
      <c r="N29" s="61">
        <v>0.20841363090057607</v>
      </c>
      <c r="O29" s="61">
        <v>0.22001098288287904</v>
      </c>
      <c r="P29" s="61">
        <v>0.22902703007687025</v>
      </c>
      <c r="Q29" s="61">
        <v>0.24366154301173482</v>
      </c>
      <c r="R29" s="61">
        <v>0.24475867571427004</v>
      </c>
    </row>
    <row r="30" spans="2:19" x14ac:dyDescent="0.2">
      <c r="B30" s="16">
        <v>2024</v>
      </c>
      <c r="C30" s="57">
        <v>33.58216129925794</v>
      </c>
      <c r="D30" s="60">
        <v>49.6</v>
      </c>
      <c r="E30" s="60">
        <v>0.34</v>
      </c>
      <c r="L30" s="62"/>
      <c r="M30" s="61"/>
      <c r="N30" s="61"/>
      <c r="O30" s="61"/>
      <c r="P30" s="61"/>
      <c r="Q30" s="61"/>
      <c r="R30" s="61"/>
      <c r="S30" s="59"/>
    </row>
    <row r="31" spans="2:19" x14ac:dyDescent="0.2">
      <c r="D31" s="60"/>
      <c r="L31" s="47" t="s">
        <v>19</v>
      </c>
      <c r="M31" s="61">
        <v>4.5005382822024653E-2</v>
      </c>
      <c r="N31" s="61">
        <v>6.5292283144763569E-2</v>
      </c>
      <c r="O31" s="61">
        <v>6.7617097539067986E-2</v>
      </c>
      <c r="P31" s="61">
        <v>7.3424607428650368E-2</v>
      </c>
      <c r="Q31" s="61">
        <v>8.1606165783727827E-2</v>
      </c>
      <c r="R31" s="61">
        <v>8.811538045548381E-2</v>
      </c>
    </row>
    <row r="32" spans="2:19" x14ac:dyDescent="0.2">
      <c r="D32" s="57"/>
      <c r="L32" s="62"/>
      <c r="M32" s="61"/>
      <c r="N32" s="61"/>
      <c r="O32" s="61"/>
      <c r="P32" s="61"/>
      <c r="Q32" s="61"/>
      <c r="R32" s="61"/>
      <c r="S32" s="59"/>
    </row>
    <row r="33" spans="12:19" x14ac:dyDescent="0.2">
      <c r="L33" s="47" t="s">
        <v>20</v>
      </c>
      <c r="M33" s="61">
        <v>6.8479477545433154E-2</v>
      </c>
      <c r="N33" s="61">
        <v>5.1216896680343155E-2</v>
      </c>
      <c r="O33" s="61">
        <v>6.632299040913367E-2</v>
      </c>
      <c r="P33" s="61">
        <v>6.8519775945897046E-2</v>
      </c>
      <c r="Q33" s="61">
        <v>6.9954852684047081E-2</v>
      </c>
      <c r="R33" s="61">
        <v>6.9556194050087852E-2</v>
      </c>
    </row>
    <row r="34" spans="12:19" x14ac:dyDescent="0.2">
      <c r="L34" s="62"/>
      <c r="M34" s="61"/>
      <c r="N34" s="61"/>
      <c r="O34" s="61"/>
      <c r="P34" s="61"/>
      <c r="Q34" s="61"/>
      <c r="R34" s="61"/>
      <c r="S34" s="59"/>
    </row>
    <row r="35" spans="12:19" x14ac:dyDescent="0.2">
      <c r="L35" s="47" t="s">
        <v>21</v>
      </c>
      <c r="M35" s="61">
        <v>0.12486008227518697</v>
      </c>
      <c r="N35" s="61">
        <v>0.11751937502590244</v>
      </c>
      <c r="O35" s="61">
        <v>0.13239482186870771</v>
      </c>
      <c r="P35" s="61">
        <v>0.15583394781539467</v>
      </c>
      <c r="Q35" s="61">
        <v>0.15789730072983812</v>
      </c>
      <c r="R35" s="61">
        <v>0.16859390650496348</v>
      </c>
    </row>
    <row r="36" spans="12:19" x14ac:dyDescent="0.2">
      <c r="L36" s="62"/>
      <c r="M36" s="61"/>
      <c r="N36" s="61"/>
      <c r="O36" s="61"/>
      <c r="P36" s="61"/>
      <c r="Q36" s="61"/>
      <c r="R36" s="61"/>
      <c r="S36" s="59"/>
    </row>
    <row r="38" spans="12:19" x14ac:dyDescent="0.2">
      <c r="L38" s="47" t="s">
        <v>88</v>
      </c>
      <c r="M38" s="60">
        <v>0.03</v>
      </c>
      <c r="N38" s="60">
        <v>7.0000000000000007E-2</v>
      </c>
      <c r="O38" s="60">
        <v>0.12</v>
      </c>
      <c r="P38" s="60">
        <v>0.18</v>
      </c>
      <c r="Q38" s="60">
        <v>0.26</v>
      </c>
      <c r="R38" s="60">
        <v>0.34</v>
      </c>
    </row>
  </sheetData>
  <pageMargins left="0.25" right="0.25" top="0.75" bottom="0.75" header="0.3" footer="0.3"/>
  <pageSetup paperSize="5" scale="72"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7876F-1BB4-49F7-B3C7-D3AA2444A86A}">
  <dimension ref="B1:G13"/>
  <sheetViews>
    <sheetView showGridLines="0" showRowColHeaders="0" zoomScale="140" zoomScaleNormal="140" workbookViewId="0">
      <selection activeCell="C23" sqref="C23"/>
    </sheetView>
  </sheetViews>
  <sheetFormatPr defaultColWidth="12.7109375" defaultRowHeight="15" x14ac:dyDescent="0.2"/>
  <cols>
    <col min="1" max="1" width="9.140625" style="53" customWidth="1"/>
    <col min="2" max="2" width="19.5703125" style="55" customWidth="1"/>
    <col min="3" max="3" width="12.7109375" style="53"/>
    <col min="4" max="4" width="16.28515625" style="53" bestFit="1" customWidth="1"/>
    <col min="5" max="16384" width="12.7109375" style="53"/>
  </cols>
  <sheetData>
    <row r="1" spans="2:7" x14ac:dyDescent="0.2">
      <c r="B1" s="53"/>
    </row>
    <row r="2" spans="2:7" ht="20.25" x14ac:dyDescent="0.3">
      <c r="B2" s="54" t="s">
        <v>81</v>
      </c>
    </row>
    <row r="3" spans="2:7" x14ac:dyDescent="0.2">
      <c r="B3" s="53"/>
    </row>
    <row r="5" spans="2:7" ht="15.75" x14ac:dyDescent="0.25">
      <c r="B5" s="74" t="s">
        <v>91</v>
      </c>
      <c r="C5" s="75" t="s">
        <v>92</v>
      </c>
      <c r="D5" s="76" t="s">
        <v>90</v>
      </c>
      <c r="G5" s="53" t="s">
        <v>82</v>
      </c>
    </row>
    <row r="6" spans="2:7" x14ac:dyDescent="0.2">
      <c r="B6" s="53" t="s">
        <v>93</v>
      </c>
      <c r="D6" s="77">
        <f>((Statements!I17/Statements!C17)^(1/7))-1</f>
        <v>0.14344471199202569</v>
      </c>
      <c r="G6" s="53" t="s">
        <v>83</v>
      </c>
    </row>
    <row r="7" spans="2:7" x14ac:dyDescent="0.2">
      <c r="B7" s="53" t="s">
        <v>94</v>
      </c>
      <c r="D7" s="77">
        <f>Statements!I28/Statements!I17</f>
        <v>0.11155296795755199</v>
      </c>
    </row>
    <row r="8" spans="2:7" x14ac:dyDescent="0.2">
      <c r="B8" s="53" t="s">
        <v>74</v>
      </c>
      <c r="D8" s="77">
        <f>Statements!I34/Statements!U33</f>
        <v>0.18894821986790411</v>
      </c>
      <c r="G8" s="53" t="s">
        <v>84</v>
      </c>
    </row>
    <row r="9" spans="2:7" x14ac:dyDescent="0.2">
      <c r="B9" s="53" t="s">
        <v>95</v>
      </c>
      <c r="D9" s="77">
        <f>(Statements!I28*(-Statements!I33/Statements!I32))/Statements!U46</f>
        <v>4.1244089307145945E-2</v>
      </c>
      <c r="G9" s="53" t="s">
        <v>85</v>
      </c>
    </row>
    <row r="10" spans="2:7" x14ac:dyDescent="0.2">
      <c r="B10" s="53" t="s">
        <v>96</v>
      </c>
      <c r="D10" s="78">
        <f>Statements!U35/Statements!I28</f>
        <v>0.82085651766176926</v>
      </c>
    </row>
    <row r="11" spans="2:7" x14ac:dyDescent="0.2">
      <c r="B11" s="53" t="s">
        <v>97</v>
      </c>
      <c r="D11" s="79">
        <f>_xlfn.STDEV.S(Statements!C37:I37)</f>
        <v>2.5375167395276237</v>
      </c>
    </row>
    <row r="12" spans="2:7" x14ac:dyDescent="0.2">
      <c r="B12" s="53" t="s">
        <v>98</v>
      </c>
      <c r="D12" s="79">
        <f>Statements!U43</f>
        <v>31.678900906533293</v>
      </c>
    </row>
    <row r="13" spans="2:7" x14ac:dyDescent="0.2">
      <c r="B13" s="53" t="s">
        <v>99</v>
      </c>
      <c r="D13" s="80" t="s">
        <v>101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6" ma:contentTypeDescription="Create a new document." ma:contentTypeScope="" ma:versionID="5914cc59b3ac3e0af91e183125dbf667">
  <xsd:schema xmlns:xsd="http://www.w3.org/2001/XMLSchema" xmlns:xs="http://www.w3.org/2001/XMLSchema" xmlns:p="http://schemas.microsoft.com/office/2006/metadata/properties" xmlns:ns3="36567613-e428-4167-ab55-a4f66cede826" targetNamespace="http://schemas.microsoft.com/office/2006/metadata/properties" ma:root="true" ma:fieldsID="3f536e8bcdade1d0b1324d4e87301424"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scriptIds xmlns="http://schemas.microsoft.com/office/extensibility/maker/v1.0" id="script-ids-node-id">
  <scriptId id="ms-officescript%3A%2F%2Fonedrive_business_itemlink%2F015GZNGIFWWM75CB5U5JDIZ463SE5DI453:ms-officescript%3A%2F%2Fonedrive_business_sharinglink%2Fu!aHR0cHM6Ly9zamVjY2QtbXkuc2hhcmVwb2ludC5jb20vOnU6L2cvcGVyc29uYWwvYWJnbzY0NzZfc3R1X2V2Y19lZHUvRWJhelA5RUh0T3BHalBQYmtUbzBjN3NCcFR0RHZRTGdlNjlZOWVEaWtxVDAydw"/>
</scriptIds>
</file>

<file path=customXml/item4.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Props1.xml><?xml version="1.0" encoding="utf-8"?>
<ds:datastoreItem xmlns:ds="http://schemas.openxmlformats.org/officeDocument/2006/customXml" ds:itemID="{69CA9D73-4B12-4830-B86F-A2C93BFFF30D}">
  <ds:schemaRefs>
    <ds:schemaRef ds:uri="http://schemas.microsoft.com/sharepoint/v3/contenttype/forms"/>
  </ds:schemaRefs>
</ds:datastoreItem>
</file>

<file path=customXml/itemProps2.xml><?xml version="1.0" encoding="utf-8"?>
<ds:datastoreItem xmlns:ds="http://schemas.openxmlformats.org/officeDocument/2006/customXml" ds:itemID="{F17312E7-BDAF-44C5-9DBF-26FD12E4B8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9CC3DFF-8066-43A7-80F7-D82830EC8647}">
  <ds:schemaRefs>
    <ds:schemaRef ds:uri="http://schemas.microsoft.com/office/extensibility/maker/v1.0"/>
  </ds:schemaRefs>
</ds:datastoreItem>
</file>

<file path=customXml/itemProps4.xml><?xml version="1.0" encoding="utf-8"?>
<ds:datastoreItem xmlns:ds="http://schemas.openxmlformats.org/officeDocument/2006/customXml" ds:itemID="{80F213C5-F071-4E9E-9963-FC20199506E0}">
  <ds:schemaRefs>
    <ds:schemaRef ds:uri="http://schemas.openxmlformats.org/package/2006/metadata/core-properties"/>
    <ds:schemaRef ds:uri="http://purl.org/dc/dcmitype/"/>
    <ds:schemaRef ds:uri="36567613-e428-4167-ab55-a4f66cede826"/>
    <ds:schemaRef ds:uri="http://schemas.microsoft.com/office/2006/metadata/properties"/>
    <ds:schemaRef ds:uri="http://purl.org/dc/elements/1.1/"/>
    <ds:schemaRef ds:uri="http://www.w3.org/XML/1998/namespace"/>
    <ds:schemaRef ds:uri="http://schemas.microsoft.com/office/2006/documentManagement/types"/>
    <ds:schemaRef ds:uri="http://schemas.microsoft.com/office/infopath/2007/PartnerControl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Statements</vt:lpstr>
      <vt:lpstr>Analysis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 Gonzalez Herrera</dc:creator>
  <cp:lastModifiedBy>Abraham Gonzalez Herrera</cp:lastModifiedBy>
  <cp:lastPrinted>2026-06-29T21:06:33Z</cp:lastPrinted>
  <dcterms:created xsi:type="dcterms:W3CDTF">2025-02-19T20:24:26Z</dcterms:created>
  <dcterms:modified xsi:type="dcterms:W3CDTF">2026-06-29T21:47:32Z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y fmtid="{D5CDD505-2E9C-101B-9397-08002B2CF9AE}" pid="3" name="MSIP_Label_bc50c7b0-9e53-455f-9b3f-deab1aa8a41e_Enabled">
    <vt:lpwstr>true</vt:lpwstr>
  </property>
  <property fmtid="{D5CDD505-2E9C-101B-9397-08002B2CF9AE}" pid="4" name="MSIP_Label_bc50c7b0-9e53-455f-9b3f-deab1aa8a41e_SetDate">
    <vt:lpwstr>2025-06-20T18:35:59Z</vt:lpwstr>
  </property>
  <property fmtid="{D5CDD505-2E9C-101B-9397-08002B2CF9AE}" pid="5" name="MSIP_Label_bc50c7b0-9e53-455f-9b3f-deab1aa8a41e_Method">
    <vt:lpwstr>Standard</vt:lpwstr>
  </property>
  <property fmtid="{D5CDD505-2E9C-101B-9397-08002B2CF9AE}" pid="6" name="MSIP_Label_bc50c7b0-9e53-455f-9b3f-deab1aa8a41e_Name">
    <vt:lpwstr>defa4170-0d19-0005-0004-bc88714345d2</vt:lpwstr>
  </property>
  <property fmtid="{D5CDD505-2E9C-101B-9397-08002B2CF9AE}" pid="7" name="MSIP_Label_bc50c7b0-9e53-455f-9b3f-deab1aa8a41e_SiteId">
    <vt:lpwstr>7cc8e357-468d-472c-a6fc-c5600e789b55</vt:lpwstr>
  </property>
  <property fmtid="{D5CDD505-2E9C-101B-9397-08002B2CF9AE}" pid="8" name="MSIP_Label_bc50c7b0-9e53-455f-9b3f-deab1aa8a41e_ActionId">
    <vt:lpwstr>ee67d891-9c3e-44d0-a65b-82553e022ac4</vt:lpwstr>
  </property>
  <property fmtid="{D5CDD505-2E9C-101B-9397-08002B2CF9AE}" pid="9" name="MSIP_Label_bc50c7b0-9e53-455f-9b3f-deab1aa8a41e_ContentBits">
    <vt:lpwstr>0</vt:lpwstr>
  </property>
  <property fmtid="{D5CDD505-2E9C-101B-9397-08002B2CF9AE}" pid="10" name="MSIP_Label_bc50c7b0-9e53-455f-9b3f-deab1aa8a41e_Tag">
    <vt:lpwstr>10, 3, 0, 1</vt:lpwstr>
  </property>
</Properties>
</file>