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defaultThemeVersion="202300"/>
  <mc:AlternateContent xmlns:mc="http://schemas.openxmlformats.org/markup-compatibility/2006">
    <mc:Choice Requires="x15">
      <x15ac:absPath xmlns:x15ac="http://schemas.microsoft.com/office/spreadsheetml/2010/11/ac" url="E:\Earnings models (BACKUP)\"/>
    </mc:Choice>
  </mc:AlternateContent>
  <xr:revisionPtr revIDLastSave="0" documentId="8_{211A4ACE-433A-438D-9E7F-1A2ADD12471A}" xr6:coauthVersionLast="47" xr6:coauthVersionMax="47" xr10:uidLastSave="{00000000-0000-0000-0000-000000000000}"/>
  <bookViews>
    <workbookView xWindow="-120" yWindow="-120" windowWidth="29040" windowHeight="15720" xr2:uid="{03350A31-DD96-4300-8B60-920C62746159}"/>
  </bookViews>
  <sheets>
    <sheet name="Statements" sheetId="1" r:id="rId1"/>
    <sheet name="Notes" sheetId="3"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47" i="1" l="1"/>
  <c r="T47" i="1"/>
  <c r="S47" i="1"/>
  <c r="R47" i="1"/>
  <c r="Q47" i="1"/>
  <c r="P47" i="1"/>
  <c r="O47" i="1"/>
  <c r="D12" i="3"/>
  <c r="D11" i="3"/>
  <c r="D10" i="3"/>
  <c r="D9" i="3"/>
  <c r="D8" i="3"/>
  <c r="D7" i="3"/>
  <c r="D6" i="3"/>
  <c r="X47" i="1" l="1"/>
  <c r="W47" i="1"/>
  <c r="V47" i="1"/>
  <c r="X46" i="1"/>
  <c r="W46" i="1"/>
  <c r="V46" i="1"/>
  <c r="X45" i="1"/>
  <c r="W45" i="1"/>
  <c r="V45" i="1"/>
  <c r="X44" i="1"/>
  <c r="W44" i="1"/>
  <c r="V44" i="1"/>
  <c r="X43" i="1"/>
  <c r="W43" i="1"/>
  <c r="V43" i="1"/>
  <c r="X41" i="1"/>
  <c r="W41" i="1"/>
  <c r="V41" i="1"/>
  <c r="X40" i="1"/>
  <c r="W40" i="1"/>
  <c r="V40" i="1"/>
  <c r="X39" i="1"/>
  <c r="W39" i="1"/>
  <c r="V39" i="1"/>
  <c r="X38" i="1"/>
  <c r="W38" i="1"/>
  <c r="V38" i="1"/>
  <c r="X37" i="1"/>
  <c r="W37" i="1"/>
  <c r="V37" i="1"/>
  <c r="X36" i="1"/>
  <c r="W36" i="1"/>
  <c r="V36" i="1"/>
  <c r="X35" i="1"/>
  <c r="W35" i="1"/>
  <c r="V35" i="1"/>
  <c r="X33" i="1"/>
  <c r="W33" i="1"/>
  <c r="V33" i="1"/>
  <c r="X32" i="1"/>
  <c r="W32" i="1"/>
  <c r="V32" i="1"/>
  <c r="X31" i="1"/>
  <c r="W31" i="1"/>
  <c r="V31" i="1"/>
  <c r="X30" i="1"/>
  <c r="W30" i="1"/>
  <c r="V30" i="1"/>
  <c r="X29" i="1"/>
  <c r="W29" i="1"/>
  <c r="V29" i="1"/>
  <c r="X28" i="1"/>
  <c r="W28" i="1"/>
  <c r="V28" i="1"/>
  <c r="X27" i="1"/>
  <c r="W27" i="1"/>
  <c r="V27" i="1"/>
  <c r="X26" i="1"/>
  <c r="W26" i="1"/>
  <c r="V26" i="1"/>
  <c r="X22" i="1"/>
  <c r="W22" i="1"/>
  <c r="V22" i="1"/>
  <c r="X21" i="1"/>
  <c r="W21" i="1"/>
  <c r="V21" i="1"/>
  <c r="X20" i="1"/>
  <c r="W20" i="1"/>
  <c r="V20" i="1"/>
  <c r="X19" i="1"/>
  <c r="W19" i="1"/>
  <c r="V19" i="1"/>
  <c r="X18" i="1"/>
  <c r="W18" i="1"/>
  <c r="V18" i="1"/>
  <c r="X17" i="1"/>
  <c r="W17" i="1"/>
  <c r="V17" i="1"/>
  <c r="X16" i="1"/>
  <c r="W16" i="1"/>
  <c r="V16" i="1"/>
  <c r="X15" i="1"/>
  <c r="W15" i="1"/>
  <c r="V15" i="1"/>
  <c r="X14" i="1"/>
  <c r="W14" i="1"/>
  <c r="V14" i="1"/>
  <c r="X13" i="1"/>
  <c r="W13" i="1"/>
  <c r="V13" i="1"/>
  <c r="X12" i="1"/>
  <c r="W12" i="1"/>
  <c r="V12" i="1"/>
  <c r="X11" i="1"/>
  <c r="W11" i="1"/>
  <c r="V11" i="1"/>
  <c r="U45" i="1"/>
  <c r="U46" i="1" s="1"/>
  <c r="U43" i="1"/>
  <c r="U44" i="1" s="1"/>
  <c r="U41" i="1"/>
  <c r="U40" i="1"/>
  <c r="U37" i="1"/>
  <c r="U36" i="1"/>
  <c r="U38" i="1" s="1"/>
  <c r="U39" i="1" s="1"/>
  <c r="U35" i="1"/>
  <c r="I42" i="1" s="1"/>
  <c r="U33" i="1"/>
  <c r="U29" i="1"/>
  <c r="U22" i="1"/>
  <c r="U16" i="1"/>
  <c r="L41" i="1"/>
  <c r="K41" i="1"/>
  <c r="J41" i="1"/>
  <c r="L40" i="1"/>
  <c r="K40" i="1"/>
  <c r="J40" i="1"/>
  <c r="L39" i="1"/>
  <c r="K39" i="1"/>
  <c r="J39" i="1"/>
  <c r="L38" i="1"/>
  <c r="K38" i="1"/>
  <c r="J38" i="1"/>
  <c r="L37" i="1"/>
  <c r="K37" i="1"/>
  <c r="J37" i="1"/>
  <c r="L36" i="1"/>
  <c r="K36" i="1"/>
  <c r="J36" i="1"/>
  <c r="L35" i="1"/>
  <c r="K35" i="1"/>
  <c r="J35" i="1"/>
  <c r="L34" i="1"/>
  <c r="K34" i="1"/>
  <c r="J34" i="1"/>
  <c r="L33" i="1"/>
  <c r="K33" i="1"/>
  <c r="J33" i="1"/>
  <c r="L32" i="1"/>
  <c r="K32" i="1"/>
  <c r="J32" i="1"/>
  <c r="L30" i="1"/>
  <c r="K30" i="1"/>
  <c r="J30" i="1"/>
  <c r="L29" i="1"/>
  <c r="K29" i="1"/>
  <c r="J29" i="1"/>
  <c r="L28" i="1"/>
  <c r="K28" i="1"/>
  <c r="J28" i="1"/>
  <c r="L27" i="1"/>
  <c r="K27" i="1"/>
  <c r="J27" i="1"/>
  <c r="L26" i="1"/>
  <c r="K26" i="1"/>
  <c r="J26" i="1"/>
  <c r="L25" i="1"/>
  <c r="K25" i="1"/>
  <c r="J25" i="1"/>
  <c r="L23" i="1"/>
  <c r="K23" i="1"/>
  <c r="J23" i="1"/>
  <c r="L22" i="1"/>
  <c r="K22" i="1"/>
  <c r="J22" i="1"/>
  <c r="L21" i="1"/>
  <c r="K21" i="1"/>
  <c r="J21" i="1"/>
  <c r="L20" i="1"/>
  <c r="K20" i="1"/>
  <c r="J20" i="1"/>
  <c r="L19" i="1"/>
  <c r="K19" i="1"/>
  <c r="J19" i="1"/>
  <c r="L15" i="1"/>
  <c r="K15" i="1"/>
  <c r="J15" i="1"/>
  <c r="L14" i="1"/>
  <c r="K14" i="1"/>
  <c r="J14" i="1"/>
  <c r="L13" i="1"/>
  <c r="K13" i="1"/>
  <c r="J13" i="1"/>
  <c r="L12" i="1"/>
  <c r="K12" i="1"/>
  <c r="J12" i="1"/>
  <c r="L11" i="1"/>
  <c r="K11" i="1"/>
  <c r="J11" i="1"/>
  <c r="L10" i="1"/>
  <c r="K10" i="1"/>
  <c r="J10" i="1"/>
  <c r="H42" i="1"/>
  <c r="G42" i="1"/>
  <c r="F42" i="1"/>
  <c r="E42" i="1"/>
  <c r="D42" i="1"/>
  <c r="I41" i="1"/>
  <c r="H41" i="1"/>
  <c r="G41" i="1"/>
  <c r="F41" i="1"/>
  <c r="E41" i="1"/>
  <c r="D41" i="1"/>
  <c r="I40" i="1"/>
  <c r="H40" i="1"/>
  <c r="G40" i="1"/>
  <c r="F40" i="1"/>
  <c r="E40" i="1"/>
  <c r="D40" i="1"/>
  <c r="I39" i="1"/>
  <c r="H39" i="1"/>
  <c r="G39" i="1"/>
  <c r="F39" i="1"/>
  <c r="E39" i="1"/>
  <c r="D39" i="1"/>
  <c r="C42" i="1"/>
  <c r="C41" i="1"/>
  <c r="C40" i="1"/>
  <c r="C39" i="1"/>
  <c r="I38" i="1"/>
  <c r="H38" i="1"/>
  <c r="G38" i="1"/>
  <c r="F38" i="1"/>
  <c r="E38" i="1"/>
  <c r="D38" i="1"/>
  <c r="I37" i="1"/>
  <c r="H37" i="1"/>
  <c r="G37" i="1"/>
  <c r="F37" i="1"/>
  <c r="E37" i="1"/>
  <c r="D37" i="1"/>
  <c r="I36" i="1"/>
  <c r="H36" i="1"/>
  <c r="G36" i="1"/>
  <c r="F36" i="1"/>
  <c r="E36" i="1"/>
  <c r="D36" i="1"/>
  <c r="C38" i="1"/>
  <c r="C37" i="1"/>
  <c r="C36" i="1"/>
  <c r="I35" i="1"/>
  <c r="I34" i="1"/>
  <c r="I30" i="1"/>
  <c r="I28" i="1"/>
  <c r="I25" i="1"/>
  <c r="I23" i="1"/>
  <c r="I15" i="1"/>
  <c r="H15" i="1"/>
  <c r="I13" i="1"/>
  <c r="H13" i="1"/>
  <c r="G13" i="1"/>
  <c r="G15" i="1" s="1"/>
  <c r="S43" i="1" s="1"/>
  <c r="S44" i="1" s="1"/>
  <c r="D13" i="1"/>
  <c r="D15" i="1" s="1"/>
  <c r="P43" i="1" s="1"/>
  <c r="P44" i="1" s="1"/>
  <c r="C13" i="1"/>
  <c r="C15" i="1" s="1"/>
  <c r="O43" i="1" s="1"/>
  <c r="O44" i="1" s="1"/>
  <c r="C12" i="1"/>
  <c r="D12" i="1"/>
  <c r="E12" i="1"/>
  <c r="E13" i="1" s="1"/>
  <c r="E15" i="1" s="1"/>
  <c r="F12" i="1"/>
  <c r="F13" i="1" s="1"/>
  <c r="F15" i="1" s="1"/>
  <c r="G12" i="1"/>
  <c r="H12" i="1"/>
  <c r="K42" i="1" l="1"/>
  <c r="L42" i="1"/>
  <c r="J42" i="1"/>
  <c r="T43" i="1"/>
  <c r="T44" i="1" s="1"/>
  <c r="R43" i="1"/>
  <c r="R44" i="1" s="1"/>
  <c r="Q43" i="1"/>
  <c r="Q44" i="1" s="1"/>
  <c r="T37" i="1" l="1"/>
  <c r="S37" i="1"/>
  <c r="R37" i="1"/>
  <c r="Q37" i="1"/>
  <c r="P37" i="1"/>
  <c r="T36" i="1"/>
  <c r="S36" i="1"/>
  <c r="R36" i="1"/>
  <c r="Q36" i="1"/>
  <c r="P36" i="1"/>
  <c r="O37" i="1"/>
  <c r="O36" i="1"/>
  <c r="S29" i="1"/>
  <c r="S33" i="1" s="1"/>
  <c r="R29" i="1"/>
  <c r="R33" i="1" s="1"/>
  <c r="Q29" i="1"/>
  <c r="Q33" i="1" s="1"/>
  <c r="P29" i="1"/>
  <c r="P33" i="1" s="1"/>
  <c r="O29" i="1"/>
  <c r="O33" i="1" s="1"/>
  <c r="T29" i="1"/>
  <c r="T33" i="1" s="1"/>
  <c r="S16" i="1"/>
  <c r="R16" i="1"/>
  <c r="Q16" i="1"/>
  <c r="P16" i="1"/>
  <c r="O16" i="1"/>
  <c r="T16" i="1"/>
  <c r="T22" i="1" s="1"/>
  <c r="G34" i="1"/>
  <c r="F34" i="1"/>
  <c r="E34" i="1"/>
  <c r="D34" i="1"/>
  <c r="C34" i="1"/>
  <c r="O38" i="1" s="1"/>
  <c r="H34" i="1"/>
  <c r="E22" i="1"/>
  <c r="E23" i="1" s="1"/>
  <c r="E25" i="1" s="1"/>
  <c r="G23" i="1"/>
  <c r="G25" i="1" s="1"/>
  <c r="F23" i="1"/>
  <c r="F25" i="1" s="1"/>
  <c r="D23" i="1"/>
  <c r="D25" i="1" s="1"/>
  <c r="C23" i="1"/>
  <c r="C25" i="1" s="1"/>
  <c r="H23" i="1"/>
  <c r="H25" i="1" s="1"/>
  <c r="C4" i="1" a="1"/>
  <c r="C6" i="1" s="1"/>
  <c r="T38" i="1" l="1"/>
  <c r="P38" i="1"/>
  <c r="R38" i="1"/>
  <c r="S38" i="1"/>
  <c r="R45" i="1"/>
  <c r="R46" i="1" s="1"/>
  <c r="Q38" i="1"/>
  <c r="S45" i="1"/>
  <c r="S46" i="1" s="1"/>
  <c r="P45" i="1"/>
  <c r="P46" i="1" s="1"/>
  <c r="T45" i="1"/>
  <c r="Q45" i="1"/>
  <c r="Q46" i="1" s="1"/>
  <c r="O45" i="1"/>
  <c r="O46" i="1" s="1"/>
  <c r="T35" i="1"/>
  <c r="P22" i="1"/>
  <c r="P40" i="1"/>
  <c r="O22" i="1"/>
  <c r="O40" i="1"/>
  <c r="Q22" i="1"/>
  <c r="Q40" i="1"/>
  <c r="R22" i="1"/>
  <c r="R35" i="1" s="1"/>
  <c r="R40" i="1"/>
  <c r="S22" i="1"/>
  <c r="S35" i="1" s="1"/>
  <c r="S40" i="1"/>
  <c r="T40" i="1"/>
  <c r="P35" i="1" l="1"/>
  <c r="T46" i="1"/>
  <c r="Q35" i="1"/>
  <c r="O35" i="1"/>
  <c r="P41" i="1" l="1"/>
  <c r="S41" i="1"/>
  <c r="Q41" i="1"/>
  <c r="R41" i="1"/>
  <c r="O41" i="1"/>
  <c r="T41" i="1"/>
  <c r="G28" i="1"/>
  <c r="G30" i="1" s="1"/>
  <c r="S39" i="1"/>
  <c r="E28" i="1"/>
  <c r="E30" i="1" s="1"/>
  <c r="Q39" i="1"/>
  <c r="F28" i="1"/>
  <c r="F30" i="1" s="1"/>
  <c r="R39" i="1"/>
  <c r="C28" i="1"/>
  <c r="C30" i="1" s="1"/>
  <c r="O39" i="1"/>
  <c r="D28" i="1"/>
  <c r="D30" i="1" s="1"/>
  <c r="P39" i="1"/>
  <c r="H28" i="1"/>
  <c r="T39" i="1"/>
  <c r="D35" i="1" l="1"/>
  <c r="F35" i="1"/>
  <c r="C35" i="1"/>
  <c r="E35" i="1"/>
  <c r="H30" i="1"/>
  <c r="G35" i="1"/>
  <c r="H35" i="1"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<sst xmlns="http://schemas.openxmlformats.org/spreadsheetml/2006/main" count="104" uniqueCount="84">
  <si>
    <t>Price</t>
  </si>
  <si>
    <t>Shares outstanding</t>
  </si>
  <si>
    <t>Mkt cap</t>
  </si>
  <si>
    <t>Revenues</t>
  </si>
  <si>
    <t>Semiconductor systems</t>
  </si>
  <si>
    <t>Applied global services</t>
  </si>
  <si>
    <t>Total revneue</t>
  </si>
  <si>
    <t>Gross profit</t>
  </si>
  <si>
    <t>Operating expenses</t>
  </si>
  <si>
    <t>R&amp;D</t>
  </si>
  <si>
    <t>G&amp;A</t>
  </si>
  <si>
    <t>Total operating expenses</t>
  </si>
  <si>
    <t>EBITDA</t>
  </si>
  <si>
    <t>Interest expense</t>
  </si>
  <si>
    <t>Interest &amp; other income</t>
  </si>
  <si>
    <t>EBT</t>
  </si>
  <si>
    <t>Taxes</t>
  </si>
  <si>
    <t>Net income</t>
  </si>
  <si>
    <t>EPS</t>
  </si>
  <si>
    <t>Severance &amp; other</t>
  </si>
  <si>
    <t>1Y</t>
  </si>
  <si>
    <t>2Y</t>
  </si>
  <si>
    <t>Assets</t>
  </si>
  <si>
    <t>Current</t>
  </si>
  <si>
    <t>Cash</t>
  </si>
  <si>
    <t>ST investments</t>
  </si>
  <si>
    <t>AR</t>
  </si>
  <si>
    <t>Inventories</t>
  </si>
  <si>
    <t>Other</t>
  </si>
  <si>
    <t>Total current assets</t>
  </si>
  <si>
    <t>LT-investments</t>
  </si>
  <si>
    <t>PPE</t>
  </si>
  <si>
    <t>Goodwill</t>
  </si>
  <si>
    <t>Purchased tech &amp; intangibles</t>
  </si>
  <si>
    <t>Defer income taxes</t>
  </si>
  <si>
    <t>Total assets</t>
  </si>
  <si>
    <t>Liabilities</t>
  </si>
  <si>
    <t>ST debt</t>
  </si>
  <si>
    <t>AP &amp; Accru exp</t>
  </si>
  <si>
    <t>Contract liabilities</t>
  </si>
  <si>
    <t>Total current liabilities</t>
  </si>
  <si>
    <t>LT-debt</t>
  </si>
  <si>
    <t>Income taxes payable</t>
  </si>
  <si>
    <t>Total liabilities</t>
  </si>
  <si>
    <t>Equity</t>
  </si>
  <si>
    <t>Debt</t>
  </si>
  <si>
    <t>2019</t>
  </si>
  <si>
    <t>2020</t>
  </si>
  <si>
    <t>2021</t>
  </si>
  <si>
    <t>2022</t>
  </si>
  <si>
    <t>2023</t>
  </si>
  <si>
    <t>2024</t>
  </si>
  <si>
    <t>.</t>
  </si>
  <si>
    <t>Semi to total</t>
  </si>
  <si>
    <t>Appl to total</t>
  </si>
  <si>
    <t>Gross margin</t>
  </si>
  <si>
    <t>Operating margin</t>
  </si>
  <si>
    <t>Net margin</t>
  </si>
  <si>
    <t>EV</t>
  </si>
  <si>
    <t>EV/EBITDA</t>
  </si>
  <si>
    <t>Current ratio</t>
  </si>
  <si>
    <t>ROE</t>
  </si>
  <si>
    <t>BEP</t>
  </si>
  <si>
    <t>Yearly turnover</t>
  </si>
  <si>
    <t>Inv turnover (COPS)</t>
  </si>
  <si>
    <t>Inv turnover (REV)</t>
  </si>
  <si>
    <t>2025</t>
  </si>
  <si>
    <t>Display, Corp &amp; other</t>
  </si>
  <si>
    <t>COGS</t>
  </si>
  <si>
    <t>M&amp;S</t>
  </si>
  <si>
    <t>Disp, Corp &amp; other to total</t>
  </si>
  <si>
    <t>6Y</t>
  </si>
  <si>
    <t>IC</t>
  </si>
  <si>
    <t>Screening Score</t>
  </si>
  <si>
    <t>Column1</t>
  </si>
  <si>
    <t>Revenue (CAGR)</t>
  </si>
  <si>
    <t>EBITDA Margin</t>
  </si>
  <si>
    <t>ROIC</t>
  </si>
  <si>
    <t>Debt-to-EBITDA</t>
  </si>
  <si>
    <t>EPS σ</t>
  </si>
  <si>
    <t>EV-to-EBITDA</t>
  </si>
  <si>
    <t>Industry</t>
  </si>
  <si>
    <t>Semiconductor Equipment &amp; Materials</t>
  </si>
  <si>
    <t>Applied Materials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</si>
</sst>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43" formatCode="_(* #,##0.00_);_(* \(#,##0.00\);_(* &quot;-&quot;??_);_(@_)"/>
    <numFmt numFmtId="164" formatCode="_([$$-409]* #,##0.00_);_([$$-409]* \(#,##0.00\);_([$$-409]* &quot;-&quot;??_);_(@_)"/>
    <numFmt numFmtId="165" formatCode="_(* #,##0_);_(* \(#,##0\);_(* &quot;-&quot;??_);_(@_)"/>
    <numFmt numFmtId="166" formatCode="0.0%"/>
    <numFmt numFmtId="167" formatCode="_(* #,##0.0_);_(* \(#,##0.0\);_(* &quot;-&quot;??_);_(@_)"/>
    <numFmt numFmtId="168" formatCode="_(* #,##0.000_);_(* \(#,##0.000\);_(* &quot;-&quot;??_);_(@_)"/>
    <numFmt numFmtId="169" formatCode="0.000%"/>
    <numFmt numFmtId="170" formatCode="0.000"/>
  </numFmts>
  <fonts count="15" x14ac:knownFonts="1">
    <font>
      <sz val="11"/>
      <color theme="1"/>
      <name val="Aptos Narrow"/>
      <family val="2"/>
      <scheme val="minor"/>
    </font>
    <font>
      <sz val="10"/>
      <color theme="1"/>
      <name val="Arial"/>
      <family val="2"/>
    </font>
    <font>
      <sz val="10"/>
      <color theme="1"/>
      <name val="Arial"/>
      <family val="2"/>
    </font>
    <font>
      <sz val="10"/>
      <color theme="1"/>
      <name val="Arial"/>
      <family val="2"/>
    </font>
    <font>
      <sz val="11"/>
      <color theme="1"/>
      <name val="Aptos Narrow"/>
      <family val="2"/>
      <scheme val="minor"/>
    </font>
    <font>
      <sz val="10"/>
      <color theme="1"/>
      <name val="Arial"/>
      <family val="2"/>
    </font>
    <font>
      <b/>
      <sz val="10"/>
      <color theme="1"/>
      <name val="Arial"/>
      <family val="2"/>
    </font>
    <font>
      <b/>
      <sz val="10"/>
      <color theme="0"/>
      <name val="Arial"/>
      <family val="2"/>
    </font>
    <font>
      <sz val="10"/>
      <color theme="3" tint="0.249977111117893"/>
      <name val="Arial"/>
      <family val="2"/>
    </font>
    <font>
      <b/>
      <sz val="11"/>
      <color theme="1"/>
      <name val="Aptos Narrow"/>
      <family val="2"/>
      <scheme val="minor"/>
    </font>
    <font>
      <sz val="12"/>
      <color theme="1"/>
      <name val="Arial"/>
      <family val="2"/>
    </font>
    <font>
      <b/>
      <sz val="16"/>
      <color theme="1"/>
      <name val="Arial"/>
      <family val="2"/>
    </font>
    <font>
      <b/>
      <sz val="12"/>
      <color theme="1"/>
      <name val="Arial"/>
      <family val="2"/>
    </font>
    <font>
      <sz val="12"/>
      <color theme="4"/>
      <name val="Arial"/>
      <family val="2"/>
    </font>
    <font>
      <sz val="12"/>
      <color theme="0"/>
      <name val="Arial"/>
      <family val="2"/>
    </font>
  </fonts>
  <fills count="6">
    <fill>
      <patternFill patternType="none"/>
    </fill>
    <fill>
      <patternFill patternType="gray125"/>
    </fill>
    <fill>
      <patternFill patternType="solid">
        <fgColor rgb="FFFFFF00"/>
        <bgColor indexed="64"/>
      </patternFill>
    </fill>
    <fill>
      <patternFill patternType="solid">
        <fgColor rgb="FF94DCF8"/>
        <bgColor indexed="64"/>
      </patternFill>
    </fill>
    <fill>
      <patternFill patternType="solid">
        <fgColor rgb="FFB5E6A2"/>
        <bgColor indexed="64"/>
      </patternFill>
    </fill>
    <fill>
      <patternFill patternType="solid">
        <fgColor rgb="FFFF0000"/>
        <bgColor indexed="64"/>
      </patternFill>
    </fill>
  </fills>
  <borders count="10">
    <border>
      <left/>
      <right/>
      <top/>
      <bottom/>
      <diagonal/>
    </border>
    <border>
      <left/>
      <right/>
      <top style="thin">
        <color indexed="64"/>
      </top>
      <bottom style="medium">
        <color indexed="64"/>
      </bottom>
      <diagonal/>
    </border>
    <border>
      <left/>
      <right/>
      <top style="thin">
        <color indexed="64"/>
      </top>
      <bottom/>
      <diagonal/>
    </border>
    <border>
      <left/>
      <right style="thin">
        <color indexed="64"/>
      </right>
      <top/>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s>
  <cellStyleXfs count="4">
    <xf numFmtId="0" fontId="0" fillId="0" borderId="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cellStyleXfs>
  <cellXfs count="73">
    <xf numFmtId="0" fontId="0" fillId="0" borderId="0" xfId="0"/>
    <xf numFmtId="0" fontId="5" fillId="0" borderId="0" xfId="0" applyFont="1"/>
    <xf numFmtId="164" fontId="5" fillId="0" borderId="0" xfId="0" applyNumberFormat="1" applyFont="1"/>
    <xf numFmtId="165" fontId="5" fillId="0" borderId="0" xfId="1" applyNumberFormat="1" applyFont="1"/>
    <xf numFmtId="0" fontId="6" fillId="0" borderId="0" xfId="0" applyFont="1"/>
    <xf numFmtId="165" fontId="6" fillId="0" borderId="1" xfId="1" applyNumberFormat="1" applyFont="1" applyBorder="1"/>
    <xf numFmtId="165" fontId="6" fillId="0" borderId="0" xfId="1" applyNumberFormat="1" applyFont="1"/>
    <xf numFmtId="165" fontId="6" fillId="0" borderId="2" xfId="1" applyNumberFormat="1" applyFont="1" applyBorder="1"/>
    <xf numFmtId="44" fontId="5" fillId="0" borderId="0" xfId="2" applyFont="1"/>
    <xf numFmtId="0" fontId="5" fillId="0" borderId="3" xfId="0" applyFont="1" applyBorder="1"/>
    <xf numFmtId="0" fontId="6" fillId="0" borderId="3" xfId="0" applyFont="1" applyBorder="1"/>
    <xf numFmtId="0" fontId="6" fillId="0" borderId="4" xfId="0" applyFont="1" applyBorder="1"/>
    <xf numFmtId="0" fontId="6" fillId="0" borderId="5" xfId="0" applyFont="1" applyBorder="1"/>
    <xf numFmtId="0" fontId="5" fillId="0" borderId="3" xfId="0" applyFont="1" applyBorder="1" applyAlignment="1">
      <alignment horizontal="left" indent="2"/>
    </xf>
    <xf numFmtId="0" fontId="6" fillId="0" borderId="6" xfId="0" applyFont="1" applyBorder="1"/>
    <xf numFmtId="0" fontId="5" fillId="0" borderId="3" xfId="0" applyFont="1" applyBorder="1" applyAlignment="1">
      <alignment horizontal="left" indent="1"/>
    </xf>
    <xf numFmtId="0" fontId="6" fillId="0" borderId="4" xfId="0" applyFont="1" applyBorder="1" applyAlignment="1">
      <alignment horizontal="left" indent="2"/>
    </xf>
    <xf numFmtId="0" fontId="6" fillId="2" borderId="6" xfId="0" applyFont="1" applyFill="1" applyBorder="1" applyAlignment="1">
      <alignment horizontal="center"/>
    </xf>
    <xf numFmtId="0" fontId="5" fillId="2" borderId="0" xfId="0" applyFont="1" applyFill="1"/>
    <xf numFmtId="9" fontId="5" fillId="2" borderId="0" xfId="3" applyFont="1" applyFill="1"/>
    <xf numFmtId="0" fontId="6" fillId="3" borderId="6" xfId="0" applyFont="1" applyFill="1" applyBorder="1" applyAlignment="1">
      <alignment horizontal="center"/>
    </xf>
    <xf numFmtId="0" fontId="5" fillId="3" borderId="0" xfId="0" applyFont="1" applyFill="1"/>
    <xf numFmtId="9" fontId="5" fillId="3" borderId="0" xfId="3" applyFont="1" applyFill="1"/>
    <xf numFmtId="0" fontId="6" fillId="4" borderId="6" xfId="0" applyFont="1" applyFill="1" applyBorder="1" applyAlignment="1">
      <alignment horizontal="center"/>
    </xf>
    <xf numFmtId="0" fontId="5" fillId="4" borderId="0" xfId="0" applyFont="1" applyFill="1"/>
    <xf numFmtId="9" fontId="5" fillId="4" borderId="0" xfId="3" applyFont="1" applyFill="1"/>
    <xf numFmtId="0" fontId="8" fillId="0" borderId="7" xfId="0" applyFont="1" applyBorder="1"/>
    <xf numFmtId="0" fontId="3" fillId="0" borderId="3" xfId="0" applyFont="1" applyBorder="1"/>
    <xf numFmtId="9" fontId="3" fillId="0" borderId="0" xfId="3" applyFont="1"/>
    <xf numFmtId="166" fontId="3" fillId="0" borderId="0" xfId="3" applyNumberFormat="1" applyFont="1"/>
    <xf numFmtId="167" fontId="5" fillId="0" borderId="0" xfId="1" applyNumberFormat="1" applyFont="1"/>
    <xf numFmtId="167" fontId="3" fillId="0" borderId="0" xfId="1" applyNumberFormat="1" applyFont="1"/>
    <xf numFmtId="168" fontId="3" fillId="0" borderId="0" xfId="1" applyNumberFormat="1" applyFont="1"/>
    <xf numFmtId="0" fontId="6" fillId="0" borderId="1" xfId="0" applyFont="1" applyBorder="1" applyAlignment="1">
      <alignment horizontal="left" indent="1"/>
    </xf>
    <xf numFmtId="0" fontId="2" fillId="0" borderId="3" xfId="0" applyFont="1" applyBorder="1"/>
    <xf numFmtId="165" fontId="2" fillId="0" borderId="0" xfId="1" applyNumberFormat="1" applyFont="1"/>
    <xf numFmtId="168" fontId="2" fillId="0" borderId="0" xfId="1" applyNumberFormat="1" applyFont="1"/>
    <xf numFmtId="0" fontId="2" fillId="0" borderId="3" xfId="0" applyFont="1" applyBorder="1" applyAlignment="1">
      <alignment horizontal="left" indent="1"/>
    </xf>
    <xf numFmtId="165" fontId="5" fillId="0" borderId="0" xfId="1" applyNumberFormat="1" applyFont="1" applyBorder="1"/>
    <xf numFmtId="165" fontId="2" fillId="0" borderId="0" xfId="1" applyNumberFormat="1" applyFont="1" applyBorder="1"/>
    <xf numFmtId="168" fontId="2" fillId="0" borderId="0" xfId="1" applyNumberFormat="1" applyFont="1" applyBorder="1"/>
    <xf numFmtId="9" fontId="5" fillId="0" borderId="0" xfId="3" applyFont="1" applyBorder="1"/>
    <xf numFmtId="165" fontId="1" fillId="0" borderId="0" xfId="1" applyNumberFormat="1" applyFont="1"/>
    <xf numFmtId="165" fontId="1" fillId="0" borderId="0" xfId="1" applyNumberFormat="1" applyFont="1" applyBorder="1"/>
    <xf numFmtId="10" fontId="3" fillId="0" borderId="0" xfId="3" applyNumberFormat="1" applyFont="1"/>
    <xf numFmtId="169" fontId="3" fillId="0" borderId="0" xfId="3" applyNumberFormat="1" applyFont="1"/>
    <xf numFmtId="169" fontId="1" fillId="0" borderId="0" xfId="1" applyNumberFormat="1" applyFont="1"/>
    <xf numFmtId="0" fontId="1" fillId="0" borderId="3" xfId="0" applyFont="1" applyBorder="1"/>
    <xf numFmtId="0" fontId="6" fillId="0" borderId="8" xfId="0" applyFont="1" applyBorder="1"/>
    <xf numFmtId="165" fontId="6" fillId="0" borderId="9" xfId="1" applyNumberFormat="1" applyFont="1" applyBorder="1"/>
    <xf numFmtId="165" fontId="1" fillId="0" borderId="2" xfId="1" applyNumberFormat="1" applyFont="1" applyBorder="1"/>
    <xf numFmtId="0" fontId="1" fillId="0" borderId="5" xfId="0" applyFont="1" applyBorder="1"/>
    <xf numFmtId="44" fontId="1" fillId="0" borderId="0" xfId="2" applyFont="1"/>
    <xf numFmtId="166" fontId="5" fillId="2" borderId="0" xfId="3" applyNumberFormat="1" applyFont="1" applyFill="1"/>
    <xf numFmtId="166" fontId="5" fillId="3" borderId="0" xfId="3" applyNumberFormat="1" applyFont="1" applyFill="1"/>
    <xf numFmtId="166" fontId="5" fillId="4" borderId="0" xfId="3" applyNumberFormat="1" applyFont="1" applyFill="1"/>
    <xf numFmtId="166" fontId="6" fillId="2" borderId="1" xfId="3" applyNumberFormat="1" applyFont="1" applyFill="1" applyBorder="1"/>
    <xf numFmtId="166" fontId="6" fillId="3" borderId="1" xfId="3" applyNumberFormat="1" applyFont="1" applyFill="1" applyBorder="1"/>
    <xf numFmtId="166" fontId="6" fillId="4" borderId="1" xfId="3" applyNumberFormat="1" applyFont="1" applyFill="1" applyBorder="1"/>
    <xf numFmtId="166" fontId="7" fillId="5" borderId="0" xfId="3" applyNumberFormat="1" applyFont="1" applyFill="1"/>
    <xf numFmtId="166" fontId="7" fillId="5" borderId="1" xfId="3" applyNumberFormat="1" applyFont="1" applyFill="1" applyBorder="1"/>
    <xf numFmtId="166" fontId="1" fillId="3" borderId="0" xfId="3" applyNumberFormat="1" applyFont="1" applyFill="1"/>
    <xf numFmtId="0" fontId="9" fillId="0" borderId="0" xfId="0" applyFont="1"/>
    <xf numFmtId="0" fontId="10" fillId="0" borderId="0" xfId="0" applyFont="1"/>
    <xf numFmtId="0" fontId="11" fillId="0" borderId="0" xfId="0" applyFont="1"/>
    <xf numFmtId="0" fontId="10" fillId="0" borderId="0" xfId="0" applyFont="1" applyAlignment="1">
      <alignment horizontal="center"/>
    </xf>
    <xf numFmtId="0" fontId="12" fillId="0" borderId="0" xfId="0" applyFont="1"/>
    <xf numFmtId="0" fontId="13" fillId="0" borderId="0" xfId="0" applyFont="1"/>
    <xf numFmtId="0" fontId="14" fillId="0" borderId="0" xfId="0" applyFont="1" applyAlignment="1">
      <alignment horizontal="right"/>
    </xf>
    <xf numFmtId="10" fontId="10" fillId="0" borderId="0" xfId="3" applyNumberFormat="1" applyFont="1"/>
    <xf numFmtId="170" fontId="10" fillId="0" borderId="0" xfId="0" applyNumberFormat="1" applyFont="1"/>
    <xf numFmtId="2" fontId="10" fillId="0" borderId="0" xfId="0" applyNumberFormat="1" applyFont="1"/>
    <xf numFmtId="0" fontId="10" fillId="0" borderId="0" xfId="0" applyFont="1" applyAlignment="1">
      <alignment horizontal="right"/>
    </xf>
  </cellXfs>
  <cellStyles count="4">
    <cellStyle name="Comma" xfId="1" builtinId="3"/>
    <cellStyle name="Currency" xfId="2" builtinId="4"/>
    <cellStyle name="Normal" xfId="0" builtinId="0"/>
    <cellStyle name="Percent" xfId="3" builtinId="5"/>
  </cellStyles>
  <dxfs count="27">
    <dxf>
      <font>
        <b val="0"/>
        <i val="0"/>
        <strike val="0"/>
        <condense val="0"/>
        <extend val="0"/>
        <outline val="0"/>
        <shadow val="0"/>
        <u val="none"/>
        <vertAlign val="baseline"/>
        <sz val="10"/>
        <color theme="1"/>
        <name val="Arial"/>
        <family val="2"/>
        <scheme val="none"/>
      </font>
      <numFmt numFmtId="165" formatCode="_(* #,##0_);_(* \(#,##0\);_(* &quot;-&quot;??_);_(@_)"/>
    </dxf>
    <dxf>
      <font>
        <b val="0"/>
        <i val="0"/>
        <strike val="0"/>
        <condense val="0"/>
        <extend val="0"/>
        <outline val="0"/>
        <shadow val="0"/>
        <u val="none"/>
        <vertAlign val="baseline"/>
        <sz val="10"/>
        <color theme="1"/>
        <name val="Arial"/>
        <family val="2"/>
        <scheme val="none"/>
      </font>
      <numFmt numFmtId="165" formatCode="_(* #,##0_);_(* \(#,##0\);_(* &quot;-&quot;??_);_(@_)"/>
    </dxf>
    <dxf>
      <font>
        <b val="0"/>
        <i val="0"/>
        <strike val="0"/>
        <condense val="0"/>
        <extend val="0"/>
        <outline val="0"/>
        <shadow val="0"/>
        <u val="none"/>
        <vertAlign val="baseline"/>
        <sz val="10"/>
        <color theme="1"/>
        <name val="Arial"/>
        <family val="2"/>
        <scheme val="none"/>
      </font>
      <numFmt numFmtId="165" formatCode="_(* #,##0_);_(* \(#,##0\);_(* &quot;-&quot;??_);_(@_)"/>
    </dxf>
    <dxf>
      <font>
        <b val="0"/>
        <i val="0"/>
        <strike val="0"/>
        <condense val="0"/>
        <extend val="0"/>
        <outline val="0"/>
        <shadow val="0"/>
        <u val="none"/>
        <vertAlign val="baseline"/>
        <sz val="10"/>
        <color theme="1"/>
        <name val="Arial"/>
        <family val="2"/>
        <scheme val="none"/>
      </font>
      <numFmt numFmtId="165" formatCode="_(* #,##0_);_(* \(#,##0\);_(* &quot;-&quot;??_);_(@_)"/>
    </dxf>
    <dxf>
      <font>
        <b val="0"/>
        <i val="0"/>
        <strike val="0"/>
        <condense val="0"/>
        <extend val="0"/>
        <outline val="0"/>
        <shadow val="0"/>
        <u val="none"/>
        <vertAlign val="baseline"/>
        <sz val="10"/>
        <color theme="1"/>
        <name val="Arial"/>
        <family val="2"/>
        <scheme val="none"/>
      </font>
      <numFmt numFmtId="165" formatCode="_(* #,##0_);_(* \(#,##0\);_(* &quot;-&quot;??_);_(@_)"/>
    </dxf>
    <dxf>
      <font>
        <b val="0"/>
        <i val="0"/>
        <strike val="0"/>
        <condense val="0"/>
        <extend val="0"/>
        <outline val="0"/>
        <shadow val="0"/>
        <u val="none"/>
        <vertAlign val="baseline"/>
        <sz val="10"/>
        <color theme="1"/>
        <name val="Arial"/>
        <family val="2"/>
        <scheme val="none"/>
      </font>
      <numFmt numFmtId="165" formatCode="_(* #,##0_);_(* \(#,##0\);_(* &quot;-&quot;??_);_(@_)"/>
    </dxf>
    <dxf>
      <font>
        <b val="0"/>
        <i val="0"/>
        <strike val="0"/>
        <condense val="0"/>
        <extend val="0"/>
        <outline val="0"/>
        <shadow val="0"/>
        <u val="none"/>
        <vertAlign val="baseline"/>
        <sz val="10"/>
        <color theme="1"/>
        <name val="Arial"/>
        <family val="2"/>
        <scheme val="none"/>
      </font>
      <numFmt numFmtId="165" formatCode="_(* #,##0_);_(* \(#,##0\);_(* &quot;-&quot;??_);_(@_)"/>
    </dxf>
    <dxf>
      <font>
        <b val="0"/>
        <i val="0"/>
        <strike val="0"/>
        <condense val="0"/>
        <extend val="0"/>
        <outline val="0"/>
        <shadow val="0"/>
        <u val="none"/>
        <vertAlign val="baseline"/>
        <sz val="10"/>
        <color theme="1"/>
        <name val="Arial"/>
        <family val="2"/>
        <scheme val="none"/>
      </font>
      <border diagonalUp="0" diagonalDown="0">
        <left/>
        <right style="thin">
          <color indexed="64"/>
        </right>
        <top/>
        <bottom/>
        <vertical/>
        <horizontal/>
      </border>
    </dxf>
    <dxf>
      <font>
        <b val="0"/>
        <i val="0"/>
        <strike val="0"/>
        <condense val="0"/>
        <extend val="0"/>
        <outline val="0"/>
        <shadow val="0"/>
        <u val="none"/>
        <vertAlign val="baseline"/>
        <sz val="10"/>
        <color theme="1"/>
        <name val="Arial"/>
        <family val="2"/>
        <scheme val="none"/>
      </font>
    </dxf>
    <dxf>
      <border outline="0">
        <bottom style="thin">
          <color indexed="64"/>
        </bottom>
      </border>
    </dxf>
    <dxf>
      <font>
        <b/>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5" formatCode="_(* #,##0_);_(* \(#,##0\);_(* &quot;-&quot;??_);_(@_)"/>
    </dxf>
    <dxf>
      <font>
        <b val="0"/>
        <i val="0"/>
        <strike val="0"/>
        <condense val="0"/>
        <extend val="0"/>
        <outline val="0"/>
        <shadow val="0"/>
        <u val="none"/>
        <vertAlign val="baseline"/>
        <sz val="10"/>
        <color theme="1"/>
        <name val="Arial"/>
        <family val="2"/>
        <scheme val="none"/>
      </font>
      <numFmt numFmtId="165" formatCode="_(* #,##0_);_(* \(#,##0\);_(* &quot;-&quot;??_);_(@_)"/>
    </dxf>
    <dxf>
      <font>
        <b val="0"/>
        <i val="0"/>
        <strike val="0"/>
        <condense val="0"/>
        <extend val="0"/>
        <outline val="0"/>
        <shadow val="0"/>
        <u val="none"/>
        <vertAlign val="baseline"/>
        <sz val="10"/>
        <color theme="1"/>
        <name val="Arial"/>
        <family val="2"/>
        <scheme val="none"/>
      </font>
      <numFmt numFmtId="165" formatCode="_(* #,##0_);_(* \(#,##0\);_(* &quot;-&quot;??_);_(@_)"/>
    </dxf>
    <dxf>
      <font>
        <b val="0"/>
        <i val="0"/>
        <strike val="0"/>
        <condense val="0"/>
        <extend val="0"/>
        <outline val="0"/>
        <shadow val="0"/>
        <u val="none"/>
        <vertAlign val="baseline"/>
        <sz val="10"/>
        <color theme="1"/>
        <name val="Arial"/>
        <family val="2"/>
        <scheme val="none"/>
      </font>
      <numFmt numFmtId="165" formatCode="_(* #,##0_);_(* \(#,##0\);_(* &quot;-&quot;??_);_(@_)"/>
    </dxf>
    <dxf>
      <font>
        <b val="0"/>
        <i val="0"/>
        <strike val="0"/>
        <condense val="0"/>
        <extend val="0"/>
        <outline val="0"/>
        <shadow val="0"/>
        <u val="none"/>
        <vertAlign val="baseline"/>
        <sz val="10"/>
        <color theme="1"/>
        <name val="Arial"/>
        <family val="2"/>
        <scheme val="none"/>
      </font>
      <numFmt numFmtId="165" formatCode="_(* #,##0_);_(* \(#,##0\);_(* &quot;-&quot;??_);_(@_)"/>
    </dxf>
    <dxf>
      <font>
        <b val="0"/>
        <i val="0"/>
        <strike val="0"/>
        <condense val="0"/>
        <extend val="0"/>
        <outline val="0"/>
        <shadow val="0"/>
        <u val="none"/>
        <vertAlign val="baseline"/>
        <sz val="10"/>
        <color theme="1"/>
        <name val="Arial"/>
        <family val="2"/>
        <scheme val="none"/>
      </font>
      <numFmt numFmtId="165" formatCode="_(* #,##0_);_(* \(#,##0\);_(* &quot;-&quot;??_);_(@_)"/>
    </dxf>
    <dxf>
      <font>
        <b val="0"/>
        <i val="0"/>
        <strike val="0"/>
        <condense val="0"/>
        <extend val="0"/>
        <outline val="0"/>
        <shadow val="0"/>
        <u val="none"/>
        <vertAlign val="baseline"/>
        <sz val="10"/>
        <color theme="1"/>
        <name val="Arial"/>
        <family val="2"/>
        <scheme val="none"/>
      </font>
      <numFmt numFmtId="165" formatCode="_(* #,##0_);_(* \(#,##0\);_(* &quot;-&quot;??_);_(@_)"/>
    </dxf>
    <dxf>
      <font>
        <b val="0"/>
        <i val="0"/>
        <strike val="0"/>
        <condense val="0"/>
        <extend val="0"/>
        <outline val="0"/>
        <shadow val="0"/>
        <u val="none"/>
        <vertAlign val="baseline"/>
        <sz val="10"/>
        <color theme="1"/>
        <name val="Arial"/>
        <family val="2"/>
        <scheme val="none"/>
      </font>
      <border diagonalUp="0" diagonalDown="0">
        <left/>
        <right style="thin">
          <color indexed="64"/>
        </right>
        <top/>
        <bottom/>
        <vertical/>
        <horizontal/>
      </border>
    </dxf>
    <dxf>
      <font>
        <b val="0"/>
        <i val="0"/>
        <strike val="0"/>
        <condense val="0"/>
        <extend val="0"/>
        <outline val="0"/>
        <shadow val="0"/>
        <u val="none"/>
        <vertAlign val="baseline"/>
        <sz val="10"/>
        <color theme="1"/>
        <name val="Arial"/>
        <family val="2"/>
        <scheme val="none"/>
      </font>
    </dxf>
    <dxf>
      <border outline="0">
        <bottom style="thin">
          <color indexed="64"/>
        </bottom>
      </border>
    </dxf>
    <dxf>
      <font>
        <b/>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s>
  <tableStyles count="0" defaultTableStyle="TableStyleMedium2" defaultPivotStyle="PivotStyleLight16"/>
  <colors>
    <mruColors>
      <color rgb="FF94DC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Structure" Target="richData/rdrichvaluestructure.xml"/><Relationship Id="rId13" Type="http://schemas.openxmlformats.org/officeDocument/2006/relationships/calcChain" Target="calcChain.xml"/><Relationship Id="rId3" Type="http://schemas.openxmlformats.org/officeDocument/2006/relationships/theme" Target="theme/theme1.xml"/><Relationship Id="rId7" Type="http://schemas.microsoft.com/office/2017/06/relationships/rdRichValue" Target="richData/rdrichvalue.xml"/><Relationship Id="rId12"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sheetMetadata" Target="metadata.xml"/><Relationship Id="rId11" Type="http://schemas.microsoft.com/office/2017/06/relationships/rdSupportingPropertyBag" Target="richData/rdsupportingpropertybag.xml"/><Relationship Id="rId5" Type="http://schemas.openxmlformats.org/officeDocument/2006/relationships/sharedStrings" Target="sharedStrings.xml"/><Relationship Id="rId15" Type="http://schemas.openxmlformats.org/officeDocument/2006/relationships/customXml" Target="../customXml/item2.xml"/><Relationship Id="rId10" Type="http://schemas.microsoft.com/office/2017/06/relationships/rdSupportingPropertyBagStructure" Target="richData/rdsupportingpropertybagstructure.xml"/><Relationship Id="rId4" Type="http://schemas.openxmlformats.org/officeDocument/2006/relationships/styles" Target="styles.xml"/><Relationship Id="rId9" Type="http://schemas.microsoft.com/office/2017/06/relationships/richStyles" Target="richData/richStyles.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180976</xdr:colOff>
      <xdr:row>0</xdr:row>
      <xdr:rowOff>92287</xdr:rowOff>
    </xdr:from>
    <xdr:to>
      <xdr:col>8</xdr:col>
      <xdr:colOff>657225</xdr:colOff>
      <xdr:row>5</xdr:row>
      <xdr:rowOff>114298</xdr:rowOff>
    </xdr:to>
    <xdr:pic>
      <xdr:nvPicPr>
        <xdr:cNvPr id="2" name="Picture 1">
          <a:extLst>
            <a:ext uri="{FF2B5EF4-FFF2-40B4-BE49-F238E27FC236}">
              <a16:creationId xmlns:a16="http://schemas.microsoft.com/office/drawing/2014/main" id="{38DC44F0-B790-836E-27F5-B30A7AF1AA8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00501" y="92287"/>
          <a:ext cx="3295649" cy="831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https://www.bing.com/financeapi/forcetrigger?t=a1nda2&amp;q=XNAS%3aAMAT&amp;form=skydnc</v>
    <v>Learn more on Bing</v>
  </rv>
  <rv s="1">
    <v>en-US</v>
    <v>a1nda2</v>
    <v>268435456</v>
    <v>1</v>
    <v>Powered by Refinitiv</v>
    <v>0</v>
    <v>APPLIED MATERIALS, INC. (XNAS:AMAT)</v>
    <v>2</v>
    <v>3</v>
    <v>Finance</v>
    <v>4</v>
    <v>708.99</v>
    <v>154.465</v>
    <v>1.5324</v>
    <v>67.8</v>
    <v>5.1869999999999998E-4</v>
    <v>0.10816200000000001</v>
    <v>0.36030000000000001</v>
    <v>USD</v>
    <v>Applied Materials, Inc. is a materials engineering solution company. The Company provides equipment, services and software to the semiconductor, display, and related industries. It operates through two segments: Semiconductor Systems and Applied Global Services (AGS). The Semiconductor Systems segment includes semiconductor capital equipment to enable materials engineering steps including etch, rapid thermal processing, deposition, chemical mechanical planarization, metrology and inspection, wafer packaging, and ion implantation. The AGS segment provides integrated solutions to optimize equipment and fab performance and productivity, including services, spares and factory automation software for semiconductor and other products. Its products include personal computing devices, mobile phones, artificial intelligence (AI) and data center servers, automobiles, connected devices, industrial applications and consumer electronics.</v>
    <v>36400</v>
    <v>Nasdaq Stock Market</v>
    <v>XNAS</v>
    <v>XNAS</v>
    <v>3050 Bowers Avenue, P.O. Box 58039, SANTA CLARA, CA, 95054-3299 US</v>
    <v>708.99</v>
    <v>Semiconductors &amp; Semiconductor Equipment</v>
    <v>Stock</v>
    <v>46202.906838274997</v>
    <v>0</v>
    <v>632.11</v>
    <v>551515957616</v>
    <v>APPLIED MATERIALS, INC.</v>
    <v>APPLIED MATERIALS, INC.</v>
    <v>635.42999999999995</v>
    <v>65.285700000000006</v>
    <v>626.84</v>
    <v>694.64</v>
    <v>695.00030000000004</v>
    <v>793959400</v>
    <v>AMAT</v>
    <v>APPLIED MATERIALS, INC. (XNAS:AMAT)</v>
    <v>14132931</v>
    <v>10578076</v>
    <v>1987</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CA56694-397A-44B5-B398-5E169FF984AB}" name="Table2" displayName="Table2" ref="N8:U47" totalsRowShown="0" headerRowDxfId="21" dataDxfId="19" headerRowBorderDxfId="20" dataCellStyle="Comma">
  <autoFilter ref="N8:U47" xr:uid="{6CA56694-397A-44B5-B398-5E169FF984AB}"/>
  <tableColumns count="8">
    <tableColumn id="1" xr3:uid="{72848230-827F-4F61-BBF2-F3C1952621A1}" name="." dataDxfId="18"/>
    <tableColumn id="2" xr3:uid="{0855C177-1117-4FE8-BCAE-7AB0FF03FC95}" name="2019" dataDxfId="17" dataCellStyle="Comma"/>
    <tableColumn id="3" xr3:uid="{F4D6C163-CA80-4518-9DD7-90009A8215B9}" name="2020" dataDxfId="16" dataCellStyle="Comma"/>
    <tableColumn id="4" xr3:uid="{FD8F868F-9DDF-43EE-A391-0A8BC5EA59A1}" name="2021" dataDxfId="15" dataCellStyle="Comma"/>
    <tableColumn id="5" xr3:uid="{909DFBDD-2075-45EC-B676-16F2701FFA1D}" name="2022" dataDxfId="14" dataCellStyle="Comma"/>
    <tableColumn id="6" xr3:uid="{56EF1101-6584-4261-A65E-AA84B0B066A6}" name="2023" dataDxfId="13" dataCellStyle="Comma"/>
    <tableColumn id="7" xr3:uid="{E4E16E9D-D3B1-4CEF-9CE6-8043EB208A86}" name="2024" dataDxfId="12" dataCellStyle="Comma"/>
    <tableColumn id="8" xr3:uid="{5313C4B6-E866-4538-B148-194799DE03FF}" name="2025" dataDxfId="11" dataCellStyle="Comm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81359F7-5C76-42D8-91B6-A322F58481B1}" name="Table3" displayName="Table3" ref="B8:I43" totalsRowShown="0" headerRowDxfId="10" dataDxfId="8" headerRowBorderDxfId="9" dataCellStyle="Comma">
  <autoFilter ref="B8:I43" xr:uid="{D81359F7-5C76-42D8-91B6-A322F58481B1}"/>
  <tableColumns count="8">
    <tableColumn id="1" xr3:uid="{B68AB48A-76DC-4E4E-8285-A21D174446A6}" name="." dataDxfId="7"/>
    <tableColumn id="2" xr3:uid="{85B58248-7179-4C0F-A3F5-A38BFD14EEEB}" name="2019" dataDxfId="6" dataCellStyle="Comma"/>
    <tableColumn id="3" xr3:uid="{53A8A289-AE07-4DD3-B5DE-07CE6289B1F4}" name="2020" dataDxfId="5" dataCellStyle="Comma"/>
    <tableColumn id="4" xr3:uid="{89E98365-0CE8-4633-9808-08A1D0D3AEC3}" name="2021" dataDxfId="4" dataCellStyle="Comma"/>
    <tableColumn id="5" xr3:uid="{E2FCC591-3487-4FA9-9F8D-E2DBC84E7FE8}" name="2022" dataDxfId="3" dataCellStyle="Comma"/>
    <tableColumn id="6" xr3:uid="{9A3CBB7D-197D-4319-822C-FC3A412197FB}" name="2023" dataDxfId="2" dataCellStyle="Comma"/>
    <tableColumn id="7" xr3:uid="{77A51089-42EC-4FC4-AC5E-5D24345E2BB1}" name="2024" dataDxfId="1" dataCellStyle="Comma"/>
    <tableColumn id="8" xr3:uid="{2077FA2C-46E8-48E7-B051-D75A7DFC3FDC}" name="2025" dataDxfId="0" dataCellStyle="Comma"/>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B976675-558B-4E8B-8D3E-57CF67E81F8A}" name="Table810" displayName="Table810" ref="B5:D13" totalsRowShown="0" headerRowDxfId="26" dataDxfId="25">
  <autoFilter ref="B5:D13" xr:uid="{AB976675-558B-4E8B-8D3E-57CF67E81F8A}">
    <filterColumn colId="0" hiddenButton="1"/>
    <filterColumn colId="1" hiddenButton="1"/>
    <filterColumn colId="2" hiddenButton="1"/>
  </autoFilter>
  <tableColumns count="3">
    <tableColumn id="1" xr3:uid="{A71AB9F8-8CC3-47AE-AC47-E473B3A025B8}" name="Screening Score" dataDxfId="24"/>
    <tableColumn id="2" xr3:uid="{D6F54908-D513-49F5-9F10-4470823A6927}" name="Column1" dataDxfId="23"/>
    <tableColumn id="3" xr3:uid="{54C62E52-FAFF-4669-A177-CD41ADE73F9D}" name="2025" dataDxfId="2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8B530-077D-420A-A06C-ED7473FD9A6E}">
  <sheetPr>
    <pageSetUpPr fitToPage="1"/>
  </sheetPr>
  <dimension ref="A1:X48"/>
  <sheetViews>
    <sheetView tabSelected="1" zoomScale="115" zoomScaleNormal="115" workbookViewId="0">
      <selection activeCell="O46" sqref="O46"/>
    </sheetView>
  </sheetViews>
  <sheetFormatPr defaultColWidth="10.5703125" defaultRowHeight="12.75" x14ac:dyDescent="0.2"/>
  <cols>
    <col min="1" max="1" width="10.5703125" style="1"/>
    <col min="2" max="2" width="25.5703125" style="1" customWidth="1"/>
    <col min="3" max="3" width="10.5703125" style="38" customWidth="1"/>
    <col min="4" max="9" width="10.5703125" style="38"/>
    <col min="10" max="12" width="10.5703125" style="1"/>
    <col min="13" max="13" width="5.5703125" style="1" customWidth="1"/>
    <col min="14" max="14" width="25.5703125" style="1" customWidth="1"/>
    <col min="15" max="21" width="10.5703125" style="38"/>
    <col min="22" max="16384" width="10.5703125" style="1"/>
  </cols>
  <sheetData>
    <row r="1" spans="2:24" x14ac:dyDescent="0.2">
      <c r="C1" s="1"/>
      <c r="D1" s="1"/>
      <c r="E1" s="1"/>
      <c r="F1" s="1"/>
      <c r="G1" s="1"/>
      <c r="H1" s="1"/>
      <c r="I1" s="1"/>
      <c r="O1" s="1"/>
      <c r="P1" s="1"/>
      <c r="Q1" s="1"/>
      <c r="R1" s="1"/>
      <c r="S1" s="1"/>
      <c r="T1" s="1"/>
      <c r="U1" s="1"/>
    </row>
    <row r="2" spans="2:24" x14ac:dyDescent="0.2">
      <c r="C2" s="1"/>
      <c r="D2" s="1"/>
      <c r="E2" s="1"/>
      <c r="F2" s="1"/>
      <c r="G2" s="1"/>
      <c r="H2" s="1"/>
      <c r="I2" s="1"/>
      <c r="O2" s="1"/>
      <c r="P2" s="1"/>
      <c r="Q2" s="1"/>
      <c r="R2" s="1"/>
      <c r="S2" s="1"/>
      <c r="T2" s="1"/>
      <c r="U2" s="1"/>
    </row>
    <row r="3" spans="2:24" x14ac:dyDescent="0.2">
      <c r="B3" s="1" t="e" vm="1">
        <v>#VALUE!</v>
      </c>
      <c r="C3" s="1"/>
      <c r="D3" s="1"/>
      <c r="E3" s="1"/>
      <c r="F3" s="1"/>
      <c r="G3" s="1"/>
      <c r="H3" s="1"/>
      <c r="I3" s="1"/>
      <c r="O3" s="1"/>
      <c r="P3" s="1"/>
      <c r="Q3" s="1"/>
      <c r="R3" s="1"/>
      <c r="S3" s="1"/>
      <c r="T3" s="1"/>
      <c r="U3" s="1"/>
    </row>
    <row r="4" spans="2:24" x14ac:dyDescent="0.2">
      <c r="B4" s="1" t="s">
        <v>0</v>
      </c>
      <c r="C4" s="2" cm="1">
        <f t="array" aca="1" ref="C4" ca="1">_FV(B3,"Price")</f>
        <v>694.64</v>
      </c>
      <c r="D4" s="1"/>
      <c r="E4" s="1"/>
      <c r="F4" s="1"/>
      <c r="G4" s="1"/>
      <c r="H4" s="1"/>
      <c r="I4" s="1"/>
      <c r="O4" s="1"/>
      <c r="P4" s="1"/>
      <c r="Q4" s="1"/>
      <c r="R4" s="1"/>
      <c r="S4" s="1"/>
      <c r="T4" s="1"/>
      <c r="U4" s="1"/>
    </row>
    <row r="5" spans="2:24" x14ac:dyDescent="0.2">
      <c r="B5" s="1" t="s">
        <v>1</v>
      </c>
      <c r="C5" s="3">
        <v>812.7</v>
      </c>
      <c r="D5" s="1"/>
      <c r="E5" s="1"/>
      <c r="F5" s="1"/>
      <c r="G5" s="1"/>
      <c r="H5" s="1"/>
      <c r="I5" s="1"/>
      <c r="O5" s="1"/>
      <c r="P5" s="1"/>
      <c r="Q5" s="1"/>
      <c r="R5" s="1"/>
      <c r="S5" s="1"/>
      <c r="T5" s="1"/>
      <c r="U5" s="1"/>
    </row>
    <row r="6" spans="2:24" x14ac:dyDescent="0.2">
      <c r="B6" s="1" t="s">
        <v>2</v>
      </c>
      <c r="C6" s="3">
        <f ca="1">C4*C5</f>
        <v>564533.92800000007</v>
      </c>
      <c r="D6" s="1"/>
      <c r="E6" s="1"/>
      <c r="F6" s="1"/>
      <c r="G6" s="1"/>
      <c r="H6" s="1"/>
      <c r="I6" s="1"/>
      <c r="O6" s="1"/>
      <c r="P6" s="1"/>
      <c r="Q6" s="1"/>
      <c r="R6" s="1"/>
      <c r="S6" s="1"/>
      <c r="T6" s="1"/>
      <c r="U6" s="1"/>
    </row>
    <row r="7" spans="2:24" x14ac:dyDescent="0.2">
      <c r="C7" s="1"/>
      <c r="D7" s="1"/>
      <c r="E7" s="1"/>
      <c r="F7" s="1"/>
      <c r="G7" s="1"/>
      <c r="H7" s="1"/>
      <c r="I7" s="1"/>
      <c r="O7" s="1"/>
      <c r="P7" s="1"/>
      <c r="Q7" s="1"/>
      <c r="R7" s="1"/>
      <c r="S7" s="1"/>
      <c r="T7" s="1"/>
      <c r="U7" s="1"/>
    </row>
    <row r="8" spans="2:24" x14ac:dyDescent="0.2">
      <c r="B8" s="26" t="s">
        <v>52</v>
      </c>
      <c r="C8" s="14" t="s">
        <v>46</v>
      </c>
      <c r="D8" s="14" t="s">
        <v>47</v>
      </c>
      <c r="E8" s="14" t="s">
        <v>48</v>
      </c>
      <c r="F8" s="14" t="s">
        <v>49</v>
      </c>
      <c r="G8" s="14" t="s">
        <v>50</v>
      </c>
      <c r="H8" s="14" t="s">
        <v>51</v>
      </c>
      <c r="I8" s="14" t="s">
        <v>66</v>
      </c>
      <c r="J8" s="17" t="s">
        <v>20</v>
      </c>
      <c r="K8" s="20" t="s">
        <v>21</v>
      </c>
      <c r="L8" s="23" t="s">
        <v>71</v>
      </c>
      <c r="N8" s="26" t="s">
        <v>52</v>
      </c>
      <c r="O8" s="14" t="s">
        <v>46</v>
      </c>
      <c r="P8" s="14" t="s">
        <v>47</v>
      </c>
      <c r="Q8" s="14" t="s">
        <v>48</v>
      </c>
      <c r="R8" s="14" t="s">
        <v>49</v>
      </c>
      <c r="S8" s="14" t="s">
        <v>50</v>
      </c>
      <c r="T8" s="14" t="s">
        <v>51</v>
      </c>
      <c r="U8" s="14" t="s">
        <v>66</v>
      </c>
      <c r="V8" s="17" t="s">
        <v>20</v>
      </c>
      <c r="W8" s="20" t="s">
        <v>21</v>
      </c>
      <c r="X8" s="23" t="s">
        <v>71</v>
      </c>
    </row>
    <row r="9" spans="2:24" x14ac:dyDescent="0.2">
      <c r="B9" s="10" t="s">
        <v>3</v>
      </c>
      <c r="C9" s="3"/>
      <c r="D9" s="3"/>
      <c r="E9" s="3"/>
      <c r="F9" s="3"/>
      <c r="G9" s="30"/>
      <c r="H9" s="3"/>
      <c r="I9" s="42"/>
      <c r="J9" s="18"/>
      <c r="K9" s="21"/>
      <c r="L9" s="24"/>
      <c r="N9" s="12" t="s">
        <v>22</v>
      </c>
      <c r="O9" s="3"/>
      <c r="P9" s="3"/>
      <c r="Q9" s="3"/>
      <c r="R9" s="3"/>
      <c r="S9" s="3"/>
      <c r="T9" s="3"/>
      <c r="U9" s="42"/>
      <c r="V9" s="18"/>
      <c r="W9" s="21"/>
      <c r="X9" s="24"/>
    </row>
    <row r="10" spans="2:24" x14ac:dyDescent="0.2">
      <c r="B10" s="9" t="s">
        <v>4</v>
      </c>
      <c r="C10" s="3">
        <v>9027</v>
      </c>
      <c r="D10" s="3">
        <v>11367</v>
      </c>
      <c r="E10" s="3">
        <v>16286</v>
      </c>
      <c r="F10" s="3">
        <v>18797</v>
      </c>
      <c r="G10" s="3">
        <v>19698</v>
      </c>
      <c r="H10" s="3">
        <v>19911</v>
      </c>
      <c r="I10" s="42">
        <v>20798</v>
      </c>
      <c r="J10" s="53">
        <f>LN(Table3[[#This Row],[2025]]/Table3[[#This Row],[2024]])</f>
        <v>4.3584485406143424E-2</v>
      </c>
      <c r="K10" s="54">
        <f>LN(Table3[[#This Row],[2025]]/Table3[[#This Row],[2023]])</f>
        <v>5.433972049053043E-2</v>
      </c>
      <c r="L10" s="59">
        <f>LN(Table3[[#This Row],[2025]]/Table3[[#This Row],[2019]])</f>
        <v>0.8346367419220232</v>
      </c>
      <c r="N10" s="10" t="s">
        <v>23</v>
      </c>
      <c r="O10" s="3"/>
      <c r="P10" s="3"/>
      <c r="Q10" s="3"/>
      <c r="R10" s="3"/>
      <c r="S10" s="3"/>
      <c r="T10" s="3"/>
      <c r="U10" s="42"/>
      <c r="V10" s="19"/>
      <c r="W10" s="22"/>
      <c r="X10" s="25"/>
    </row>
    <row r="11" spans="2:24" x14ac:dyDescent="0.2">
      <c r="B11" s="9" t="s">
        <v>5</v>
      </c>
      <c r="C11" s="3">
        <v>3854</v>
      </c>
      <c r="D11" s="3">
        <v>4155</v>
      </c>
      <c r="E11" s="3">
        <v>5013</v>
      </c>
      <c r="F11" s="3">
        <v>5543</v>
      </c>
      <c r="G11" s="3">
        <v>5732</v>
      </c>
      <c r="H11" s="3">
        <v>6225</v>
      </c>
      <c r="I11" s="42">
        <v>6385</v>
      </c>
      <c r="J11" s="53">
        <f>LN(Table3[[#This Row],[2025]]/Table3[[#This Row],[2024]])</f>
        <v>2.5378047133731353E-2</v>
      </c>
      <c r="K11" s="54">
        <f>LN(Table3[[#This Row],[2025]]/Table3[[#This Row],[2023]])</f>
        <v>0.10788697951857715</v>
      </c>
      <c r="L11" s="59">
        <f>LN(Table3[[#This Row],[2025]]/Table3[[#This Row],[2019]])</f>
        <v>0.50483991949232798</v>
      </c>
      <c r="N11" s="15" t="s">
        <v>24</v>
      </c>
      <c r="O11" s="3">
        <v>3129</v>
      </c>
      <c r="P11" s="3">
        <v>5351</v>
      </c>
      <c r="Q11" s="3">
        <v>4995</v>
      </c>
      <c r="R11" s="3">
        <v>1995</v>
      </c>
      <c r="S11" s="3">
        <v>6132</v>
      </c>
      <c r="T11" s="3">
        <v>8022</v>
      </c>
      <c r="U11" s="42">
        <v>7241</v>
      </c>
      <c r="V11" s="59">
        <f>LN(Table2[[#This Row],[2025]]/Table2[[#This Row],[2024]])</f>
        <v>-0.10242844894117745</v>
      </c>
      <c r="W11" s="54">
        <f>LN(Table2[[#This Row],[2025]]/Table2[[#This Row],[2023]])</f>
        <v>0.16623835739711593</v>
      </c>
      <c r="X11" s="55">
        <f>LN(Table2[[#This Row],[2025]]/Table2[[#This Row],[2019]])</f>
        <v>0.83904585371993856</v>
      </c>
    </row>
    <row r="12" spans="2:24" x14ac:dyDescent="0.2">
      <c r="B12" s="47" t="s">
        <v>67</v>
      </c>
      <c r="C12" s="3">
        <f>1651+76</f>
        <v>1727</v>
      </c>
      <c r="D12" s="3">
        <f>1607+73</f>
        <v>1680</v>
      </c>
      <c r="E12" s="3">
        <f>1634+130</f>
        <v>1764</v>
      </c>
      <c r="F12" s="3">
        <f>1331+114</f>
        <v>1445</v>
      </c>
      <c r="G12" s="3">
        <f>868+219</f>
        <v>1087</v>
      </c>
      <c r="H12" s="3">
        <f>885+155</f>
        <v>1040</v>
      </c>
      <c r="I12" s="42">
        <v>1185</v>
      </c>
      <c r="J12" s="59">
        <f>LN(Table3[[#This Row],[2025]]/Table3[[#This Row],[2024]])</f>
        <v>0.13052206143381317</v>
      </c>
      <c r="K12" s="54">
        <f>LN(Table3[[#This Row],[2025]]/Table3[[#This Row],[2023]])</f>
        <v>8.632116644802211E-2</v>
      </c>
      <c r="L12" s="55">
        <f>LN(Table3[[#This Row],[2025]]/Table3[[#This Row],[2019]])</f>
        <v>-0.37664302457744703</v>
      </c>
      <c r="N12" s="15" t="s">
        <v>25</v>
      </c>
      <c r="O12" s="3">
        <v>489</v>
      </c>
      <c r="P12" s="3">
        <v>387</v>
      </c>
      <c r="Q12" s="3">
        <v>464</v>
      </c>
      <c r="R12" s="3">
        <v>586</v>
      </c>
      <c r="S12" s="3">
        <v>737</v>
      </c>
      <c r="T12" s="3">
        <v>1449</v>
      </c>
      <c r="U12" s="42">
        <v>1332</v>
      </c>
      <c r="V12" s="59">
        <f>LN(Table2[[#This Row],[2025]]/Table2[[#This Row],[2024]])</f>
        <v>-8.4192091220347973E-2</v>
      </c>
      <c r="W12" s="54">
        <f>LN(Table2[[#This Row],[2025]]/Table2[[#This Row],[2023]])</f>
        <v>0.59184895891099787</v>
      </c>
      <c r="X12" s="59">
        <f>LN(Table2[[#This Row],[2025]]/Table2[[#This Row],[2019]])</f>
        <v>1.0020743616254624</v>
      </c>
    </row>
    <row r="13" spans="2:24" ht="13.5" thickBot="1" x14ac:dyDescent="0.25">
      <c r="B13" s="11" t="s">
        <v>6</v>
      </c>
      <c r="C13" s="5">
        <f t="shared" ref="C13:G13" si="0">SUM(C9:C12)</f>
        <v>14608</v>
      </c>
      <c r="D13" s="5">
        <f t="shared" si="0"/>
        <v>17202</v>
      </c>
      <c r="E13" s="5">
        <f t="shared" si="0"/>
        <v>23063</v>
      </c>
      <c r="F13" s="5">
        <f t="shared" si="0"/>
        <v>25785</v>
      </c>
      <c r="G13" s="5">
        <f t="shared" si="0"/>
        <v>26517</v>
      </c>
      <c r="H13" s="5">
        <f>SUM(H9:H12)</f>
        <v>27176</v>
      </c>
      <c r="I13" s="5">
        <f>SUM(I9:I12)</f>
        <v>28368</v>
      </c>
      <c r="J13" s="56">
        <f>LN(Table3[[#This Row],[2025]]/Table3[[#This Row],[2024]])</f>
        <v>4.2927518473569369E-2</v>
      </c>
      <c r="K13" s="57">
        <f>LN(Table3[[#This Row],[2025]]/Table3[[#This Row],[2023]])</f>
        <v>6.7475712584931472E-2</v>
      </c>
      <c r="L13" s="60">
        <f>LN(Table3[[#This Row],[2025]]/Table3[[#This Row],[2019]])</f>
        <v>0.66369242547923946</v>
      </c>
      <c r="N13" s="15" t="s">
        <v>26</v>
      </c>
      <c r="O13" s="3">
        <v>2533</v>
      </c>
      <c r="P13" s="3">
        <v>2963</v>
      </c>
      <c r="Q13" s="3">
        <v>4953</v>
      </c>
      <c r="R13" s="3">
        <v>6068</v>
      </c>
      <c r="S13" s="3">
        <v>5165</v>
      </c>
      <c r="T13" s="3">
        <v>5234</v>
      </c>
      <c r="U13" s="42">
        <v>5185</v>
      </c>
      <c r="V13" s="53">
        <f>LN(Table2[[#This Row],[2025]]/Table2[[#This Row],[2024]])</f>
        <v>-9.4059624264634135E-3</v>
      </c>
      <c r="W13" s="54">
        <f>LN(Table2[[#This Row],[2025]]/Table2[[#This Row],[2023]])</f>
        <v>3.8647391098886943E-3</v>
      </c>
      <c r="X13" s="55">
        <f>LN(Table2[[#This Row],[2025]]/Table2[[#This Row],[2019]])</f>
        <v>0.71636547066195244</v>
      </c>
    </row>
    <row r="14" spans="2:24" x14ac:dyDescent="0.2">
      <c r="B14" s="51" t="s">
        <v>68</v>
      </c>
      <c r="C14" s="50">
        <v>8222</v>
      </c>
      <c r="D14" s="50">
        <v>9510</v>
      </c>
      <c r="E14" s="50">
        <v>12149</v>
      </c>
      <c r="F14" s="50">
        <v>13792</v>
      </c>
      <c r="G14" s="50">
        <v>14133</v>
      </c>
      <c r="H14" s="50">
        <v>14279</v>
      </c>
      <c r="I14" s="43">
        <v>14560</v>
      </c>
      <c r="J14" s="53">
        <f>LN(Table3[[#This Row],[2025]]/Table3[[#This Row],[2024]])</f>
        <v>1.9488116320381815E-2</v>
      </c>
      <c r="K14" s="54">
        <f>LN(Table3[[#This Row],[2025]]/Table3[[#This Row],[2023]])</f>
        <v>2.9765554382526059E-2</v>
      </c>
      <c r="L14" s="55">
        <f>LN(Table3[[#This Row],[2025]]/Table3[[#This Row],[2019]])</f>
        <v>0.57146455429285326</v>
      </c>
      <c r="N14" s="15" t="s">
        <v>27</v>
      </c>
      <c r="O14" s="3">
        <v>3474</v>
      </c>
      <c r="P14" s="3">
        <v>3904</v>
      </c>
      <c r="Q14" s="3">
        <v>4309</v>
      </c>
      <c r="R14" s="3">
        <v>5932</v>
      </c>
      <c r="S14" s="3">
        <v>5725</v>
      </c>
      <c r="T14" s="3">
        <v>5421</v>
      </c>
      <c r="U14" s="42">
        <v>5915</v>
      </c>
      <c r="V14" s="59">
        <f>LN(Table2[[#This Row],[2025]]/Table2[[#This Row],[2024]])</f>
        <v>8.7211197152149061E-2</v>
      </c>
      <c r="W14" s="54">
        <f>LN(Table2[[#This Row],[2025]]/Table2[[#This Row],[2023]])</f>
        <v>3.2648947990046702E-2</v>
      </c>
      <c r="X14" s="55">
        <f>LN(Table2[[#This Row],[2025]]/Table2[[#This Row],[2019]])</f>
        <v>0.53218482961143698</v>
      </c>
    </row>
    <row r="15" spans="2:24" ht="13.5" thickBot="1" x14ac:dyDescent="0.25">
      <c r="B15" s="11" t="s">
        <v>7</v>
      </c>
      <c r="C15" s="5">
        <f t="shared" ref="C15:G15" si="1">C13-C14</f>
        <v>6386</v>
      </c>
      <c r="D15" s="5">
        <f t="shared" si="1"/>
        <v>7692</v>
      </c>
      <c r="E15" s="5">
        <f t="shared" si="1"/>
        <v>10914</v>
      </c>
      <c r="F15" s="5">
        <f t="shared" si="1"/>
        <v>11993</v>
      </c>
      <c r="G15" s="5">
        <f t="shared" si="1"/>
        <v>12384</v>
      </c>
      <c r="H15" s="5">
        <f>H13-H14</f>
        <v>12897</v>
      </c>
      <c r="I15" s="5">
        <f>I13-I14</f>
        <v>13808</v>
      </c>
      <c r="J15" s="60">
        <f>LN(Table3[[#This Row],[2025]]/Table3[[#This Row],[2024]])</f>
        <v>6.8253408158818002E-2</v>
      </c>
      <c r="K15" s="57">
        <f>LN(Table3[[#This Row],[2025]]/Table3[[#This Row],[2023]])</f>
        <v>0.10884281749370088</v>
      </c>
      <c r="L15" s="60">
        <f>LN(Table3[[#This Row],[2025]]/Table3[[#This Row],[2019]])</f>
        <v>0.7711400400484818</v>
      </c>
      <c r="N15" s="15" t="s">
        <v>28</v>
      </c>
      <c r="O15" s="3">
        <v>581</v>
      </c>
      <c r="P15" s="3">
        <v>764</v>
      </c>
      <c r="Q15" s="3">
        <v>1386</v>
      </c>
      <c r="R15" s="3">
        <v>1344</v>
      </c>
      <c r="S15" s="3">
        <v>1388</v>
      </c>
      <c r="T15" s="3">
        <v>1094</v>
      </c>
      <c r="U15" s="42">
        <v>1208</v>
      </c>
      <c r="V15" s="59">
        <f>LN(Table2[[#This Row],[2025]]/Table2[[#This Row],[2024]])</f>
        <v>9.9125395512833697E-2</v>
      </c>
      <c r="W15" s="54">
        <f>LN(Table2[[#This Row],[2025]]/Table2[[#This Row],[2023]])</f>
        <v>-0.13889776257198963</v>
      </c>
      <c r="X15" s="55">
        <f>LN(Table2[[#This Row],[2025]]/Table2[[#This Row],[2019]])</f>
        <v>0.73197062164284898</v>
      </c>
    </row>
    <row r="16" spans="2:24" ht="13.5" thickBot="1" x14ac:dyDescent="0.25">
      <c r="B16" s="48"/>
      <c r="C16" s="49"/>
      <c r="D16" s="7"/>
      <c r="E16" s="7"/>
      <c r="F16" s="7"/>
      <c r="G16" s="7"/>
      <c r="H16" s="7"/>
      <c r="I16" s="50"/>
      <c r="J16" s="18"/>
      <c r="K16" s="21"/>
      <c r="L16" s="24"/>
      <c r="N16" s="16" t="s">
        <v>29</v>
      </c>
      <c r="O16" s="5">
        <f t="shared" ref="O16:S16" si="2">SUM(O11:O15)</f>
        <v>10206</v>
      </c>
      <c r="P16" s="5">
        <f t="shared" si="2"/>
        <v>13369</v>
      </c>
      <c r="Q16" s="5">
        <f t="shared" si="2"/>
        <v>16107</v>
      </c>
      <c r="R16" s="5">
        <f t="shared" si="2"/>
        <v>15925</v>
      </c>
      <c r="S16" s="5">
        <f t="shared" si="2"/>
        <v>19147</v>
      </c>
      <c r="T16" s="5">
        <f>SUM(T11:T15)</f>
        <v>21220</v>
      </c>
      <c r="U16" s="5">
        <f>SUM(U11:U15)</f>
        <v>20881</v>
      </c>
      <c r="V16" s="56">
        <f>LN(Table2[[#This Row],[2025]]/Table2[[#This Row],[2024]])</f>
        <v>-1.610447859791226E-2</v>
      </c>
      <c r="W16" s="57">
        <f>LN(Table2[[#This Row],[2025]]/Table2[[#This Row],[2023]])</f>
        <v>8.6693609196856716E-2</v>
      </c>
      <c r="X16" s="60">
        <f>LN(Table2[[#This Row],[2025]]/Table2[[#This Row],[2019]])</f>
        <v>0.71586387194614509</v>
      </c>
    </row>
    <row r="17" spans="2:24" x14ac:dyDescent="0.2">
      <c r="B17" s="9"/>
      <c r="C17" s="3"/>
      <c r="I17" s="43"/>
      <c r="J17" s="18"/>
      <c r="K17" s="21"/>
      <c r="L17" s="24"/>
      <c r="N17" s="15" t="s">
        <v>30</v>
      </c>
      <c r="O17" s="3">
        <v>1703</v>
      </c>
      <c r="P17" s="3">
        <v>1538</v>
      </c>
      <c r="Q17" s="3">
        <v>2055</v>
      </c>
      <c r="R17" s="3">
        <v>1980</v>
      </c>
      <c r="S17" s="3">
        <v>2281</v>
      </c>
      <c r="T17" s="3">
        <v>2787</v>
      </c>
      <c r="U17" s="42">
        <v>4327</v>
      </c>
      <c r="V17" s="59">
        <f>LN(Table2[[#This Row],[2025]]/Table2[[#This Row],[2024]])</f>
        <v>0.43990871274293664</v>
      </c>
      <c r="W17" s="54">
        <f>LN(Table2[[#This Row],[2025]]/Table2[[#This Row],[2023]])</f>
        <v>0.64026051794049665</v>
      </c>
      <c r="X17" s="59">
        <f>LN(Table2[[#This Row],[2025]]/Table2[[#This Row],[2019]])</f>
        <v>0.93248305956219657</v>
      </c>
    </row>
    <row r="18" spans="2:24" x14ac:dyDescent="0.2">
      <c r="B18" s="10" t="s">
        <v>8</v>
      </c>
      <c r="C18" s="3"/>
      <c r="D18" s="3"/>
      <c r="E18" s="3"/>
      <c r="F18" s="3"/>
      <c r="G18" s="3"/>
      <c r="H18" s="3"/>
      <c r="I18" s="42"/>
      <c r="J18" s="18"/>
      <c r="K18" s="21"/>
      <c r="L18" s="24"/>
      <c r="N18" s="15" t="s">
        <v>31</v>
      </c>
      <c r="O18" s="3">
        <v>1529</v>
      </c>
      <c r="P18" s="3">
        <v>1604</v>
      </c>
      <c r="Q18" s="3">
        <v>1934</v>
      </c>
      <c r="R18" s="3">
        <v>2307</v>
      </c>
      <c r="S18" s="3">
        <v>2723</v>
      </c>
      <c r="T18" s="3">
        <v>3339</v>
      </c>
      <c r="U18" s="42">
        <v>4610</v>
      </c>
      <c r="V18" s="59">
        <f>LN(Table2[[#This Row],[2025]]/Table2[[#This Row],[2024]])</f>
        <v>0.32255649604703973</v>
      </c>
      <c r="W18" s="54">
        <f>LN(Table2[[#This Row],[2025]]/Table2[[#This Row],[2023]])</f>
        <v>0.5264936433169346</v>
      </c>
      <c r="X18" s="55">
        <f>LN(Table2[[#This Row],[2025]]/Table2[[#This Row],[2019]])</f>
        <v>1.1036139300616319</v>
      </c>
    </row>
    <row r="19" spans="2:24" x14ac:dyDescent="0.2">
      <c r="B19" s="9" t="s">
        <v>9</v>
      </c>
      <c r="C19" s="3">
        <v>2054</v>
      </c>
      <c r="D19" s="3">
        <v>2234</v>
      </c>
      <c r="E19" s="3">
        <v>2485</v>
      </c>
      <c r="F19" s="3">
        <v>2771</v>
      </c>
      <c r="G19" s="3">
        <v>3102</v>
      </c>
      <c r="H19" s="3">
        <v>3233</v>
      </c>
      <c r="I19" s="42">
        <v>3570</v>
      </c>
      <c r="J19" s="59">
        <f>LN(Table3[[#This Row],[2025]]/Table3[[#This Row],[2024]])</f>
        <v>9.9155097048251581E-2</v>
      </c>
      <c r="K19" s="54">
        <f>LN(Table3[[#This Row],[2025]]/Table3[[#This Row],[2023]])</f>
        <v>0.14051853103720066</v>
      </c>
      <c r="L19" s="55">
        <f>LN(Table3[[#This Row],[2025]]/Table3[[#This Row],[2019]])</f>
        <v>0.55277648428518122</v>
      </c>
      <c r="N19" s="15" t="s">
        <v>32</v>
      </c>
      <c r="O19" s="3">
        <v>3399</v>
      </c>
      <c r="P19" s="3">
        <v>3466</v>
      </c>
      <c r="Q19" s="3">
        <v>3479</v>
      </c>
      <c r="R19" s="3">
        <v>3700</v>
      </c>
      <c r="S19" s="3">
        <v>3732</v>
      </c>
      <c r="T19" s="3">
        <v>3732</v>
      </c>
      <c r="U19" s="42">
        <v>3707</v>
      </c>
      <c r="V19" s="53">
        <f>LN(Table2[[#This Row],[2025]]/Table2[[#This Row],[2024]])</f>
        <v>-6.7213588165021274E-3</v>
      </c>
      <c r="W19" s="54">
        <f>LN(Table2[[#This Row],[2025]]/Table2[[#This Row],[2023]])</f>
        <v>-6.7213588165021274E-3</v>
      </c>
      <c r="X19" s="55">
        <f>LN(Table2[[#This Row],[2025]]/Table2[[#This Row],[2019]])</f>
        <v>8.6741653454616291E-2</v>
      </c>
    </row>
    <row r="20" spans="2:24" x14ac:dyDescent="0.2">
      <c r="B20" s="47" t="s">
        <v>69</v>
      </c>
      <c r="C20" s="3">
        <v>521</v>
      </c>
      <c r="D20" s="3">
        <v>526</v>
      </c>
      <c r="E20" s="3">
        <v>609</v>
      </c>
      <c r="F20" s="3">
        <v>703</v>
      </c>
      <c r="G20" s="3">
        <v>776</v>
      </c>
      <c r="H20" s="3">
        <v>836</v>
      </c>
      <c r="I20" s="42">
        <v>858</v>
      </c>
      <c r="J20" s="53">
        <f>LN(Table3[[#This Row],[2025]]/Table3[[#This Row],[2024]])</f>
        <v>2.5975486403260736E-2</v>
      </c>
      <c r="K20" s="54">
        <f>LN(Table3[[#This Row],[2025]]/Table3[[#This Row],[2023]])</f>
        <v>0.10045157930474359</v>
      </c>
      <c r="L20" s="59">
        <f>LN(Table3[[#This Row],[2025]]/Table3[[#This Row],[2019]])</f>
        <v>0.49885405773459535</v>
      </c>
      <c r="N20" s="15" t="s">
        <v>33</v>
      </c>
      <c r="O20" s="3">
        <v>156</v>
      </c>
      <c r="P20" s="3">
        <v>153</v>
      </c>
      <c r="Q20" s="3">
        <v>104</v>
      </c>
      <c r="R20" s="3">
        <v>339</v>
      </c>
      <c r="S20" s="3">
        <v>294</v>
      </c>
      <c r="T20" s="3">
        <v>249</v>
      </c>
      <c r="U20" s="42">
        <v>226</v>
      </c>
      <c r="V20" s="53">
        <f>LN(Table2[[#This Row],[2025]]/Table2[[#This Row],[2024]])</f>
        <v>-9.6917897192421776E-2</v>
      </c>
      <c r="W20" s="54">
        <f>LN(Table2[[#This Row],[2025]]/Table2[[#This Row],[2023]])</f>
        <v>-0.26304476806639576</v>
      </c>
      <c r="X20" s="55">
        <f>LN(Table2[[#This Row],[2025]]/Table2[[#This Row],[2019]])</f>
        <v>0.37067899202274879</v>
      </c>
    </row>
    <row r="21" spans="2:24" x14ac:dyDescent="0.2">
      <c r="B21" s="9" t="s">
        <v>10</v>
      </c>
      <c r="C21" s="3">
        <v>461</v>
      </c>
      <c r="D21" s="3">
        <v>567</v>
      </c>
      <c r="E21" s="3">
        <v>620</v>
      </c>
      <c r="F21" s="3">
        <v>735</v>
      </c>
      <c r="G21" s="3">
        <v>852</v>
      </c>
      <c r="H21" s="3">
        <v>961</v>
      </c>
      <c r="I21" s="42">
        <v>910</v>
      </c>
      <c r="J21" s="59">
        <f>LN(Table3[[#This Row],[2025]]/Table3[[#This Row],[2024]])</f>
        <v>-5.4529809459396762E-2</v>
      </c>
      <c r="K21" s="54">
        <f>LN(Table3[[#This Row],[2025]]/Table3[[#This Row],[2023]])</f>
        <v>6.5858072681579977E-2</v>
      </c>
      <c r="L21" s="55">
        <f>LN(Table3[[#This Row],[2025]]/Table3[[#This Row],[2019]])</f>
        <v>0.68004655651424717</v>
      </c>
      <c r="N21" s="15" t="s">
        <v>34</v>
      </c>
      <c r="O21" s="3">
        <v>2031</v>
      </c>
      <c r="P21" s="3">
        <v>2223</v>
      </c>
      <c r="Q21" s="3">
        <v>2146</v>
      </c>
      <c r="R21" s="3">
        <v>2475</v>
      </c>
      <c r="S21" s="3">
        <v>2552</v>
      </c>
      <c r="T21" s="3">
        <v>3082</v>
      </c>
      <c r="U21" s="42">
        <v>2548</v>
      </c>
      <c r="V21" s="53">
        <f>LN(Table2[[#This Row],[2025]]/Table2[[#This Row],[2024]])</f>
        <v>-0.19026999918800713</v>
      </c>
      <c r="W21" s="54">
        <f>LN(Table2[[#This Row],[2025]]/Table2[[#This Row],[2023]])</f>
        <v>-1.568627772626487E-3</v>
      </c>
      <c r="X21" s="55">
        <f>LN(Table2[[#This Row],[2025]]/Table2[[#This Row],[2019]])</f>
        <v>0.22678045511166919</v>
      </c>
    </row>
    <row r="22" spans="2:24" ht="13.5" thickBot="1" x14ac:dyDescent="0.25">
      <c r="B22" s="9" t="s">
        <v>19</v>
      </c>
      <c r="C22" s="3">
        <v>0</v>
      </c>
      <c r="D22" s="3">
        <v>0</v>
      </c>
      <c r="E22" s="3">
        <f>154+157</f>
        <v>311</v>
      </c>
      <c r="F22" s="3">
        <v>-4</v>
      </c>
      <c r="G22" s="3">
        <v>0</v>
      </c>
      <c r="H22" s="3">
        <v>0</v>
      </c>
      <c r="I22" s="42">
        <v>181</v>
      </c>
      <c r="J22" s="53" t="e">
        <f>LN(Table3[[#This Row],[2025]]/Table3[[#This Row],[2024]])</f>
        <v>#DIV/0!</v>
      </c>
      <c r="K22" s="54" t="e">
        <f>LN(Table3[[#This Row],[2025]]/Table3[[#This Row],[2023]])</f>
        <v>#DIV/0!</v>
      </c>
      <c r="L22" s="55" t="e">
        <f>LN(Table3[[#This Row],[2025]]/Table3[[#This Row],[2019]])</f>
        <v>#DIV/0!</v>
      </c>
      <c r="N22" s="16" t="s">
        <v>35</v>
      </c>
      <c r="O22" s="5">
        <f t="shared" ref="O22:S22" si="3">SUM(O16:O21)</f>
        <v>19024</v>
      </c>
      <c r="P22" s="5">
        <f t="shared" si="3"/>
        <v>22353</v>
      </c>
      <c r="Q22" s="5">
        <f t="shared" si="3"/>
        <v>25825</v>
      </c>
      <c r="R22" s="5">
        <f t="shared" si="3"/>
        <v>26726</v>
      </c>
      <c r="S22" s="5">
        <f t="shared" si="3"/>
        <v>30729</v>
      </c>
      <c r="T22" s="5">
        <f>SUM(T16:T21)</f>
        <v>34409</v>
      </c>
      <c r="U22" s="5">
        <f>SUM(U16:U21)</f>
        <v>36299</v>
      </c>
      <c r="V22" s="56">
        <f>LN(Table2[[#This Row],[2025]]/Table2[[#This Row],[2024]])</f>
        <v>5.3472034614263024E-2</v>
      </c>
      <c r="W22" s="57">
        <f>LN(Table2[[#This Row],[2025]]/Table2[[#This Row],[2023]])</f>
        <v>0.16658335855947257</v>
      </c>
      <c r="X22" s="58">
        <f>LN(Table2[[#This Row],[2025]]/Table2[[#This Row],[2019]])</f>
        <v>0.64608885273355388</v>
      </c>
    </row>
    <row r="23" spans="2:24" ht="13.5" thickBot="1" x14ac:dyDescent="0.25">
      <c r="B23" s="11" t="s">
        <v>11</v>
      </c>
      <c r="C23" s="5">
        <f t="shared" ref="C23:G23" si="4">SUM(C19:C22)</f>
        <v>3036</v>
      </c>
      <c r="D23" s="5">
        <f t="shared" si="4"/>
        <v>3327</v>
      </c>
      <c r="E23" s="5">
        <f t="shared" si="4"/>
        <v>4025</v>
      </c>
      <c r="F23" s="5">
        <f t="shared" si="4"/>
        <v>4205</v>
      </c>
      <c r="G23" s="5">
        <f t="shared" si="4"/>
        <v>4730</v>
      </c>
      <c r="H23" s="5">
        <f>SUM(H19:H22)</f>
        <v>5030</v>
      </c>
      <c r="I23" s="5">
        <f>SUM(I19:I22)</f>
        <v>5519</v>
      </c>
      <c r="J23" s="60">
        <f>LN(Table3[[#This Row],[2025]]/Table3[[#This Row],[2024]])</f>
        <v>9.2776700345716293E-2</v>
      </c>
      <c r="K23" s="60">
        <f>LN(Table3[[#This Row],[2025]]/Table3[[#This Row],[2023]])</f>
        <v>0.15427148195352272</v>
      </c>
      <c r="L23" s="60">
        <f>LN(Table3[[#This Row],[2025]]/Table3[[#This Row],[2019]])</f>
        <v>0.59765582492398073</v>
      </c>
      <c r="N23" s="9"/>
      <c r="O23" s="3"/>
      <c r="P23" s="3"/>
      <c r="Q23" s="3"/>
      <c r="R23" s="3"/>
      <c r="S23" s="3"/>
      <c r="T23" s="3"/>
      <c r="U23" s="42"/>
      <c r="V23" s="19"/>
      <c r="W23" s="22"/>
      <c r="X23" s="25"/>
    </row>
    <row r="24" spans="2:24" x14ac:dyDescent="0.2">
      <c r="B24" s="9"/>
      <c r="C24" s="3"/>
      <c r="D24" s="3"/>
      <c r="E24" s="3"/>
      <c r="F24" s="3"/>
      <c r="G24" s="3"/>
      <c r="H24" s="3"/>
      <c r="I24" s="42"/>
      <c r="J24" s="18"/>
      <c r="K24" s="21"/>
      <c r="L24" s="24"/>
      <c r="N24" s="10" t="s">
        <v>36</v>
      </c>
      <c r="O24" s="3"/>
      <c r="P24" s="3"/>
      <c r="Q24" s="3"/>
      <c r="R24" s="3"/>
      <c r="S24" s="3"/>
      <c r="T24" s="3"/>
      <c r="U24" s="42"/>
      <c r="V24" s="19"/>
      <c r="W24" s="22"/>
      <c r="X24" s="25"/>
    </row>
    <row r="25" spans="2:24" ht="13.5" thickBot="1" x14ac:dyDescent="0.25">
      <c r="B25" s="11" t="s">
        <v>12</v>
      </c>
      <c r="C25" s="5">
        <f t="shared" ref="C25:G25" si="5">C15-C23</f>
        <v>3350</v>
      </c>
      <c r="D25" s="5">
        <f t="shared" si="5"/>
        <v>4365</v>
      </c>
      <c r="E25" s="5">
        <f t="shared" si="5"/>
        <v>6889</v>
      </c>
      <c r="F25" s="5">
        <f t="shared" si="5"/>
        <v>7788</v>
      </c>
      <c r="G25" s="5">
        <f t="shared" si="5"/>
        <v>7654</v>
      </c>
      <c r="H25" s="5">
        <f>H15-H23</f>
        <v>7867</v>
      </c>
      <c r="I25" s="5">
        <f>I15-I23</f>
        <v>8289</v>
      </c>
      <c r="J25" s="56">
        <f>LN(Table3[[#This Row],[2025]]/Table3[[#This Row],[2024]])</f>
        <v>5.2252539262283834E-2</v>
      </c>
      <c r="K25" s="57">
        <f>LN(Table3[[#This Row],[2025]]/Table3[[#This Row],[2023]])</f>
        <v>7.9700947605878564E-2</v>
      </c>
      <c r="L25" s="60">
        <f>LN(Table3[[#This Row],[2025]]/Table3[[#This Row],[2019]])</f>
        <v>0.90596898877241416</v>
      </c>
      <c r="N25" s="10" t="s">
        <v>23</v>
      </c>
      <c r="O25" s="3"/>
      <c r="P25" s="3"/>
      <c r="Q25" s="3"/>
      <c r="R25" s="3"/>
      <c r="S25" s="3"/>
      <c r="T25" s="3"/>
      <c r="U25" s="42"/>
      <c r="V25" s="19"/>
      <c r="W25" s="22"/>
      <c r="X25" s="25"/>
    </row>
    <row r="26" spans="2:24" x14ac:dyDescent="0.2">
      <c r="B26" s="9" t="s">
        <v>13</v>
      </c>
      <c r="C26" s="3">
        <v>237</v>
      </c>
      <c r="D26" s="3">
        <v>240</v>
      </c>
      <c r="E26" s="3">
        <v>236</v>
      </c>
      <c r="F26" s="3">
        <v>228</v>
      </c>
      <c r="G26" s="3">
        <v>238</v>
      </c>
      <c r="H26" s="3">
        <v>247</v>
      </c>
      <c r="I26" s="42">
        <v>269</v>
      </c>
      <c r="J26" s="53">
        <f>LN(Table3[[#This Row],[2025]]/Table3[[#This Row],[2024]])</f>
        <v>8.5323042973861868E-2</v>
      </c>
      <c r="K26" s="54">
        <f>LN(Table3[[#This Row],[2025]]/Table3[[#This Row],[2023]])</f>
        <v>0.12244070593036439</v>
      </c>
      <c r="L26" s="55">
        <f>LN(Table3[[#This Row],[2025]]/Table3[[#This Row],[2019]])</f>
        <v>0.12665123846670784</v>
      </c>
      <c r="N26" s="15" t="s">
        <v>37</v>
      </c>
      <c r="O26" s="3">
        <v>600</v>
      </c>
      <c r="P26" s="3">
        <v>0</v>
      </c>
      <c r="Q26" s="3">
        <v>0</v>
      </c>
      <c r="R26" s="3">
        <v>0</v>
      </c>
      <c r="S26" s="3">
        <v>100</v>
      </c>
      <c r="T26" s="3">
        <v>799</v>
      </c>
      <c r="U26" s="42">
        <v>100</v>
      </c>
      <c r="V26" s="59">
        <f>LN(Table2[[#This Row],[2025]]/Table2[[#This Row],[2024]])</f>
        <v>-2.0781907597781832</v>
      </c>
      <c r="W26" s="54">
        <f>LN(Table2[[#This Row],[2025]]/Table2[[#This Row],[2023]])</f>
        <v>0</v>
      </c>
      <c r="X26" s="55">
        <f>LN(Table2[[#This Row],[2025]]/Table2[[#This Row],[2019]])</f>
        <v>-1.791759469228055</v>
      </c>
    </row>
    <row r="27" spans="2:24" x14ac:dyDescent="0.2">
      <c r="B27" s="9" t="s">
        <v>14</v>
      </c>
      <c r="C27" s="3">
        <v>156</v>
      </c>
      <c r="D27" s="3">
        <v>41</v>
      </c>
      <c r="E27" s="3">
        <v>118</v>
      </c>
      <c r="F27" s="3">
        <v>39</v>
      </c>
      <c r="G27" s="3">
        <v>300</v>
      </c>
      <c r="H27" s="3">
        <v>532</v>
      </c>
      <c r="I27" s="42">
        <v>1251</v>
      </c>
      <c r="J27" s="53">
        <f>LN(Table3[[#This Row],[2025]]/Table3[[#This Row],[2024]])</f>
        <v>0.85505502112526677</v>
      </c>
      <c r="K27" s="54">
        <f>LN(Table3[[#This Row],[2025]]/Table3[[#This Row],[2023]])</f>
        <v>1.4279160358107101</v>
      </c>
      <c r="L27" s="55">
        <f>LN(Table3[[#This Row],[2025]]/Table3[[#This Row],[2019]])</f>
        <v>2.0818425032173744</v>
      </c>
      <c r="N27" s="15" t="s">
        <v>38</v>
      </c>
      <c r="O27" s="3">
        <v>2511</v>
      </c>
      <c r="P27" s="3">
        <v>3138</v>
      </c>
      <c r="Q27" s="3">
        <v>4268</v>
      </c>
      <c r="R27" s="3">
        <v>4237</v>
      </c>
      <c r="S27" s="3">
        <v>4297</v>
      </c>
      <c r="T27" s="3">
        <v>4820</v>
      </c>
      <c r="U27" s="42">
        <v>5333</v>
      </c>
      <c r="V27" s="53">
        <f>LN(Table2[[#This Row],[2025]]/Table2[[#This Row],[2024]])</f>
        <v>0.10114000355595629</v>
      </c>
      <c r="W27" s="54">
        <f>LN(Table2[[#This Row],[2025]]/Table2[[#This Row],[2023]])</f>
        <v>0.21599682682560703</v>
      </c>
      <c r="X27" s="55">
        <f>LN(Table2[[#This Row],[2025]]/Table2[[#This Row],[2019]])</f>
        <v>0.75323285144301722</v>
      </c>
    </row>
    <row r="28" spans="2:24" ht="13.5" thickBot="1" x14ac:dyDescent="0.25">
      <c r="B28" s="33" t="s">
        <v>15</v>
      </c>
      <c r="C28" s="5">
        <f t="shared" ref="C28:G28" si="6">C25-C26+C27</f>
        <v>3269</v>
      </c>
      <c r="D28" s="5">
        <f t="shared" si="6"/>
        <v>4166</v>
      </c>
      <c r="E28" s="5">
        <f t="shared" si="6"/>
        <v>6771</v>
      </c>
      <c r="F28" s="5">
        <f t="shared" si="6"/>
        <v>7599</v>
      </c>
      <c r="G28" s="5">
        <f t="shared" si="6"/>
        <v>7716</v>
      </c>
      <c r="H28" s="5">
        <f>H25-H26+H27</f>
        <v>8152</v>
      </c>
      <c r="I28" s="5">
        <f>I25-I26+I27</f>
        <v>9271</v>
      </c>
      <c r="J28" s="60">
        <f>LN(Table3[[#This Row],[2025]]/Table3[[#This Row],[2024]])</f>
        <v>0.12862795270442159</v>
      </c>
      <c r="K28" s="57">
        <f>LN(Table3[[#This Row],[2025]]/Table3[[#This Row],[2023]])</f>
        <v>0.18359515358136264</v>
      </c>
      <c r="L28" s="60">
        <f>LN(Table3[[#This Row],[2025]]/Table3[[#This Row],[2019]])</f>
        <v>1.0424071208827719</v>
      </c>
      <c r="N28" s="15" t="s">
        <v>39</v>
      </c>
      <c r="O28" s="3">
        <v>1336</v>
      </c>
      <c r="P28" s="3">
        <v>1321</v>
      </c>
      <c r="Q28" s="3">
        <v>2076</v>
      </c>
      <c r="R28" s="3">
        <v>3142</v>
      </c>
      <c r="S28" s="3">
        <v>2975</v>
      </c>
      <c r="T28" s="3">
        <v>2849</v>
      </c>
      <c r="U28" s="42">
        <v>2566</v>
      </c>
      <c r="V28" s="53">
        <f>LN(Table2[[#This Row],[2025]]/Table2[[#This Row],[2024]])</f>
        <v>-0.10461978932232653</v>
      </c>
      <c r="W28" s="54">
        <f>LN(Table2[[#This Row],[2025]]/Table2[[#This Row],[2023]])</f>
        <v>-0.14789577280414842</v>
      </c>
      <c r="X28" s="55">
        <f>LN(Table2[[#This Row],[2025]]/Table2[[#This Row],[2019]])</f>
        <v>0.65266819107899066</v>
      </c>
    </row>
    <row r="29" spans="2:24" ht="13.5" thickBot="1" x14ac:dyDescent="0.25">
      <c r="B29" s="13" t="s">
        <v>16</v>
      </c>
      <c r="C29" s="3">
        <v>563</v>
      </c>
      <c r="D29" s="3">
        <v>547</v>
      </c>
      <c r="E29" s="3">
        <v>883</v>
      </c>
      <c r="F29" s="3">
        <v>1074</v>
      </c>
      <c r="G29" s="3">
        <v>860</v>
      </c>
      <c r="H29" s="3">
        <v>975</v>
      </c>
      <c r="I29" s="42">
        <v>2273</v>
      </c>
      <c r="J29" s="59">
        <f>LN(Table3[[#This Row],[2025]]/Table3[[#This Row],[2024]])</f>
        <v>0.84641835285469602</v>
      </c>
      <c r="K29" s="54">
        <f>LN(Table3[[#This Row],[2025]]/Table3[[#This Row],[2023]])</f>
        <v>0.97192343460498976</v>
      </c>
      <c r="L29" s="55">
        <f>LN(Table3[[#This Row],[2025]]/Table3[[#This Row],[2019]])</f>
        <v>1.3955761957128527</v>
      </c>
      <c r="N29" s="16" t="s">
        <v>40</v>
      </c>
      <c r="O29" s="5">
        <f t="shared" ref="O29:S29" si="7">SUM(O26:O28)</f>
        <v>4447</v>
      </c>
      <c r="P29" s="5">
        <f t="shared" si="7"/>
        <v>4459</v>
      </c>
      <c r="Q29" s="5">
        <f t="shared" si="7"/>
        <v>6344</v>
      </c>
      <c r="R29" s="5">
        <f t="shared" si="7"/>
        <v>7379</v>
      </c>
      <c r="S29" s="5">
        <f t="shared" si="7"/>
        <v>7372</v>
      </c>
      <c r="T29" s="5">
        <f>SUM(T26:T28)</f>
        <v>8468</v>
      </c>
      <c r="U29" s="5">
        <f>SUM(U26:U28)</f>
        <v>7999</v>
      </c>
      <c r="V29" s="56">
        <f>LN(Table2[[#This Row],[2025]]/Table2[[#This Row],[2024]])</f>
        <v>-5.6977819405933952E-2</v>
      </c>
      <c r="W29" s="57">
        <f>LN(Table2[[#This Row],[2025]]/Table2[[#This Row],[2023]])</f>
        <v>8.1627494059107908E-2</v>
      </c>
      <c r="X29" s="58">
        <f>LN(Table2[[#This Row],[2025]]/Table2[[#This Row],[2019]])</f>
        <v>0.58708682233812548</v>
      </c>
    </row>
    <row r="30" spans="2:24" ht="13.5" thickBot="1" x14ac:dyDescent="0.25">
      <c r="B30" s="16" t="s">
        <v>17</v>
      </c>
      <c r="C30" s="5">
        <f t="shared" ref="C30:G30" si="8">C28-C29</f>
        <v>2706</v>
      </c>
      <c r="D30" s="5">
        <f t="shared" si="8"/>
        <v>3619</v>
      </c>
      <c r="E30" s="5">
        <f t="shared" si="8"/>
        <v>5888</v>
      </c>
      <c r="F30" s="5">
        <f t="shared" si="8"/>
        <v>6525</v>
      </c>
      <c r="G30" s="5">
        <f t="shared" si="8"/>
        <v>6856</v>
      </c>
      <c r="H30" s="5">
        <f>H28-H29</f>
        <v>7177</v>
      </c>
      <c r="I30" s="5">
        <f>I28-I29</f>
        <v>6998</v>
      </c>
      <c r="J30" s="56">
        <f>LN(Table3[[#This Row],[2025]]/Table3[[#This Row],[2024]])</f>
        <v>-2.5257074502438505E-2</v>
      </c>
      <c r="K30" s="57">
        <f>LN(Table3[[#This Row],[2025]]/Table3[[#This Row],[2023]])</f>
        <v>2.0500212650017606E-2</v>
      </c>
      <c r="L30" s="58">
        <f>LN(Table3[[#This Row],[2025]]/Table3[[#This Row],[2019]])</f>
        <v>0.95015286419689993</v>
      </c>
      <c r="N30" s="15" t="s">
        <v>41</v>
      </c>
      <c r="O30" s="3">
        <v>4713</v>
      </c>
      <c r="P30" s="3">
        <v>5448</v>
      </c>
      <c r="Q30" s="3">
        <v>5452</v>
      </c>
      <c r="R30" s="3">
        <v>5457</v>
      </c>
      <c r="S30" s="3">
        <v>5461</v>
      </c>
      <c r="T30" s="3">
        <v>5460</v>
      </c>
      <c r="U30" s="42">
        <v>6455</v>
      </c>
      <c r="V30" s="59">
        <f>LN(Table2[[#This Row],[2025]]/Table2[[#This Row],[2024]])</f>
        <v>0.16740623454179215</v>
      </c>
      <c r="W30" s="54">
        <f>LN(Table2[[#This Row],[2025]]/Table2[[#This Row],[2023]])</f>
        <v>0.1672231011285891</v>
      </c>
      <c r="X30" s="55">
        <f>LN(Table2[[#This Row],[2025]]/Table2[[#This Row],[2019]])</f>
        <v>0.31453037635701203</v>
      </c>
    </row>
    <row r="31" spans="2:24" x14ac:dyDescent="0.2">
      <c r="B31" s="9"/>
      <c r="C31" s="3"/>
      <c r="D31" s="3"/>
      <c r="E31" s="3"/>
      <c r="F31" s="3"/>
      <c r="G31" s="3"/>
      <c r="H31" s="3"/>
      <c r="I31" s="42"/>
      <c r="J31" s="18"/>
      <c r="K31" s="21"/>
      <c r="L31" s="24"/>
      <c r="N31" s="15" t="s">
        <v>42</v>
      </c>
      <c r="O31" s="3">
        <v>1275</v>
      </c>
      <c r="P31" s="3">
        <v>1206</v>
      </c>
      <c r="Q31" s="3">
        <v>1090</v>
      </c>
      <c r="R31" s="3">
        <v>964</v>
      </c>
      <c r="S31" s="3">
        <v>833</v>
      </c>
      <c r="T31" s="3">
        <v>670</v>
      </c>
      <c r="U31" s="42">
        <v>356</v>
      </c>
      <c r="V31" s="53">
        <f>LN(Table2[[#This Row],[2025]]/Table2[[#This Row],[2024]])</f>
        <v>-0.63234698153298119</v>
      </c>
      <c r="W31" s="54">
        <f>LN(Table2[[#This Row],[2025]]/Table2[[#This Row],[2023]])</f>
        <v>-0.85010291131481219</v>
      </c>
      <c r="X31" s="55">
        <f>LN(Table2[[#This Row],[2025]]/Table2[[#This Row],[2019]])</f>
        <v>-1.2757707267404961</v>
      </c>
    </row>
    <row r="32" spans="2:24" x14ac:dyDescent="0.2">
      <c r="B32" s="47" t="s">
        <v>0</v>
      </c>
      <c r="C32" s="8">
        <v>59.95</v>
      </c>
      <c r="D32" s="8">
        <v>88.58</v>
      </c>
      <c r="E32" s="8">
        <v>147.19</v>
      </c>
      <c r="F32" s="8">
        <v>112.09</v>
      </c>
      <c r="G32" s="8">
        <v>157.19999999999999</v>
      </c>
      <c r="H32" s="8">
        <v>169.31</v>
      </c>
      <c r="I32" s="52">
        <v>321.52</v>
      </c>
      <c r="J32" s="59">
        <f>LN(Table3[[#This Row],[2025]]/Table3[[#This Row],[2024]])</f>
        <v>0.64132839600080516</v>
      </c>
      <c r="K32" s="54">
        <f>LN(Table3[[#This Row],[2025]]/Table3[[#This Row],[2023]])</f>
        <v>0.71554087014583956</v>
      </c>
      <c r="L32" s="55">
        <f>LN(Table3[[#This Row],[2025]]/Table3[[#This Row],[2019]])</f>
        <v>1.6795488686674223</v>
      </c>
      <c r="N32" s="15" t="s">
        <v>28</v>
      </c>
      <c r="O32" s="3">
        <v>375</v>
      </c>
      <c r="P32" s="3">
        <v>662</v>
      </c>
      <c r="Q32" s="3">
        <v>692</v>
      </c>
      <c r="R32" s="3">
        <v>732</v>
      </c>
      <c r="S32" s="3">
        <v>714</v>
      </c>
      <c r="T32" s="3">
        <v>810</v>
      </c>
      <c r="U32" s="42">
        <v>1074</v>
      </c>
      <c r="V32" s="53">
        <f>LN(Table2[[#This Row],[2025]]/Table2[[#This Row],[2024]])</f>
        <v>0.28211102740232558</v>
      </c>
      <c r="W32" s="54">
        <f>LN(Table2[[#This Row],[2025]]/Table2[[#This Row],[2023]])</f>
        <v>0.40826231272922558</v>
      </c>
      <c r="X32" s="55">
        <f>LN(Table2[[#This Row],[2025]]/Table2[[#This Row],[2019]])</f>
        <v>1.052219249098399</v>
      </c>
    </row>
    <row r="33" spans="1:24" ht="13.5" thickBot="1" x14ac:dyDescent="0.25">
      <c r="B33" s="9" t="s">
        <v>1</v>
      </c>
      <c r="C33" s="3">
        <v>945</v>
      </c>
      <c r="D33" s="3">
        <v>923</v>
      </c>
      <c r="E33" s="3">
        <v>919</v>
      </c>
      <c r="F33" s="3">
        <v>877</v>
      </c>
      <c r="G33" s="3">
        <v>845</v>
      </c>
      <c r="H33" s="3">
        <v>834</v>
      </c>
      <c r="I33" s="42">
        <v>808</v>
      </c>
      <c r="J33" s="53">
        <f>LN(Table3[[#This Row],[2025]]/Table3[[#This Row],[2024]])</f>
        <v>-3.1671343837651411E-2</v>
      </c>
      <c r="K33" s="54">
        <f>LN(Table3[[#This Row],[2025]]/Table3[[#This Row],[2023]])</f>
        <v>-4.4774568836078492E-2</v>
      </c>
      <c r="L33" s="55">
        <f>LN(Table3[[#This Row],[2025]]/Table3[[#This Row],[2019]])</f>
        <v>-0.15662286897264738</v>
      </c>
      <c r="N33" s="16" t="s">
        <v>43</v>
      </c>
      <c r="O33" s="5">
        <f t="shared" ref="O33:S33" si="9">SUM(O29:O32)</f>
        <v>10810</v>
      </c>
      <c r="P33" s="5">
        <f t="shared" si="9"/>
        <v>11775</v>
      </c>
      <c r="Q33" s="5">
        <f t="shared" si="9"/>
        <v>13578</v>
      </c>
      <c r="R33" s="5">
        <f t="shared" si="9"/>
        <v>14532</v>
      </c>
      <c r="S33" s="5">
        <f t="shared" si="9"/>
        <v>14380</v>
      </c>
      <c r="T33" s="5">
        <f>SUM(T29:T32)</f>
        <v>15408</v>
      </c>
      <c r="U33" s="5">
        <f>SUM(U29:U32)</f>
        <v>15884</v>
      </c>
      <c r="V33" s="56">
        <f>LN(Table2[[#This Row],[2025]]/Table2[[#This Row],[2024]])</f>
        <v>3.04254582132353E-2</v>
      </c>
      <c r="W33" s="57">
        <f>LN(Table2[[#This Row],[2025]]/Table2[[#This Row],[2023]])</f>
        <v>9.9473960976104475E-2</v>
      </c>
      <c r="X33" s="58">
        <f>LN(Table2[[#This Row],[2025]]/Table2[[#This Row],[2019]])</f>
        <v>0.38484068161788815</v>
      </c>
    </row>
    <row r="34" spans="1:24" x14ac:dyDescent="0.2">
      <c r="B34" s="47" t="s">
        <v>2</v>
      </c>
      <c r="C34" s="3">
        <f t="shared" ref="C34:G34" si="10">C32*C33</f>
        <v>56652.75</v>
      </c>
      <c r="D34" s="3">
        <f t="shared" si="10"/>
        <v>81759.34</v>
      </c>
      <c r="E34" s="3">
        <f t="shared" si="10"/>
        <v>135267.60999999999</v>
      </c>
      <c r="F34" s="3">
        <f t="shared" si="10"/>
        <v>98302.930000000008</v>
      </c>
      <c r="G34" s="3">
        <f t="shared" si="10"/>
        <v>132834</v>
      </c>
      <c r="H34" s="3">
        <f>H32*H33</f>
        <v>141204.54</v>
      </c>
      <c r="I34" s="3">
        <f>I32*I33</f>
        <v>259788.15999999997</v>
      </c>
      <c r="J34" s="59">
        <f>LN(Table3[[#This Row],[2025]]/Table3[[#This Row],[2024]])</f>
        <v>0.6096570521631538</v>
      </c>
      <c r="K34" s="54">
        <f>LN(Table3[[#This Row],[2025]]/Table3[[#This Row],[2023]])</f>
        <v>0.67076630130976089</v>
      </c>
      <c r="L34" s="55">
        <f>LN(Table3[[#This Row],[2025]]/Table3[[#This Row],[2019]])</f>
        <v>1.5229259996947748</v>
      </c>
      <c r="N34" s="9"/>
      <c r="O34" s="3"/>
      <c r="P34" s="3"/>
      <c r="Q34" s="3"/>
      <c r="R34" s="3"/>
      <c r="S34" s="3"/>
      <c r="T34" s="3"/>
      <c r="U34" s="42"/>
      <c r="V34" s="19"/>
      <c r="W34" s="22"/>
      <c r="X34" s="25"/>
    </row>
    <row r="35" spans="1:24" s="4" customFormat="1" x14ac:dyDescent="0.2">
      <c r="A35" s="1"/>
      <c r="B35" s="9" t="s">
        <v>18</v>
      </c>
      <c r="C35" s="8">
        <f t="shared" ref="C35:G35" si="11">C30/C33</f>
        <v>2.8634920634920635</v>
      </c>
      <c r="D35" s="8">
        <f t="shared" si="11"/>
        <v>3.9209100758396533</v>
      </c>
      <c r="E35" s="8">
        <f t="shared" si="11"/>
        <v>6.4069640914037</v>
      </c>
      <c r="F35" s="8">
        <f t="shared" si="11"/>
        <v>7.4401368301026229</v>
      </c>
      <c r="G35" s="8">
        <f t="shared" si="11"/>
        <v>8.1136094674556212</v>
      </c>
      <c r="H35" s="8">
        <f>H30/H33</f>
        <v>8.6055155875299754</v>
      </c>
      <c r="I35" s="8">
        <f>I30/I33</f>
        <v>8.6608910891089117</v>
      </c>
      <c r="J35" s="53">
        <f>LN(Table3[[#This Row],[2025]]/Table3[[#This Row],[2024]])</f>
        <v>6.4142693352129479E-3</v>
      </c>
      <c r="K35" s="54">
        <f>LN(Table3[[#This Row],[2025]]/Table3[[#This Row],[2023]])</f>
        <v>6.5274781486096209E-2</v>
      </c>
      <c r="L35" s="55">
        <f>LN(Table3[[#This Row],[2025]]/Table3[[#This Row],[2019]])</f>
        <v>1.1067757331695476</v>
      </c>
      <c r="M35" s="1"/>
      <c r="N35" s="10" t="s">
        <v>44</v>
      </c>
      <c r="O35" s="6">
        <f t="shared" ref="O35:S35" si="12">O22-O33</f>
        <v>8214</v>
      </c>
      <c r="P35" s="6">
        <f t="shared" si="12"/>
        <v>10578</v>
      </c>
      <c r="Q35" s="6">
        <f t="shared" si="12"/>
        <v>12247</v>
      </c>
      <c r="R35" s="6">
        <f t="shared" si="12"/>
        <v>12194</v>
      </c>
      <c r="S35" s="6">
        <f t="shared" si="12"/>
        <v>16349</v>
      </c>
      <c r="T35" s="6">
        <f>T22-T33</f>
        <v>19001</v>
      </c>
      <c r="U35" s="6">
        <f>U22-U33</f>
        <v>20415</v>
      </c>
      <c r="V35" s="59">
        <f>LN(Table2[[#This Row],[2025]]/Table2[[#This Row],[2024]])</f>
        <v>7.1778315411144239E-2</v>
      </c>
      <c r="W35" s="59">
        <f>LN(Table2[[#This Row],[2025]]/Table2[[#This Row],[2023]])</f>
        <v>0.2221031913782637</v>
      </c>
      <c r="X35" s="59">
        <f>LN(Table2[[#This Row],[2025]]/Table2[[#This Row],[2019]])</f>
        <v>0.91042990923717226</v>
      </c>
    </row>
    <row r="36" spans="1:24" x14ac:dyDescent="0.2">
      <c r="B36" s="27" t="s">
        <v>53</v>
      </c>
      <c r="C36" s="29">
        <f>C10/C13</f>
        <v>0.61794906900328583</v>
      </c>
      <c r="D36" s="29">
        <f t="shared" ref="D36:I36" si="13">D10/D13</f>
        <v>0.66079525636553893</v>
      </c>
      <c r="E36" s="29">
        <f t="shared" si="13"/>
        <v>0.70615271213632225</v>
      </c>
      <c r="F36" s="29">
        <f t="shared" si="13"/>
        <v>0.72898972270700024</v>
      </c>
      <c r="G36" s="29">
        <f t="shared" si="13"/>
        <v>0.74284421314628346</v>
      </c>
      <c r="H36" s="29">
        <f t="shared" si="13"/>
        <v>0.73266853105681484</v>
      </c>
      <c r="I36" s="29">
        <f t="shared" si="13"/>
        <v>0.73315002820078967</v>
      </c>
      <c r="J36" s="53">
        <f>LN(Table3[[#This Row],[2025]]/Table3[[#This Row],[2024]])</f>
        <v>6.5696693257417743E-4</v>
      </c>
      <c r="K36" s="54">
        <f>LN(Table3[[#This Row],[2025]]/Table3[[#This Row],[2023]])</f>
        <v>-1.3135992094400981E-2</v>
      </c>
      <c r="L36" s="55">
        <f>LN(Table3[[#This Row],[2025]]/Table3[[#This Row],[2019]])</f>
        <v>0.17094431644278379</v>
      </c>
      <c r="N36" s="9" t="s">
        <v>24</v>
      </c>
      <c r="O36" s="3">
        <f>O11+O12</f>
        <v>3618</v>
      </c>
      <c r="P36" s="3">
        <f t="shared" ref="P36:T36" si="14">P11+P12</f>
        <v>5738</v>
      </c>
      <c r="Q36" s="3">
        <f t="shared" si="14"/>
        <v>5459</v>
      </c>
      <c r="R36" s="3">
        <f t="shared" si="14"/>
        <v>2581</v>
      </c>
      <c r="S36" s="3">
        <f t="shared" si="14"/>
        <v>6869</v>
      </c>
      <c r="T36" s="3">
        <f t="shared" si="14"/>
        <v>9471</v>
      </c>
      <c r="U36" s="3">
        <f t="shared" ref="U36" si="15">U11+U12</f>
        <v>8573</v>
      </c>
      <c r="V36" s="59">
        <f>LN(Table2[[#This Row],[2025]]/Table2[[#This Row],[2024]])</f>
        <v>-9.96167685473454E-2</v>
      </c>
      <c r="W36" s="54">
        <f>LN(Table2[[#This Row],[2025]]/Table2[[#This Row],[2023]])</f>
        <v>0.22159919446487428</v>
      </c>
      <c r="X36" s="55">
        <f>LN(Table2[[#This Row],[2025]]/Table2[[#This Row],[2019]])</f>
        <v>0.86269634272351559</v>
      </c>
    </row>
    <row r="37" spans="1:24" x14ac:dyDescent="0.2">
      <c r="B37" s="27" t="s">
        <v>54</v>
      </c>
      <c r="C37" s="29">
        <f>C11/C13</f>
        <v>0.26382803943044908</v>
      </c>
      <c r="D37" s="29">
        <f t="shared" ref="D37:I37" si="16">D11/D13</f>
        <v>0.24154168119986047</v>
      </c>
      <c r="E37" s="29">
        <f t="shared" si="16"/>
        <v>0.21736114122187053</v>
      </c>
      <c r="F37" s="29">
        <f t="shared" si="16"/>
        <v>0.21496994376575529</v>
      </c>
      <c r="G37" s="29">
        <f t="shared" si="16"/>
        <v>0.21616321605008107</v>
      </c>
      <c r="H37" s="29">
        <f t="shared" si="16"/>
        <v>0.22906240800706507</v>
      </c>
      <c r="I37" s="29">
        <f t="shared" si="16"/>
        <v>0.2250775521714608</v>
      </c>
      <c r="J37" s="53">
        <f>LN(Table3[[#This Row],[2025]]/Table3[[#This Row],[2024]])</f>
        <v>-1.7549471339837992E-2</v>
      </c>
      <c r="K37" s="54">
        <f>LN(Table3[[#This Row],[2025]]/Table3[[#This Row],[2023]])</f>
        <v>4.0411266933645766E-2</v>
      </c>
      <c r="L37" s="55">
        <f>LN(Table3[[#This Row],[2025]]/Table3[[#This Row],[2019]])</f>
        <v>-0.15885250598691153</v>
      </c>
      <c r="N37" s="9" t="s">
        <v>45</v>
      </c>
      <c r="O37" s="3">
        <f>O26+O30</f>
        <v>5313</v>
      </c>
      <c r="P37" s="3">
        <f t="shared" ref="P37:T37" si="17">P26+P30</f>
        <v>5448</v>
      </c>
      <c r="Q37" s="3">
        <f t="shared" si="17"/>
        <v>5452</v>
      </c>
      <c r="R37" s="3">
        <f t="shared" si="17"/>
        <v>5457</v>
      </c>
      <c r="S37" s="3">
        <f t="shared" si="17"/>
        <v>5561</v>
      </c>
      <c r="T37" s="3">
        <f t="shared" si="17"/>
        <v>6259</v>
      </c>
      <c r="U37" s="3">
        <f t="shared" ref="U37" si="18">U26+U30</f>
        <v>6555</v>
      </c>
      <c r="V37" s="53">
        <f>LN(Table2[[#This Row],[2025]]/Table2[[#This Row],[2024]])</f>
        <v>4.6207689273098713E-2</v>
      </c>
      <c r="W37" s="54">
        <f>LN(Table2[[#This Row],[2025]]/Table2[[#This Row],[2023]])</f>
        <v>0.16445016901023629</v>
      </c>
      <c r="X37" s="55">
        <f>LN(Table2[[#This Row],[2025]]/Table2[[#This Row],[2019]])</f>
        <v>0.21007146974685706</v>
      </c>
    </row>
    <row r="38" spans="1:24" x14ac:dyDescent="0.2">
      <c r="B38" s="47" t="s">
        <v>70</v>
      </c>
      <c r="C38" s="29">
        <f>C12/C13</f>
        <v>0.11822289156626506</v>
      </c>
      <c r="D38" s="29">
        <f t="shared" ref="D38:I38" si="19">D12/D13</f>
        <v>9.7663062434600628E-2</v>
      </c>
      <c r="E38" s="29">
        <f t="shared" si="19"/>
        <v>7.6486146641807223E-2</v>
      </c>
      <c r="F38" s="29">
        <f t="shared" si="19"/>
        <v>5.6040333527244524E-2</v>
      </c>
      <c r="G38" s="29">
        <f t="shared" si="19"/>
        <v>4.09925708036354E-2</v>
      </c>
      <c r="H38" s="29">
        <f t="shared" si="19"/>
        <v>3.8269060936120106E-2</v>
      </c>
      <c r="I38" s="29">
        <f t="shared" si="19"/>
        <v>4.177241962774958E-2</v>
      </c>
      <c r="J38" s="59">
        <f>LN(Table3[[#This Row],[2025]]/Table3[[#This Row],[2024]])</f>
        <v>8.7594542960244048E-2</v>
      </c>
      <c r="K38" s="54">
        <f>LN(Table3[[#This Row],[2025]]/Table3[[#This Row],[2023]])</f>
        <v>1.8845453863090725E-2</v>
      </c>
      <c r="L38" s="59">
        <f>LN(Table3[[#This Row],[2025]]/Table3[[#This Row],[2019]])</f>
        <v>-1.0403354500566864</v>
      </c>
      <c r="N38" s="27" t="s">
        <v>58</v>
      </c>
      <c r="O38" s="3">
        <f t="shared" ref="O38:T38" si="20">C34-O36+O37</f>
        <v>58347.75</v>
      </c>
      <c r="P38" s="3">
        <f t="shared" si="20"/>
        <v>81469.34</v>
      </c>
      <c r="Q38" s="3">
        <f t="shared" si="20"/>
        <v>135260.60999999999</v>
      </c>
      <c r="R38" s="3">
        <f t="shared" si="20"/>
        <v>101178.93000000001</v>
      </c>
      <c r="S38" s="3">
        <f t="shared" si="20"/>
        <v>131526</v>
      </c>
      <c r="T38" s="3">
        <f t="shared" si="20"/>
        <v>137992.54</v>
      </c>
      <c r="U38" s="3">
        <f t="shared" ref="U38" si="21">I34-U36+U37</f>
        <v>257770.15999999997</v>
      </c>
      <c r="V38" s="59">
        <f>LN(Table2[[#This Row],[2025]]/Table2[[#This Row],[2024]])</f>
        <v>0.62486870943833195</v>
      </c>
      <c r="W38" s="54">
        <f>LN(Table2[[#This Row],[2025]]/Table2[[#This Row],[2023]])</f>
        <v>0.67286378445809192</v>
      </c>
      <c r="X38" s="55">
        <f>LN(Table2[[#This Row],[2025]]/Table2[[#This Row],[2019]])</f>
        <v>1.4856475375855553</v>
      </c>
    </row>
    <row r="39" spans="1:24" x14ac:dyDescent="0.2">
      <c r="B39" s="27" t="s">
        <v>55</v>
      </c>
      <c r="C39" s="44">
        <f>C15/C13</f>
        <v>0.43715772179627599</v>
      </c>
      <c r="D39" s="44">
        <f t="shared" ref="D39:I39" si="22">D15/D13</f>
        <v>0.44715730728985004</v>
      </c>
      <c r="E39" s="44">
        <f t="shared" si="22"/>
        <v>0.47322551272601138</v>
      </c>
      <c r="F39" s="44">
        <f t="shared" si="22"/>
        <v>0.46511537715726198</v>
      </c>
      <c r="G39" s="44">
        <f t="shared" si="22"/>
        <v>0.46702115623939361</v>
      </c>
      <c r="H39" s="44">
        <f t="shared" si="22"/>
        <v>0.47457315278186635</v>
      </c>
      <c r="I39" s="44">
        <f t="shared" si="22"/>
        <v>0.48674562887760858</v>
      </c>
      <c r="J39" s="53">
        <f>LN(Table3[[#This Row],[2025]]/Table3[[#This Row],[2024]])</f>
        <v>2.5325889685248664E-2</v>
      </c>
      <c r="K39" s="54">
        <f>LN(Table3[[#This Row],[2025]]/Table3[[#This Row],[2023]])</f>
        <v>4.1367104908769436E-2</v>
      </c>
      <c r="L39" s="55">
        <f>LN(Table3[[#This Row],[2025]]/Table3[[#This Row],[2019]])</f>
        <v>0.10744761456924255</v>
      </c>
      <c r="N39" s="27" t="s">
        <v>59</v>
      </c>
      <c r="O39" s="31">
        <f t="shared" ref="O39:T39" si="23">O38/C25</f>
        <v>17.41723880597015</v>
      </c>
      <c r="P39" s="31">
        <f t="shared" si="23"/>
        <v>18.664224513172964</v>
      </c>
      <c r="Q39" s="31">
        <f t="shared" si="23"/>
        <v>19.63428799535491</v>
      </c>
      <c r="R39" s="31">
        <f t="shared" si="23"/>
        <v>12.991644838212636</v>
      </c>
      <c r="S39" s="31">
        <f t="shared" si="23"/>
        <v>17.183956101384897</v>
      </c>
      <c r="T39" s="31">
        <f t="shared" si="23"/>
        <v>17.540681327062412</v>
      </c>
      <c r="U39" s="31">
        <f t="shared" ref="U39" si="24">U38/I25</f>
        <v>31.097859814211603</v>
      </c>
      <c r="V39" s="59">
        <f>LN(Table2[[#This Row],[2025]]/Table2[[#This Row],[2024]])</f>
        <v>0.57261617017604827</v>
      </c>
      <c r="W39" s="54">
        <f>LN(Table2[[#This Row],[2025]]/Table2[[#This Row],[2023]])</f>
        <v>0.59316283685221338</v>
      </c>
      <c r="X39" s="55">
        <f>LN(Table2[[#This Row],[2025]]/Table2[[#This Row],[2019]])</f>
        <v>0.57967854881314107</v>
      </c>
    </row>
    <row r="40" spans="1:24" x14ac:dyDescent="0.2">
      <c r="B40" s="27" t="s">
        <v>56</v>
      </c>
      <c r="C40" s="44">
        <f>C25/C13</f>
        <v>0.22932639649507119</v>
      </c>
      <c r="D40" s="44">
        <f t="shared" ref="D40:I40" si="25">D25/D13</f>
        <v>0.25374956400418558</v>
      </c>
      <c r="E40" s="44">
        <f t="shared" si="25"/>
        <v>0.29870355114252267</v>
      </c>
      <c r="F40" s="44">
        <f t="shared" si="25"/>
        <v>0.30203606748109368</v>
      </c>
      <c r="G40" s="44">
        <f t="shared" si="25"/>
        <v>0.28864502017573634</v>
      </c>
      <c r="H40" s="44">
        <f t="shared" si="25"/>
        <v>0.28948336767736238</v>
      </c>
      <c r="I40" s="44">
        <f t="shared" si="25"/>
        <v>0.29219543147208121</v>
      </c>
      <c r="J40" s="53">
        <f>LN(Table3[[#This Row],[2025]]/Table3[[#This Row],[2024]])</f>
        <v>9.3250207887144252E-3</v>
      </c>
      <c r="K40" s="54">
        <f>LN(Table3[[#This Row],[2025]]/Table3[[#This Row],[2023]])</f>
        <v>1.2225235020947021E-2</v>
      </c>
      <c r="L40" s="55">
        <f>LN(Table3[[#This Row],[2025]]/Table3[[#This Row],[2019]])</f>
        <v>0.2422765632931746</v>
      </c>
      <c r="N40" s="27" t="s">
        <v>60</v>
      </c>
      <c r="O40" s="32">
        <f>O16/O29</f>
        <v>2.295030357544412</v>
      </c>
      <c r="P40" s="32">
        <f t="shared" ref="P40:T40" si="26">P16/P29</f>
        <v>2.9982058757568963</v>
      </c>
      <c r="Q40" s="32">
        <f t="shared" si="26"/>
        <v>2.5389344262295084</v>
      </c>
      <c r="R40" s="32">
        <f t="shared" si="26"/>
        <v>2.1581515110448568</v>
      </c>
      <c r="S40" s="32">
        <f t="shared" si="26"/>
        <v>2.5972599023331524</v>
      </c>
      <c r="T40" s="32">
        <f t="shared" si="26"/>
        <v>2.5059045819555976</v>
      </c>
      <c r="U40" s="32">
        <f t="shared" ref="U40" si="27">U16/U29</f>
        <v>2.6104513064133017</v>
      </c>
      <c r="V40" s="53">
        <f>LN(Table2[[#This Row],[2025]]/Table2[[#This Row],[2024]])</f>
        <v>4.0873340808021678E-2</v>
      </c>
      <c r="W40" s="54">
        <f>LN(Table2[[#This Row],[2025]]/Table2[[#This Row],[2023]])</f>
        <v>5.0661151377487173E-3</v>
      </c>
      <c r="X40" s="55">
        <f>LN(Table2[[#This Row],[2025]]/Table2[[#This Row],[2019]])</f>
        <v>0.12877704960801969</v>
      </c>
    </row>
    <row r="41" spans="1:24" x14ac:dyDescent="0.2">
      <c r="B41" s="27" t="s">
        <v>57</v>
      </c>
      <c r="C41" s="44">
        <f>C30/C13</f>
        <v>0.18524096385542169</v>
      </c>
      <c r="D41" s="44">
        <f t="shared" ref="D41:I41" si="28">D30/D13</f>
        <v>0.2103825136612022</v>
      </c>
      <c r="E41" s="44">
        <f t="shared" si="28"/>
        <v>0.25530069808784633</v>
      </c>
      <c r="F41" s="44">
        <f t="shared" si="28"/>
        <v>0.25305410122164052</v>
      </c>
      <c r="G41" s="44">
        <f t="shared" si="28"/>
        <v>0.25855111815062037</v>
      </c>
      <c r="H41" s="44">
        <f t="shared" si="28"/>
        <v>0.26409331763320576</v>
      </c>
      <c r="I41" s="44">
        <f t="shared" si="28"/>
        <v>0.24668640721940213</v>
      </c>
      <c r="J41" s="59">
        <f>LN(Table3[[#This Row],[2025]]/Table3[[#This Row],[2024]])</f>
        <v>-6.8184592976007791E-2</v>
      </c>
      <c r="K41" s="54">
        <f>LN(Table3[[#This Row],[2025]]/Table3[[#This Row],[2023]])</f>
        <v>-4.697549993491397E-2</v>
      </c>
      <c r="L41" s="59">
        <f>LN(Table3[[#This Row],[2025]]/Table3[[#This Row],[2019]])</f>
        <v>0.28646043871766058</v>
      </c>
      <c r="N41" s="27" t="s">
        <v>62</v>
      </c>
      <c r="O41" s="32">
        <f t="shared" ref="O41:T41" si="29">C25/O22</f>
        <v>0.17609335576114382</v>
      </c>
      <c r="P41" s="32">
        <f t="shared" si="29"/>
        <v>0.19527580190578445</v>
      </c>
      <c r="Q41" s="32">
        <f t="shared" si="29"/>
        <v>0.26675701839303001</v>
      </c>
      <c r="R41" s="32">
        <f t="shared" si="29"/>
        <v>0.29140163137020131</v>
      </c>
      <c r="S41" s="32">
        <f t="shared" si="29"/>
        <v>0.24908067297992126</v>
      </c>
      <c r="T41" s="32">
        <f t="shared" si="29"/>
        <v>0.22863204394199191</v>
      </c>
      <c r="U41" s="32">
        <f t="shared" ref="U41" si="30">I25/U22</f>
        <v>0.22835339816523872</v>
      </c>
      <c r="V41" s="53">
        <f>LN(Table2[[#This Row],[2025]]/Table2[[#This Row],[2024]])</f>
        <v>-1.2194953519791888E-3</v>
      </c>
      <c r="W41" s="54">
        <f>LN(Table2[[#This Row],[2025]]/Table2[[#This Row],[2023]])</f>
        <v>-8.6882410953593961E-2</v>
      </c>
      <c r="X41" s="55">
        <f>LN(Table2[[#This Row],[2025]]/Table2[[#This Row],[2019]])</f>
        <v>0.25988013603886029</v>
      </c>
    </row>
    <row r="42" spans="1:24" x14ac:dyDescent="0.2">
      <c r="B42" s="27" t="s">
        <v>61</v>
      </c>
      <c r="C42" s="44">
        <f>C30/O35</f>
        <v>0.32943754565376188</v>
      </c>
      <c r="D42" s="44">
        <f t="shared" ref="D42:I42" si="31">D30/P35</f>
        <v>0.34212516543770088</v>
      </c>
      <c r="E42" s="44">
        <f t="shared" si="31"/>
        <v>0.48077080101249287</v>
      </c>
      <c r="F42" s="44">
        <f t="shared" si="31"/>
        <v>0.53509922912907992</v>
      </c>
      <c r="G42" s="44">
        <f t="shared" si="31"/>
        <v>0.41935286561869228</v>
      </c>
      <c r="H42" s="44">
        <f t="shared" si="31"/>
        <v>0.37771696226514395</v>
      </c>
      <c r="I42" s="44">
        <f t="shared" si="31"/>
        <v>0.34278716629928974</v>
      </c>
      <c r="J42" s="59">
        <f>LN(Table3[[#This Row],[2025]]/Table3[[#This Row],[2024]])</f>
        <v>-9.7035389913582751E-2</v>
      </c>
      <c r="K42" s="61">
        <f>LN(Table3[[#This Row],[2025]]/Table3[[#This Row],[2023]])</f>
        <v>-0.20160297872824606</v>
      </c>
      <c r="L42" s="55">
        <f>LN(Table3[[#This Row],[2025]]/Table3[[#This Row],[2019]])</f>
        <v>3.9722954959727816E-2</v>
      </c>
      <c r="N42" s="27"/>
      <c r="O42" s="28"/>
      <c r="P42" s="28"/>
      <c r="Q42" s="28"/>
      <c r="R42" s="28"/>
      <c r="S42" s="28"/>
      <c r="T42" s="28"/>
      <c r="U42" s="28"/>
      <c r="V42" s="53"/>
      <c r="W42" s="54"/>
      <c r="X42" s="55"/>
    </row>
    <row r="43" spans="1:24" x14ac:dyDescent="0.2">
      <c r="B43" s="27"/>
      <c r="C43" s="45"/>
      <c r="D43" s="45"/>
      <c r="E43" s="45"/>
      <c r="F43" s="45"/>
      <c r="G43" s="45"/>
      <c r="H43" s="45"/>
      <c r="I43" s="46"/>
      <c r="J43" s="18"/>
      <c r="K43" s="21"/>
      <c r="L43" s="24"/>
      <c r="N43" s="34" t="s">
        <v>64</v>
      </c>
      <c r="O43" s="36">
        <f t="shared" ref="O43:T43" si="32">C15/O14</f>
        <v>1.8382268278641336</v>
      </c>
      <c r="P43" s="36">
        <f t="shared" si="32"/>
        <v>1.9702868852459017</v>
      </c>
      <c r="Q43" s="36">
        <f t="shared" si="32"/>
        <v>2.5328382455326062</v>
      </c>
      <c r="R43" s="36">
        <f t="shared" si="32"/>
        <v>2.0217464598786243</v>
      </c>
      <c r="S43" s="36">
        <f t="shared" si="32"/>
        <v>2.1631441048034934</v>
      </c>
      <c r="T43" s="36">
        <f t="shared" si="32"/>
        <v>2.379081350304372</v>
      </c>
      <c r="U43" s="36">
        <f t="shared" ref="U43" si="33">I15/U14</f>
        <v>2.3344040574809806</v>
      </c>
      <c r="V43" s="53">
        <f>LN(Table2[[#This Row],[2025]]/Table2[[#This Row],[2024]])</f>
        <v>-1.8957788993331059E-2</v>
      </c>
      <c r="W43" s="54">
        <f>LN(Table2[[#This Row],[2025]]/Table2[[#This Row],[2023]])</f>
        <v>7.6193869503654157E-2</v>
      </c>
      <c r="X43" s="55">
        <f>LN(Table2[[#This Row],[2025]]/Table2[[#This Row],[2019]])</f>
        <v>0.2389552104370449</v>
      </c>
    </row>
    <row r="44" spans="1:24" x14ac:dyDescent="0.2">
      <c r="N44" s="37" t="s">
        <v>63</v>
      </c>
      <c r="O44" s="39">
        <f>365/O43</f>
        <v>198.56091450046978</v>
      </c>
      <c r="P44" s="35">
        <f t="shared" ref="P44:T44" si="34">365/P43</f>
        <v>185.25221008840353</v>
      </c>
      <c r="Q44" s="35">
        <f t="shared" si="34"/>
        <v>144.10711013377315</v>
      </c>
      <c r="R44" s="35">
        <f t="shared" si="34"/>
        <v>180.53697990494456</v>
      </c>
      <c r="S44" s="35">
        <f t="shared" si="34"/>
        <v>168.73586886304909</v>
      </c>
      <c r="T44" s="35">
        <f t="shared" si="34"/>
        <v>153.42056292160967</v>
      </c>
      <c r="U44" s="35">
        <f t="shared" ref="U44" si="35">365/U43</f>
        <v>156.35682213209734</v>
      </c>
      <c r="V44" s="53">
        <f>LN(Table2[[#This Row],[2025]]/Table2[[#This Row],[2024]])</f>
        <v>1.8957788993330983E-2</v>
      </c>
      <c r="W44" s="54">
        <f>LN(Table2[[#This Row],[2025]]/Table2[[#This Row],[2023]])</f>
        <v>-7.619386950365406E-2</v>
      </c>
      <c r="X44" s="59">
        <f>LN(Table2[[#This Row],[2025]]/Table2[[#This Row],[2019]])</f>
        <v>-0.23895521043704493</v>
      </c>
    </row>
    <row r="45" spans="1:24" x14ac:dyDescent="0.2">
      <c r="N45" s="34" t="s">
        <v>65</v>
      </c>
      <c r="O45" s="40">
        <f t="shared" ref="O45:T45" si="36">C14/O14</f>
        <v>2.3667242371905584</v>
      </c>
      <c r="P45" s="36">
        <f t="shared" si="36"/>
        <v>2.4359631147540983</v>
      </c>
      <c r="Q45" s="36">
        <f t="shared" si="36"/>
        <v>2.8194476676723137</v>
      </c>
      <c r="R45" s="36">
        <f t="shared" si="36"/>
        <v>2.3250168577208363</v>
      </c>
      <c r="S45" s="36">
        <f t="shared" si="36"/>
        <v>2.468646288209607</v>
      </c>
      <c r="T45" s="36">
        <f t="shared" si="36"/>
        <v>2.6340158642316918</v>
      </c>
      <c r="U45" s="36">
        <f t="shared" ref="U45" si="37">I14/U14</f>
        <v>2.4615384615384617</v>
      </c>
      <c r="V45" s="53">
        <f>LN(Table2[[#This Row],[2025]]/Table2[[#This Row],[2024]])</f>
        <v>-6.7723080831767313E-2</v>
      </c>
      <c r="W45" s="54">
        <f>LN(Table2[[#This Row],[2025]]/Table2[[#This Row],[2023]])</f>
        <v>-2.8833936075205822E-3</v>
      </c>
      <c r="X45" s="55">
        <f>LN(Table2[[#This Row],[2025]]/Table2[[#This Row],[2019]])</f>
        <v>3.9279724681416481E-2</v>
      </c>
    </row>
    <row r="46" spans="1:24" x14ac:dyDescent="0.2">
      <c r="C46" s="41"/>
      <c r="N46" s="37" t="s">
        <v>63</v>
      </c>
      <c r="O46" s="39">
        <f>365/O45</f>
        <v>154.22160058379956</v>
      </c>
      <c r="P46" s="35">
        <f t="shared" ref="P46:T46" si="38">365/P45</f>
        <v>149.83806519453208</v>
      </c>
      <c r="Q46" s="35">
        <f t="shared" si="38"/>
        <v>129.45798008066507</v>
      </c>
      <c r="R46" s="35">
        <f t="shared" si="38"/>
        <v>156.98810904872389</v>
      </c>
      <c r="S46" s="35">
        <f t="shared" si="38"/>
        <v>147.85431260171231</v>
      </c>
      <c r="T46" s="35">
        <f t="shared" si="38"/>
        <v>138.57167868898381</v>
      </c>
      <c r="U46" s="35">
        <f t="shared" ref="U46" si="39">365/U45</f>
        <v>148.28125</v>
      </c>
      <c r="V46" s="53">
        <f>LN(Table2[[#This Row],[2025]]/Table2[[#This Row],[2024]])</f>
        <v>6.7723080831767285E-2</v>
      </c>
      <c r="W46" s="54">
        <f>LN(Table2[[#This Row],[2025]]/Table2[[#This Row],[2023]])</f>
        <v>2.883393607520528E-3</v>
      </c>
      <c r="X46" s="55">
        <f>LN(Table2[[#This Row],[2025]]/Table2[[#This Row],[2019]])</f>
        <v>-3.9279724681416307E-2</v>
      </c>
    </row>
    <row r="47" spans="1:24" x14ac:dyDescent="0.2">
      <c r="N47" s="47" t="s">
        <v>72</v>
      </c>
      <c r="O47" s="43">
        <f>O16-O29+O18+O19</f>
        <v>10687</v>
      </c>
      <c r="P47" s="43">
        <f t="shared" ref="P47:U47" si="40">P16-P29+P18+P19</f>
        <v>13980</v>
      </c>
      <c r="Q47" s="43">
        <f t="shared" si="40"/>
        <v>15176</v>
      </c>
      <c r="R47" s="43">
        <f t="shared" si="40"/>
        <v>14553</v>
      </c>
      <c r="S47" s="43">
        <f t="shared" si="40"/>
        <v>18230</v>
      </c>
      <c r="T47" s="43">
        <f t="shared" si="40"/>
        <v>19823</v>
      </c>
      <c r="U47" s="43">
        <f t="shared" si="40"/>
        <v>21199</v>
      </c>
      <c r="V47" s="59">
        <f>LN(Table2[[#This Row],[2025]]/Table2[[#This Row],[2024]])</f>
        <v>6.7111131046041689E-2</v>
      </c>
      <c r="W47" s="59">
        <f>LN(Table2[[#This Row],[2025]]/Table2[[#This Row],[2023]])</f>
        <v>0.15088542206354388</v>
      </c>
      <c r="X47" s="59">
        <f>LN(Table2[[#This Row],[2025]]/Table2[[#This Row],[2019]])</f>
        <v>0.68492596121135574</v>
      </c>
    </row>
    <row r="48" spans="1:24" x14ac:dyDescent="0.2">
      <c r="R48" s="3"/>
      <c r="S48" s="3"/>
      <c r="T48" s="3"/>
      <c r="U48" s="3"/>
    </row>
  </sheetData>
  <pageMargins left="0.25" right="0.25" top="0.75" bottom="0.75" header="0.3" footer="0.3"/>
  <pageSetup scale="47" orientation="landscape"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94FD4-2ACB-4C1C-9C21-43D1DFEEF306}">
  <dimension ref="A1:E15"/>
  <sheetViews>
    <sheetView showGridLines="0" zoomScale="140" zoomScaleNormal="140" workbookViewId="0">
      <selection activeCell="D8" sqref="D8"/>
    </sheetView>
  </sheetViews>
  <sheetFormatPr defaultColWidth="12.7109375" defaultRowHeight="15" x14ac:dyDescent="0.25"/>
  <cols>
    <col min="1" max="1" width="9.140625" style="62" customWidth="1"/>
    <col min="2" max="2" width="19.28515625" customWidth="1"/>
    <col min="3" max="3" width="21.7109375" customWidth="1"/>
    <col min="4" max="4" width="16.42578125" customWidth="1"/>
  </cols>
  <sheetData>
    <row r="1" spans="1:5" ht="15.75" x14ac:dyDescent="0.25">
      <c r="A1" s="63"/>
      <c r="B1" s="63"/>
      <c r="C1" s="63"/>
      <c r="D1" s="63"/>
      <c r="E1" s="63"/>
    </row>
    <row r="2" spans="1:5" ht="20.25" x14ac:dyDescent="0.3">
      <c r="A2" s="63"/>
      <c r="B2" s="64" t="s">
        <v>83</v>
      </c>
      <c r="C2" s="63"/>
      <c r="D2" s="63"/>
      <c r="E2" s="63"/>
    </row>
    <row r="3" spans="1:5" ht="15.75" x14ac:dyDescent="0.25">
      <c r="A3" s="63"/>
      <c r="B3" s="63"/>
      <c r="C3" s="63"/>
      <c r="D3" s="63"/>
      <c r="E3" s="63"/>
    </row>
    <row r="4" spans="1:5" ht="15.75" x14ac:dyDescent="0.25">
      <c r="A4" s="63"/>
      <c r="B4" s="65"/>
      <c r="C4" s="63"/>
      <c r="D4" s="63"/>
      <c r="E4" s="63"/>
    </row>
    <row r="5" spans="1:5" ht="15.75" x14ac:dyDescent="0.25">
      <c r="A5" s="63"/>
      <c r="B5" s="66" t="s">
        <v>73</v>
      </c>
      <c r="C5" s="67" t="s">
        <v>74</v>
      </c>
      <c r="D5" s="68" t="s">
        <v>66</v>
      </c>
      <c r="E5" s="63"/>
    </row>
    <row r="6" spans="1:5" ht="15.75" x14ac:dyDescent="0.25">
      <c r="A6" s="63"/>
      <c r="B6" s="63" t="s">
        <v>75</v>
      </c>
      <c r="C6" s="63"/>
      <c r="D6" s="69">
        <f>((Statements!I13/Statements!C13)^(1/7))-1</f>
        <v>9.9453462038541884E-2</v>
      </c>
      <c r="E6" s="63"/>
    </row>
    <row r="7" spans="1:5" ht="15.75" x14ac:dyDescent="0.25">
      <c r="A7" s="63"/>
      <c r="B7" s="63" t="s">
        <v>76</v>
      </c>
      <c r="C7" s="63"/>
      <c r="D7" s="69">
        <f>Statements!I25/Statements!I13</f>
        <v>0.29219543147208121</v>
      </c>
      <c r="E7" s="63"/>
    </row>
    <row r="8" spans="1:5" ht="15.75" x14ac:dyDescent="0.25">
      <c r="A8" s="63"/>
      <c r="B8" s="63" t="s">
        <v>61</v>
      </c>
      <c r="C8" s="63"/>
      <c r="D8" s="69">
        <f>Statements!I30/Statements!U35</f>
        <v>0.34278716629928974</v>
      </c>
      <c r="E8" s="63"/>
    </row>
    <row r="9" spans="1:5" ht="15.75" x14ac:dyDescent="0.25">
      <c r="A9" s="63"/>
      <c r="B9" s="63" t="s">
        <v>77</v>
      </c>
      <c r="C9" s="63"/>
      <c r="D9" s="69">
        <f>(Statements!I25*(Statements!I29/Statements!I28))/Statements!U47</f>
        <v>9.5864899084177127E-2</v>
      </c>
      <c r="E9" s="63"/>
    </row>
    <row r="10" spans="1:5" ht="15.75" x14ac:dyDescent="0.25">
      <c r="A10" s="63"/>
      <c r="B10" s="63" t="s">
        <v>78</v>
      </c>
      <c r="C10" s="63"/>
      <c r="D10" s="70">
        <f>Statements!U37/Statements!I25</f>
        <v>0.79080709373868985</v>
      </c>
      <c r="E10" s="63"/>
    </row>
    <row r="11" spans="1:5" ht="15.75" x14ac:dyDescent="0.25">
      <c r="A11" s="63"/>
      <c r="B11" s="63" t="s">
        <v>79</v>
      </c>
      <c r="C11" s="63"/>
      <c r="D11" s="71">
        <f>_xlfn.STDEV.S(Statements!C35:I35)</f>
        <v>2.3251312008912537</v>
      </c>
      <c r="E11" s="63"/>
    </row>
    <row r="12" spans="1:5" ht="15.75" x14ac:dyDescent="0.25">
      <c r="A12" s="63"/>
      <c r="B12" s="63" t="s">
        <v>80</v>
      </c>
      <c r="C12" s="63"/>
      <c r="D12" s="71">
        <f>Statements!U39</f>
        <v>31.097859814211603</v>
      </c>
      <c r="E12" s="63"/>
    </row>
    <row r="13" spans="1:5" ht="15.75" x14ac:dyDescent="0.25">
      <c r="A13" s="63"/>
      <c r="B13" s="63" t="s">
        <v>81</v>
      </c>
      <c r="C13" s="63"/>
      <c r="D13" s="72" t="s">
        <v>82</v>
      </c>
      <c r="E13" s="63"/>
    </row>
    <row r="14" spans="1:5" ht="15.75" x14ac:dyDescent="0.25">
      <c r="A14" s="63"/>
      <c r="B14" s="65"/>
      <c r="C14" s="63"/>
      <c r="D14" s="63"/>
      <c r="E14" s="63"/>
    </row>
    <row r="15" spans="1:5" ht="15.75" x14ac:dyDescent="0.25">
      <c r="A15" s="63"/>
      <c r="B15" s="65"/>
      <c r="C15" s="63"/>
      <c r="D15" s="63"/>
      <c r="E15" s="63"/>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6" ma:contentTypeDescription="Create a new document." ma:contentTypeScope="" ma:versionID="5914cc59b3ac3e0af91e183125dbf667">
  <xsd:schema xmlns:xsd="http://www.w3.org/2001/XMLSchema" xmlns:xs="http://www.w3.org/2001/XMLSchema" xmlns:p="http://schemas.microsoft.com/office/2006/metadata/properties" xmlns:ns3="36567613-e428-4167-ab55-a4f66cede826" targetNamespace="http://schemas.microsoft.com/office/2006/metadata/properties" ma:root="true" ma:fieldsID="3f536e8bcdade1d0b1324d4e87301424"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element ref="ns3:MediaServiceObjectDetectorVersions" minOccurs="0"/>
                <xsd:element ref="ns3:MediaServiceSearchProperties"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F651022-0199-4557-A5E0-2647DE8CBDA4}">
  <ds:schemaRefs>
    <ds:schemaRef ds:uri="http://schemas.microsoft.com/sharepoint/v3/contenttype/forms"/>
  </ds:schemaRefs>
</ds:datastoreItem>
</file>

<file path=customXml/itemProps2.xml><?xml version="1.0" encoding="utf-8"?>
<ds:datastoreItem xmlns:ds="http://schemas.openxmlformats.org/officeDocument/2006/customXml" ds:itemID="{D6473ABC-F7C9-4E3B-8197-89ACD4AA6984}">
  <ds:schemaRefs>
    <ds:schemaRef ds:uri="http://purl.org/dc/dcmitype/"/>
    <ds:schemaRef ds:uri="http://schemas.microsoft.com/office/2006/metadata/properties"/>
    <ds:schemaRef ds:uri="http://purl.org/dc/elements/1.1/"/>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 ds:uri="http://purl.org/dc/terms/"/>
    <ds:schemaRef ds:uri="36567613-e428-4167-ab55-a4f66cede826"/>
  </ds:schemaRefs>
</ds:datastoreItem>
</file>

<file path=customXml/itemProps3.xml><?xml version="1.0" encoding="utf-8"?>
<ds:datastoreItem xmlns:ds="http://schemas.openxmlformats.org/officeDocument/2006/customXml" ds:itemID="{B9F24C38-B9F8-4887-A8B0-D25FD00F40C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Statements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 Gonzalez Herrera</dc:creator>
  <cp:lastModifiedBy>Abraham Gonzalez Herrera</cp:lastModifiedBy>
  <cp:lastPrinted>2026-05-28T05:03:59Z</cp:lastPrinted>
  <dcterms:created xsi:type="dcterms:W3CDTF">2025-02-17T16:55:45Z</dcterms:created>
  <dcterms:modified xsi:type="dcterms:W3CDTF">2026-06-29T21:49:43Z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y fmtid="{D5CDD505-2E9C-101B-9397-08002B2CF9AE}" pid="3" name="MSIP_Label_bc50c7b0-9e53-455f-9b3f-deab1aa8a41e_Enabled">
    <vt:lpwstr>true</vt:lpwstr>
  </property>
  <property fmtid="{D5CDD505-2E9C-101B-9397-08002B2CF9AE}" pid="4" name="MSIP_Label_bc50c7b0-9e53-455f-9b3f-deab1aa8a41e_SetDate">
    <vt:lpwstr>2025-06-20T17:25:35Z</vt:lpwstr>
  </property>
  <property fmtid="{D5CDD505-2E9C-101B-9397-08002B2CF9AE}" pid="5" name="MSIP_Label_bc50c7b0-9e53-455f-9b3f-deab1aa8a41e_Method">
    <vt:lpwstr>Standard</vt:lpwstr>
  </property>
  <property fmtid="{D5CDD505-2E9C-101B-9397-08002B2CF9AE}" pid="6" name="MSIP_Label_bc50c7b0-9e53-455f-9b3f-deab1aa8a41e_Name">
    <vt:lpwstr>defa4170-0d19-0005-0004-bc88714345d2</vt:lpwstr>
  </property>
  <property fmtid="{D5CDD505-2E9C-101B-9397-08002B2CF9AE}" pid="7" name="MSIP_Label_bc50c7b0-9e53-455f-9b3f-deab1aa8a41e_SiteId">
    <vt:lpwstr>7cc8e357-468d-472c-a6fc-c5600e789b55</vt:lpwstr>
  </property>
  <property fmtid="{D5CDD505-2E9C-101B-9397-08002B2CF9AE}" pid="8" name="MSIP_Label_bc50c7b0-9e53-455f-9b3f-deab1aa8a41e_ActionId">
    <vt:lpwstr>6c9b905d-711e-49a5-ab9e-f6d71b6aeaa6</vt:lpwstr>
  </property>
  <property fmtid="{D5CDD505-2E9C-101B-9397-08002B2CF9AE}" pid="9" name="MSIP_Label_bc50c7b0-9e53-455f-9b3f-deab1aa8a41e_ContentBits">
    <vt:lpwstr>0</vt:lpwstr>
  </property>
  <property fmtid="{D5CDD505-2E9C-101B-9397-08002B2CF9AE}" pid="10" name="MSIP_Label_bc50c7b0-9e53-455f-9b3f-deab1aa8a41e_Tag">
    <vt:lpwstr>10, 3, 0, 1</vt:lpwstr>
  </property>
</Properties>
</file>