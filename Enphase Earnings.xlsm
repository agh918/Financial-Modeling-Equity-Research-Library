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170" documentId="8_{D0B85A6D-F467-480C-9A01-30D98CD36897}" xr6:coauthVersionLast="47" xr6:coauthVersionMax="47" xr10:uidLastSave="{AE34AF7E-8574-42D7-9670-779C7A4C075B}"/>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66" i="1" l="1"/>
  <c r="AB66" i="1"/>
  <c r="AC65" i="1"/>
  <c r="AB65" i="1"/>
  <c r="AC64" i="1"/>
  <c r="AB64" i="1"/>
  <c r="AC63" i="1"/>
  <c r="AB63" i="1"/>
  <c r="AC62" i="1"/>
  <c r="AB62" i="1"/>
  <c r="AC59" i="1"/>
  <c r="AB59" i="1"/>
  <c r="AC58" i="1"/>
  <c r="AB58" i="1"/>
  <c r="AC57" i="1"/>
  <c r="AB57" i="1"/>
  <c r="AC56" i="1"/>
  <c r="AB56" i="1"/>
  <c r="AC55" i="1"/>
  <c r="AB55" i="1"/>
  <c r="AC54" i="1"/>
  <c r="AB54" i="1"/>
  <c r="AC53" i="1"/>
  <c r="AB53" i="1"/>
  <c r="AC52" i="1"/>
  <c r="AB52" i="1"/>
  <c r="AC51" i="1"/>
  <c r="AB51" i="1"/>
  <c r="AC50" i="1"/>
  <c r="AB50" i="1"/>
  <c r="AC49" i="1"/>
  <c r="AB49" i="1"/>
  <c r="AC48" i="1"/>
  <c r="AB48"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6" i="1"/>
  <c r="AB26" i="1"/>
  <c r="AC25" i="1"/>
  <c r="AB25" i="1"/>
  <c r="AC24" i="1"/>
  <c r="AB24" i="1"/>
  <c r="AC23" i="1"/>
  <c r="AB23" i="1"/>
  <c r="AC22" i="1"/>
  <c r="AB22" i="1"/>
  <c r="AC20" i="1"/>
  <c r="AB20" i="1"/>
  <c r="AC19" i="1"/>
  <c r="AB19" i="1"/>
  <c r="AC18" i="1"/>
  <c r="AB18" i="1"/>
  <c r="AC17" i="1"/>
  <c r="AB17" i="1"/>
  <c r="AC16" i="1"/>
  <c r="AB16" i="1"/>
  <c r="AC13" i="1"/>
  <c r="AB13" i="1"/>
  <c r="AC12" i="1"/>
  <c r="AB12" i="1"/>
  <c r="AC11" i="1"/>
  <c r="AB11" i="1"/>
  <c r="AC9" i="1"/>
  <c r="AB9" i="1"/>
  <c r="AC8" i="1"/>
  <c r="AB8" i="1"/>
  <c r="AC7" i="1"/>
  <c r="AB7" i="1"/>
  <c r="AC6" i="1"/>
  <c r="AB6" i="1"/>
  <c r="AC5" i="1"/>
  <c r="AB5" i="1"/>
  <c r="Z58" i="1"/>
  <c r="Y58" i="1"/>
  <c r="Z57" i="1"/>
  <c r="Y57" i="1"/>
  <c r="Z56" i="1"/>
  <c r="Y56" i="1"/>
  <c r="Z55" i="1"/>
  <c r="Y55" i="1"/>
  <c r="Z54" i="1"/>
  <c r="Y54" i="1"/>
  <c r="Z52" i="1"/>
  <c r="Y52" i="1"/>
  <c r="Z51" i="1"/>
  <c r="Y51" i="1"/>
  <c r="Z50" i="1"/>
  <c r="Y50" i="1"/>
  <c r="Z49" i="1"/>
  <c r="Y49" i="1"/>
  <c r="Z48" i="1"/>
  <c r="Y48" i="1"/>
  <c r="Z43" i="1"/>
  <c r="Y43" i="1"/>
  <c r="Z42" i="1"/>
  <c r="Y42" i="1"/>
  <c r="Z41" i="1"/>
  <c r="Y41" i="1"/>
  <c r="Z40" i="1"/>
  <c r="Y40" i="1"/>
  <c r="Z39" i="1"/>
  <c r="Y39" i="1"/>
  <c r="Z38" i="1"/>
  <c r="Y38" i="1"/>
  <c r="Z37" i="1"/>
  <c r="Y37" i="1"/>
  <c r="Z35" i="1"/>
  <c r="Y35" i="1"/>
  <c r="Z34" i="1"/>
  <c r="Y34" i="1"/>
  <c r="Z33" i="1"/>
  <c r="Y33" i="1"/>
  <c r="Z32" i="1"/>
  <c r="Y32" i="1"/>
  <c r="Z31" i="1"/>
  <c r="Y31" i="1"/>
  <c r="Z30" i="1"/>
  <c r="Y30" i="1"/>
  <c r="Z25" i="1"/>
  <c r="Y25" i="1"/>
  <c r="Z23" i="1"/>
  <c r="Y23" i="1"/>
  <c r="Z19" i="1"/>
  <c r="Y19" i="1"/>
  <c r="Z18" i="1"/>
  <c r="Y18" i="1"/>
  <c r="Z17" i="1"/>
  <c r="Y17" i="1"/>
  <c r="Z16" i="1"/>
  <c r="Y16" i="1"/>
  <c r="Z12" i="1"/>
  <c r="Y12" i="1"/>
  <c r="Z11" i="1"/>
  <c r="Y11" i="1"/>
  <c r="Z6" i="1"/>
  <c r="Y6" i="1"/>
  <c r="Z5" i="1"/>
  <c r="Y5" i="1"/>
  <c r="AE9" i="1" l="1"/>
  <c r="AD9" i="1"/>
  <c r="AA9" i="1"/>
  <c r="X9" i="1"/>
  <c r="AE8" i="1"/>
  <c r="AD8" i="1"/>
  <c r="AA8" i="1"/>
  <c r="X8" i="1"/>
  <c r="AE7" i="1"/>
  <c r="AD7" i="1"/>
  <c r="AA7" i="1"/>
  <c r="X7" i="1"/>
  <c r="V9" i="1"/>
  <c r="U9" i="1"/>
  <c r="T9" i="1"/>
  <c r="S9" i="1"/>
  <c r="R9" i="1"/>
  <c r="Q9" i="1"/>
  <c r="P9" i="1"/>
  <c r="O9" i="1"/>
  <c r="N9" i="1"/>
  <c r="M9" i="1"/>
  <c r="L9" i="1"/>
  <c r="K9" i="1"/>
  <c r="J9" i="1"/>
  <c r="I9" i="1"/>
  <c r="H9" i="1"/>
  <c r="G9" i="1"/>
  <c r="F9" i="1"/>
  <c r="E9" i="1"/>
  <c r="D9" i="1"/>
  <c r="C9" i="1"/>
  <c r="B9" i="1"/>
  <c r="V8" i="1"/>
  <c r="U8" i="1"/>
  <c r="T8" i="1"/>
  <c r="S8" i="1"/>
  <c r="R8" i="1"/>
  <c r="Q8" i="1"/>
  <c r="P8" i="1"/>
  <c r="O8" i="1"/>
  <c r="N8" i="1"/>
  <c r="M8" i="1"/>
  <c r="L8" i="1"/>
  <c r="K8" i="1"/>
  <c r="J8" i="1"/>
  <c r="I8" i="1"/>
  <c r="H8" i="1"/>
  <c r="G8" i="1"/>
  <c r="F8" i="1"/>
  <c r="E8" i="1"/>
  <c r="D8" i="1"/>
  <c r="C8" i="1"/>
  <c r="B8" i="1"/>
  <c r="V7" i="1"/>
  <c r="U7" i="1"/>
  <c r="T7" i="1"/>
  <c r="S7" i="1"/>
  <c r="R7" i="1"/>
  <c r="Q7" i="1"/>
  <c r="P7" i="1"/>
  <c r="O7" i="1"/>
  <c r="N7" i="1"/>
  <c r="M7" i="1"/>
  <c r="L7" i="1"/>
  <c r="K7" i="1"/>
  <c r="J7" i="1"/>
  <c r="I7" i="1"/>
  <c r="H7" i="1"/>
  <c r="G7" i="1"/>
  <c r="F7" i="1"/>
  <c r="E7" i="1"/>
  <c r="D7" i="1"/>
  <c r="C7" i="1"/>
  <c r="B7" i="1"/>
  <c r="W9" i="1"/>
  <c r="W8" i="1"/>
  <c r="AE59" i="1"/>
  <c r="C53" i="1"/>
  <c r="C59" i="1" s="1"/>
  <c r="D53" i="1"/>
  <c r="D59" i="1" s="1"/>
  <c r="E53" i="1"/>
  <c r="E59" i="1" s="1"/>
  <c r="F53" i="1"/>
  <c r="F59" i="1" s="1"/>
  <c r="G53" i="1"/>
  <c r="G59" i="1" s="1"/>
  <c r="H53" i="1"/>
  <c r="H59" i="1" s="1"/>
  <c r="I53" i="1"/>
  <c r="I59" i="1" s="1"/>
  <c r="J53" i="1"/>
  <c r="J59" i="1" s="1"/>
  <c r="K53" i="1"/>
  <c r="K59" i="1" s="1"/>
  <c r="L53" i="1"/>
  <c r="L59" i="1" s="1"/>
  <c r="M53" i="1"/>
  <c r="M59" i="1" s="1"/>
  <c r="N53" i="1"/>
  <c r="N59" i="1" s="1"/>
  <c r="O53" i="1"/>
  <c r="O59" i="1" s="1"/>
  <c r="P53" i="1"/>
  <c r="P59" i="1" s="1"/>
  <c r="Q53" i="1"/>
  <c r="Q59" i="1" s="1"/>
  <c r="R53" i="1"/>
  <c r="R59" i="1" s="1"/>
  <c r="S53" i="1"/>
  <c r="S59" i="1" s="1"/>
  <c r="T53" i="1"/>
  <c r="T59" i="1" s="1"/>
  <c r="U53" i="1"/>
  <c r="U59" i="1" s="1"/>
  <c r="V53" i="1"/>
  <c r="W53" i="1"/>
  <c r="X53" i="1"/>
  <c r="AA53" i="1"/>
  <c r="AA59" i="1" s="1"/>
  <c r="AD53" i="1"/>
  <c r="AD59" i="1" s="1"/>
  <c r="AE53" i="1"/>
  <c r="B53" i="1"/>
  <c r="B59" i="1" s="1"/>
  <c r="C36" i="1"/>
  <c r="D36" i="1"/>
  <c r="E36" i="1"/>
  <c r="F36" i="1"/>
  <c r="G36" i="1"/>
  <c r="H36" i="1"/>
  <c r="I36" i="1"/>
  <c r="J36" i="1"/>
  <c r="K36" i="1"/>
  <c r="L36" i="1"/>
  <c r="M36" i="1"/>
  <c r="N36" i="1"/>
  <c r="N44" i="1" s="1"/>
  <c r="O36" i="1"/>
  <c r="P36" i="1"/>
  <c r="Q36" i="1"/>
  <c r="R36" i="1"/>
  <c r="S36" i="1"/>
  <c r="T36" i="1"/>
  <c r="U36" i="1"/>
  <c r="V36" i="1"/>
  <c r="W36" i="1"/>
  <c r="X36" i="1"/>
  <c r="AA36" i="1"/>
  <c r="AD36" i="1"/>
  <c r="AE36" i="1"/>
  <c r="B36" i="1"/>
  <c r="W20" i="1"/>
  <c r="X20" i="1"/>
  <c r="AA20" i="1"/>
  <c r="AD20" i="1"/>
  <c r="AE20" i="1"/>
  <c r="W13" i="1"/>
  <c r="X13" i="1"/>
  <c r="AA13" i="1"/>
  <c r="AA64" i="1" s="1"/>
  <c r="AD13" i="1"/>
  <c r="AE13" i="1"/>
  <c r="AE64" i="1" s="1"/>
  <c r="W7" i="1"/>
  <c r="A4" i="1" a="1"/>
  <c r="A4" i="1" s="1"/>
  <c r="E25" i="1"/>
  <c r="E19" i="1"/>
  <c r="E18" i="1"/>
  <c r="E16" i="1"/>
  <c r="E12" i="1"/>
  <c r="I18" i="1"/>
  <c r="Q19" i="1"/>
  <c r="T13" i="1"/>
  <c r="T64" i="1" s="1"/>
  <c r="T20" i="1"/>
  <c r="V20" i="1"/>
  <c r="V13" i="1"/>
  <c r="S20" i="1"/>
  <c r="S13" i="1"/>
  <c r="S64" i="1" s="1"/>
  <c r="R20" i="1"/>
  <c r="R13" i="1"/>
  <c r="R64" i="1" s="1"/>
  <c r="P20" i="1"/>
  <c r="P13" i="1"/>
  <c r="P64" i="1" s="1"/>
  <c r="O20" i="1"/>
  <c r="O13" i="1"/>
  <c r="O64" i="1" s="1"/>
  <c r="N20" i="1"/>
  <c r="N13" i="1"/>
  <c r="N64" i="1" s="1"/>
  <c r="L20" i="1"/>
  <c r="L13" i="1"/>
  <c r="L64" i="1" s="1"/>
  <c r="K20" i="1"/>
  <c r="K13" i="1"/>
  <c r="K64" i="1" s="1"/>
  <c r="J20" i="1"/>
  <c r="J13" i="1"/>
  <c r="J64" i="1" s="1"/>
  <c r="H20" i="1"/>
  <c r="H13" i="1"/>
  <c r="H64" i="1" s="1"/>
  <c r="G20" i="1"/>
  <c r="G13" i="1"/>
  <c r="G64" i="1" s="1"/>
  <c r="F20" i="1"/>
  <c r="F13" i="1"/>
  <c r="F64" i="1" s="1"/>
  <c r="E17" i="1"/>
  <c r="E11" i="1"/>
  <c r="D20" i="1"/>
  <c r="D13" i="1"/>
  <c r="D64" i="1" s="1"/>
  <c r="C20" i="1"/>
  <c r="C13" i="1"/>
  <c r="C64" i="1" s="1"/>
  <c r="B20" i="1"/>
  <c r="B13" i="1"/>
  <c r="B64" i="1" s="1"/>
  <c r="Z36" i="1" l="1"/>
  <c r="Y36" i="1"/>
  <c r="Z7" i="1"/>
  <c r="Y7" i="1"/>
  <c r="Z13" i="1"/>
  <c r="Y13" i="1"/>
  <c r="Z8" i="1"/>
  <c r="Y8" i="1"/>
  <c r="Z20" i="1"/>
  <c r="Y20" i="1"/>
  <c r="X59" i="1"/>
  <c r="Y53" i="1"/>
  <c r="Z53" i="1"/>
  <c r="Y9" i="1"/>
  <c r="Z9" i="1"/>
  <c r="I66" i="1"/>
  <c r="L66" i="1"/>
  <c r="K66" i="1"/>
  <c r="W62" i="1"/>
  <c r="D62" i="1"/>
  <c r="T62" i="1"/>
  <c r="J62" i="1"/>
  <c r="L44" i="1"/>
  <c r="K44" i="1"/>
  <c r="W59" i="1"/>
  <c r="AE62" i="1"/>
  <c r="V64" i="1"/>
  <c r="E62" i="1"/>
  <c r="U62" i="1"/>
  <c r="K62" i="1"/>
  <c r="X62" i="1"/>
  <c r="W64" i="1"/>
  <c r="F62" i="1"/>
  <c r="V62" i="1"/>
  <c r="L62" i="1"/>
  <c r="AA62" i="1"/>
  <c r="I44" i="1"/>
  <c r="I61" i="1" s="1"/>
  <c r="V59" i="1"/>
  <c r="N66" i="1"/>
  <c r="G62" i="1"/>
  <c r="M62" i="1"/>
  <c r="H62" i="1"/>
  <c r="N62" i="1"/>
  <c r="O62" i="1"/>
  <c r="P62" i="1"/>
  <c r="Q62" i="1"/>
  <c r="B62" i="1"/>
  <c r="R62" i="1"/>
  <c r="C62" i="1"/>
  <c r="S62" i="1"/>
  <c r="I62" i="1"/>
  <c r="AD62" i="1"/>
  <c r="C44" i="1"/>
  <c r="C61" i="1" s="1"/>
  <c r="C66" i="1"/>
  <c r="R44" i="1"/>
  <c r="R61" i="1" s="1"/>
  <c r="R66" i="1"/>
  <c r="O44" i="1"/>
  <c r="O66" i="1"/>
  <c r="P44" i="1"/>
  <c r="P61" i="1" s="1"/>
  <c r="P66" i="1"/>
  <c r="M44" i="1"/>
  <c r="M61" i="1" s="1"/>
  <c r="M66" i="1"/>
  <c r="X22" i="1"/>
  <c r="X64" i="1"/>
  <c r="B44" i="1"/>
  <c r="B61" i="1" s="1"/>
  <c r="B66" i="1"/>
  <c r="AE44" i="1"/>
  <c r="AE61" i="1" s="1"/>
  <c r="AE66" i="1"/>
  <c r="Q44" i="1"/>
  <c r="Q61" i="1" s="1"/>
  <c r="Q66" i="1"/>
  <c r="AD44" i="1"/>
  <c r="AD61" i="1" s="1"/>
  <c r="AD66" i="1"/>
  <c r="J44" i="1"/>
  <c r="J61" i="1" s="1"/>
  <c r="J66" i="1"/>
  <c r="AA44" i="1"/>
  <c r="AA66" i="1"/>
  <c r="X44" i="1"/>
  <c r="X66" i="1"/>
  <c r="H44" i="1"/>
  <c r="H61" i="1" s="1"/>
  <c r="H66" i="1"/>
  <c r="S44" i="1"/>
  <c r="S61" i="1" s="1"/>
  <c r="S66" i="1"/>
  <c r="W44" i="1"/>
  <c r="W66" i="1"/>
  <c r="G44" i="1"/>
  <c r="G61" i="1" s="1"/>
  <c r="G66" i="1"/>
  <c r="V44" i="1"/>
  <c r="V66" i="1"/>
  <c r="F44" i="1"/>
  <c r="F61" i="1" s="1"/>
  <c r="F66" i="1"/>
  <c r="AD22" i="1"/>
  <c r="AD24" i="1" s="1"/>
  <c r="AD26" i="1" s="1"/>
  <c r="AD67" i="1" s="1"/>
  <c r="AD64" i="1"/>
  <c r="U44" i="1"/>
  <c r="U61" i="1" s="1"/>
  <c r="U66" i="1"/>
  <c r="E44" i="1"/>
  <c r="E61" i="1" s="1"/>
  <c r="E66" i="1"/>
  <c r="T44" i="1"/>
  <c r="T61" i="1" s="1"/>
  <c r="T66" i="1"/>
  <c r="D44" i="1"/>
  <c r="D61" i="1" s="1"/>
  <c r="D66" i="1"/>
  <c r="W22" i="1"/>
  <c r="AE22" i="1"/>
  <c r="AE24" i="1" s="1"/>
  <c r="AE26" i="1" s="1"/>
  <c r="AA22" i="1"/>
  <c r="AA24" i="1" s="1"/>
  <c r="AA26" i="1" s="1"/>
  <c r="I17" i="1"/>
  <c r="I19" i="1"/>
  <c r="I23" i="1"/>
  <c r="I12" i="1"/>
  <c r="E23" i="1"/>
  <c r="I11" i="1"/>
  <c r="M18" i="1"/>
  <c r="M11" i="1"/>
  <c r="I16" i="1"/>
  <c r="M25" i="1"/>
  <c r="M16" i="1"/>
  <c r="M17" i="1"/>
  <c r="I25" i="1"/>
  <c r="M12" i="1"/>
  <c r="Q17" i="1"/>
  <c r="Q11" i="1"/>
  <c r="Q25" i="1"/>
  <c r="Q16" i="1"/>
  <c r="M23" i="1"/>
  <c r="K61" i="1"/>
  <c r="O61" i="1"/>
  <c r="Q18" i="1"/>
  <c r="Q23" i="1"/>
  <c r="Q12" i="1"/>
  <c r="R22" i="1"/>
  <c r="R24" i="1" s="1"/>
  <c r="R26" i="1" s="1"/>
  <c r="P22" i="1"/>
  <c r="T22" i="1"/>
  <c r="N22" i="1"/>
  <c r="L22" i="1"/>
  <c r="S22" i="1"/>
  <c r="V22" i="1"/>
  <c r="F22" i="1"/>
  <c r="B22" i="1"/>
  <c r="B24" i="1" s="1"/>
  <c r="B26" i="1" s="1"/>
  <c r="K22" i="1"/>
  <c r="D22" i="1"/>
  <c r="N61" i="1"/>
  <c r="O22" i="1"/>
  <c r="L61" i="1"/>
  <c r="H22" i="1"/>
  <c r="J22" i="1"/>
  <c r="G22" i="1"/>
  <c r="C22" i="1"/>
  <c r="E13" i="1"/>
  <c r="E64" i="1" s="1"/>
  <c r="E20" i="1"/>
  <c r="AA61" i="1" l="1"/>
  <c r="AC44" i="1"/>
  <c r="AB44" i="1"/>
  <c r="AE67" i="1"/>
  <c r="Z64" i="1"/>
  <c r="Y64" i="1"/>
  <c r="X24" i="1"/>
  <c r="Z22" i="1"/>
  <c r="Y22" i="1"/>
  <c r="Z62" i="1"/>
  <c r="Y62" i="1"/>
  <c r="Y66" i="1"/>
  <c r="Z66" i="1"/>
  <c r="X61" i="1"/>
  <c r="Z44" i="1"/>
  <c r="Y44" i="1"/>
  <c r="Z59" i="1"/>
  <c r="Y59" i="1"/>
  <c r="R67" i="1"/>
  <c r="AA67" i="1"/>
  <c r="B67" i="1"/>
  <c r="V61" i="1"/>
  <c r="W24" i="1"/>
  <c r="W61" i="1"/>
  <c r="R65" i="1"/>
  <c r="R63" i="1"/>
  <c r="AD65" i="1"/>
  <c r="AD63" i="1"/>
  <c r="B65" i="1"/>
  <c r="B63" i="1"/>
  <c r="AA65" i="1"/>
  <c r="AA63" i="1"/>
  <c r="AE65" i="1"/>
  <c r="AE63" i="1"/>
  <c r="I20" i="1"/>
  <c r="I13" i="1"/>
  <c r="I64" i="1" s="1"/>
  <c r="C24" i="1"/>
  <c r="M13" i="1"/>
  <c r="M64" i="1" s="1"/>
  <c r="D24" i="1"/>
  <c r="M20" i="1"/>
  <c r="F24" i="1"/>
  <c r="G24" i="1"/>
  <c r="H24" i="1"/>
  <c r="Q13" i="1"/>
  <c r="J24" i="1"/>
  <c r="Q20" i="1"/>
  <c r="K24" i="1"/>
  <c r="L24" i="1"/>
  <c r="N24" i="1"/>
  <c r="O24" i="1"/>
  <c r="P24" i="1"/>
  <c r="S24" i="1"/>
  <c r="T24" i="1"/>
  <c r="V24" i="1"/>
  <c r="E22" i="1"/>
  <c r="AC61" i="1" l="1"/>
  <c r="AB61" i="1"/>
  <c r="Z61" i="1"/>
  <c r="Y61" i="1"/>
  <c r="X26" i="1"/>
  <c r="Z24" i="1"/>
  <c r="Y24" i="1"/>
  <c r="W26" i="1"/>
  <c r="W67" i="1" s="1"/>
  <c r="Q64" i="1"/>
  <c r="I22" i="1"/>
  <c r="I24" i="1" s="1"/>
  <c r="M22" i="1"/>
  <c r="M24" i="1" s="1"/>
  <c r="C26" i="1"/>
  <c r="C67" i="1" s="1"/>
  <c r="D26" i="1"/>
  <c r="D67" i="1" s="1"/>
  <c r="E24" i="1"/>
  <c r="F26" i="1"/>
  <c r="F67" i="1" s="1"/>
  <c r="G26" i="1"/>
  <c r="G67" i="1" s="1"/>
  <c r="H26" i="1"/>
  <c r="H67" i="1" s="1"/>
  <c r="Q22" i="1"/>
  <c r="J26" i="1"/>
  <c r="J67" i="1" s="1"/>
  <c r="K26" i="1"/>
  <c r="K67" i="1" s="1"/>
  <c r="L26" i="1"/>
  <c r="L67" i="1" s="1"/>
  <c r="N26" i="1"/>
  <c r="N67" i="1" s="1"/>
  <c r="O26" i="1"/>
  <c r="O67" i="1" s="1"/>
  <c r="P26" i="1"/>
  <c r="P67" i="1" s="1"/>
  <c r="S26" i="1"/>
  <c r="S67" i="1" s="1"/>
  <c r="T26" i="1"/>
  <c r="T67" i="1" s="1"/>
  <c r="V26" i="1"/>
  <c r="V67" i="1" s="1"/>
  <c r="U17" i="1"/>
  <c r="U25" i="1"/>
  <c r="U16" i="1"/>
  <c r="U23" i="1"/>
  <c r="U11" i="1"/>
  <c r="U19" i="1"/>
  <c r="U18" i="1"/>
  <c r="U12" i="1"/>
  <c r="X67" i="1" l="1"/>
  <c r="AC67" i="1" s="1"/>
  <c r="Z26" i="1"/>
  <c r="Y26" i="1"/>
  <c r="X65" i="1"/>
  <c r="X63" i="1"/>
  <c r="W65" i="1"/>
  <c r="W63" i="1"/>
  <c r="L65" i="1"/>
  <c r="L63" i="1"/>
  <c r="P65" i="1"/>
  <c r="P63" i="1"/>
  <c r="K65" i="1"/>
  <c r="K63" i="1"/>
  <c r="G65" i="1"/>
  <c r="G63" i="1"/>
  <c r="N65" i="1"/>
  <c r="N63" i="1"/>
  <c r="O65" i="1"/>
  <c r="O63" i="1"/>
  <c r="F65" i="1"/>
  <c r="F63" i="1"/>
  <c r="S65" i="1"/>
  <c r="S63" i="1"/>
  <c r="J65" i="1"/>
  <c r="J63" i="1"/>
  <c r="H65" i="1"/>
  <c r="H63" i="1"/>
  <c r="D65" i="1"/>
  <c r="D63" i="1"/>
  <c r="C65" i="1"/>
  <c r="C63" i="1"/>
  <c r="V65" i="1"/>
  <c r="V63" i="1"/>
  <c r="T65" i="1"/>
  <c r="T63" i="1"/>
  <c r="Q24" i="1"/>
  <c r="E26" i="1"/>
  <c r="E67" i="1" s="1"/>
  <c r="I26" i="1"/>
  <c r="I67" i="1" s="1"/>
  <c r="M26" i="1"/>
  <c r="M67" i="1" s="1"/>
  <c r="U20" i="1"/>
  <c r="U13" i="1"/>
  <c r="U64" i="1" s="1"/>
  <c r="Z63" i="1" l="1"/>
  <c r="Y63" i="1"/>
  <c r="Z65" i="1"/>
  <c r="Y65" i="1"/>
  <c r="Z67" i="1"/>
  <c r="Y67" i="1"/>
  <c r="Q26" i="1"/>
  <c r="Q67" i="1" s="1"/>
  <c r="M65" i="1"/>
  <c r="M63" i="1"/>
  <c r="I65" i="1"/>
  <c r="I63" i="1"/>
  <c r="E65" i="1"/>
  <c r="E63" i="1"/>
  <c r="U22" i="1"/>
  <c r="Q63" i="1" l="1"/>
  <c r="Q65" i="1"/>
  <c r="U24" i="1"/>
  <c r="U26" i="1" l="1"/>
  <c r="U67" i="1" s="1"/>
  <c r="AB67" i="1" s="1"/>
  <c r="U65" i="1" l="1"/>
  <c r="U6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<sst xmlns="http://schemas.openxmlformats.org/spreadsheetml/2006/main" count="93" uniqueCount="87">
  <si>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</si>
  <si>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</si>
  <si>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</si>
  <si>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</si>
  <si>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</si>
  <si>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</si>
  <si>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</si>
  <si>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</si>
  <si>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</si>
  <si>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</si>
  <si>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</si>
  <si>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</si>
  <si>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</si>
  <si>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</si>
  <si>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</si>
  <si>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</si>
  <si>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</si>
  <si>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</si>
  <si>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</si>
  <si>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</si>
  <si>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</si>
  <si>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</si>
  <si>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</si>
  <si>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</si>
  <si>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Net revenues</t>
  </si>
  <si>
    <t>Cost of revenues</t>
  </si>
  <si>
    <t>Gross profit</t>
  </si>
  <si>
    <t>Operating expenses</t>
  </si>
  <si>
    <t>Research &amp; development</t>
  </si>
  <si>
    <t>Sales &amp; marketing</t>
  </si>
  <si>
    <t>General &amp; administrative</t>
  </si>
  <si>
    <t>Restructuring charges</t>
  </si>
  <si>
    <t>Total operating expenses</t>
  </si>
  <si>
    <t>Gain/loss from operations</t>
  </si>
  <si>
    <t>Other income (expense)</t>
  </si>
  <si>
    <t>Net income (loss)</t>
  </si>
  <si>
    <t>Income before income taxes</t>
  </si>
  <si>
    <t>Assets</t>
  </si>
  <si>
    <t>Current assets</t>
  </si>
  <si>
    <t>Cash &amp; cash equivalents</t>
  </si>
  <si>
    <t>Accounts receivable, net</t>
  </si>
  <si>
    <t>Inventory</t>
  </si>
  <si>
    <t>Prepaid expenses &amp; other</t>
  </si>
  <si>
    <t>Property &amp; equipment</t>
  </si>
  <si>
    <t>Goodwill</t>
  </si>
  <si>
    <t>Intangibles, net</t>
  </si>
  <si>
    <t>Other</t>
  </si>
  <si>
    <t>Total assets</t>
  </si>
  <si>
    <t>Liabilities</t>
  </si>
  <si>
    <t>Current liabilities</t>
  </si>
  <si>
    <t>Accounts payable</t>
  </si>
  <si>
    <t>Accrued liabilities</t>
  </si>
  <si>
    <t>Warranty obligations, current</t>
  </si>
  <si>
    <t>Deferred revenues, current</t>
  </si>
  <si>
    <t>Debt, current</t>
  </si>
  <si>
    <t>Warranty obligations, noncurrent</t>
  </si>
  <si>
    <t>Deferred revenues, noncurrent</t>
  </si>
  <si>
    <t>Debt, noncurrent</t>
  </si>
  <si>
    <t>Total liabilities</t>
  </si>
  <si>
    <t>Operating lease, right of use asset</t>
  </si>
  <si>
    <t>Restricted cash</t>
  </si>
  <si>
    <t>Deferred tax assets, net</t>
  </si>
  <si>
    <t>Warrants liability</t>
  </si>
  <si>
    <t>Convertible notes hedge</t>
  </si>
  <si>
    <t>Income tax benefit/provision</t>
  </si>
  <si>
    <t>Marketable securities</t>
  </si>
  <si>
    <t>Price</t>
  </si>
  <si>
    <t>Shares outstanding</t>
  </si>
  <si>
    <t>Market cap</t>
  </si>
  <si>
    <t>Cash</t>
  </si>
  <si>
    <t>Debt</t>
  </si>
  <si>
    <t>Q323</t>
  </si>
  <si>
    <t>Q423</t>
  </si>
  <si>
    <t>Q124</t>
  </si>
  <si>
    <t>Q224</t>
  </si>
  <si>
    <t>Tota current assets'</t>
  </si>
  <si>
    <t>Total current liabilities</t>
  </si>
  <si>
    <t>Equity/deficit</t>
  </si>
  <si>
    <t>Enterprise value</t>
  </si>
  <si>
    <t>EPS</t>
  </si>
  <si>
    <t>Gross profit margin</t>
  </si>
  <si>
    <t>Net profit margin</t>
  </si>
  <si>
    <t>Current ratio</t>
  </si>
  <si>
    <t>% Change</t>
  </si>
  <si>
    <t>ROE</t>
  </si>
  <si>
    <t>YoY</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</si>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</sst>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 #,##0.0_);_(* \(#,##0.0\);_(* &quot;-&quot;??_);_(@_)"/>
    <numFmt numFmtId="165" formatCode="_([$$-409]* #,##0.00_);_([$$-409]* \(#,##0.00\);_([$$-409]* &quot;-&quot;??_);_(@_)"/>
    <numFmt numFmtId="166" formatCode="_(* #,##0.000_);_(* \(#,##0.000\);_(* &quot;-&quot;??_);_(@_)"/>
    <numFmt numFmtId="167" formatCode="_(* #,##0.0000000_);_(* \(#,##0.0000000\);_(* &quot;-&quot;??_);_(@_)"/>
    <numFmt numFmtId="168" formatCode="_(* #,##0_);_(* \(#,##0\);_(* &quot;-&quot;??_);_(@_)"/>
    <numFmt numFmtId="169" formatCode="0.0%"/>
  </numFmts>
  <fonts count="1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cellStyleXfs>
  <cellXfs count="39">
    <xf numFmtId="0" fontId="0" fillId="0" borderId="0" xfId="0"/>
    <xf numFmtId="14" fontId="5" fillId="2" borderId="0" xfId="0" applyNumberFormat="1" applyFont="1" applyFill="1" applyAlignment="1">
      <alignment horizontal="center" vertical="center"/>
    </xf>
    <xf numFmtId="0" fontId="6" fillId="0" borderId="0" xfId="0" applyFont="1"/>
    <xf numFmtId="0" fontId="5" fillId="2" borderId="0" xfId="0" applyFont="1" applyFill="1" applyAlignment="1">
      <alignment horizontal="center" vertical="center"/>
    </xf>
    <xf numFmtId="0" fontId="5" fillId="2" borderId="0" xfId="0" applyFont="1" applyFill="1" applyAlignment="1">
      <alignment vertical="center"/>
    </xf>
    <xf numFmtId="0" fontId="4" fillId="0" borderId="0" xfId="0" applyFont="1"/>
    <xf numFmtId="0" fontId="8" fillId="0" borderId="0" xfId="0" applyFont="1"/>
    <xf numFmtId="0" fontId="4" fillId="0" borderId="0" xfId="0" applyFont="1" applyAlignment="1">
      <alignment horizontal="left" indent="1"/>
    </xf>
    <xf numFmtId="0" fontId="4" fillId="0" borderId="0" xfId="0" applyFont="1" applyAlignment="1">
      <alignment horizontal="left" indent="2"/>
    </xf>
    <xf numFmtId="0" fontId="8" fillId="0" borderId="0" xfId="0" applyFont="1" applyAlignment="1">
      <alignment horizontal="left" indent="1"/>
    </xf>
    <xf numFmtId="0" fontId="8" fillId="0" borderId="0" xfId="0" applyFont="1" applyAlignment="1">
      <alignment horizontal="left" indent="2"/>
    </xf>
    <xf numFmtId="164" fontId="6" fillId="0" borderId="0" xfId="1" applyNumberFormat="1" applyFont="1"/>
    <xf numFmtId="164" fontId="8" fillId="0" borderId="0" xfId="1" applyNumberFormat="1" applyFont="1"/>
    <xf numFmtId="0" fontId="8" fillId="0" borderId="0" xfId="0" applyFont="1" applyAlignment="1">
      <alignment horizontal="left"/>
    </xf>
    <xf numFmtId="164" fontId="4" fillId="0" borderId="0" xfId="1" applyNumberFormat="1" applyFont="1"/>
    <xf numFmtId="0" fontId="8" fillId="0" borderId="0" xfId="0" applyFont="1" applyAlignment="1">
      <alignment horizontal="left" indent="3"/>
    </xf>
    <xf numFmtId="0" fontId="3" fillId="0" borderId="0" xfId="0" applyFont="1" applyAlignment="1">
      <alignment horizontal="left" indent="1"/>
    </xf>
    <xf numFmtId="0" fontId="3" fillId="0" borderId="0" xfId="0" applyFont="1" applyAlignment="1">
      <alignment horizontal="left" indent="2"/>
    </xf>
    <xf numFmtId="0" fontId="5" fillId="2" borderId="0" xfId="0" applyFont="1" applyFill="1" applyAlignment="1">
      <alignment horizontal="center"/>
    </xf>
    <xf numFmtId="0" fontId="2" fillId="0" borderId="0" xfId="0" applyFont="1" applyAlignment="1">
      <alignment horizontal="right" vertical="center"/>
    </xf>
    <xf numFmtId="0" fontId="2" fillId="0" borderId="0" xfId="0" applyFont="1" applyAlignment="1">
      <alignment horizontal="right"/>
    </xf>
    <xf numFmtId="0" fontId="2" fillId="0" borderId="0" xfId="0" applyFont="1" applyAlignment="1">
      <alignment horizontal="left" vertical="center"/>
    </xf>
    <xf numFmtId="165" fontId="2" fillId="0" borderId="0" xfId="0" applyNumberFormat="1" applyFont="1" applyAlignment="1">
      <alignment horizontal="right" vertical="center"/>
    </xf>
    <xf numFmtId="44" fontId="2" fillId="0" borderId="0" xfId="2" applyFont="1" applyFill="1" applyAlignment="1">
      <alignment horizontal="right" vertical="center"/>
    </xf>
    <xf numFmtId="44" fontId="2" fillId="0" borderId="0" xfId="2" applyFont="1" applyFill="1" applyAlignment="1">
      <alignment horizontal="right"/>
    </xf>
    <xf numFmtId="164" fontId="2" fillId="0" borderId="0" xfId="1" applyNumberFormat="1" applyFont="1" applyFill="1" applyAlignment="1">
      <alignment horizontal="right" vertical="center"/>
    </xf>
    <xf numFmtId="164" fontId="2" fillId="0" borderId="0" xfId="1" applyNumberFormat="1" applyFont="1" applyFill="1" applyAlignment="1">
      <alignment horizontal="right"/>
    </xf>
    <xf numFmtId="167" fontId="2" fillId="0" borderId="0" xfId="1" applyNumberFormat="1" applyFont="1" applyFill="1" applyAlignment="1">
      <alignment horizontal="right" vertical="center"/>
    </xf>
    <xf numFmtId="167" fontId="2" fillId="0" borderId="0" xfId="1" applyNumberFormat="1" applyFont="1" applyFill="1" applyAlignment="1">
      <alignment horizontal="right"/>
    </xf>
    <xf numFmtId="168" fontId="2" fillId="0" borderId="0" xfId="1" applyNumberFormat="1" applyFont="1" applyFill="1" applyAlignment="1">
      <alignment horizontal="right" vertical="center"/>
    </xf>
    <xf numFmtId="0" fontId="2" fillId="0" borderId="0" xfId="0" applyFont="1"/>
    <xf numFmtId="164" fontId="2" fillId="0" borderId="0" xfId="1" applyNumberFormat="1" applyFont="1"/>
    <xf numFmtId="43" fontId="6" fillId="0" borderId="0" xfId="1" applyFont="1"/>
    <xf numFmtId="169" fontId="6" fillId="0" borderId="0" xfId="3" applyNumberFormat="1" applyFont="1"/>
    <xf numFmtId="166" fontId="6" fillId="0" borderId="0" xfId="1" applyNumberFormat="1" applyFont="1"/>
    <xf numFmtId="0" fontId="1" fillId="0" borderId="0" xfId="0" applyFont="1"/>
    <xf numFmtId="9" fontId="6" fillId="0" borderId="0" xfId="3" applyFont="1"/>
    <xf numFmtId="9" fontId="9" fillId="0" borderId="0" xfId="3" applyFont="1" applyFill="1" applyAlignment="1">
      <alignment horizontal="center" vertical="center"/>
    </xf>
    <xf numFmtId="169" fontId="9" fillId="0" borderId="0" xfId="3" applyNumberFormat="1" applyFont="1" applyFill="1" applyAlignment="1">
      <alignment horizontal="center" vertic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https://www.bing.com/financeapi/forcetrigger?t=a1rzh7&amp;q=XNAS%3aENPH&amp;form=skydnc</v>
    <v>Learn more on Bing</v>
  </rv>
  <rv s="1">
    <v>en-US</v>
    <v>a1rzh7</v>
    <v>268435456</v>
    <v>1</v>
    <v>Powered by Refinitiv</v>
    <v>0</v>
    <v>ENPHASE ENERGY, INC. (XNAS:ENPH)</v>
    <v>2</v>
    <v>3</v>
    <v>Finance</v>
    <v>4</v>
    <v>247</v>
    <v>73.489999999999995</v>
    <v>1.4421999999999999</v>
    <v>18.809999999999999</v>
    <v>0.18714600000000001</v>
    <v>USD</v>
    <v>Enphase Energy, Inc. is a global energy technology company. The Company designs, develops, manufactures and sells home energy solutions that manage energy generation, energy storage and control and communications on one platform. Its Enphase Energy System brings a high technology, networked approach to solar generation plus energy storage, by leveraging its design for power electronics, semiconductors and cloud-based software technologies. Its integrated approach to energy solutions increases a home energy potential while, providing advanced monitoring and remote maintenance capabilities. The Enphase Energy System uses a single technology platform for seamless management of the whole solution, enables rapid commissioning with the Enphase Installer Application, consumption monitoring with Enphase IQ Gateway with IQ Combiner+, Enphase Application, a cloud-based energy management platform and its IQ Battery. Its commercial systems have been deployed in approximately 145 countries.</v>
    <v>2821</v>
    <v>Nasdaq Stock Market</v>
    <v>XNAS</v>
    <v>XNAS</v>
    <v>47281 Bayside Parkway, FREMONT, CA, 94538 US</v>
    <v>124.08499999999999</v>
    <v>Renewable Energy</v>
    <v>Stock</v>
    <v>45329.829774409372</v>
    <v>0</v>
    <v>114.70099999999999</v>
    <v>16293289184</v>
    <v>ENPHASE ENERGY, INC.</v>
    <v>ENPHASE ENERGY, INC.</v>
    <v>120.04</v>
    <v>33.155099999999997</v>
    <v>100.51</v>
    <v>119.32</v>
    <v>136551200</v>
    <v>ENPH</v>
    <v>ENPHASE ENERGY, INC. (XNAS:ENPH)</v>
    <v>14015006</v>
    <v>4287167</v>
    <v>2006</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M67"/>
  <sheetViews>
    <sheetView tabSelected="1" zoomScale="125" zoomScaleNormal="125" workbookViewId="0">
      <pane xSplit="1" topLeftCell="U1" activePane="topRight" state="frozen"/>
      <selection pane="topRight" activeCell="AE10" sqref="AE10"/>
    </sheetView>
  </sheetViews>
  <sheetFormatPr defaultColWidth="8.86328125" defaultRowHeight="12.75" x14ac:dyDescent="0.35"/>
  <cols>
    <col min="1" max="1" width="32.73046875" style="2" customWidth="1"/>
    <col min="2" max="24" width="12.73046875" style="11" customWidth="1"/>
    <col min="25" max="26" width="10.73046875" style="11" hidden="1" customWidth="1"/>
    <col min="27" max="27" width="12.73046875" style="11" customWidth="1"/>
    <col min="28" max="28" width="10.59765625" style="11" customWidth="1"/>
    <col min="29" max="51" width="12.73046875" style="11" customWidth="1"/>
    <col min="52" max="16384" width="8.86328125" style="11"/>
  </cols>
  <sheetData>
    <row r="1" spans="1:39" s="18" customFormat="1" ht="15" customHeight="1" x14ac:dyDescent="0.4">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t="s">
        <v>83</v>
      </c>
      <c r="Z1" s="1" t="s">
        <v>83</v>
      </c>
      <c r="AA1" s="1">
        <v>45291</v>
      </c>
      <c r="AB1" s="1" t="s">
        <v>83</v>
      </c>
      <c r="AC1" s="1" t="s">
        <v>83</v>
      </c>
      <c r="AD1" s="1">
        <v>45382</v>
      </c>
      <c r="AE1" s="1">
        <v>45473</v>
      </c>
      <c r="AF1" s="3"/>
      <c r="AG1" s="3"/>
      <c r="AH1" s="3"/>
      <c r="AI1" s="3"/>
      <c r="AJ1" s="3"/>
      <c r="AK1" s="3"/>
      <c r="AL1" s="3"/>
      <c r="AM1" s="3"/>
    </row>
    <row r="2" spans="1:39" s="18"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71</v>
      </c>
      <c r="Y2" s="3" t="s">
        <v>85</v>
      </c>
      <c r="Z2" s="3" t="s">
        <v>86</v>
      </c>
      <c r="AA2" s="3" t="s">
        <v>72</v>
      </c>
      <c r="AB2" s="3" t="s">
        <v>85</v>
      </c>
      <c r="AC2" s="3" t="s">
        <v>86</v>
      </c>
      <c r="AD2" s="3" t="s">
        <v>73</v>
      </c>
      <c r="AE2" s="3" t="s">
        <v>74</v>
      </c>
      <c r="AF2" s="3"/>
      <c r="AG2" s="3"/>
      <c r="AH2" s="3"/>
      <c r="AI2" s="3"/>
      <c r="AJ2" s="3"/>
      <c r="AK2" s="3"/>
      <c r="AL2" s="3"/>
      <c r="AM2" s="3"/>
    </row>
    <row r="3" spans="1:39" s="20" customFormat="1" ht="12.75" customHeight="1" x14ac:dyDescent="0.35">
      <c r="A3" s="21" t="e" vm="1">
        <v>#VALUE!</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row>
    <row r="4" spans="1:39" s="20" customFormat="1" ht="12.75" customHeight="1" x14ac:dyDescent="0.35">
      <c r="A4" s="22" cm="1">
        <f t="array" ref="A4">_FV(A3,"Price")</f>
        <v>119.32</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row>
    <row r="5" spans="1:39" s="24" customFormat="1" ht="12.75" customHeight="1" x14ac:dyDescent="0.35">
      <c r="A5" s="21" t="s">
        <v>66</v>
      </c>
      <c r="B5" s="23">
        <v>4.57</v>
      </c>
      <c r="C5" s="23">
        <v>6.73</v>
      </c>
      <c r="D5" s="23">
        <v>4.8499999999999996</v>
      </c>
      <c r="E5" s="23">
        <v>4.7300000000000004</v>
      </c>
      <c r="F5" s="23">
        <v>9.23</v>
      </c>
      <c r="G5" s="23">
        <v>18.23</v>
      </c>
      <c r="H5" s="23">
        <v>22.23</v>
      </c>
      <c r="I5" s="23">
        <v>26.13</v>
      </c>
      <c r="J5" s="23">
        <v>32.29</v>
      </c>
      <c r="K5" s="23">
        <v>47.57</v>
      </c>
      <c r="L5" s="23">
        <v>82.59</v>
      </c>
      <c r="M5" s="23">
        <v>175.47</v>
      </c>
      <c r="N5" s="23">
        <v>162.16</v>
      </c>
      <c r="O5" s="23">
        <v>183.63</v>
      </c>
      <c r="P5" s="23">
        <v>149.97</v>
      </c>
      <c r="Q5" s="23">
        <v>182.94</v>
      </c>
      <c r="R5" s="23">
        <v>201.78</v>
      </c>
      <c r="S5" s="23">
        <v>195.24</v>
      </c>
      <c r="T5" s="23">
        <v>277.47000000000003</v>
      </c>
      <c r="U5" s="23">
        <v>264.95999999999998</v>
      </c>
      <c r="V5" s="23">
        <v>210.28</v>
      </c>
      <c r="W5" s="23">
        <v>167.48</v>
      </c>
      <c r="X5" s="23">
        <v>120.15</v>
      </c>
      <c r="Y5" s="37">
        <f>(X5-T5)/T5</f>
        <v>-0.56698021407719756</v>
      </c>
      <c r="Z5" s="37">
        <f>(X5-W5)/W5</f>
        <v>-0.28260090757105316</v>
      </c>
      <c r="AA5" s="23">
        <v>132.13999999999999</v>
      </c>
      <c r="AB5" s="38">
        <f>(AA5-U5)/U5</f>
        <v>-0.50128321256038644</v>
      </c>
      <c r="AC5" s="38">
        <f>(AA5-X5)/X5</f>
        <v>9.9791926758218727E-2</v>
      </c>
      <c r="AD5" s="23"/>
      <c r="AE5" s="23"/>
      <c r="AF5" s="23"/>
      <c r="AG5" s="23"/>
      <c r="AH5" s="23"/>
      <c r="AI5" s="23"/>
      <c r="AJ5" s="23"/>
      <c r="AK5" s="23"/>
      <c r="AL5" s="23"/>
      <c r="AM5" s="23"/>
    </row>
    <row r="6" spans="1:39" s="28" customFormat="1" ht="12.75" customHeight="1" x14ac:dyDescent="0.35">
      <c r="A6" s="21" t="s">
        <v>67</v>
      </c>
      <c r="B6" s="29">
        <v>91</v>
      </c>
      <c r="C6" s="29">
        <v>97</v>
      </c>
      <c r="D6" s="29">
        <v>103</v>
      </c>
      <c r="E6" s="29">
        <v>100</v>
      </c>
      <c r="F6" s="29">
        <v>116</v>
      </c>
      <c r="G6" s="29">
        <v>131</v>
      </c>
      <c r="H6" s="29">
        <v>134</v>
      </c>
      <c r="I6" s="29">
        <v>132</v>
      </c>
      <c r="J6" s="29">
        <v>138</v>
      </c>
      <c r="K6" s="29">
        <v>126</v>
      </c>
      <c r="L6" s="29">
        <v>142</v>
      </c>
      <c r="M6" s="29">
        <v>142</v>
      </c>
      <c r="N6" s="29">
        <v>146</v>
      </c>
      <c r="O6" s="29">
        <v>142</v>
      </c>
      <c r="P6" s="29">
        <v>141</v>
      </c>
      <c r="Q6" s="29">
        <v>143</v>
      </c>
      <c r="R6" s="29">
        <v>145</v>
      </c>
      <c r="S6" s="29">
        <v>144</v>
      </c>
      <c r="T6" s="29">
        <v>146</v>
      </c>
      <c r="U6" s="29">
        <v>144</v>
      </c>
      <c r="V6" s="29">
        <v>146</v>
      </c>
      <c r="W6" s="29">
        <v>145.1</v>
      </c>
      <c r="X6" s="29">
        <v>143.80000000000001</v>
      </c>
      <c r="Y6" s="37">
        <f t="shared" ref="Y6:Y67" si="0">(X6-T6)/T6</f>
        <v>-1.5068493150684854E-2</v>
      </c>
      <c r="Z6" s="37">
        <f t="shared" ref="Z6:Z67" si="1">(X6-W6)/W6</f>
        <v>-8.9593383873189728E-3</v>
      </c>
      <c r="AA6" s="29">
        <v>139.19999999999999</v>
      </c>
      <c r="AB6" s="38">
        <f t="shared" ref="AB6:AB67" si="2">(AA6-U6)/U6</f>
        <v>-3.3333333333333409E-2</v>
      </c>
      <c r="AC6" s="38">
        <f t="shared" ref="AC6:AC67" si="3">(AA6-X6)/X6</f>
        <v>-3.1988873435326998E-2</v>
      </c>
      <c r="AD6" s="29"/>
      <c r="AE6" s="29"/>
      <c r="AF6" s="29"/>
      <c r="AG6" s="27"/>
      <c r="AH6" s="27"/>
      <c r="AI6" s="27"/>
      <c r="AJ6" s="27"/>
      <c r="AK6" s="27"/>
      <c r="AL6" s="27"/>
      <c r="AM6" s="27"/>
    </row>
    <row r="7" spans="1:39" s="26" customFormat="1" ht="12.75" customHeight="1" x14ac:dyDescent="0.35">
      <c r="A7" s="21" t="s">
        <v>68</v>
      </c>
      <c r="B7" s="25">
        <f t="shared" ref="B7:V7" si="4">B5*B6</f>
        <v>415.87</v>
      </c>
      <c r="C7" s="25">
        <f t="shared" si="4"/>
        <v>652.81000000000006</v>
      </c>
      <c r="D7" s="25">
        <f t="shared" si="4"/>
        <v>499.54999999999995</v>
      </c>
      <c r="E7" s="25">
        <f t="shared" si="4"/>
        <v>473.00000000000006</v>
      </c>
      <c r="F7" s="25">
        <f t="shared" si="4"/>
        <v>1070.68</v>
      </c>
      <c r="G7" s="25">
        <f t="shared" si="4"/>
        <v>2388.13</v>
      </c>
      <c r="H7" s="25">
        <f t="shared" si="4"/>
        <v>2978.82</v>
      </c>
      <c r="I7" s="25">
        <f t="shared" si="4"/>
        <v>3449.16</v>
      </c>
      <c r="J7" s="25">
        <f t="shared" si="4"/>
        <v>4456.0199999999995</v>
      </c>
      <c r="K7" s="25">
        <f t="shared" si="4"/>
        <v>5993.82</v>
      </c>
      <c r="L7" s="25">
        <f t="shared" si="4"/>
        <v>11727.78</v>
      </c>
      <c r="M7" s="25">
        <f t="shared" si="4"/>
        <v>24916.74</v>
      </c>
      <c r="N7" s="25">
        <f t="shared" si="4"/>
        <v>23675.360000000001</v>
      </c>
      <c r="O7" s="25">
        <f t="shared" si="4"/>
        <v>26075.46</v>
      </c>
      <c r="P7" s="25">
        <f t="shared" si="4"/>
        <v>21145.77</v>
      </c>
      <c r="Q7" s="25">
        <f t="shared" si="4"/>
        <v>26160.42</v>
      </c>
      <c r="R7" s="25">
        <f t="shared" si="4"/>
        <v>29258.1</v>
      </c>
      <c r="S7" s="25">
        <f t="shared" si="4"/>
        <v>28114.560000000001</v>
      </c>
      <c r="T7" s="25">
        <f t="shared" si="4"/>
        <v>40510.620000000003</v>
      </c>
      <c r="U7" s="25">
        <f t="shared" si="4"/>
        <v>38154.239999999998</v>
      </c>
      <c r="V7" s="25">
        <f t="shared" si="4"/>
        <v>30700.880000000001</v>
      </c>
      <c r="W7" s="25">
        <f>W5*W6</f>
        <v>24301.347999999998</v>
      </c>
      <c r="X7" s="25">
        <f t="shared" ref="X7:AE7" si="5">X5*X6</f>
        <v>17277.570000000003</v>
      </c>
      <c r="Y7" s="37">
        <f t="shared" si="0"/>
        <v>-0.57350516975548627</v>
      </c>
      <c r="Z7" s="37">
        <f t="shared" si="1"/>
        <v>-0.28902832879887963</v>
      </c>
      <c r="AA7" s="25">
        <f t="shared" si="5"/>
        <v>18393.887999999995</v>
      </c>
      <c r="AB7" s="38">
        <f t="shared" si="2"/>
        <v>-0.51790710547504037</v>
      </c>
      <c r="AC7" s="38">
        <f t="shared" si="3"/>
        <v>6.461082200795551E-2</v>
      </c>
      <c r="AD7" s="25">
        <f t="shared" si="5"/>
        <v>0</v>
      </c>
      <c r="AE7" s="25">
        <f t="shared" si="5"/>
        <v>0</v>
      </c>
      <c r="AF7" s="25"/>
      <c r="AG7" s="25"/>
      <c r="AH7" s="25"/>
      <c r="AI7" s="25"/>
      <c r="AJ7" s="25"/>
      <c r="AK7" s="25"/>
      <c r="AL7" s="25"/>
      <c r="AM7" s="25"/>
    </row>
    <row r="8" spans="1:39" s="26" customFormat="1" ht="12.75" customHeight="1" x14ac:dyDescent="0.35">
      <c r="A8" s="21" t="s">
        <v>69</v>
      </c>
      <c r="B8" s="25">
        <f t="shared" ref="B8:V8" si="6">B30+B31+B32</f>
        <v>53.255000000000003</v>
      </c>
      <c r="C8" s="25">
        <f t="shared" si="6"/>
        <v>58.470999999999997</v>
      </c>
      <c r="D8" s="25">
        <f t="shared" si="6"/>
        <v>116.164</v>
      </c>
      <c r="E8" s="25">
        <f t="shared" si="6"/>
        <v>106.23699999999999</v>
      </c>
      <c r="F8" s="25">
        <f t="shared" si="6"/>
        <v>78.087000000000003</v>
      </c>
      <c r="G8" s="25">
        <f t="shared" si="6"/>
        <v>205.959</v>
      </c>
      <c r="H8" s="25">
        <f t="shared" si="6"/>
        <v>203.04599999999999</v>
      </c>
      <c r="I8" s="25">
        <f t="shared" si="6"/>
        <v>296.10000000000002</v>
      </c>
      <c r="J8" s="25">
        <f t="shared" si="6"/>
        <v>593.84400000000005</v>
      </c>
      <c r="K8" s="25">
        <f t="shared" si="6"/>
        <v>607.25400000000002</v>
      </c>
      <c r="L8" s="25">
        <f t="shared" si="6"/>
        <v>661.79200000000003</v>
      </c>
      <c r="M8" s="25">
        <f t="shared" si="6"/>
        <v>679.37900000000002</v>
      </c>
      <c r="N8" s="25">
        <f t="shared" si="6"/>
        <v>1489</v>
      </c>
      <c r="O8" s="25">
        <f t="shared" si="6"/>
        <v>1312.26</v>
      </c>
      <c r="P8" s="25">
        <f t="shared" si="6"/>
        <v>1394.123</v>
      </c>
      <c r="Q8" s="25">
        <f t="shared" si="6"/>
        <v>1016.645</v>
      </c>
      <c r="R8" s="25">
        <f t="shared" si="6"/>
        <v>1063.521</v>
      </c>
      <c r="S8" s="25">
        <f t="shared" si="6"/>
        <v>1247.8200000000002</v>
      </c>
      <c r="T8" s="25">
        <f t="shared" si="6"/>
        <v>1417.3130000000001</v>
      </c>
      <c r="U8" s="25">
        <f t="shared" si="6"/>
        <v>1612.8</v>
      </c>
      <c r="V8" s="25">
        <f t="shared" si="6"/>
        <v>1778.35</v>
      </c>
      <c r="W8" s="25">
        <f>W30+W31+W32</f>
        <v>1800.5</v>
      </c>
      <c r="X8" s="25">
        <f t="shared" ref="X8:AE8" si="7">X30+X31+X32</f>
        <v>1783.9</v>
      </c>
      <c r="Y8" s="37">
        <f t="shared" si="0"/>
        <v>0.25864928918312324</v>
      </c>
      <c r="Z8" s="37">
        <f t="shared" si="1"/>
        <v>-9.2196612052207211E-3</v>
      </c>
      <c r="AA8" s="25">
        <f t="shared" si="7"/>
        <v>1695</v>
      </c>
      <c r="AB8" s="38">
        <f t="shared" si="2"/>
        <v>5.0967261904761932E-2</v>
      </c>
      <c r="AC8" s="38">
        <f t="shared" si="3"/>
        <v>-4.9834631986097923E-2</v>
      </c>
      <c r="AD8" s="25">
        <f t="shared" si="7"/>
        <v>0</v>
      </c>
      <c r="AE8" s="25">
        <f t="shared" si="7"/>
        <v>0</v>
      </c>
      <c r="AF8" s="25"/>
      <c r="AG8" s="25"/>
      <c r="AH8" s="25"/>
      <c r="AI8" s="25"/>
      <c r="AJ8" s="25"/>
      <c r="AK8" s="25"/>
      <c r="AL8" s="25"/>
      <c r="AM8" s="25"/>
    </row>
    <row r="9" spans="1:39" s="26" customFormat="1" ht="12.75" customHeight="1" x14ac:dyDescent="0.35">
      <c r="A9" s="21" t="s">
        <v>70</v>
      </c>
      <c r="B9" s="25">
        <f t="shared" ref="B9:V9" si="8">B52+B57</f>
        <v>50.727000000000004</v>
      </c>
      <c r="C9" s="25">
        <f t="shared" si="8"/>
        <v>51.988</v>
      </c>
      <c r="D9" s="25">
        <f t="shared" si="8"/>
        <v>112.02500000000001</v>
      </c>
      <c r="E9" s="25">
        <f t="shared" si="8"/>
        <v>109.783</v>
      </c>
      <c r="F9" s="25">
        <f t="shared" si="8"/>
        <v>68.385000000000005</v>
      </c>
      <c r="G9" s="25">
        <f t="shared" si="8"/>
        <v>102.92</v>
      </c>
      <c r="H9" s="25">
        <f t="shared" si="8"/>
        <v>104.062</v>
      </c>
      <c r="I9" s="25">
        <f t="shared" si="8"/>
        <v>105.54300000000001</v>
      </c>
      <c r="J9" s="25">
        <f t="shared" si="8"/>
        <v>395.78300000000002</v>
      </c>
      <c r="K9" s="25">
        <f t="shared" si="8"/>
        <v>355.44499999999999</v>
      </c>
      <c r="L9" s="25">
        <f t="shared" si="8"/>
        <v>360.12200000000001</v>
      </c>
      <c r="M9" s="25">
        <f t="shared" si="8"/>
        <v>330.86500000000001</v>
      </c>
      <c r="N9" s="25">
        <f t="shared" si="8"/>
        <v>1002.229</v>
      </c>
      <c r="O9" s="25">
        <f t="shared" si="8"/>
        <v>1014.14</v>
      </c>
      <c r="P9" s="25">
        <f t="shared" si="8"/>
        <v>1026.2440000000001</v>
      </c>
      <c r="Q9" s="25">
        <f t="shared" si="8"/>
        <v>1037.694</v>
      </c>
      <c r="R9" s="25">
        <f t="shared" si="8"/>
        <v>1284.1500000000001</v>
      </c>
      <c r="S9" s="25">
        <f t="shared" si="8"/>
        <v>1286.2150000000001</v>
      </c>
      <c r="T9" s="25">
        <f t="shared" si="8"/>
        <v>1288.2809999999999</v>
      </c>
      <c r="U9" s="25">
        <f t="shared" si="8"/>
        <v>1290.4000000000001</v>
      </c>
      <c r="V9" s="25">
        <f t="shared" si="8"/>
        <v>1292.3999999999999</v>
      </c>
      <c r="W9" s="25">
        <f>W52+W57</f>
        <v>1294.51</v>
      </c>
      <c r="X9" s="25">
        <f t="shared" ref="X9:AE9" si="9">X52+X57</f>
        <v>1291.6119999999999</v>
      </c>
      <c r="Y9" s="37">
        <f t="shared" si="0"/>
        <v>2.5856160263171652E-3</v>
      </c>
      <c r="Z9" s="37">
        <f t="shared" si="1"/>
        <v>-2.2386849078030592E-3</v>
      </c>
      <c r="AA9" s="25">
        <f t="shared" si="9"/>
        <v>1293.73</v>
      </c>
      <c r="AB9" s="38">
        <f t="shared" si="2"/>
        <v>2.5805951642900861E-3</v>
      </c>
      <c r="AC9" s="38">
        <f t="shared" si="3"/>
        <v>1.6398113365315326E-3</v>
      </c>
      <c r="AD9" s="25">
        <f t="shared" si="9"/>
        <v>0</v>
      </c>
      <c r="AE9" s="25">
        <f t="shared" si="9"/>
        <v>0</v>
      </c>
      <c r="AF9" s="25"/>
      <c r="AG9" s="25"/>
      <c r="AH9" s="25"/>
      <c r="AI9" s="25"/>
      <c r="AJ9" s="25"/>
      <c r="AK9" s="25"/>
      <c r="AL9" s="25"/>
      <c r="AM9" s="25"/>
    </row>
    <row r="10" spans="1:39" s="20" customFormat="1" ht="12.75" customHeight="1" x14ac:dyDescent="0.35">
      <c r="A10" s="21"/>
      <c r="B10" s="19"/>
      <c r="C10" s="19"/>
      <c r="D10" s="19"/>
      <c r="E10" s="19"/>
      <c r="F10" s="19"/>
      <c r="G10" s="19"/>
      <c r="H10" s="19"/>
      <c r="I10" s="19"/>
      <c r="J10" s="19"/>
      <c r="K10" s="19"/>
      <c r="L10" s="19"/>
      <c r="M10" s="19"/>
      <c r="N10" s="19"/>
      <c r="O10" s="19"/>
      <c r="P10" s="19"/>
      <c r="Q10" s="19"/>
      <c r="R10" s="19"/>
      <c r="S10" s="19"/>
      <c r="T10" s="19"/>
      <c r="U10" s="19"/>
      <c r="V10" s="19"/>
      <c r="W10" s="19"/>
      <c r="X10" s="19"/>
      <c r="Y10" s="37"/>
      <c r="Z10" s="37"/>
      <c r="AA10" s="19"/>
      <c r="AB10" s="38"/>
      <c r="AC10" s="38"/>
      <c r="AD10" s="19"/>
      <c r="AE10" s="19"/>
      <c r="AF10" s="19"/>
      <c r="AG10" s="19"/>
      <c r="AH10" s="19"/>
      <c r="AI10" s="19"/>
      <c r="AJ10" s="19"/>
      <c r="AK10" s="19"/>
      <c r="AL10" s="19"/>
      <c r="AM10" s="19"/>
    </row>
    <row r="11" spans="1:39" s="12" customFormat="1" ht="13.15" x14ac:dyDescent="0.4">
      <c r="A11" s="13" t="s">
        <v>24</v>
      </c>
      <c r="B11" s="12">
        <v>69.971999999999994</v>
      </c>
      <c r="C11" s="12">
        <v>75.896000000000001</v>
      </c>
      <c r="D11" s="12">
        <v>78</v>
      </c>
      <c r="E11" s="12">
        <f>316.159-SUM(B11:D11)</f>
        <v>92.290999999999997</v>
      </c>
      <c r="F11" s="12">
        <v>100.15</v>
      </c>
      <c r="G11" s="12">
        <v>134.09399999999999</v>
      </c>
      <c r="H11" s="12">
        <v>180.05699999999999</v>
      </c>
      <c r="I11" s="12">
        <f>624.333-SUM(F11:H11)</f>
        <v>210.03199999999998</v>
      </c>
      <c r="J11" s="12">
        <v>205.54499999999999</v>
      </c>
      <c r="K11" s="12">
        <v>125.538</v>
      </c>
      <c r="L11" s="12">
        <v>178.5</v>
      </c>
      <c r="M11" s="12">
        <f>774.425-SUM(J11:L11)</f>
        <v>264.84199999999998</v>
      </c>
      <c r="N11" s="12">
        <v>301.75400000000002</v>
      </c>
      <c r="O11" s="12">
        <v>316.05700000000002</v>
      </c>
      <c r="P11" s="12">
        <v>351.51900000000001</v>
      </c>
      <c r="Q11" s="12">
        <f>1382-SUM(N11:P11)</f>
        <v>412.66999999999996</v>
      </c>
      <c r="R11" s="12">
        <v>441.3</v>
      </c>
      <c r="S11" s="12">
        <v>530.20000000000005</v>
      </c>
      <c r="T11" s="12">
        <v>634.70000000000005</v>
      </c>
      <c r="U11" s="12">
        <f>2330.853-SUM(R11:T11)</f>
        <v>724.65300000000002</v>
      </c>
      <c r="V11" s="12">
        <v>726</v>
      </c>
      <c r="W11" s="12">
        <v>711.1</v>
      </c>
      <c r="X11" s="12">
        <v>551.1</v>
      </c>
      <c r="Y11" s="37">
        <f t="shared" si="0"/>
        <v>-0.13171577123050263</v>
      </c>
      <c r="Z11" s="37">
        <f t="shared" si="1"/>
        <v>-0.22500351567993249</v>
      </c>
      <c r="AA11" s="12">
        <v>302.57</v>
      </c>
      <c r="AB11" s="38">
        <f t="shared" si="2"/>
        <v>-0.58246222674852655</v>
      </c>
      <c r="AC11" s="38">
        <f t="shared" si="3"/>
        <v>-0.45097078570132465</v>
      </c>
    </row>
    <row r="12" spans="1:39" s="12" customFormat="1" ht="13.15" x14ac:dyDescent="0.4">
      <c r="A12" s="6" t="s">
        <v>25</v>
      </c>
      <c r="B12" s="12">
        <v>51.656999999999996</v>
      </c>
      <c r="C12" s="12">
        <v>53.195</v>
      </c>
      <c r="D12" s="12">
        <v>52.738</v>
      </c>
      <c r="E12" s="12">
        <f>221.714-SUM(B12:D12)</f>
        <v>64.123999999999995</v>
      </c>
      <c r="F12" s="12">
        <v>66.811000000000007</v>
      </c>
      <c r="G12" s="12">
        <v>88.775000000000006</v>
      </c>
      <c r="H12" s="12">
        <v>115.351</v>
      </c>
      <c r="I12" s="12">
        <f>403.088-SUM(F12:H12)</f>
        <v>132.15100000000001</v>
      </c>
      <c r="J12" s="12">
        <v>124.87</v>
      </c>
      <c r="K12" s="12">
        <v>77.150999999999996</v>
      </c>
      <c r="L12" s="12">
        <v>83.522000000000006</v>
      </c>
      <c r="M12" s="12">
        <f>428.444-SUM(J12:L12)</f>
        <v>142.90100000000001</v>
      </c>
      <c r="N12" s="12">
        <v>178.8</v>
      </c>
      <c r="O12" s="12">
        <v>188.256</v>
      </c>
      <c r="P12" s="12">
        <v>211.161</v>
      </c>
      <c r="Q12" s="12">
        <f>827.627-SUM(N12:P12)</f>
        <v>249.40999999999985</v>
      </c>
      <c r="R12" s="12">
        <v>264.3</v>
      </c>
      <c r="S12" s="12">
        <v>311.2</v>
      </c>
      <c r="T12" s="12">
        <v>366.79700000000003</v>
      </c>
      <c r="U12" s="12">
        <f>1356.258-SUM(R12:T12)</f>
        <v>413.96100000000001</v>
      </c>
      <c r="V12" s="12">
        <v>399.6</v>
      </c>
      <c r="W12" s="12">
        <v>387.77600000000001</v>
      </c>
      <c r="X12" s="12">
        <v>289.10000000000002</v>
      </c>
      <c r="Y12" s="37">
        <f t="shared" si="0"/>
        <v>-0.21182561471331554</v>
      </c>
      <c r="Z12" s="37">
        <f t="shared" si="1"/>
        <v>-0.25446649612147215</v>
      </c>
      <c r="AA12" s="12">
        <v>155.9</v>
      </c>
      <c r="AB12" s="38">
        <f t="shared" si="2"/>
        <v>-0.62339447435869566</v>
      </c>
      <c r="AC12" s="38">
        <f t="shared" si="3"/>
        <v>-0.46074022829470773</v>
      </c>
    </row>
    <row r="13" spans="1:39" s="12" customFormat="1" ht="13.15" x14ac:dyDescent="0.4">
      <c r="A13" s="6" t="s">
        <v>26</v>
      </c>
      <c r="B13" s="12">
        <f t="shared" ref="B13:AE13" si="10">B11-B12</f>
        <v>18.314999999999998</v>
      </c>
      <c r="C13" s="12">
        <f t="shared" si="10"/>
        <v>22.701000000000001</v>
      </c>
      <c r="D13" s="12">
        <f t="shared" si="10"/>
        <v>25.262</v>
      </c>
      <c r="E13" s="12">
        <f t="shared" si="10"/>
        <v>28.167000000000002</v>
      </c>
      <c r="F13" s="12">
        <f t="shared" si="10"/>
        <v>33.338999999999999</v>
      </c>
      <c r="G13" s="12">
        <f t="shared" si="10"/>
        <v>45.318999999999988</v>
      </c>
      <c r="H13" s="12">
        <f t="shared" si="10"/>
        <v>64.705999999999989</v>
      </c>
      <c r="I13" s="12">
        <f t="shared" si="10"/>
        <v>77.880999999999972</v>
      </c>
      <c r="J13" s="12">
        <f t="shared" si="10"/>
        <v>80.674999999999983</v>
      </c>
      <c r="K13" s="12">
        <f t="shared" si="10"/>
        <v>48.387</v>
      </c>
      <c r="L13" s="12">
        <f t="shared" si="10"/>
        <v>94.977999999999994</v>
      </c>
      <c r="M13" s="12">
        <f t="shared" si="10"/>
        <v>121.94099999999997</v>
      </c>
      <c r="N13" s="12">
        <f t="shared" si="10"/>
        <v>122.95400000000001</v>
      </c>
      <c r="O13" s="12">
        <f t="shared" si="10"/>
        <v>127.80100000000002</v>
      </c>
      <c r="P13" s="12">
        <f t="shared" si="10"/>
        <v>140.358</v>
      </c>
      <c r="Q13" s="12">
        <f t="shared" si="10"/>
        <v>163.2600000000001</v>
      </c>
      <c r="R13" s="12">
        <f t="shared" si="10"/>
        <v>177</v>
      </c>
      <c r="S13" s="12">
        <f t="shared" si="10"/>
        <v>219.00000000000006</v>
      </c>
      <c r="T13" s="12">
        <f t="shared" si="10"/>
        <v>267.90300000000002</v>
      </c>
      <c r="U13" s="12">
        <f t="shared" si="10"/>
        <v>310.69200000000001</v>
      </c>
      <c r="V13" s="12">
        <f t="shared" si="10"/>
        <v>326.39999999999998</v>
      </c>
      <c r="W13" s="12">
        <f t="shared" si="10"/>
        <v>323.32400000000001</v>
      </c>
      <c r="X13" s="12">
        <f t="shared" si="10"/>
        <v>262</v>
      </c>
      <c r="Y13" s="37">
        <f t="shared" si="0"/>
        <v>-2.2034094429700377E-2</v>
      </c>
      <c r="Z13" s="37">
        <f t="shared" si="1"/>
        <v>-0.18966733060335766</v>
      </c>
      <c r="AA13" s="12">
        <f t="shared" si="10"/>
        <v>146.66999999999999</v>
      </c>
      <c r="AB13" s="38">
        <f t="shared" si="2"/>
        <v>-0.52792476150013523</v>
      </c>
      <c r="AC13" s="38">
        <f t="shared" si="3"/>
        <v>-0.44019083969465655</v>
      </c>
      <c r="AD13" s="12">
        <f t="shared" si="10"/>
        <v>0</v>
      </c>
      <c r="AE13" s="12">
        <f t="shared" si="10"/>
        <v>0</v>
      </c>
    </row>
    <row r="14" spans="1:39" x14ac:dyDescent="0.35">
      <c r="Y14" s="37"/>
      <c r="Z14" s="37"/>
      <c r="AB14" s="38"/>
      <c r="AC14" s="38"/>
    </row>
    <row r="15" spans="1:39" ht="13.15" x14ac:dyDescent="0.4">
      <c r="A15" s="6" t="s">
        <v>27</v>
      </c>
      <c r="Y15" s="37"/>
      <c r="Z15" s="37"/>
      <c r="AB15" s="38"/>
      <c r="AC15" s="38"/>
    </row>
    <row r="16" spans="1:39" x14ac:dyDescent="0.35">
      <c r="A16" s="7" t="s">
        <v>28</v>
      </c>
      <c r="B16" s="11">
        <v>7.62</v>
      </c>
      <c r="C16" s="11">
        <v>9.4619999999999997</v>
      </c>
      <c r="D16" s="11">
        <v>8.1649999999999991</v>
      </c>
      <c r="E16" s="14">
        <f>32.587-SUM(B16:D16)</f>
        <v>7.3400000000000034</v>
      </c>
      <c r="F16" s="11">
        <v>8.5239999999999991</v>
      </c>
      <c r="G16" s="11">
        <v>9.6</v>
      </c>
      <c r="H16" s="11">
        <v>11.085000000000001</v>
      </c>
      <c r="I16" s="11">
        <f>40.381-SUM(F16:H16)</f>
        <v>11.172000000000001</v>
      </c>
      <c r="J16" s="11">
        <v>11.875999999999999</v>
      </c>
      <c r="K16" s="11">
        <v>13.192</v>
      </c>
      <c r="L16" s="11">
        <v>15.05</v>
      </c>
      <c r="M16" s="11">
        <f>55.921-SUM(J16:L16)</f>
        <v>15.803000000000004</v>
      </c>
      <c r="N16" s="11">
        <v>21.8</v>
      </c>
      <c r="O16" s="11">
        <v>22.7</v>
      </c>
      <c r="P16" s="11">
        <v>29.4</v>
      </c>
      <c r="Q16" s="11">
        <f>105.526-SUM(N16:P16)</f>
        <v>31.625999999999991</v>
      </c>
      <c r="R16" s="11">
        <v>35.700000000000003</v>
      </c>
      <c r="S16" s="11">
        <v>39.256</v>
      </c>
      <c r="T16" s="11">
        <v>44.2</v>
      </c>
      <c r="U16" s="11">
        <f>168.8-SUM(R16:T16)</f>
        <v>49.644000000000005</v>
      </c>
      <c r="V16" s="11">
        <v>57.128999999999998</v>
      </c>
      <c r="W16" s="11">
        <v>60</v>
      </c>
      <c r="X16" s="11">
        <v>54.9</v>
      </c>
      <c r="Y16" s="37">
        <f t="shared" si="0"/>
        <v>0.24208144796380079</v>
      </c>
      <c r="Z16" s="37">
        <f t="shared" si="1"/>
        <v>-8.500000000000002E-2</v>
      </c>
      <c r="AA16" s="11">
        <v>55.29</v>
      </c>
      <c r="AB16" s="38">
        <f t="shared" si="2"/>
        <v>0.11372975586173542</v>
      </c>
      <c r="AC16" s="38">
        <f t="shared" si="3"/>
        <v>7.1038251366120327E-3</v>
      </c>
    </row>
    <row r="17" spans="1:31" x14ac:dyDescent="0.35">
      <c r="A17" s="7" t="s">
        <v>29</v>
      </c>
      <c r="B17" s="11">
        <v>6.2270000000000003</v>
      </c>
      <c r="C17" s="11">
        <v>6.8280000000000003</v>
      </c>
      <c r="D17" s="11">
        <v>7.375</v>
      </c>
      <c r="E17" s="14">
        <f>27.047-SUM(B17:D17)</f>
        <v>6.6170000000000009</v>
      </c>
      <c r="F17" s="11">
        <v>7.4329999999999998</v>
      </c>
      <c r="G17" s="11">
        <v>9.0540000000000003</v>
      </c>
      <c r="H17" s="11">
        <v>9.5510000000000002</v>
      </c>
      <c r="I17" s="11">
        <f>36.728-SUM(F17:H17)</f>
        <v>10.689999999999998</v>
      </c>
      <c r="J17" s="11">
        <v>11.772</v>
      </c>
      <c r="K17" s="11">
        <v>12.37</v>
      </c>
      <c r="L17" s="11">
        <v>14.645</v>
      </c>
      <c r="M17" s="11">
        <f>52.927-SUM(J17:L17)</f>
        <v>14.14</v>
      </c>
      <c r="N17" s="11">
        <v>19.622</v>
      </c>
      <c r="O17" s="11">
        <v>25.585999999999999</v>
      </c>
      <c r="P17" s="11">
        <v>39.295999999999999</v>
      </c>
      <c r="Q17" s="11">
        <f>128.974-SUM(N17:P17)</f>
        <v>44.47</v>
      </c>
      <c r="R17" s="11">
        <v>41.344000000000001</v>
      </c>
      <c r="S17" s="11">
        <v>53.588000000000001</v>
      </c>
      <c r="T17" s="11">
        <v>55.3</v>
      </c>
      <c r="U17" s="11">
        <f>215.1-SUM(R17:T17)</f>
        <v>64.867999999999995</v>
      </c>
      <c r="V17" s="11">
        <v>64.599999999999994</v>
      </c>
      <c r="W17" s="11">
        <v>58.4</v>
      </c>
      <c r="X17" s="11">
        <v>55.4</v>
      </c>
      <c r="Y17" s="37">
        <f t="shared" si="0"/>
        <v>1.8083182640144923E-3</v>
      </c>
      <c r="Z17" s="37">
        <f t="shared" si="1"/>
        <v>-5.1369863013698634E-2</v>
      </c>
      <c r="AA17" s="11">
        <v>53.4</v>
      </c>
      <c r="AB17" s="38">
        <f t="shared" si="2"/>
        <v>-0.17678978849355612</v>
      </c>
      <c r="AC17" s="38">
        <f t="shared" si="3"/>
        <v>-3.6101083032490974E-2</v>
      </c>
    </row>
    <row r="18" spans="1:31" x14ac:dyDescent="0.35">
      <c r="A18" s="7" t="s">
        <v>30</v>
      </c>
      <c r="B18" s="11">
        <v>6.9429999999999996</v>
      </c>
      <c r="C18" s="11">
        <v>6.9690000000000003</v>
      </c>
      <c r="D18" s="11">
        <v>7.51</v>
      </c>
      <c r="E18" s="14">
        <f>29.086-SUM(B18:D18)</f>
        <v>7.6640000000000015</v>
      </c>
      <c r="F18" s="11">
        <v>9.8800000000000008</v>
      </c>
      <c r="G18" s="11">
        <v>8.5830000000000002</v>
      </c>
      <c r="H18" s="11">
        <v>9.8949999999999996</v>
      </c>
      <c r="I18" s="11">
        <f>38.808-SUM(F18:H18)</f>
        <v>10.45</v>
      </c>
      <c r="J18" s="11">
        <v>12.315</v>
      </c>
      <c r="K18" s="11">
        <v>11.97</v>
      </c>
      <c r="L18" s="11">
        <v>13.525</v>
      </c>
      <c r="M18" s="11">
        <f>50.694-SUM(J18:L18)</f>
        <v>12.884</v>
      </c>
      <c r="N18" s="11">
        <v>20.123000000000001</v>
      </c>
      <c r="O18" s="11">
        <v>20.100000000000001</v>
      </c>
      <c r="P18" s="11">
        <v>34.299999999999997</v>
      </c>
      <c r="Q18" s="11">
        <f>104.1-SUM(N18:P18)</f>
        <v>29.576999999999998</v>
      </c>
      <c r="R18" s="11">
        <v>38.1</v>
      </c>
      <c r="S18" s="11">
        <v>32.125</v>
      </c>
      <c r="T18" s="11">
        <v>32.43</v>
      </c>
      <c r="U18" s="11">
        <f>140-SUM(R18:T18)</f>
        <v>37.344999999999999</v>
      </c>
      <c r="V18" s="11">
        <v>36.299999999999997</v>
      </c>
      <c r="W18" s="11">
        <v>34.4</v>
      </c>
      <c r="X18" s="11">
        <v>33.799999999999997</v>
      </c>
      <c r="Y18" s="37">
        <f t="shared" si="0"/>
        <v>4.2244835029293784E-2</v>
      </c>
      <c r="Z18" s="37">
        <f t="shared" si="1"/>
        <v>-1.744186046511632E-2</v>
      </c>
      <c r="AA18" s="11">
        <v>33.4</v>
      </c>
      <c r="AB18" s="38">
        <f t="shared" si="2"/>
        <v>-0.10563663140982729</v>
      </c>
      <c r="AC18" s="38">
        <f t="shared" si="3"/>
        <v>-1.1834319526627177E-2</v>
      </c>
    </row>
    <row r="19" spans="1:31" x14ac:dyDescent="0.35">
      <c r="A19" s="7" t="s">
        <v>31</v>
      </c>
      <c r="B19" s="11">
        <v>0</v>
      </c>
      <c r="C19" s="11">
        <v>0</v>
      </c>
      <c r="D19" s="11">
        <v>2.5880000000000001</v>
      </c>
      <c r="E19" s="14">
        <f>4.129-SUM(B19:D19)</f>
        <v>1.5409999999999995</v>
      </c>
      <c r="F19" s="11">
        <v>0.36799999999999999</v>
      </c>
      <c r="G19" s="11">
        <v>0.63100000000000001</v>
      </c>
      <c r="H19" s="11">
        <v>0.46899999999999997</v>
      </c>
      <c r="I19" s="11">
        <f>2.599-SUM(F19:H19)</f>
        <v>1.1310000000000002</v>
      </c>
      <c r="J19" s="11">
        <v>0</v>
      </c>
      <c r="K19" s="11">
        <v>0</v>
      </c>
      <c r="L19" s="11">
        <v>0</v>
      </c>
      <c r="M19" s="11">
        <v>0</v>
      </c>
      <c r="N19" s="11">
        <v>0</v>
      </c>
      <c r="O19" s="11">
        <v>0</v>
      </c>
      <c r="P19" s="11">
        <v>0</v>
      </c>
      <c r="Q19" s="11">
        <f>0-SUM(N19:P19)</f>
        <v>0</v>
      </c>
      <c r="R19" s="11">
        <v>0</v>
      </c>
      <c r="S19" s="11">
        <v>0</v>
      </c>
      <c r="T19" s="11">
        <v>0.59399999999999997</v>
      </c>
      <c r="U19" s="11">
        <f>2.384-SUM(R19:T19)</f>
        <v>1.79</v>
      </c>
      <c r="V19" s="11">
        <v>0.7</v>
      </c>
      <c r="W19" s="11">
        <v>0.2</v>
      </c>
      <c r="X19" s="11">
        <v>0</v>
      </c>
      <c r="Y19" s="37">
        <f t="shared" si="0"/>
        <v>-1</v>
      </c>
      <c r="Z19" s="37">
        <f t="shared" si="1"/>
        <v>-1</v>
      </c>
      <c r="AA19" s="11">
        <v>14.8</v>
      </c>
      <c r="AB19" s="38">
        <f t="shared" si="2"/>
        <v>7.2681564245810062</v>
      </c>
      <c r="AC19" s="38" t="e">
        <f t="shared" si="3"/>
        <v>#DIV/0!</v>
      </c>
    </row>
    <row r="20" spans="1:31" s="12" customFormat="1" ht="13.15" x14ac:dyDescent="0.4">
      <c r="A20" s="10" t="s">
        <v>32</v>
      </c>
      <c r="B20" s="12">
        <f t="shared" ref="B20:AE20" si="11">SUM(B16:B19)</f>
        <v>20.79</v>
      </c>
      <c r="C20" s="12">
        <f t="shared" si="11"/>
        <v>23.259</v>
      </c>
      <c r="D20" s="12">
        <f t="shared" si="11"/>
        <v>25.637999999999998</v>
      </c>
      <c r="E20" s="12">
        <f t="shared" si="11"/>
        <v>23.162000000000006</v>
      </c>
      <c r="F20" s="12">
        <f t="shared" si="11"/>
        <v>26.204999999999998</v>
      </c>
      <c r="G20" s="12">
        <f t="shared" si="11"/>
        <v>27.868000000000002</v>
      </c>
      <c r="H20" s="12">
        <f t="shared" si="11"/>
        <v>31.000000000000004</v>
      </c>
      <c r="I20" s="12">
        <f t="shared" si="11"/>
        <v>33.442999999999998</v>
      </c>
      <c r="J20" s="12">
        <f t="shared" si="11"/>
        <v>35.963000000000001</v>
      </c>
      <c r="K20" s="12">
        <f t="shared" si="11"/>
        <v>37.531999999999996</v>
      </c>
      <c r="L20" s="12">
        <f t="shared" si="11"/>
        <v>43.22</v>
      </c>
      <c r="M20" s="12">
        <f t="shared" si="11"/>
        <v>42.827000000000005</v>
      </c>
      <c r="N20" s="12">
        <f t="shared" si="11"/>
        <v>61.545000000000002</v>
      </c>
      <c r="O20" s="12">
        <f t="shared" si="11"/>
        <v>68.385999999999996</v>
      </c>
      <c r="P20" s="12">
        <f t="shared" si="11"/>
        <v>102.996</v>
      </c>
      <c r="Q20" s="12">
        <f t="shared" si="11"/>
        <v>105.67299999999999</v>
      </c>
      <c r="R20" s="12">
        <f t="shared" si="11"/>
        <v>115.14400000000001</v>
      </c>
      <c r="S20" s="12">
        <f t="shared" si="11"/>
        <v>124.96899999999999</v>
      </c>
      <c r="T20" s="12">
        <f t="shared" si="11"/>
        <v>132.524</v>
      </c>
      <c r="U20" s="12">
        <f t="shared" si="11"/>
        <v>153.64699999999999</v>
      </c>
      <c r="V20" s="12">
        <f t="shared" si="11"/>
        <v>158.72899999999998</v>
      </c>
      <c r="W20" s="12">
        <f t="shared" si="11"/>
        <v>153</v>
      </c>
      <c r="X20" s="12">
        <f t="shared" si="11"/>
        <v>144.1</v>
      </c>
      <c r="Y20" s="37">
        <f t="shared" si="0"/>
        <v>8.735021580996645E-2</v>
      </c>
      <c r="Z20" s="37">
        <f t="shared" si="1"/>
        <v>-5.8169934640522912E-2</v>
      </c>
      <c r="AA20" s="12">
        <f t="shared" si="11"/>
        <v>156.89000000000001</v>
      </c>
      <c r="AB20" s="38">
        <f t="shared" si="2"/>
        <v>2.1106822782091569E-2</v>
      </c>
      <c r="AC20" s="38">
        <f t="shared" si="3"/>
        <v>8.8757807078417905E-2</v>
      </c>
      <c r="AD20" s="12">
        <f t="shared" si="11"/>
        <v>0</v>
      </c>
      <c r="AE20" s="12">
        <f t="shared" si="11"/>
        <v>0</v>
      </c>
    </row>
    <row r="21" spans="1:31" x14ac:dyDescent="0.35">
      <c r="Y21" s="37"/>
      <c r="Z21" s="37"/>
      <c r="AB21" s="38"/>
      <c r="AC21" s="38"/>
    </row>
    <row r="22" spans="1:31" x14ac:dyDescent="0.35">
      <c r="A22" s="5" t="s">
        <v>33</v>
      </c>
      <c r="B22" s="11">
        <f t="shared" ref="B22:AE22" si="12">B13-B20</f>
        <v>-2.4750000000000014</v>
      </c>
      <c r="C22" s="11">
        <f t="shared" si="12"/>
        <v>-0.55799999999999983</v>
      </c>
      <c r="D22" s="11">
        <f t="shared" si="12"/>
        <v>-0.37599999999999767</v>
      </c>
      <c r="E22" s="11">
        <f t="shared" si="12"/>
        <v>5.0049999999999955</v>
      </c>
      <c r="F22" s="11">
        <f t="shared" si="12"/>
        <v>7.1340000000000003</v>
      </c>
      <c r="G22" s="11">
        <f t="shared" si="12"/>
        <v>17.450999999999986</v>
      </c>
      <c r="H22" s="11">
        <f t="shared" si="12"/>
        <v>33.705999999999989</v>
      </c>
      <c r="I22" s="11">
        <f t="shared" si="12"/>
        <v>44.437999999999974</v>
      </c>
      <c r="J22" s="11">
        <f t="shared" si="12"/>
        <v>44.711999999999982</v>
      </c>
      <c r="K22" s="11">
        <f t="shared" si="12"/>
        <v>10.855000000000004</v>
      </c>
      <c r="L22" s="11">
        <f t="shared" si="12"/>
        <v>51.757999999999996</v>
      </c>
      <c r="M22" s="11">
        <f t="shared" si="12"/>
        <v>79.113999999999976</v>
      </c>
      <c r="N22" s="11">
        <f t="shared" si="12"/>
        <v>61.409000000000006</v>
      </c>
      <c r="O22" s="11">
        <f t="shared" si="12"/>
        <v>59.41500000000002</v>
      </c>
      <c r="P22" s="11">
        <f t="shared" si="12"/>
        <v>37.362000000000009</v>
      </c>
      <c r="Q22" s="11">
        <f t="shared" si="12"/>
        <v>57.587000000000117</v>
      </c>
      <c r="R22" s="11">
        <f t="shared" si="12"/>
        <v>61.855999999999995</v>
      </c>
      <c r="S22" s="11">
        <f t="shared" si="12"/>
        <v>94.031000000000063</v>
      </c>
      <c r="T22" s="11">
        <f t="shared" si="12"/>
        <v>135.37900000000002</v>
      </c>
      <c r="U22" s="11">
        <f t="shared" si="12"/>
        <v>157.04500000000002</v>
      </c>
      <c r="V22" s="11">
        <f t="shared" si="12"/>
        <v>167.67099999999999</v>
      </c>
      <c r="W22" s="11">
        <f t="shared" si="12"/>
        <v>170.32400000000001</v>
      </c>
      <c r="X22" s="11">
        <f t="shared" si="12"/>
        <v>117.9</v>
      </c>
      <c r="Y22" s="37">
        <f t="shared" si="0"/>
        <v>-0.12911160519726111</v>
      </c>
      <c r="Z22" s="37">
        <f t="shared" si="1"/>
        <v>-0.30778985932692987</v>
      </c>
      <c r="AA22" s="11">
        <f t="shared" si="12"/>
        <v>-10.220000000000027</v>
      </c>
      <c r="AB22" s="38">
        <f t="shared" si="2"/>
        <v>-1.0650768887898374</v>
      </c>
      <c r="AC22" s="38">
        <f t="shared" si="3"/>
        <v>-1.0866836301950809</v>
      </c>
      <c r="AD22" s="11">
        <f t="shared" si="12"/>
        <v>0</v>
      </c>
      <c r="AE22" s="11">
        <f t="shared" si="12"/>
        <v>0</v>
      </c>
    </row>
    <row r="23" spans="1:31" x14ac:dyDescent="0.35">
      <c r="A23" s="5" t="s">
        <v>34</v>
      </c>
      <c r="B23" s="11">
        <v>-2.4180000000000001</v>
      </c>
      <c r="C23" s="11">
        <v>-2.8410000000000002</v>
      </c>
      <c r="D23" s="11">
        <v>-2.8479999999999999</v>
      </c>
      <c r="E23" s="14">
        <f>-11.825-SUM(B23:D23)</f>
        <v>-3.718</v>
      </c>
      <c r="F23" s="11">
        <v>-4.0209999999999999</v>
      </c>
      <c r="G23" s="11">
        <v>-6.2380000000000004</v>
      </c>
      <c r="H23" s="11">
        <v>-2.335</v>
      </c>
      <c r="I23" s="11">
        <f>-12.61-SUM(F23:H23)</f>
        <v>-1.5999999999998238E-2</v>
      </c>
      <c r="J23" s="11">
        <v>12.355600000000001</v>
      </c>
      <c r="K23" s="11">
        <v>-64.7</v>
      </c>
      <c r="L23" s="11">
        <v>-6.9</v>
      </c>
      <c r="M23" s="11">
        <f>-67.029-SUM(J23:L23)</f>
        <v>-7.7845999999999975</v>
      </c>
      <c r="N23" s="11">
        <v>-63.052</v>
      </c>
      <c r="O23" s="11">
        <v>-13.054</v>
      </c>
      <c r="P23" s="11">
        <v>-11.64</v>
      </c>
      <c r="Q23" s="11">
        <f>-94.9-SUM(N23:P23)</f>
        <v>-7.1540000000000106</v>
      </c>
      <c r="R23" s="11">
        <v>-4.4000000000000004</v>
      </c>
      <c r="S23" s="11">
        <v>-1.8</v>
      </c>
      <c r="T23" s="11">
        <v>-1.2</v>
      </c>
      <c r="U23" s="11">
        <f>3.787-SUM(R23:T23)</f>
        <v>11.187000000000001</v>
      </c>
      <c r="V23" s="11">
        <v>11.3</v>
      </c>
      <c r="W23" s="11">
        <v>14.3</v>
      </c>
      <c r="X23" s="11">
        <v>19.399999999999999</v>
      </c>
      <c r="Y23" s="37">
        <f t="shared" si="0"/>
        <v>-17.166666666666664</v>
      </c>
      <c r="Z23" s="37">
        <f t="shared" si="1"/>
        <v>0.3566433566433565</v>
      </c>
      <c r="AA23" s="11">
        <v>22.457999999999998</v>
      </c>
      <c r="AB23" s="38">
        <f t="shared" si="2"/>
        <v>1.0075087154733169</v>
      </c>
      <c r="AC23" s="38">
        <f t="shared" si="3"/>
        <v>0.15762886597938144</v>
      </c>
    </row>
    <row r="24" spans="1:31" x14ac:dyDescent="0.35">
      <c r="A24" s="7" t="s">
        <v>36</v>
      </c>
      <c r="B24" s="11">
        <f t="shared" ref="B24:AE24" si="13">SUM(B22:B23)</f>
        <v>-4.8930000000000016</v>
      </c>
      <c r="C24" s="11">
        <f t="shared" si="13"/>
        <v>-3.399</v>
      </c>
      <c r="D24" s="11">
        <f t="shared" si="13"/>
        <v>-3.2239999999999975</v>
      </c>
      <c r="E24" s="11">
        <f t="shared" si="13"/>
        <v>1.2869999999999955</v>
      </c>
      <c r="F24" s="11">
        <f t="shared" si="13"/>
        <v>3.1130000000000004</v>
      </c>
      <c r="G24" s="11">
        <f t="shared" si="13"/>
        <v>11.212999999999987</v>
      </c>
      <c r="H24" s="11">
        <f t="shared" si="13"/>
        <v>31.370999999999988</v>
      </c>
      <c r="I24" s="11">
        <f t="shared" si="13"/>
        <v>44.421999999999976</v>
      </c>
      <c r="J24" s="11">
        <f t="shared" si="13"/>
        <v>57.067599999999985</v>
      </c>
      <c r="K24" s="11">
        <f t="shared" si="13"/>
        <v>-53.844999999999999</v>
      </c>
      <c r="L24" s="11">
        <f t="shared" si="13"/>
        <v>44.857999999999997</v>
      </c>
      <c r="M24" s="11">
        <f t="shared" si="13"/>
        <v>71.329399999999978</v>
      </c>
      <c r="N24" s="11">
        <f t="shared" si="13"/>
        <v>-1.6429999999999936</v>
      </c>
      <c r="O24" s="11">
        <f t="shared" si="13"/>
        <v>46.361000000000018</v>
      </c>
      <c r="P24" s="11">
        <f t="shared" si="13"/>
        <v>25.722000000000008</v>
      </c>
      <c r="Q24" s="11">
        <f t="shared" si="13"/>
        <v>50.433000000000106</v>
      </c>
      <c r="R24" s="11">
        <f t="shared" si="13"/>
        <v>57.455999999999996</v>
      </c>
      <c r="S24" s="11">
        <f t="shared" si="13"/>
        <v>92.231000000000066</v>
      </c>
      <c r="T24" s="11">
        <f t="shared" si="13"/>
        <v>134.17900000000003</v>
      </c>
      <c r="U24" s="11">
        <f t="shared" si="13"/>
        <v>168.23200000000003</v>
      </c>
      <c r="V24" s="11">
        <f t="shared" si="13"/>
        <v>178.971</v>
      </c>
      <c r="W24" s="11">
        <f t="shared" si="13"/>
        <v>184.62400000000002</v>
      </c>
      <c r="X24" s="11">
        <f t="shared" si="13"/>
        <v>137.30000000000001</v>
      </c>
      <c r="Y24" s="37">
        <f t="shared" si="0"/>
        <v>2.3259973617331925E-2</v>
      </c>
      <c r="Z24" s="37">
        <f t="shared" si="1"/>
        <v>-0.25632637143599968</v>
      </c>
      <c r="AA24" s="11">
        <f t="shared" si="13"/>
        <v>12.237999999999971</v>
      </c>
      <c r="AB24" s="38">
        <f t="shared" si="2"/>
        <v>-0.92725521898330898</v>
      </c>
      <c r="AC24" s="38">
        <f t="shared" si="3"/>
        <v>-0.91086671522214147</v>
      </c>
      <c r="AD24" s="11">
        <f t="shared" si="13"/>
        <v>0</v>
      </c>
      <c r="AE24" s="11">
        <f t="shared" si="13"/>
        <v>0</v>
      </c>
    </row>
    <row r="25" spans="1:31" x14ac:dyDescent="0.35">
      <c r="A25" s="16" t="s">
        <v>64</v>
      </c>
      <c r="B25" s="11">
        <v>-0.23499999999999999</v>
      </c>
      <c r="C25" s="11">
        <v>-0.33900000000000002</v>
      </c>
      <c r="D25" s="11">
        <v>-0.248</v>
      </c>
      <c r="E25" s="14">
        <f>-1.398-SUM(B25:D25)</f>
        <v>-0.57599999999999985</v>
      </c>
      <c r="F25" s="11">
        <v>-0.34799999999999998</v>
      </c>
      <c r="G25" s="11">
        <v>-0.59099999999999997</v>
      </c>
      <c r="H25" s="11">
        <v>-0.27200000000000002</v>
      </c>
      <c r="I25" s="11">
        <f>71.034-SUM(F25:H25)</f>
        <v>72.245000000000005</v>
      </c>
      <c r="J25" s="11">
        <v>11.868</v>
      </c>
      <c r="K25" s="11">
        <v>6.5609999999999999</v>
      </c>
      <c r="L25" s="11">
        <v>-5.4829999999999997</v>
      </c>
      <c r="M25" s="11">
        <f>14.585-SUM(J25:L25)</f>
        <v>1.6389999999999993</v>
      </c>
      <c r="N25" s="11">
        <v>33.363999999999997</v>
      </c>
      <c r="O25" s="11">
        <v>-6.9950000000000001</v>
      </c>
      <c r="P25" s="11">
        <v>-3.9</v>
      </c>
      <c r="Q25" s="11">
        <f>24.521-SUM(N25:P25)</f>
        <v>2.0520000000000032</v>
      </c>
      <c r="R25" s="11">
        <v>-5.6</v>
      </c>
      <c r="S25" s="11">
        <v>-15.231999999999999</v>
      </c>
      <c r="T25" s="11">
        <v>-19.443000000000001</v>
      </c>
      <c r="U25" s="11">
        <f>-54.686-SUM(R25:T25)</f>
        <v>-14.410999999999994</v>
      </c>
      <c r="V25" s="11">
        <v>-32.1</v>
      </c>
      <c r="W25" s="11">
        <v>-27.4</v>
      </c>
      <c r="X25" s="11">
        <v>-23.4</v>
      </c>
      <c r="Y25" s="37">
        <f t="shared" si="0"/>
        <v>0.20351797562104598</v>
      </c>
      <c r="Z25" s="37">
        <f t="shared" si="1"/>
        <v>-0.14598540145985403</v>
      </c>
      <c r="AA25" s="11">
        <v>8.69</v>
      </c>
      <c r="AB25" s="38">
        <f t="shared" si="2"/>
        <v>-1.6030115883699951</v>
      </c>
      <c r="AC25" s="38">
        <f t="shared" si="3"/>
        <v>-1.3713675213675214</v>
      </c>
    </row>
    <row r="26" spans="1:31" s="12" customFormat="1" ht="13.15" x14ac:dyDescent="0.4">
      <c r="A26" s="10" t="s">
        <v>35</v>
      </c>
      <c r="B26" s="12">
        <f t="shared" ref="B26:AE26" si="14">SUM(B24:B25)</f>
        <v>-5.1280000000000019</v>
      </c>
      <c r="C26" s="12">
        <f t="shared" si="14"/>
        <v>-3.738</v>
      </c>
      <c r="D26" s="12">
        <f t="shared" si="14"/>
        <v>-3.4719999999999978</v>
      </c>
      <c r="E26" s="12">
        <f t="shared" si="14"/>
        <v>0.71099999999999564</v>
      </c>
      <c r="F26" s="12">
        <f t="shared" si="14"/>
        <v>2.7650000000000006</v>
      </c>
      <c r="G26" s="12">
        <f t="shared" si="14"/>
        <v>10.621999999999987</v>
      </c>
      <c r="H26" s="12">
        <f t="shared" si="14"/>
        <v>31.09899999999999</v>
      </c>
      <c r="I26" s="12">
        <f t="shared" si="14"/>
        <v>116.66699999999997</v>
      </c>
      <c r="J26" s="12">
        <f t="shared" si="14"/>
        <v>68.93559999999998</v>
      </c>
      <c r="K26" s="12">
        <f t="shared" si="14"/>
        <v>-47.283999999999999</v>
      </c>
      <c r="L26" s="12">
        <f t="shared" si="14"/>
        <v>39.375</v>
      </c>
      <c r="M26" s="12">
        <f t="shared" si="14"/>
        <v>72.968399999999974</v>
      </c>
      <c r="N26" s="12">
        <f t="shared" si="14"/>
        <v>31.721000000000004</v>
      </c>
      <c r="O26" s="12">
        <f t="shared" si="14"/>
        <v>39.366000000000021</v>
      </c>
      <c r="P26" s="12">
        <f t="shared" si="14"/>
        <v>21.82200000000001</v>
      </c>
      <c r="Q26" s="12">
        <f t="shared" si="14"/>
        <v>52.485000000000113</v>
      </c>
      <c r="R26" s="12">
        <f t="shared" si="14"/>
        <v>51.855999999999995</v>
      </c>
      <c r="S26" s="12">
        <f t="shared" si="14"/>
        <v>76.999000000000066</v>
      </c>
      <c r="T26" s="12">
        <f t="shared" si="14"/>
        <v>114.73600000000003</v>
      </c>
      <c r="U26" s="12">
        <f t="shared" si="14"/>
        <v>153.82100000000003</v>
      </c>
      <c r="V26" s="12">
        <f t="shared" si="14"/>
        <v>146.87100000000001</v>
      </c>
      <c r="W26" s="12">
        <f t="shared" si="14"/>
        <v>157.22400000000002</v>
      </c>
      <c r="X26" s="12">
        <f t="shared" si="14"/>
        <v>113.9</v>
      </c>
      <c r="Y26" s="37">
        <f t="shared" si="0"/>
        <v>-7.2862920094828709E-3</v>
      </c>
      <c r="Z26" s="37">
        <f t="shared" si="1"/>
        <v>-0.27555589477433473</v>
      </c>
      <c r="AA26" s="12">
        <f t="shared" si="14"/>
        <v>20.927999999999969</v>
      </c>
      <c r="AB26" s="38">
        <f t="shared" si="2"/>
        <v>-0.86394575513096417</v>
      </c>
      <c r="AC26" s="38">
        <f t="shared" si="3"/>
        <v>-0.81625987708516268</v>
      </c>
      <c r="AD26" s="12">
        <f t="shared" si="14"/>
        <v>0</v>
      </c>
      <c r="AE26" s="12">
        <f t="shared" si="14"/>
        <v>0</v>
      </c>
    </row>
    <row r="27" spans="1:31" x14ac:dyDescent="0.35">
      <c r="Y27" s="37"/>
      <c r="Z27" s="37"/>
      <c r="AB27" s="38"/>
      <c r="AC27" s="38"/>
    </row>
    <row r="28" spans="1:31" ht="13.15" x14ac:dyDescent="0.4">
      <c r="A28" s="6" t="s">
        <v>37</v>
      </c>
      <c r="Y28" s="37"/>
      <c r="Z28" s="37"/>
      <c r="AB28" s="38"/>
      <c r="AC28" s="38"/>
    </row>
    <row r="29" spans="1:31" ht="13.15" x14ac:dyDescent="0.4">
      <c r="A29" s="9" t="s">
        <v>38</v>
      </c>
      <c r="Y29" s="37"/>
      <c r="Z29" s="37"/>
      <c r="AB29" s="38"/>
      <c r="AC29" s="38"/>
    </row>
    <row r="30" spans="1:31" x14ac:dyDescent="0.35">
      <c r="A30" s="8" t="s">
        <v>39</v>
      </c>
      <c r="B30" s="11">
        <v>53.255000000000003</v>
      </c>
      <c r="C30" s="11">
        <v>58.470999999999997</v>
      </c>
      <c r="D30" s="11">
        <v>116.164</v>
      </c>
      <c r="E30" s="11">
        <v>106.23699999999999</v>
      </c>
      <c r="F30" s="11">
        <v>78.087000000000003</v>
      </c>
      <c r="G30" s="11">
        <v>205.959</v>
      </c>
      <c r="H30" s="11">
        <v>203.04599999999999</v>
      </c>
      <c r="I30" s="11">
        <v>251.4</v>
      </c>
      <c r="J30" s="11">
        <v>549.14400000000001</v>
      </c>
      <c r="K30" s="11">
        <v>607.25400000000002</v>
      </c>
      <c r="L30" s="11">
        <v>661.79200000000003</v>
      </c>
      <c r="M30" s="11">
        <v>679.37900000000002</v>
      </c>
      <c r="N30" s="11">
        <v>1489</v>
      </c>
      <c r="O30" s="11">
        <v>1312.26</v>
      </c>
      <c r="P30" s="11">
        <v>885.54600000000005</v>
      </c>
      <c r="Q30" s="11">
        <v>119.31</v>
      </c>
      <c r="R30" s="11">
        <v>251.9</v>
      </c>
      <c r="S30" s="11">
        <v>495.5</v>
      </c>
      <c r="T30" s="11">
        <v>337.6</v>
      </c>
      <c r="U30" s="11">
        <v>473.2</v>
      </c>
      <c r="V30" s="11">
        <v>286</v>
      </c>
      <c r="W30" s="11">
        <v>278.7</v>
      </c>
      <c r="X30" s="11">
        <v>290.10000000000002</v>
      </c>
      <c r="Y30" s="37">
        <f t="shared" si="0"/>
        <v>-0.14069905213270142</v>
      </c>
      <c r="Z30" s="37">
        <f t="shared" si="1"/>
        <v>4.0904198062432846E-2</v>
      </c>
      <c r="AA30" s="11">
        <v>288.7</v>
      </c>
      <c r="AB30" s="38">
        <f t="shared" si="2"/>
        <v>-0.38989856297548608</v>
      </c>
      <c r="AC30" s="38">
        <f t="shared" si="3"/>
        <v>-4.8259220958291413E-3</v>
      </c>
    </row>
    <row r="31" spans="1:31" hidden="1" x14ac:dyDescent="0.35">
      <c r="A31" s="8" t="s">
        <v>60</v>
      </c>
      <c r="B31" s="11">
        <v>0</v>
      </c>
      <c r="C31" s="11">
        <v>0</v>
      </c>
      <c r="D31" s="11">
        <v>0</v>
      </c>
      <c r="E31" s="11">
        <v>0</v>
      </c>
      <c r="F31" s="11">
        <v>0</v>
      </c>
      <c r="G31" s="11">
        <v>0</v>
      </c>
      <c r="H31" s="11">
        <v>0</v>
      </c>
      <c r="I31" s="11">
        <v>44.7</v>
      </c>
      <c r="J31" s="11">
        <v>44.7</v>
      </c>
      <c r="K31" s="11">
        <v>0</v>
      </c>
      <c r="L31" s="11">
        <v>0</v>
      </c>
      <c r="M31" s="11">
        <v>0</v>
      </c>
      <c r="N31" s="11">
        <v>0</v>
      </c>
      <c r="O31" s="11">
        <v>0</v>
      </c>
      <c r="P31" s="11">
        <v>0</v>
      </c>
      <c r="Q31" s="11">
        <v>0</v>
      </c>
      <c r="R31" s="11">
        <v>0</v>
      </c>
      <c r="S31" s="11">
        <v>0</v>
      </c>
      <c r="T31" s="11">
        <v>0</v>
      </c>
      <c r="U31" s="11">
        <v>0</v>
      </c>
      <c r="V31" s="11">
        <v>0</v>
      </c>
      <c r="W31" s="11">
        <v>0</v>
      </c>
      <c r="Y31" s="37" t="e">
        <f t="shared" si="0"/>
        <v>#DIV/0!</v>
      </c>
      <c r="Z31" s="37" t="e">
        <f t="shared" si="1"/>
        <v>#DIV/0!</v>
      </c>
      <c r="AB31" s="38" t="e">
        <f t="shared" si="2"/>
        <v>#DIV/0!</v>
      </c>
      <c r="AC31" s="38" t="e">
        <f t="shared" si="3"/>
        <v>#DIV/0!</v>
      </c>
    </row>
    <row r="32" spans="1:31" x14ac:dyDescent="0.35">
      <c r="A32" s="17" t="s">
        <v>65</v>
      </c>
      <c r="B32" s="11">
        <v>0</v>
      </c>
      <c r="C32" s="11">
        <v>0</v>
      </c>
      <c r="D32" s="11">
        <v>0</v>
      </c>
      <c r="E32" s="11">
        <v>0</v>
      </c>
      <c r="F32" s="11">
        <v>0</v>
      </c>
      <c r="G32" s="11">
        <v>0</v>
      </c>
      <c r="H32" s="11">
        <v>0</v>
      </c>
      <c r="I32" s="11">
        <v>0</v>
      </c>
      <c r="J32" s="11">
        <v>0</v>
      </c>
      <c r="K32" s="11">
        <v>0</v>
      </c>
      <c r="L32" s="11">
        <v>0</v>
      </c>
      <c r="M32" s="11">
        <v>0</v>
      </c>
      <c r="N32" s="11">
        <v>0</v>
      </c>
      <c r="O32" s="11">
        <v>0</v>
      </c>
      <c r="P32" s="11">
        <v>508.577</v>
      </c>
      <c r="Q32" s="11">
        <v>897.33500000000004</v>
      </c>
      <c r="R32" s="11">
        <v>811.62099999999998</v>
      </c>
      <c r="S32" s="11">
        <v>752.32</v>
      </c>
      <c r="T32" s="11">
        <v>1079.713</v>
      </c>
      <c r="U32" s="11">
        <v>1139.5999999999999</v>
      </c>
      <c r="V32" s="11">
        <v>1492.35</v>
      </c>
      <c r="W32" s="11">
        <v>1521.8</v>
      </c>
      <c r="X32" s="11">
        <v>1493.8</v>
      </c>
      <c r="Y32" s="37">
        <f t="shared" si="0"/>
        <v>0.3835158046629058</v>
      </c>
      <c r="Z32" s="37">
        <f t="shared" si="1"/>
        <v>-1.8399264029438821E-2</v>
      </c>
      <c r="AA32" s="11">
        <v>1406.3</v>
      </c>
      <c r="AB32" s="38">
        <f t="shared" si="2"/>
        <v>0.23402948402948409</v>
      </c>
      <c r="AC32" s="38">
        <f t="shared" si="3"/>
        <v>-5.8575445173383318E-2</v>
      </c>
    </row>
    <row r="33" spans="1:31" x14ac:dyDescent="0.35">
      <c r="A33" s="8" t="s">
        <v>40</v>
      </c>
      <c r="B33" s="11">
        <v>55.622</v>
      </c>
      <c r="C33" s="11">
        <v>58.695999999999998</v>
      </c>
      <c r="D33" s="11">
        <v>54.116999999999997</v>
      </c>
      <c r="E33" s="11">
        <v>78.938000000000002</v>
      </c>
      <c r="F33" s="11">
        <v>81.715000000000003</v>
      </c>
      <c r="G33" s="11">
        <v>97.537000000000006</v>
      </c>
      <c r="H33" s="11">
        <v>133.68899999999999</v>
      </c>
      <c r="I33" s="11">
        <v>145.41300000000001</v>
      </c>
      <c r="J33" s="11">
        <v>95.483999999999995</v>
      </c>
      <c r="K33" s="11">
        <v>89.5</v>
      </c>
      <c r="L33" s="11">
        <v>122.386</v>
      </c>
      <c r="M33" s="11">
        <v>182.16499999999999</v>
      </c>
      <c r="N33" s="11">
        <v>236.1</v>
      </c>
      <c r="O33" s="11">
        <v>281.154</v>
      </c>
      <c r="P33" s="11">
        <v>273</v>
      </c>
      <c r="Q33" s="11">
        <v>333.6</v>
      </c>
      <c r="R33" s="11">
        <v>358.31</v>
      </c>
      <c r="S33" s="11">
        <v>312.45</v>
      </c>
      <c r="T33" s="11">
        <v>367.64699999999999</v>
      </c>
      <c r="U33" s="11">
        <v>440.9</v>
      </c>
      <c r="V33" s="11">
        <v>516.1</v>
      </c>
      <c r="W33" s="11">
        <v>520.29999999999995</v>
      </c>
      <c r="X33" s="11">
        <v>560.29999999999995</v>
      </c>
      <c r="Y33" s="37">
        <f t="shared" si="0"/>
        <v>0.52401624384259893</v>
      </c>
      <c r="Z33" s="37">
        <f t="shared" si="1"/>
        <v>7.687872381318471E-2</v>
      </c>
      <c r="AA33" s="11">
        <v>445.959</v>
      </c>
      <c r="AB33" s="38">
        <f t="shared" si="2"/>
        <v>1.1474257201179465E-2</v>
      </c>
      <c r="AC33" s="38">
        <f t="shared" si="3"/>
        <v>-0.20407103337497762</v>
      </c>
    </row>
    <row r="34" spans="1:31" x14ac:dyDescent="0.35">
      <c r="A34" s="8" t="s">
        <v>41</v>
      </c>
      <c r="B34" s="11">
        <v>18.541</v>
      </c>
      <c r="C34" s="11">
        <v>17.471</v>
      </c>
      <c r="D34" s="11">
        <v>17.885999999999999</v>
      </c>
      <c r="E34" s="11">
        <v>16.266999999999999</v>
      </c>
      <c r="F34" s="11">
        <v>12.97</v>
      </c>
      <c r="G34" s="11">
        <v>20.100000000000001</v>
      </c>
      <c r="H34" s="11">
        <v>30.231000000000002</v>
      </c>
      <c r="I34" s="11">
        <v>32.055999999999997</v>
      </c>
      <c r="J34" s="11">
        <v>34.616999999999997</v>
      </c>
      <c r="K34" s="11">
        <v>31.186</v>
      </c>
      <c r="L34" s="11">
        <v>37.534999999999997</v>
      </c>
      <c r="M34" s="11">
        <v>41.764000000000003</v>
      </c>
      <c r="N34" s="11">
        <v>34.875999999999998</v>
      </c>
      <c r="O34" s="11">
        <v>37.756</v>
      </c>
      <c r="P34" s="11">
        <v>65.400000000000006</v>
      </c>
      <c r="Q34" s="11">
        <v>74.400000000000006</v>
      </c>
      <c r="R34" s="11">
        <v>96.436000000000007</v>
      </c>
      <c r="S34" s="11">
        <v>130.26599999999999</v>
      </c>
      <c r="T34" s="11">
        <v>146.45099999999999</v>
      </c>
      <c r="U34" s="11">
        <v>149.69999999999999</v>
      </c>
      <c r="V34" s="11">
        <v>150.6</v>
      </c>
      <c r="W34" s="11">
        <v>166.11</v>
      </c>
      <c r="X34" s="11">
        <v>174.11</v>
      </c>
      <c r="Y34" s="37">
        <f t="shared" si="0"/>
        <v>0.18886180360666721</v>
      </c>
      <c r="Z34" s="37">
        <f t="shared" si="1"/>
        <v>4.8160857263259284E-2</v>
      </c>
      <c r="AA34" s="11">
        <v>213.59</v>
      </c>
      <c r="AB34" s="38">
        <f t="shared" si="2"/>
        <v>0.42678690714762874</v>
      </c>
      <c r="AC34" s="38">
        <f t="shared" si="3"/>
        <v>0.22675320199873636</v>
      </c>
    </row>
    <row r="35" spans="1:31" x14ac:dyDescent="0.35">
      <c r="A35" s="8" t="s">
        <v>42</v>
      </c>
      <c r="B35" s="11">
        <v>20.434999999999999</v>
      </c>
      <c r="C35" s="11">
        <v>20.741</v>
      </c>
      <c r="D35" s="11">
        <v>21.631</v>
      </c>
      <c r="E35" s="11">
        <v>20.86</v>
      </c>
      <c r="F35" s="11">
        <v>22.669</v>
      </c>
      <c r="G35" s="11">
        <v>26.260999999999999</v>
      </c>
      <c r="H35" s="11">
        <v>24.550999999999998</v>
      </c>
      <c r="I35" s="11">
        <v>26.079000000000001</v>
      </c>
      <c r="J35" s="11">
        <v>27.751999999999999</v>
      </c>
      <c r="K35" s="11">
        <v>29.257000000000001</v>
      </c>
      <c r="L35" s="11">
        <v>28.521000000000001</v>
      </c>
      <c r="M35" s="11">
        <v>29.756</v>
      </c>
      <c r="N35" s="11">
        <v>31.385999999999999</v>
      </c>
      <c r="O35" s="11">
        <v>34.747999999999998</v>
      </c>
      <c r="P35" s="11">
        <v>35.54</v>
      </c>
      <c r="Q35" s="11">
        <v>37.783999999999999</v>
      </c>
      <c r="R35" s="11">
        <v>40.566000000000003</v>
      </c>
      <c r="S35" s="11">
        <v>45.473999999999997</v>
      </c>
      <c r="T35" s="11">
        <v>51.27</v>
      </c>
      <c r="U35" s="11">
        <v>60.82</v>
      </c>
      <c r="V35" s="11">
        <v>67.599999999999994</v>
      </c>
      <c r="W35" s="11">
        <v>73.88</v>
      </c>
      <c r="X35" s="11">
        <v>80.34</v>
      </c>
      <c r="Y35" s="37">
        <f t="shared" si="0"/>
        <v>0.56699824458747805</v>
      </c>
      <c r="Z35" s="37">
        <f t="shared" si="1"/>
        <v>8.7439090416892365E-2</v>
      </c>
      <c r="AA35" s="11">
        <v>88.93</v>
      </c>
      <c r="AB35" s="38">
        <f t="shared" si="2"/>
        <v>0.46218349227227895</v>
      </c>
      <c r="AC35" s="38">
        <f t="shared" si="3"/>
        <v>0.10692058750311181</v>
      </c>
    </row>
    <row r="36" spans="1:31" s="12" customFormat="1" ht="13.15" x14ac:dyDescent="0.4">
      <c r="A36" s="15" t="s">
        <v>75</v>
      </c>
      <c r="B36" s="12">
        <f>SUM(B30:B35)</f>
        <v>147.85300000000001</v>
      </c>
      <c r="C36" s="12">
        <f t="shared" ref="C36:AE36" si="15">SUM(C30:C35)</f>
        <v>155.37900000000002</v>
      </c>
      <c r="D36" s="12">
        <f t="shared" si="15"/>
        <v>209.798</v>
      </c>
      <c r="E36" s="12">
        <f t="shared" si="15"/>
        <v>222.30200000000002</v>
      </c>
      <c r="F36" s="12">
        <f t="shared" si="15"/>
        <v>195.44100000000003</v>
      </c>
      <c r="G36" s="12">
        <f t="shared" si="15"/>
        <v>349.85700000000003</v>
      </c>
      <c r="H36" s="12">
        <f t="shared" si="15"/>
        <v>391.517</v>
      </c>
      <c r="I36" s="12">
        <f t="shared" si="15"/>
        <v>499.64800000000002</v>
      </c>
      <c r="J36" s="12">
        <f t="shared" si="15"/>
        <v>751.697</v>
      </c>
      <c r="K36" s="12">
        <f t="shared" si="15"/>
        <v>757.197</v>
      </c>
      <c r="L36" s="12">
        <f t="shared" si="15"/>
        <v>850.23399999999992</v>
      </c>
      <c r="M36" s="12">
        <f t="shared" si="15"/>
        <v>933.06399999999996</v>
      </c>
      <c r="N36" s="12">
        <f t="shared" si="15"/>
        <v>1791.3619999999999</v>
      </c>
      <c r="O36" s="12">
        <f t="shared" si="15"/>
        <v>1665.9180000000001</v>
      </c>
      <c r="P36" s="12">
        <f t="shared" si="15"/>
        <v>1768.0630000000001</v>
      </c>
      <c r="Q36" s="12">
        <f t="shared" si="15"/>
        <v>1462.4290000000001</v>
      </c>
      <c r="R36" s="12">
        <f t="shared" si="15"/>
        <v>1558.8329999999999</v>
      </c>
      <c r="S36" s="12">
        <f t="shared" si="15"/>
        <v>1736.0100000000002</v>
      </c>
      <c r="T36" s="12">
        <f t="shared" si="15"/>
        <v>1982.681</v>
      </c>
      <c r="U36" s="12">
        <f t="shared" si="15"/>
        <v>2264.2199999999998</v>
      </c>
      <c r="V36" s="12">
        <f t="shared" si="15"/>
        <v>2512.6499999999996</v>
      </c>
      <c r="W36" s="12">
        <f t="shared" si="15"/>
        <v>2560.7900000000004</v>
      </c>
      <c r="X36" s="12">
        <f t="shared" si="15"/>
        <v>2598.65</v>
      </c>
      <c r="Y36" s="37">
        <f t="shared" si="0"/>
        <v>0.31067478832953965</v>
      </c>
      <c r="Z36" s="37">
        <f t="shared" si="1"/>
        <v>1.478450009567347E-2</v>
      </c>
      <c r="AA36" s="12">
        <f t="shared" si="15"/>
        <v>2443.4789999999998</v>
      </c>
      <c r="AB36" s="38">
        <f t="shared" si="2"/>
        <v>7.9170310305535688E-2</v>
      </c>
      <c r="AC36" s="38">
        <f t="shared" si="3"/>
        <v>-5.9712158236007264E-2</v>
      </c>
      <c r="AD36" s="12">
        <f t="shared" si="15"/>
        <v>0</v>
      </c>
      <c r="AE36" s="12">
        <f t="shared" si="15"/>
        <v>0</v>
      </c>
    </row>
    <row r="37" spans="1:31" x14ac:dyDescent="0.35">
      <c r="A37" s="7" t="s">
        <v>43</v>
      </c>
      <c r="B37" s="11">
        <v>24.925999999999998</v>
      </c>
      <c r="C37" s="11">
        <v>23.1</v>
      </c>
      <c r="D37" s="11">
        <v>20.331</v>
      </c>
      <c r="E37" s="11">
        <v>20.998000000000001</v>
      </c>
      <c r="F37" s="11">
        <v>20.178000000000001</v>
      </c>
      <c r="G37" s="11">
        <v>21.532</v>
      </c>
      <c r="H37" s="11">
        <v>23.532</v>
      </c>
      <c r="I37" s="11">
        <v>28.936</v>
      </c>
      <c r="J37" s="11">
        <v>30.5</v>
      </c>
      <c r="K37" s="11">
        <v>32.972000000000001</v>
      </c>
      <c r="L37" s="11">
        <v>35.186999999999998</v>
      </c>
      <c r="M37" s="11">
        <v>42.984999999999999</v>
      </c>
      <c r="N37" s="11">
        <v>53.648000000000003</v>
      </c>
      <c r="O37" s="11">
        <v>63.210999999999999</v>
      </c>
      <c r="P37" s="11">
        <v>73.444999999999993</v>
      </c>
      <c r="Q37" s="11">
        <v>82.167000000000002</v>
      </c>
      <c r="R37" s="11">
        <v>85.1</v>
      </c>
      <c r="S37" s="11">
        <v>86.778000000000006</v>
      </c>
      <c r="T37" s="11">
        <v>91.8</v>
      </c>
      <c r="U37" s="11">
        <v>111.4</v>
      </c>
      <c r="V37" s="11">
        <v>133.30000000000001</v>
      </c>
      <c r="W37" s="11">
        <v>151.69999999999999</v>
      </c>
      <c r="X37" s="11">
        <v>173</v>
      </c>
      <c r="Y37" s="37">
        <f t="shared" si="0"/>
        <v>0.88453159041394336</v>
      </c>
      <c r="Z37" s="37">
        <f t="shared" si="1"/>
        <v>0.14040870138431122</v>
      </c>
      <c r="AA37" s="11">
        <v>168.2</v>
      </c>
      <c r="AB37" s="38">
        <f t="shared" si="2"/>
        <v>0.50987432675044864</v>
      </c>
      <c r="AC37" s="38">
        <f t="shared" si="3"/>
        <v>-2.7745664739884459E-2</v>
      </c>
    </row>
    <row r="38" spans="1:31" x14ac:dyDescent="0.35">
      <c r="A38" s="7" t="s">
        <v>59</v>
      </c>
      <c r="B38" s="11">
        <v>0</v>
      </c>
      <c r="C38" s="11">
        <v>0</v>
      </c>
      <c r="D38" s="11">
        <v>0</v>
      </c>
      <c r="E38" s="11">
        <v>0</v>
      </c>
      <c r="F38" s="11">
        <v>7.9630000000000001</v>
      </c>
      <c r="G38" s="11">
        <v>12.3</v>
      </c>
      <c r="H38" s="11">
        <v>11.4</v>
      </c>
      <c r="I38" s="11">
        <v>10.117000000000001</v>
      </c>
      <c r="J38" s="11">
        <v>11.986000000000001</v>
      </c>
      <c r="K38" s="11">
        <v>11.462</v>
      </c>
      <c r="L38" s="11">
        <v>14.487</v>
      </c>
      <c r="M38" s="11">
        <v>17.683</v>
      </c>
      <c r="N38" s="11">
        <v>16.687999999999999</v>
      </c>
      <c r="O38" s="11">
        <v>15.693</v>
      </c>
      <c r="P38" s="11">
        <v>15.2</v>
      </c>
      <c r="Q38" s="11">
        <v>14.42</v>
      </c>
      <c r="R38" s="11">
        <v>19.442</v>
      </c>
      <c r="S38" s="11">
        <v>16.986999999999998</v>
      </c>
      <c r="T38" s="11">
        <v>18.128</v>
      </c>
      <c r="U38" s="11">
        <v>21.4</v>
      </c>
      <c r="V38" s="11">
        <v>21.64</v>
      </c>
      <c r="W38" s="11">
        <v>22.954000000000001</v>
      </c>
      <c r="X38" s="11">
        <v>21.2</v>
      </c>
      <c r="Y38" s="37">
        <f t="shared" si="0"/>
        <v>0.1694616063548102</v>
      </c>
      <c r="Z38" s="37">
        <f t="shared" si="1"/>
        <v>-7.6413696959135718E-2</v>
      </c>
      <c r="AA38" s="11">
        <v>19.88</v>
      </c>
      <c r="AB38" s="38">
        <f t="shared" si="2"/>
        <v>-7.1028037383177561E-2</v>
      </c>
      <c r="AC38" s="38">
        <f t="shared" si="3"/>
        <v>-6.226415094339624E-2</v>
      </c>
    </row>
    <row r="39" spans="1:31" x14ac:dyDescent="0.35">
      <c r="A39" s="7" t="s">
        <v>44</v>
      </c>
      <c r="B39" s="11">
        <v>3.6640000000000001</v>
      </c>
      <c r="C39" s="11">
        <v>3.6640000000000001</v>
      </c>
      <c r="D39" s="11">
        <v>36.078000000000003</v>
      </c>
      <c r="E39" s="11">
        <v>24.78</v>
      </c>
      <c r="F39" s="14">
        <v>24.78</v>
      </c>
      <c r="G39" s="11">
        <v>24.783000000000001</v>
      </c>
      <c r="H39" s="11">
        <v>24.783000000000001</v>
      </c>
      <c r="I39" s="11">
        <v>24.783000000000001</v>
      </c>
      <c r="J39" s="11">
        <v>24.783000000000001</v>
      </c>
      <c r="K39" s="11">
        <v>24.783000000000001</v>
      </c>
      <c r="L39" s="11">
        <v>24.783000000000001</v>
      </c>
      <c r="M39" s="11">
        <v>24.783000000000001</v>
      </c>
      <c r="N39" s="11">
        <v>61.037999999999997</v>
      </c>
      <c r="O39" s="11">
        <v>45.4</v>
      </c>
      <c r="P39" s="11">
        <v>61</v>
      </c>
      <c r="Q39" s="11">
        <v>181.25399999999999</v>
      </c>
      <c r="R39" s="11">
        <v>195.637</v>
      </c>
      <c r="S39" s="11">
        <v>197</v>
      </c>
      <c r="T39" s="11">
        <v>195.5</v>
      </c>
      <c r="U39" s="11">
        <v>213.559</v>
      </c>
      <c r="V39" s="11">
        <v>213.9</v>
      </c>
      <c r="W39" s="11">
        <v>214.29</v>
      </c>
      <c r="X39" s="11">
        <v>213.2</v>
      </c>
      <c r="Y39" s="37">
        <f t="shared" si="0"/>
        <v>9.0537084398976925E-2</v>
      </c>
      <c r="Z39" s="37">
        <f t="shared" si="1"/>
        <v>-5.0865649353679758E-3</v>
      </c>
      <c r="AA39" s="11">
        <v>214.6</v>
      </c>
      <c r="AB39" s="38">
        <f t="shared" si="2"/>
        <v>4.8745311600072901E-3</v>
      </c>
      <c r="AC39" s="38">
        <f t="shared" si="3"/>
        <v>6.5666041275797647E-3</v>
      </c>
    </row>
    <row r="40" spans="1:31" x14ac:dyDescent="0.35">
      <c r="A40" s="7" t="s">
        <v>45</v>
      </c>
      <c r="B40" s="11">
        <v>0.439</v>
      </c>
      <c r="C40" s="11">
        <v>0.36299999999999999</v>
      </c>
      <c r="D40" s="11">
        <v>24.783000000000001</v>
      </c>
      <c r="E40" s="11">
        <v>35.299999999999997</v>
      </c>
      <c r="F40" s="11">
        <v>34.124000000000002</v>
      </c>
      <c r="G40" s="11">
        <v>32.942999999999998</v>
      </c>
      <c r="H40" s="11">
        <v>31.760999999999999</v>
      </c>
      <c r="I40" s="11">
        <v>30.579000000000001</v>
      </c>
      <c r="J40" s="11">
        <v>29.332000000000001</v>
      </c>
      <c r="K40" s="11">
        <v>28.1</v>
      </c>
      <c r="L40" s="11">
        <v>26.838999999999999</v>
      </c>
      <c r="M40" s="11">
        <v>28.8</v>
      </c>
      <c r="N40" s="11">
        <v>47.9</v>
      </c>
      <c r="O40" s="11">
        <v>61.320999999999998</v>
      </c>
      <c r="P40" s="11">
        <v>43.146000000000001</v>
      </c>
      <c r="Q40" s="11">
        <v>97.757999999999996</v>
      </c>
      <c r="R40" s="11">
        <v>103.2</v>
      </c>
      <c r="S40" s="11">
        <v>96.887</v>
      </c>
      <c r="T40" s="11">
        <v>90.924999999999997</v>
      </c>
      <c r="U40" s="11">
        <v>99.5</v>
      </c>
      <c r="V40" s="11">
        <v>92.8</v>
      </c>
      <c r="W40" s="11">
        <v>85.96</v>
      </c>
      <c r="X40" s="11">
        <v>79.14</v>
      </c>
      <c r="Y40" s="37">
        <f t="shared" si="0"/>
        <v>-0.12961231784437721</v>
      </c>
      <c r="Z40" s="37">
        <f t="shared" si="1"/>
        <v>-7.9339227547696525E-2</v>
      </c>
      <c r="AA40" s="11">
        <v>68.5</v>
      </c>
      <c r="AB40" s="38">
        <f t="shared" si="2"/>
        <v>-0.31155778894472363</v>
      </c>
      <c r="AC40" s="38">
        <f t="shared" si="3"/>
        <v>-0.13444528683345969</v>
      </c>
    </row>
    <row r="41" spans="1:31" x14ac:dyDescent="0.35">
      <c r="A41" s="7" t="s">
        <v>46</v>
      </c>
      <c r="B41" s="11">
        <v>35.235999999999997</v>
      </c>
      <c r="C41" s="11">
        <v>36.03</v>
      </c>
      <c r="D41" s="11">
        <v>35.520000000000003</v>
      </c>
      <c r="E41" s="11">
        <v>36.548000000000002</v>
      </c>
      <c r="F41" s="11">
        <v>36.762</v>
      </c>
      <c r="G41" s="11">
        <v>40.1</v>
      </c>
      <c r="H41" s="11">
        <v>40.668999999999997</v>
      </c>
      <c r="I41" s="11">
        <v>44.62</v>
      </c>
      <c r="J41" s="11">
        <v>47.798000000000002</v>
      </c>
      <c r="K41" s="11">
        <v>49.551000000000002</v>
      </c>
      <c r="L41" s="11">
        <v>51.997999999999998</v>
      </c>
      <c r="M41" s="11">
        <v>59.875</v>
      </c>
      <c r="N41" s="11">
        <v>91.314999999999998</v>
      </c>
      <c r="O41" s="11">
        <v>118.532</v>
      </c>
      <c r="P41" s="11">
        <v>136.11099999999999</v>
      </c>
      <c r="Q41" s="11">
        <v>118.726</v>
      </c>
      <c r="R41" s="11">
        <v>120.9</v>
      </c>
      <c r="S41" s="11">
        <v>129.15299999999999</v>
      </c>
      <c r="T41" s="11">
        <v>140.43899999999999</v>
      </c>
      <c r="U41" s="11">
        <v>169.3</v>
      </c>
      <c r="V41" s="11">
        <v>184.13</v>
      </c>
      <c r="W41" s="11">
        <v>195.3</v>
      </c>
      <c r="X41" s="11">
        <v>215.3</v>
      </c>
      <c r="Y41" s="37">
        <f t="shared" si="0"/>
        <v>0.53304993627126385</v>
      </c>
      <c r="Z41" s="37">
        <f t="shared" si="1"/>
        <v>0.10240655401945724</v>
      </c>
      <c r="AA41" s="11">
        <v>215.9</v>
      </c>
      <c r="AB41" s="38">
        <f t="shared" si="2"/>
        <v>0.27525103366804482</v>
      </c>
      <c r="AC41" s="38">
        <f t="shared" si="3"/>
        <v>2.7868091035763783E-3</v>
      </c>
    </row>
    <row r="42" spans="1:31" x14ac:dyDescent="0.35">
      <c r="A42" s="7" t="s">
        <v>61</v>
      </c>
      <c r="B42" s="11">
        <v>0</v>
      </c>
      <c r="C42" s="11">
        <v>0</v>
      </c>
      <c r="D42" s="11">
        <v>0</v>
      </c>
      <c r="E42" s="11">
        <v>0</v>
      </c>
      <c r="F42" s="11">
        <v>0</v>
      </c>
      <c r="G42" s="11">
        <v>0</v>
      </c>
      <c r="H42" s="11">
        <v>0</v>
      </c>
      <c r="I42" s="11">
        <v>74.531000000000006</v>
      </c>
      <c r="J42" s="11">
        <v>86.8</v>
      </c>
      <c r="K42" s="11">
        <v>93.872</v>
      </c>
      <c r="L42" s="11">
        <v>88.811999999999998</v>
      </c>
      <c r="M42" s="11">
        <v>92.9</v>
      </c>
      <c r="N42" s="11">
        <v>132.23099999999999</v>
      </c>
      <c r="O42" s="11">
        <v>130.571</v>
      </c>
      <c r="P42" s="11">
        <v>133.15799999999999</v>
      </c>
      <c r="Q42" s="11">
        <v>122.47</v>
      </c>
      <c r="R42" s="11">
        <v>180.3</v>
      </c>
      <c r="S42" s="11">
        <v>174.3</v>
      </c>
      <c r="T42" s="11">
        <v>178.37100000000001</v>
      </c>
      <c r="U42" s="11">
        <v>204.9</v>
      </c>
      <c r="V42" s="11">
        <v>222.5</v>
      </c>
      <c r="W42" s="11">
        <v>234.94900000000001</v>
      </c>
      <c r="X42" s="11">
        <v>253.52</v>
      </c>
      <c r="Y42" s="37">
        <f t="shared" si="0"/>
        <v>0.42130727528578077</v>
      </c>
      <c r="Z42" s="37">
        <f t="shared" si="1"/>
        <v>7.9042685859484388E-2</v>
      </c>
      <c r="AA42" s="11">
        <v>252.37</v>
      </c>
      <c r="AB42" s="38">
        <f t="shared" si="2"/>
        <v>0.23167398731088334</v>
      </c>
      <c r="AC42" s="38">
        <f t="shared" si="3"/>
        <v>-4.5361312716945632E-3</v>
      </c>
    </row>
    <row r="43" spans="1:31" hidden="1" x14ac:dyDescent="0.35">
      <c r="A43" s="16" t="s">
        <v>63</v>
      </c>
      <c r="B43" s="11">
        <v>0</v>
      </c>
      <c r="C43" s="11">
        <v>0</v>
      </c>
      <c r="D43" s="11">
        <v>0</v>
      </c>
      <c r="E43" s="11">
        <v>0</v>
      </c>
      <c r="F43" s="11">
        <v>0</v>
      </c>
      <c r="G43" s="11">
        <v>0</v>
      </c>
      <c r="H43" s="11">
        <v>0</v>
      </c>
      <c r="I43" s="11">
        <v>0</v>
      </c>
      <c r="J43" s="11">
        <v>47.884999999999998</v>
      </c>
      <c r="K43" s="11">
        <v>0</v>
      </c>
      <c r="L43" s="11">
        <v>0</v>
      </c>
      <c r="M43" s="11">
        <v>0</v>
      </c>
      <c r="N43" s="11">
        <v>0</v>
      </c>
      <c r="O43" s="11">
        <v>0</v>
      </c>
      <c r="P43" s="11">
        <v>0</v>
      </c>
      <c r="Q43" s="11">
        <v>0</v>
      </c>
      <c r="R43" s="11">
        <v>0</v>
      </c>
      <c r="S43" s="11">
        <v>0</v>
      </c>
      <c r="T43" s="11">
        <v>0</v>
      </c>
      <c r="U43" s="11">
        <v>0</v>
      </c>
      <c r="V43" s="11">
        <v>0</v>
      </c>
      <c r="W43" s="11">
        <v>0</v>
      </c>
      <c r="X43" s="11">
        <v>0</v>
      </c>
      <c r="Y43" s="37" t="e">
        <f t="shared" si="0"/>
        <v>#DIV/0!</v>
      </c>
      <c r="Z43" s="37" t="e">
        <f t="shared" si="1"/>
        <v>#DIV/0!</v>
      </c>
      <c r="AA43" s="11">
        <v>0</v>
      </c>
      <c r="AB43" s="38" t="e">
        <f t="shared" si="2"/>
        <v>#DIV/0!</v>
      </c>
      <c r="AC43" s="38" t="e">
        <f t="shared" si="3"/>
        <v>#DIV/0!</v>
      </c>
    </row>
    <row r="44" spans="1:31" s="12" customFormat="1" ht="13.15" x14ac:dyDescent="0.4">
      <c r="A44" s="15" t="s">
        <v>47</v>
      </c>
      <c r="B44" s="12">
        <f t="shared" ref="B44:U44" si="16">SUM(B36:B43)</f>
        <v>212.11799999999997</v>
      </c>
      <c r="C44" s="12">
        <f t="shared" si="16"/>
        <v>218.536</v>
      </c>
      <c r="D44" s="12">
        <f t="shared" si="16"/>
        <v>326.51</v>
      </c>
      <c r="E44" s="12">
        <f t="shared" si="16"/>
        <v>339.92800000000005</v>
      </c>
      <c r="F44" s="12">
        <f t="shared" si="16"/>
        <v>319.24800000000005</v>
      </c>
      <c r="G44" s="12">
        <f t="shared" si="16"/>
        <v>481.51500000000004</v>
      </c>
      <c r="H44" s="12">
        <f t="shared" si="16"/>
        <v>523.66200000000003</v>
      </c>
      <c r="I44" s="12">
        <f t="shared" si="16"/>
        <v>713.21399999999994</v>
      </c>
      <c r="J44" s="12">
        <f t="shared" si="16"/>
        <v>1030.7809999999999</v>
      </c>
      <c r="K44" s="12">
        <f t="shared" si="16"/>
        <v>997.93700000000001</v>
      </c>
      <c r="L44" s="12">
        <f t="shared" si="16"/>
        <v>1092.3399999999999</v>
      </c>
      <c r="M44" s="12">
        <f t="shared" si="16"/>
        <v>1200.0900000000001</v>
      </c>
      <c r="N44" s="12">
        <f t="shared" si="16"/>
        <v>2194.1819999999998</v>
      </c>
      <c r="O44" s="12">
        <f t="shared" si="16"/>
        <v>2100.6460000000002</v>
      </c>
      <c r="P44" s="12">
        <f t="shared" si="16"/>
        <v>2230.123</v>
      </c>
      <c r="Q44" s="12">
        <f t="shared" si="16"/>
        <v>2079.2239999999997</v>
      </c>
      <c r="R44" s="12">
        <f t="shared" si="16"/>
        <v>2263.4119999999998</v>
      </c>
      <c r="S44" s="12">
        <f t="shared" si="16"/>
        <v>2437.1150000000002</v>
      </c>
      <c r="T44" s="12">
        <f t="shared" si="16"/>
        <v>2697.8440000000005</v>
      </c>
      <c r="U44" s="12">
        <f t="shared" si="16"/>
        <v>3084.2790000000005</v>
      </c>
      <c r="V44" s="12">
        <f>SUM(V36:V43)</f>
        <v>3380.92</v>
      </c>
      <c r="W44" s="12">
        <f t="shared" ref="W44" si="17">SUM(W36:W43)</f>
        <v>3465.9430000000007</v>
      </c>
      <c r="X44" s="12">
        <f t="shared" ref="X44" si="18">SUM(X36:X43)</f>
        <v>3554.0099999999998</v>
      </c>
      <c r="Y44" s="37">
        <f t="shared" si="0"/>
        <v>0.31735192991144007</v>
      </c>
      <c r="Z44" s="37">
        <f t="shared" si="1"/>
        <v>2.540924648789639E-2</v>
      </c>
      <c r="AA44" s="12">
        <f t="shared" ref="AA44" si="19">SUM(AA36:AA43)</f>
        <v>3382.9289999999996</v>
      </c>
      <c r="AB44" s="38">
        <f t="shared" si="2"/>
        <v>9.6829761509902038E-2</v>
      </c>
      <c r="AC44" s="38">
        <f t="shared" si="3"/>
        <v>-4.813745600040522E-2</v>
      </c>
      <c r="AD44" s="12">
        <f t="shared" ref="AD44" si="20">SUM(AD36:AD43)</f>
        <v>0</v>
      </c>
      <c r="AE44" s="12">
        <f t="shared" ref="AE44" si="21">SUM(AE36:AE43)</f>
        <v>0</v>
      </c>
    </row>
    <row r="45" spans="1:31" x14ac:dyDescent="0.35">
      <c r="Y45" s="37"/>
      <c r="Z45" s="37"/>
      <c r="AB45" s="38"/>
      <c r="AC45" s="38"/>
    </row>
    <row r="46" spans="1:31" ht="13.15" x14ac:dyDescent="0.4">
      <c r="A46" s="6" t="s">
        <v>48</v>
      </c>
      <c r="Y46" s="37"/>
      <c r="Z46" s="37"/>
      <c r="AB46" s="38"/>
      <c r="AC46" s="38"/>
    </row>
    <row r="47" spans="1:31" ht="13.15" x14ac:dyDescent="0.4">
      <c r="A47" s="9" t="s">
        <v>49</v>
      </c>
      <c r="Y47" s="37"/>
      <c r="Z47" s="37"/>
      <c r="AB47" s="38"/>
      <c r="AC47" s="38"/>
    </row>
    <row r="48" spans="1:31" x14ac:dyDescent="0.35">
      <c r="A48" s="8" t="s">
        <v>50</v>
      </c>
      <c r="B48" s="11">
        <v>14.087</v>
      </c>
      <c r="C48" s="11">
        <v>21.895</v>
      </c>
      <c r="D48" s="11">
        <v>28.1</v>
      </c>
      <c r="E48" s="11">
        <v>48.793999999999997</v>
      </c>
      <c r="F48" s="11">
        <v>52.488999999999997</v>
      </c>
      <c r="G48" s="11">
        <v>65.989000000000004</v>
      </c>
      <c r="H48" s="11">
        <v>60.692</v>
      </c>
      <c r="I48" s="11">
        <v>57.473999999999997</v>
      </c>
      <c r="J48" s="11">
        <v>34.537999999999997</v>
      </c>
      <c r="K48" s="11">
        <v>24.135000000000002</v>
      </c>
      <c r="L48" s="11">
        <v>48.148000000000003</v>
      </c>
      <c r="M48" s="11">
        <v>72.599999999999994</v>
      </c>
      <c r="N48" s="11">
        <v>81.524000000000001</v>
      </c>
      <c r="O48" s="11">
        <v>82.141000000000005</v>
      </c>
      <c r="P48" s="11">
        <v>92.2</v>
      </c>
      <c r="Q48" s="11">
        <v>113.767</v>
      </c>
      <c r="R48" s="11">
        <v>104.738</v>
      </c>
      <c r="S48" s="11">
        <v>90.4</v>
      </c>
      <c r="T48" s="11">
        <v>92.822999999999993</v>
      </c>
      <c r="U48" s="11">
        <v>125.1</v>
      </c>
      <c r="V48" s="11">
        <v>106.15</v>
      </c>
      <c r="W48" s="11">
        <v>79.099999999999994</v>
      </c>
      <c r="X48" s="11">
        <v>90.1</v>
      </c>
      <c r="Y48" s="37">
        <f t="shared" si="0"/>
        <v>-2.9335401786195224E-2</v>
      </c>
      <c r="Z48" s="37">
        <f t="shared" si="1"/>
        <v>0.1390644753476612</v>
      </c>
      <c r="AA48" s="11">
        <v>116.2</v>
      </c>
      <c r="AB48" s="38">
        <f t="shared" si="2"/>
        <v>-7.1143085531574682E-2</v>
      </c>
      <c r="AC48" s="38">
        <f t="shared" si="3"/>
        <v>0.28967813540510556</v>
      </c>
    </row>
    <row r="49" spans="1:31" x14ac:dyDescent="0.35">
      <c r="A49" s="8" t="s">
        <v>51</v>
      </c>
      <c r="B49" s="11">
        <v>30.222999999999999</v>
      </c>
      <c r="C49" s="11">
        <v>31.1</v>
      </c>
      <c r="D49" s="11">
        <v>41.561999999999998</v>
      </c>
      <c r="E49" s="11">
        <v>29</v>
      </c>
      <c r="F49" s="11">
        <v>32.430999999999997</v>
      </c>
      <c r="G49" s="11">
        <v>33.536000000000001</v>
      </c>
      <c r="H49" s="11">
        <v>39.991</v>
      </c>
      <c r="I49" s="11">
        <v>47.091999999999999</v>
      </c>
      <c r="J49" s="11">
        <v>49.817</v>
      </c>
      <c r="K49" s="11">
        <v>46.691000000000003</v>
      </c>
      <c r="L49" s="11">
        <v>52.2</v>
      </c>
      <c r="M49" s="11">
        <v>76.542000000000002</v>
      </c>
      <c r="N49" s="11">
        <v>115.172</v>
      </c>
      <c r="O49" s="11">
        <v>119.23399999999999</v>
      </c>
      <c r="P49" s="11">
        <v>139.24299999999999</v>
      </c>
      <c r="Q49" s="11">
        <v>157.9</v>
      </c>
      <c r="R49" s="11">
        <v>169.1</v>
      </c>
      <c r="S49" s="11">
        <v>197.9</v>
      </c>
      <c r="T49" s="11">
        <v>255.8</v>
      </c>
      <c r="U49" s="11">
        <v>295.89999999999998</v>
      </c>
      <c r="V49" s="11">
        <v>396.7</v>
      </c>
      <c r="W49" s="11">
        <v>425.3</v>
      </c>
      <c r="X49" s="11">
        <v>434.82</v>
      </c>
      <c r="Y49" s="37">
        <f t="shared" si="0"/>
        <v>0.69984362783424536</v>
      </c>
      <c r="Z49" s="37">
        <f t="shared" si="1"/>
        <v>2.238419938866678E-2</v>
      </c>
      <c r="AA49" s="11">
        <v>261.89999999999998</v>
      </c>
      <c r="AB49" s="38">
        <f t="shared" si="2"/>
        <v>-0.11490368367691789</v>
      </c>
      <c r="AC49" s="38">
        <f t="shared" si="3"/>
        <v>-0.39768179936525461</v>
      </c>
    </row>
    <row r="50" spans="1:31" x14ac:dyDescent="0.35">
      <c r="A50" s="8" t="s">
        <v>53</v>
      </c>
      <c r="B50" s="11">
        <v>37.4</v>
      </c>
      <c r="C50" s="11">
        <v>34.954000000000001</v>
      </c>
      <c r="D50" s="11">
        <v>32</v>
      </c>
      <c r="E50" s="11">
        <v>33.11</v>
      </c>
      <c r="F50" s="11">
        <v>32.9</v>
      </c>
      <c r="G50" s="11">
        <v>33.576999999999998</v>
      </c>
      <c r="H50" s="11">
        <v>34.295000000000002</v>
      </c>
      <c r="I50" s="11">
        <v>81.783000000000001</v>
      </c>
      <c r="J50" s="11">
        <v>39</v>
      </c>
      <c r="K50" s="11">
        <v>40.256</v>
      </c>
      <c r="L50" s="11">
        <v>41.738</v>
      </c>
      <c r="M50" s="11">
        <v>47.664999999999999</v>
      </c>
      <c r="N50" s="11">
        <v>49.115000000000002</v>
      </c>
      <c r="O50" s="11">
        <v>55.084000000000003</v>
      </c>
      <c r="P50" s="11">
        <v>59.231999999999999</v>
      </c>
      <c r="Q50" s="11">
        <v>62.67</v>
      </c>
      <c r="R50" s="11">
        <v>68.7</v>
      </c>
      <c r="S50" s="11">
        <v>74.099999999999994</v>
      </c>
      <c r="T50" s="11">
        <v>79.599999999999994</v>
      </c>
      <c r="U50" s="11">
        <v>90.7</v>
      </c>
      <c r="V50" s="11">
        <v>99.8</v>
      </c>
      <c r="W50" s="11">
        <v>109.2</v>
      </c>
      <c r="X50" s="11">
        <v>114.03</v>
      </c>
      <c r="Y50" s="37">
        <f t="shared" si="0"/>
        <v>0.43253768844221119</v>
      </c>
      <c r="Z50" s="37">
        <f t="shared" si="1"/>
        <v>4.4230769230769212E-2</v>
      </c>
      <c r="AA50" s="11">
        <v>118.3</v>
      </c>
      <c r="AB50" s="38">
        <f t="shared" si="2"/>
        <v>0.3042998897464167</v>
      </c>
      <c r="AC50" s="38">
        <f t="shared" si="3"/>
        <v>3.7446286065070562E-2</v>
      </c>
    </row>
    <row r="51" spans="1:31" x14ac:dyDescent="0.35">
      <c r="A51" s="8" t="s">
        <v>52</v>
      </c>
      <c r="B51" s="11">
        <v>7.6989999999999998</v>
      </c>
      <c r="C51" s="11">
        <v>8.2750000000000004</v>
      </c>
      <c r="D51" s="11">
        <v>9.1170000000000009</v>
      </c>
      <c r="E51" s="11">
        <v>8.0830000000000002</v>
      </c>
      <c r="F51" s="11">
        <v>7.9249999999999998</v>
      </c>
      <c r="G51" s="11">
        <v>7.468</v>
      </c>
      <c r="H51" s="11">
        <v>8.7569999999999997</v>
      </c>
      <c r="I51" s="11">
        <v>10.077999999999999</v>
      </c>
      <c r="J51" s="11">
        <v>9.6780000000000008</v>
      </c>
      <c r="K51" s="11">
        <v>10.17</v>
      </c>
      <c r="L51" s="11">
        <v>10.76</v>
      </c>
      <c r="M51" s="11">
        <v>11.26</v>
      </c>
      <c r="N51" s="11">
        <v>14.3</v>
      </c>
      <c r="O51" s="11">
        <v>15.009</v>
      </c>
      <c r="P51" s="11">
        <v>16.7</v>
      </c>
      <c r="Q51" s="11">
        <v>19.399999999999999</v>
      </c>
      <c r="R51" s="11">
        <v>23.96</v>
      </c>
      <c r="S51" s="11">
        <v>29.2</v>
      </c>
      <c r="T51" s="11">
        <v>32.35</v>
      </c>
      <c r="U51" s="11">
        <v>35.555999999999997</v>
      </c>
      <c r="V51" s="11">
        <v>34.5</v>
      </c>
      <c r="W51" s="11">
        <v>36.700000000000003</v>
      </c>
      <c r="X51" s="11">
        <v>40.75</v>
      </c>
      <c r="Y51" s="37">
        <f t="shared" si="0"/>
        <v>0.25965996908809885</v>
      </c>
      <c r="Z51" s="37">
        <f t="shared" si="1"/>
        <v>0.11035422343324242</v>
      </c>
      <c r="AA51" s="11">
        <v>36.1</v>
      </c>
      <c r="AB51" s="38">
        <f t="shared" si="2"/>
        <v>1.529980875239071E-2</v>
      </c>
      <c r="AC51" s="38">
        <f t="shared" si="3"/>
        <v>-0.11411042944785273</v>
      </c>
    </row>
    <row r="52" spans="1:31" x14ac:dyDescent="0.35">
      <c r="A52" s="8" t="s">
        <v>54</v>
      </c>
      <c r="B52" s="11">
        <v>14.268000000000001</v>
      </c>
      <c r="C52" s="11">
        <v>18.428999999999998</v>
      </c>
      <c r="D52" s="11">
        <v>24.125</v>
      </c>
      <c r="E52" s="11">
        <v>28.155000000000001</v>
      </c>
      <c r="F52" s="11">
        <v>2.9849999999999999</v>
      </c>
      <c r="G52" s="11">
        <v>3.03</v>
      </c>
      <c r="H52" s="11">
        <v>3.0840000000000001</v>
      </c>
      <c r="I52" s="11">
        <v>2.8839999999999999</v>
      </c>
      <c r="J52" s="11">
        <v>100.56699999999999</v>
      </c>
      <c r="K52" s="11">
        <v>102.271</v>
      </c>
      <c r="L52" s="11">
        <v>103.67</v>
      </c>
      <c r="M52" s="11">
        <v>325.96699999999998</v>
      </c>
      <c r="N52" s="11">
        <v>84.355999999999995</v>
      </c>
      <c r="O52" s="11">
        <v>85.125</v>
      </c>
      <c r="P52" s="11">
        <v>86</v>
      </c>
      <c r="Q52" s="11">
        <v>86.1</v>
      </c>
      <c r="R52" s="11">
        <v>87.2</v>
      </c>
      <c r="S52" s="11">
        <v>88.429000000000002</v>
      </c>
      <c r="T52" s="11">
        <v>89.653999999999996</v>
      </c>
      <c r="U52" s="11">
        <v>90.9</v>
      </c>
      <c r="V52" s="11">
        <v>92.1</v>
      </c>
      <c r="W52" s="11">
        <v>93.4</v>
      </c>
      <c r="X52" s="11">
        <v>94.665000000000006</v>
      </c>
      <c r="Y52" s="37">
        <f t="shared" si="0"/>
        <v>5.5892653980859859E-2</v>
      </c>
      <c r="Z52" s="37">
        <f t="shared" si="1"/>
        <v>1.3543897216274095E-2</v>
      </c>
      <c r="AA52" s="11">
        <v>0</v>
      </c>
      <c r="AB52" s="38">
        <f t="shared" si="2"/>
        <v>-1</v>
      </c>
      <c r="AC52" s="38">
        <f t="shared" si="3"/>
        <v>-1</v>
      </c>
    </row>
    <row r="53" spans="1:31" s="12" customFormat="1" ht="13.15" x14ac:dyDescent="0.4">
      <c r="A53" s="15" t="s">
        <v>76</v>
      </c>
      <c r="B53" s="12">
        <f>SUM(B48:B52)</f>
        <v>103.67700000000001</v>
      </c>
      <c r="C53" s="12">
        <f t="shared" ref="C53:AE53" si="22">SUM(C48:C52)</f>
        <v>114.65300000000002</v>
      </c>
      <c r="D53" s="12">
        <f t="shared" si="22"/>
        <v>134.904</v>
      </c>
      <c r="E53" s="12">
        <f t="shared" si="22"/>
        <v>147.142</v>
      </c>
      <c r="F53" s="12">
        <f t="shared" si="22"/>
        <v>128.72999999999999</v>
      </c>
      <c r="G53" s="12">
        <f t="shared" si="22"/>
        <v>143.6</v>
      </c>
      <c r="H53" s="12">
        <f t="shared" si="22"/>
        <v>146.81900000000002</v>
      </c>
      <c r="I53" s="12">
        <f t="shared" si="22"/>
        <v>199.31099999999998</v>
      </c>
      <c r="J53" s="12">
        <f t="shared" si="22"/>
        <v>233.59999999999997</v>
      </c>
      <c r="K53" s="12">
        <f t="shared" si="22"/>
        <v>223.52300000000002</v>
      </c>
      <c r="L53" s="12">
        <f t="shared" si="22"/>
        <v>256.51600000000002</v>
      </c>
      <c r="M53" s="12">
        <f t="shared" si="22"/>
        <v>534.03399999999999</v>
      </c>
      <c r="N53" s="12">
        <f t="shared" si="22"/>
        <v>344.46699999999998</v>
      </c>
      <c r="O53" s="12">
        <f t="shared" si="22"/>
        <v>356.59300000000002</v>
      </c>
      <c r="P53" s="12">
        <f t="shared" si="22"/>
        <v>393.37499999999994</v>
      </c>
      <c r="Q53" s="12">
        <f t="shared" si="22"/>
        <v>439.83699999999999</v>
      </c>
      <c r="R53" s="12">
        <f t="shared" si="22"/>
        <v>453.69799999999992</v>
      </c>
      <c r="S53" s="12">
        <f t="shared" si="22"/>
        <v>480.029</v>
      </c>
      <c r="T53" s="12">
        <f t="shared" si="22"/>
        <v>550.22699999999998</v>
      </c>
      <c r="U53" s="12">
        <f t="shared" si="22"/>
        <v>638.15599999999995</v>
      </c>
      <c r="V53" s="12">
        <f t="shared" si="22"/>
        <v>729.25</v>
      </c>
      <c r="W53" s="12">
        <f t="shared" si="22"/>
        <v>743.7</v>
      </c>
      <c r="X53" s="12">
        <f t="shared" si="22"/>
        <v>774.3649999999999</v>
      </c>
      <c r="Y53" s="37">
        <f t="shared" si="0"/>
        <v>0.40735550963511413</v>
      </c>
      <c r="Z53" s="37">
        <f t="shared" si="1"/>
        <v>4.1233024068844763E-2</v>
      </c>
      <c r="AA53" s="12">
        <f t="shared" si="22"/>
        <v>532.5</v>
      </c>
      <c r="AB53" s="38">
        <f t="shared" si="2"/>
        <v>-0.1655645328101592</v>
      </c>
      <c r="AC53" s="38">
        <f t="shared" si="3"/>
        <v>-0.31233978808443036</v>
      </c>
      <c r="AD53" s="12">
        <f t="shared" si="22"/>
        <v>0</v>
      </c>
      <c r="AE53" s="12">
        <f t="shared" si="22"/>
        <v>0</v>
      </c>
    </row>
    <row r="54" spans="1:31" x14ac:dyDescent="0.35">
      <c r="A54" s="7" t="s">
        <v>56</v>
      </c>
      <c r="B54" s="11">
        <v>78.265000000000001</v>
      </c>
      <c r="C54" s="11">
        <v>75.099999999999994</v>
      </c>
      <c r="D54" s="11">
        <v>74.064999999999998</v>
      </c>
      <c r="E54" s="11">
        <v>76.911000000000001</v>
      </c>
      <c r="F54" s="11">
        <v>78.393000000000001</v>
      </c>
      <c r="G54" s="11">
        <v>82.287999999999997</v>
      </c>
      <c r="H54" s="11">
        <v>85.745999999999995</v>
      </c>
      <c r="I54" s="11">
        <v>100.2</v>
      </c>
      <c r="J54" s="11">
        <v>106.205</v>
      </c>
      <c r="K54" s="11">
        <v>110.977</v>
      </c>
      <c r="L54" s="11">
        <v>115.75700000000001</v>
      </c>
      <c r="M54" s="11">
        <v>125.473</v>
      </c>
      <c r="N54" s="11">
        <v>142.98500000000001</v>
      </c>
      <c r="O54" s="11">
        <v>165.64500000000001</v>
      </c>
      <c r="P54" s="11">
        <v>177.249</v>
      </c>
      <c r="Q54" s="11">
        <v>187.18600000000001</v>
      </c>
      <c r="R54" s="11">
        <v>202.7</v>
      </c>
      <c r="S54" s="11">
        <v>217.1</v>
      </c>
      <c r="T54" s="11">
        <v>239.971</v>
      </c>
      <c r="U54" s="11">
        <v>281.60000000000002</v>
      </c>
      <c r="V54" s="11">
        <v>322.5</v>
      </c>
      <c r="W54" s="11">
        <v>354.3</v>
      </c>
      <c r="X54" s="11">
        <v>366</v>
      </c>
      <c r="Y54" s="37">
        <f t="shared" si="0"/>
        <v>0.52518429310208314</v>
      </c>
      <c r="Z54" s="37">
        <f t="shared" si="1"/>
        <v>3.3022861981371686E-2</v>
      </c>
      <c r="AA54" s="11">
        <v>369.2</v>
      </c>
      <c r="AB54" s="38">
        <f t="shared" si="2"/>
        <v>0.3110795454545453</v>
      </c>
      <c r="AC54" s="38">
        <f t="shared" si="3"/>
        <v>8.7431693989070726E-3</v>
      </c>
    </row>
    <row r="55" spans="1:31" x14ac:dyDescent="0.35">
      <c r="A55" s="7" t="s">
        <v>55</v>
      </c>
      <c r="B55" s="11">
        <v>22.925999999999998</v>
      </c>
      <c r="C55" s="11">
        <v>23.367000000000001</v>
      </c>
      <c r="D55" s="11">
        <v>23.067</v>
      </c>
      <c r="E55" s="11">
        <v>23.210999999999999</v>
      </c>
      <c r="F55" s="11">
        <v>23.117000000000001</v>
      </c>
      <c r="G55" s="11">
        <v>25.526</v>
      </c>
      <c r="H55" s="11">
        <v>25.867000000000001</v>
      </c>
      <c r="I55" s="11">
        <v>27.02</v>
      </c>
      <c r="J55" s="11">
        <v>27.823</v>
      </c>
      <c r="K55" s="11">
        <v>27.736999999999998</v>
      </c>
      <c r="L55" s="11">
        <v>33</v>
      </c>
      <c r="M55" s="11">
        <v>34.652999999999999</v>
      </c>
      <c r="N55" s="11">
        <v>40.25</v>
      </c>
      <c r="O55" s="11">
        <v>44.929000000000002</v>
      </c>
      <c r="P55" s="11">
        <v>50.783999999999999</v>
      </c>
      <c r="Q55" s="11">
        <v>53.981999999999999</v>
      </c>
      <c r="R55" s="11">
        <v>59.6</v>
      </c>
      <c r="S55" s="11">
        <v>67.353999999999999</v>
      </c>
      <c r="T55" s="11">
        <v>73.53</v>
      </c>
      <c r="U55" s="11">
        <v>95.9</v>
      </c>
      <c r="V55" s="11">
        <v>111.5</v>
      </c>
      <c r="W55" s="11">
        <v>144</v>
      </c>
      <c r="X55" s="11">
        <v>148.1</v>
      </c>
      <c r="Y55" s="37">
        <f t="shared" si="0"/>
        <v>1.014143886848905</v>
      </c>
      <c r="Z55" s="37">
        <f t="shared" si="1"/>
        <v>2.8472222222222184E-2</v>
      </c>
      <c r="AA55" s="11">
        <v>153</v>
      </c>
      <c r="AB55" s="38">
        <f t="shared" si="2"/>
        <v>0.59541188738269024</v>
      </c>
      <c r="AC55" s="38">
        <f t="shared" si="3"/>
        <v>3.308575286968269E-2</v>
      </c>
    </row>
    <row r="56" spans="1:31" x14ac:dyDescent="0.35">
      <c r="A56" s="7" t="s">
        <v>46</v>
      </c>
      <c r="B56" s="11">
        <v>1.9339999999999999</v>
      </c>
      <c r="C56" s="11">
        <v>1.97</v>
      </c>
      <c r="D56" s="11">
        <v>2.3929999999999998</v>
      </c>
      <c r="E56" s="11">
        <v>3.25</v>
      </c>
      <c r="F56" s="11">
        <v>9.4659999999999993</v>
      </c>
      <c r="G56" s="11">
        <v>12.93</v>
      </c>
      <c r="H56" s="11">
        <v>11.97</v>
      </c>
      <c r="I56" s="11">
        <v>11.817</v>
      </c>
      <c r="J56" s="11">
        <v>13.077</v>
      </c>
      <c r="K56" s="11">
        <v>12.34</v>
      </c>
      <c r="L56" s="11">
        <v>14.387</v>
      </c>
      <c r="M56" s="11">
        <v>17</v>
      </c>
      <c r="N56" s="11">
        <v>15.776999999999999</v>
      </c>
      <c r="O56" s="11">
        <v>20.100000000000001</v>
      </c>
      <c r="P56" s="11">
        <v>20.617000000000001</v>
      </c>
      <c r="Q56" s="11">
        <v>16.53</v>
      </c>
      <c r="R56" s="11">
        <v>19.268999999999998</v>
      </c>
      <c r="S56" s="11">
        <v>23.864000000000001</v>
      </c>
      <c r="T56" s="11">
        <v>25.4</v>
      </c>
      <c r="U56" s="11">
        <v>43.52</v>
      </c>
      <c r="V56" s="11">
        <v>47.2</v>
      </c>
      <c r="W56" s="11">
        <v>50.3</v>
      </c>
      <c r="X56" s="11">
        <v>53.76</v>
      </c>
      <c r="Y56" s="37">
        <f t="shared" si="0"/>
        <v>1.1165354330708661</v>
      </c>
      <c r="Z56" s="37">
        <f t="shared" si="1"/>
        <v>6.8787276341948325E-2</v>
      </c>
      <c r="AA56" s="11">
        <v>51</v>
      </c>
      <c r="AB56" s="38">
        <f t="shared" si="2"/>
        <v>0.17187499999999992</v>
      </c>
      <c r="AC56" s="38">
        <f t="shared" si="3"/>
        <v>-5.1339285714285678E-2</v>
      </c>
    </row>
    <row r="57" spans="1:31" x14ac:dyDescent="0.35">
      <c r="A57" s="7" t="s">
        <v>57</v>
      </c>
      <c r="B57" s="11">
        <v>36.459000000000003</v>
      </c>
      <c r="C57" s="11">
        <v>33.558999999999997</v>
      </c>
      <c r="D57" s="11">
        <v>87.9</v>
      </c>
      <c r="E57" s="11">
        <v>81.628</v>
      </c>
      <c r="F57" s="11">
        <v>65.400000000000006</v>
      </c>
      <c r="G57" s="11">
        <v>99.89</v>
      </c>
      <c r="H57" s="11">
        <v>100.97799999999999</v>
      </c>
      <c r="I57" s="11">
        <v>102.65900000000001</v>
      </c>
      <c r="J57" s="11">
        <v>295.21600000000001</v>
      </c>
      <c r="K57" s="11">
        <v>253.17400000000001</v>
      </c>
      <c r="L57" s="11">
        <v>256.452</v>
      </c>
      <c r="M57" s="11">
        <v>4.8979999999999997</v>
      </c>
      <c r="N57" s="11">
        <v>917.87300000000005</v>
      </c>
      <c r="O57" s="11">
        <v>929.01499999999999</v>
      </c>
      <c r="P57" s="11">
        <v>940.24400000000003</v>
      </c>
      <c r="Q57" s="11">
        <v>951.59400000000005</v>
      </c>
      <c r="R57" s="11">
        <v>1196.95</v>
      </c>
      <c r="S57" s="11">
        <v>1197.7860000000001</v>
      </c>
      <c r="T57" s="11">
        <v>1198.627</v>
      </c>
      <c r="U57" s="11">
        <v>1199.5</v>
      </c>
      <c r="V57" s="11">
        <v>1200.3</v>
      </c>
      <c r="W57" s="11">
        <v>1201.1099999999999</v>
      </c>
      <c r="X57" s="11">
        <v>1196.9469999999999</v>
      </c>
      <c r="Y57" s="37">
        <f t="shared" si="0"/>
        <v>-1.4016036681970818E-3</v>
      </c>
      <c r="Z57" s="37">
        <f t="shared" si="1"/>
        <v>-3.4659606530625933E-3</v>
      </c>
      <c r="AA57" s="11">
        <v>1293.73</v>
      </c>
      <c r="AB57" s="38">
        <f t="shared" si="2"/>
        <v>7.8557732388495227E-2</v>
      </c>
      <c r="AC57" s="38">
        <f t="shared" si="3"/>
        <v>8.0858216779857536E-2</v>
      </c>
    </row>
    <row r="58" spans="1:31" hidden="1" x14ac:dyDescent="0.35">
      <c r="A58" s="16" t="s">
        <v>62</v>
      </c>
      <c r="B58" s="11">
        <v>0</v>
      </c>
      <c r="C58" s="11">
        <v>0</v>
      </c>
      <c r="D58" s="11">
        <v>0</v>
      </c>
      <c r="E58" s="11">
        <v>0</v>
      </c>
      <c r="F58" s="11">
        <v>0</v>
      </c>
      <c r="G58" s="11">
        <v>0</v>
      </c>
      <c r="H58" s="11">
        <v>0</v>
      </c>
      <c r="I58" s="11">
        <v>0</v>
      </c>
      <c r="J58" s="11">
        <v>38.637</v>
      </c>
      <c r="K58" s="11">
        <v>0</v>
      </c>
      <c r="L58" s="11">
        <v>0</v>
      </c>
      <c r="M58" s="11">
        <v>0</v>
      </c>
      <c r="N58" s="11">
        <v>0</v>
      </c>
      <c r="O58" s="11">
        <v>0</v>
      </c>
      <c r="P58" s="11">
        <v>0</v>
      </c>
      <c r="Q58" s="11">
        <v>0</v>
      </c>
      <c r="R58" s="11">
        <v>0</v>
      </c>
      <c r="S58" s="11">
        <v>0</v>
      </c>
      <c r="T58" s="11">
        <v>0</v>
      </c>
      <c r="U58" s="11">
        <v>0</v>
      </c>
      <c r="V58" s="11">
        <v>0</v>
      </c>
      <c r="W58" s="11">
        <v>0</v>
      </c>
      <c r="Y58" s="37" t="e">
        <f t="shared" si="0"/>
        <v>#DIV/0!</v>
      </c>
      <c r="Z58" s="37" t="e">
        <f t="shared" si="1"/>
        <v>#DIV/0!</v>
      </c>
      <c r="AB58" s="38" t="e">
        <f t="shared" si="2"/>
        <v>#DIV/0!</v>
      </c>
      <c r="AC58" s="38" t="e">
        <f t="shared" si="3"/>
        <v>#DIV/0!</v>
      </c>
    </row>
    <row r="59" spans="1:31" s="12" customFormat="1" ht="13.15" x14ac:dyDescent="0.4">
      <c r="A59" s="15" t="s">
        <v>58</v>
      </c>
      <c r="B59" s="12">
        <f>SUM(B53:B58)</f>
        <v>243.261</v>
      </c>
      <c r="C59" s="12">
        <f t="shared" ref="C59:AE59" si="23">SUM(C53:C58)</f>
        <v>248.649</v>
      </c>
      <c r="D59" s="12">
        <f t="shared" si="23"/>
        <v>322.32900000000001</v>
      </c>
      <c r="E59" s="12">
        <f t="shared" si="23"/>
        <v>332.142</v>
      </c>
      <c r="F59" s="12">
        <f t="shared" si="23"/>
        <v>305.10599999999999</v>
      </c>
      <c r="G59" s="12">
        <f t="shared" si="23"/>
        <v>364.23399999999998</v>
      </c>
      <c r="H59" s="12">
        <f t="shared" si="23"/>
        <v>371.38000000000005</v>
      </c>
      <c r="I59" s="12">
        <f t="shared" si="23"/>
        <v>441.00699999999995</v>
      </c>
      <c r="J59" s="12">
        <f t="shared" si="23"/>
        <v>714.55799999999999</v>
      </c>
      <c r="K59" s="12">
        <f t="shared" si="23"/>
        <v>627.75099999999998</v>
      </c>
      <c r="L59" s="12">
        <f t="shared" si="23"/>
        <v>676.11200000000008</v>
      </c>
      <c r="M59" s="12">
        <f t="shared" si="23"/>
        <v>716.05799999999999</v>
      </c>
      <c r="N59" s="12">
        <f t="shared" si="23"/>
        <v>1461.3520000000001</v>
      </c>
      <c r="O59" s="12">
        <f t="shared" si="23"/>
        <v>1516.2820000000002</v>
      </c>
      <c r="P59" s="12">
        <f t="shared" si="23"/>
        <v>1582.2689999999998</v>
      </c>
      <c r="Q59" s="12">
        <f t="shared" si="23"/>
        <v>1649.1289999999999</v>
      </c>
      <c r="R59" s="12">
        <f t="shared" si="23"/>
        <v>1932.2170000000001</v>
      </c>
      <c r="S59" s="12">
        <f t="shared" si="23"/>
        <v>1986.1330000000003</v>
      </c>
      <c r="T59" s="12">
        <f t="shared" si="23"/>
        <v>2087.7550000000001</v>
      </c>
      <c r="U59" s="12">
        <f t="shared" si="23"/>
        <v>2258.6759999999999</v>
      </c>
      <c r="V59" s="12">
        <f t="shared" si="23"/>
        <v>2410.75</v>
      </c>
      <c r="W59" s="12">
        <f t="shared" si="23"/>
        <v>2493.41</v>
      </c>
      <c r="X59" s="12">
        <f t="shared" si="23"/>
        <v>2539.1719999999996</v>
      </c>
      <c r="Y59" s="37">
        <f t="shared" si="0"/>
        <v>0.21622125201472367</v>
      </c>
      <c r="Z59" s="37">
        <f t="shared" si="1"/>
        <v>1.8353178979790614E-2</v>
      </c>
      <c r="AA59" s="12">
        <f t="shared" si="23"/>
        <v>2399.4300000000003</v>
      </c>
      <c r="AB59" s="38">
        <f t="shared" si="2"/>
        <v>6.231703883159885E-2</v>
      </c>
      <c r="AC59" s="38">
        <f t="shared" si="3"/>
        <v>-5.5034475805498528E-2</v>
      </c>
      <c r="AD59" s="12">
        <f t="shared" si="23"/>
        <v>0</v>
      </c>
      <c r="AE59" s="12">
        <f t="shared" si="23"/>
        <v>0</v>
      </c>
    </row>
    <row r="60" spans="1:31" x14ac:dyDescent="0.35">
      <c r="Y60" s="37"/>
      <c r="Z60" s="37"/>
      <c r="AB60" s="38"/>
      <c r="AC60" s="38"/>
    </row>
    <row r="61" spans="1:31" s="12" customFormat="1" ht="13.15" x14ac:dyDescent="0.4">
      <c r="A61" s="6" t="s">
        <v>77</v>
      </c>
      <c r="B61" s="12">
        <f t="shared" ref="B61:I61" si="24">B44-B59</f>
        <v>-31.143000000000029</v>
      </c>
      <c r="C61" s="12">
        <f t="shared" si="24"/>
        <v>-30.113</v>
      </c>
      <c r="D61" s="12">
        <f t="shared" si="24"/>
        <v>4.1809999999999832</v>
      </c>
      <c r="E61" s="12">
        <f t="shared" si="24"/>
        <v>7.7860000000000582</v>
      </c>
      <c r="F61" s="12">
        <f t="shared" si="24"/>
        <v>14.142000000000053</v>
      </c>
      <c r="G61" s="12">
        <f t="shared" si="24"/>
        <v>117.28100000000006</v>
      </c>
      <c r="H61" s="12">
        <f t="shared" si="24"/>
        <v>152.28199999999998</v>
      </c>
      <c r="I61" s="12">
        <f t="shared" si="24"/>
        <v>272.20699999999999</v>
      </c>
      <c r="J61" s="12">
        <f t="shared" ref="J61:AE61" si="25">J44-J59</f>
        <v>316.22299999999996</v>
      </c>
      <c r="K61" s="12">
        <f t="shared" si="25"/>
        <v>370.18600000000004</v>
      </c>
      <c r="L61" s="12">
        <f t="shared" si="25"/>
        <v>416.22799999999984</v>
      </c>
      <c r="M61" s="12">
        <f t="shared" si="25"/>
        <v>484.03200000000015</v>
      </c>
      <c r="N61" s="12">
        <f t="shared" si="25"/>
        <v>732.8299999999997</v>
      </c>
      <c r="O61" s="12">
        <f t="shared" si="25"/>
        <v>584.36400000000003</v>
      </c>
      <c r="P61" s="12">
        <f t="shared" si="25"/>
        <v>647.85400000000027</v>
      </c>
      <c r="Q61" s="12">
        <f t="shared" si="25"/>
        <v>430.0949999999998</v>
      </c>
      <c r="R61" s="12">
        <f t="shared" si="25"/>
        <v>331.19499999999971</v>
      </c>
      <c r="S61" s="12">
        <f t="shared" si="25"/>
        <v>450.98199999999997</v>
      </c>
      <c r="T61" s="12">
        <f t="shared" si="25"/>
        <v>610.0890000000004</v>
      </c>
      <c r="U61" s="12">
        <f t="shared" si="25"/>
        <v>825.60300000000052</v>
      </c>
      <c r="V61" s="12">
        <f t="shared" si="25"/>
        <v>970.17000000000007</v>
      </c>
      <c r="W61" s="12">
        <f t="shared" si="25"/>
        <v>972.53300000000081</v>
      </c>
      <c r="X61" s="12">
        <f t="shared" si="25"/>
        <v>1014.8380000000002</v>
      </c>
      <c r="Y61" s="37">
        <f t="shared" si="0"/>
        <v>0.66342615585594811</v>
      </c>
      <c r="Z61" s="37">
        <f t="shared" si="1"/>
        <v>4.3499809260970419E-2</v>
      </c>
      <c r="AA61" s="12">
        <f t="shared" si="25"/>
        <v>983.49899999999934</v>
      </c>
      <c r="AB61" s="38">
        <f t="shared" si="2"/>
        <v>0.1912493050533958</v>
      </c>
      <c r="AC61" s="38">
        <f t="shared" si="3"/>
        <v>-3.0880790825728682E-2</v>
      </c>
      <c r="AD61" s="12">
        <f t="shared" si="25"/>
        <v>0</v>
      </c>
      <c r="AE61" s="12">
        <f t="shared" si="25"/>
        <v>0</v>
      </c>
    </row>
    <row r="62" spans="1:31" s="31" customFormat="1" x14ac:dyDescent="0.35">
      <c r="A62" s="30" t="s">
        <v>78</v>
      </c>
      <c r="B62" s="31">
        <f>B7-B8+B9</f>
        <v>413.34199999999998</v>
      </c>
      <c r="C62" s="31">
        <f t="shared" ref="C62:AE62" si="26">C7-C8+C9</f>
        <v>646.327</v>
      </c>
      <c r="D62" s="31">
        <f t="shared" si="26"/>
        <v>495.41099999999994</v>
      </c>
      <c r="E62" s="31">
        <f t="shared" si="26"/>
        <v>476.54600000000005</v>
      </c>
      <c r="F62" s="31">
        <f t="shared" si="26"/>
        <v>1060.9780000000001</v>
      </c>
      <c r="G62" s="31">
        <f t="shared" si="26"/>
        <v>2285.0910000000003</v>
      </c>
      <c r="H62" s="31">
        <f t="shared" si="26"/>
        <v>2879.8360000000002</v>
      </c>
      <c r="I62" s="31">
        <f t="shared" si="26"/>
        <v>3258.6030000000001</v>
      </c>
      <c r="J62" s="31">
        <f t="shared" si="26"/>
        <v>4257.9589999999998</v>
      </c>
      <c r="K62" s="31">
        <f t="shared" si="26"/>
        <v>5742.0109999999995</v>
      </c>
      <c r="L62" s="31">
        <f t="shared" si="26"/>
        <v>11426.11</v>
      </c>
      <c r="M62" s="31">
        <f t="shared" si="26"/>
        <v>24568.226000000002</v>
      </c>
      <c r="N62" s="31">
        <f t="shared" si="26"/>
        <v>23188.589</v>
      </c>
      <c r="O62" s="31">
        <f t="shared" si="26"/>
        <v>25777.34</v>
      </c>
      <c r="P62" s="31">
        <f t="shared" si="26"/>
        <v>20777.891</v>
      </c>
      <c r="Q62" s="31">
        <f t="shared" si="26"/>
        <v>26181.468999999997</v>
      </c>
      <c r="R62" s="31">
        <f t="shared" si="26"/>
        <v>29478.728999999999</v>
      </c>
      <c r="S62" s="31">
        <f t="shared" si="26"/>
        <v>28152.955000000002</v>
      </c>
      <c r="T62" s="31">
        <f t="shared" si="26"/>
        <v>40381.588000000003</v>
      </c>
      <c r="U62" s="31">
        <f t="shared" si="26"/>
        <v>37831.839999999997</v>
      </c>
      <c r="V62" s="31">
        <f t="shared" si="26"/>
        <v>30214.930000000004</v>
      </c>
      <c r="W62" s="31">
        <f t="shared" si="26"/>
        <v>23795.357999999997</v>
      </c>
      <c r="X62" s="31">
        <f t="shared" si="26"/>
        <v>16785.282000000003</v>
      </c>
      <c r="Y62" s="37">
        <f t="shared" si="0"/>
        <v>-0.58433328575389354</v>
      </c>
      <c r="Z62" s="37">
        <f t="shared" si="1"/>
        <v>-0.2945984674826071</v>
      </c>
      <c r="AA62" s="31">
        <f t="shared" si="26"/>
        <v>17992.617999999995</v>
      </c>
      <c r="AB62" s="38">
        <f t="shared" si="2"/>
        <v>-0.52440542146509406</v>
      </c>
      <c r="AC62" s="38">
        <f t="shared" si="3"/>
        <v>7.1928252382056607E-2</v>
      </c>
      <c r="AD62" s="31">
        <f t="shared" si="26"/>
        <v>0</v>
      </c>
      <c r="AE62" s="31">
        <f t="shared" si="26"/>
        <v>0</v>
      </c>
    </row>
    <row r="63" spans="1:31" x14ac:dyDescent="0.35">
      <c r="A63" s="30" t="s">
        <v>79</v>
      </c>
      <c r="B63" s="32">
        <f>B26/B6</f>
        <v>-5.6351648351648374E-2</v>
      </c>
      <c r="C63" s="32">
        <f t="shared" ref="C63:AE63" si="27">C26/C6</f>
        <v>-3.8536082474226803E-2</v>
      </c>
      <c r="D63" s="32">
        <f t="shared" si="27"/>
        <v>-3.3708737864077645E-2</v>
      </c>
      <c r="E63" s="32">
        <f t="shared" si="27"/>
        <v>7.1099999999999566E-3</v>
      </c>
      <c r="F63" s="32">
        <f t="shared" si="27"/>
        <v>2.3836206896551727E-2</v>
      </c>
      <c r="G63" s="32">
        <f t="shared" si="27"/>
        <v>8.1083969465648761E-2</v>
      </c>
      <c r="H63" s="32">
        <f t="shared" si="27"/>
        <v>0.23208208955223872</v>
      </c>
      <c r="I63" s="32">
        <f t="shared" si="27"/>
        <v>0.88384090909090884</v>
      </c>
      <c r="J63" s="32">
        <f t="shared" si="27"/>
        <v>0.49953333333333316</v>
      </c>
      <c r="K63" s="32">
        <f t="shared" si="27"/>
        <v>-0.37526984126984125</v>
      </c>
      <c r="L63" s="32">
        <f t="shared" si="27"/>
        <v>0.27728873239436619</v>
      </c>
      <c r="M63" s="32">
        <f t="shared" si="27"/>
        <v>0.5138619718309857</v>
      </c>
      <c r="N63" s="32">
        <f t="shared" si="27"/>
        <v>0.21726712328767125</v>
      </c>
      <c r="O63" s="32">
        <f t="shared" si="27"/>
        <v>0.27722535211267618</v>
      </c>
      <c r="P63" s="32">
        <f t="shared" si="27"/>
        <v>0.15476595744680857</v>
      </c>
      <c r="Q63" s="32">
        <f t="shared" si="27"/>
        <v>0.36702797202797283</v>
      </c>
      <c r="R63" s="32">
        <f t="shared" si="27"/>
        <v>0.3576275862068965</v>
      </c>
      <c r="S63" s="32">
        <f t="shared" si="27"/>
        <v>0.53471527777777828</v>
      </c>
      <c r="T63" s="32">
        <f t="shared" si="27"/>
        <v>0.78586301369863032</v>
      </c>
      <c r="U63" s="32">
        <f t="shared" si="27"/>
        <v>1.068201388888889</v>
      </c>
      <c r="V63" s="32">
        <f t="shared" si="27"/>
        <v>1.0059657534246575</v>
      </c>
      <c r="W63" s="32">
        <f t="shared" si="27"/>
        <v>1.08355616815989</v>
      </c>
      <c r="X63" s="32">
        <f t="shared" si="27"/>
        <v>0.79207232267037553</v>
      </c>
      <c r="Y63" s="37">
        <f t="shared" si="0"/>
        <v>7.9012612421105865E-3</v>
      </c>
      <c r="Z63" s="37">
        <f t="shared" si="1"/>
        <v>-0.26900667824586921</v>
      </c>
      <c r="AA63" s="32">
        <f t="shared" si="27"/>
        <v>0.15034482758620668</v>
      </c>
      <c r="AB63" s="38">
        <f t="shared" si="2"/>
        <v>-0.85925422944582497</v>
      </c>
      <c r="AC63" s="38">
        <f t="shared" si="3"/>
        <v>-0.81018800520722978</v>
      </c>
      <c r="AD63" s="32" t="e">
        <f t="shared" si="27"/>
        <v>#DIV/0!</v>
      </c>
      <c r="AE63" s="32" t="e">
        <f t="shared" si="27"/>
        <v>#DIV/0!</v>
      </c>
    </row>
    <row r="64" spans="1:31" x14ac:dyDescent="0.35">
      <c r="A64" s="30" t="s">
        <v>80</v>
      </c>
      <c r="B64" s="33">
        <f>B13/B11</f>
        <v>0.26174755616532325</v>
      </c>
      <c r="C64" s="33">
        <f t="shared" ref="C64:AE64" si="28">C13/C11</f>
        <v>0.29910667228839466</v>
      </c>
      <c r="D64" s="33">
        <f t="shared" si="28"/>
        <v>0.3238717948717949</v>
      </c>
      <c r="E64" s="33">
        <f t="shared" si="28"/>
        <v>0.3051976899155931</v>
      </c>
      <c r="F64" s="33">
        <f t="shared" si="28"/>
        <v>0.33289066400399397</v>
      </c>
      <c r="G64" s="33">
        <f t="shared" si="28"/>
        <v>0.33796441302369973</v>
      </c>
      <c r="H64" s="33">
        <f t="shared" si="28"/>
        <v>0.35936397918436935</v>
      </c>
      <c r="I64" s="33">
        <f t="shared" si="28"/>
        <v>0.37080540108173982</v>
      </c>
      <c r="J64" s="33">
        <f t="shared" si="28"/>
        <v>0.39249312802549313</v>
      </c>
      <c r="K64" s="33">
        <f t="shared" si="28"/>
        <v>0.38543707881278977</v>
      </c>
      <c r="L64" s="33">
        <f t="shared" si="28"/>
        <v>0.53208963585434166</v>
      </c>
      <c r="M64" s="33">
        <f t="shared" si="28"/>
        <v>0.46042923705454564</v>
      </c>
      <c r="N64" s="33">
        <f t="shared" si="28"/>
        <v>0.40746435838464445</v>
      </c>
      <c r="O64" s="33">
        <f t="shared" si="28"/>
        <v>0.40436060584008582</v>
      </c>
      <c r="P64" s="33">
        <f t="shared" si="28"/>
        <v>0.39928993880842856</v>
      </c>
      <c r="Q64" s="33">
        <f t="shared" si="28"/>
        <v>0.39561877529260697</v>
      </c>
      <c r="R64" s="33">
        <f t="shared" si="28"/>
        <v>0.40108769544527534</v>
      </c>
      <c r="S64" s="33">
        <f t="shared" si="28"/>
        <v>0.41305167861184466</v>
      </c>
      <c r="T64" s="33">
        <f t="shared" si="28"/>
        <v>0.42209390263116431</v>
      </c>
      <c r="U64" s="33">
        <f t="shared" si="28"/>
        <v>0.42874589631175197</v>
      </c>
      <c r="V64" s="33">
        <f t="shared" si="28"/>
        <v>0.4495867768595041</v>
      </c>
      <c r="W64" s="33">
        <f t="shared" si="28"/>
        <v>0.4546814793981156</v>
      </c>
      <c r="X64" s="33">
        <f t="shared" si="28"/>
        <v>0.47541281074215203</v>
      </c>
      <c r="Y64" s="37">
        <f t="shared" si="0"/>
        <v>0.12632001499812956</v>
      </c>
      <c r="Z64" s="37">
        <f t="shared" si="1"/>
        <v>4.5595284354840053E-2</v>
      </c>
      <c r="AA64" s="33">
        <f t="shared" si="28"/>
        <v>0.48474733119608682</v>
      </c>
      <c r="AB64" s="38">
        <f t="shared" si="2"/>
        <v>0.13061684173792018</v>
      </c>
      <c r="AC64" s="38">
        <f t="shared" si="3"/>
        <v>1.963455809986055E-2</v>
      </c>
      <c r="AD64" s="33" t="e">
        <f t="shared" si="28"/>
        <v>#DIV/0!</v>
      </c>
      <c r="AE64" s="33" t="e">
        <f t="shared" si="28"/>
        <v>#DIV/0!</v>
      </c>
    </row>
    <row r="65" spans="1:31" x14ac:dyDescent="0.35">
      <c r="A65" s="30" t="s">
        <v>81</v>
      </c>
      <c r="B65" s="33">
        <f>B26/B11</f>
        <v>-7.3286457440118941E-2</v>
      </c>
      <c r="C65" s="33">
        <f t="shared" ref="C65:AE65" si="29">C26/C11</f>
        <v>-4.9251607462843891E-2</v>
      </c>
      <c r="D65" s="33">
        <f t="shared" si="29"/>
        <v>-4.4512820512820482E-2</v>
      </c>
      <c r="E65" s="33">
        <f t="shared" si="29"/>
        <v>7.703893120672608E-3</v>
      </c>
      <c r="F65" s="33">
        <f t="shared" si="29"/>
        <v>2.7608587119321022E-2</v>
      </c>
      <c r="G65" s="33">
        <f t="shared" si="29"/>
        <v>7.9213089325398514E-2</v>
      </c>
      <c r="H65" s="33">
        <f t="shared" si="29"/>
        <v>0.17271752833824841</v>
      </c>
      <c r="I65" s="33">
        <f t="shared" si="29"/>
        <v>0.5554724994286584</v>
      </c>
      <c r="J65" s="33">
        <f t="shared" si="29"/>
        <v>0.33537960057408345</v>
      </c>
      <c r="K65" s="33">
        <f t="shared" si="29"/>
        <v>-0.3766508945498574</v>
      </c>
      <c r="L65" s="33">
        <f t="shared" si="29"/>
        <v>0.22058823529411764</v>
      </c>
      <c r="M65" s="33">
        <f t="shared" si="29"/>
        <v>0.27551672317834774</v>
      </c>
      <c r="N65" s="33">
        <f t="shared" si="29"/>
        <v>0.10512205306309114</v>
      </c>
      <c r="O65" s="33">
        <f t="shared" si="29"/>
        <v>0.1245534824414584</v>
      </c>
      <c r="P65" s="33">
        <f t="shared" si="29"/>
        <v>6.2079147926570141E-2</v>
      </c>
      <c r="Q65" s="33">
        <f t="shared" si="29"/>
        <v>0.12718394843337319</v>
      </c>
      <c r="R65" s="33">
        <f t="shared" si="29"/>
        <v>0.11750736460457736</v>
      </c>
      <c r="S65" s="33">
        <f t="shared" si="29"/>
        <v>0.14522632968691071</v>
      </c>
      <c r="T65" s="33">
        <f t="shared" si="29"/>
        <v>0.18077201827635106</v>
      </c>
      <c r="U65" s="33">
        <f t="shared" si="29"/>
        <v>0.21226849264406553</v>
      </c>
      <c r="V65" s="33">
        <f t="shared" si="29"/>
        <v>0.202301652892562</v>
      </c>
      <c r="W65" s="33">
        <f t="shared" si="29"/>
        <v>0.2210997046828857</v>
      </c>
      <c r="X65" s="33">
        <f t="shared" si="29"/>
        <v>0.20667755398294321</v>
      </c>
      <c r="Y65" s="37">
        <f t="shared" si="0"/>
        <v>0.14330500900305079</v>
      </c>
      <c r="Z65" s="37">
        <f t="shared" si="1"/>
        <v>-6.5229172153927525E-2</v>
      </c>
      <c r="AA65" s="33">
        <f t="shared" si="29"/>
        <v>6.9167465379911988E-2</v>
      </c>
      <c r="AB65" s="38">
        <f t="shared" si="2"/>
        <v>-0.67415105031205513</v>
      </c>
      <c r="AC65" s="38">
        <f t="shared" si="3"/>
        <v>-0.66533634617322646</v>
      </c>
      <c r="AD65" s="33" t="e">
        <f t="shared" si="29"/>
        <v>#DIV/0!</v>
      </c>
      <c r="AE65" s="33" t="e">
        <f t="shared" si="29"/>
        <v>#DIV/0!</v>
      </c>
    </row>
    <row r="66" spans="1:31" x14ac:dyDescent="0.35">
      <c r="A66" s="30" t="s">
        <v>82</v>
      </c>
      <c r="B66" s="34">
        <f>B36/B53</f>
        <v>1.4260925759811722</v>
      </c>
      <c r="C66" s="34">
        <f t="shared" ref="C66:AE66" si="30">C36/C53</f>
        <v>1.3552109408388791</v>
      </c>
      <c r="D66" s="34">
        <f t="shared" si="30"/>
        <v>1.555165154480223</v>
      </c>
      <c r="E66" s="34">
        <f t="shared" si="30"/>
        <v>1.5107990920335461</v>
      </c>
      <c r="F66" s="34">
        <f t="shared" si="30"/>
        <v>1.518224190165463</v>
      </c>
      <c r="G66" s="34">
        <f t="shared" si="30"/>
        <v>2.4363300835654598</v>
      </c>
      <c r="H66" s="34">
        <f t="shared" si="30"/>
        <v>2.6666643962974814</v>
      </c>
      <c r="I66" s="34">
        <f t="shared" si="30"/>
        <v>2.5068761884692772</v>
      </c>
      <c r="J66" s="34">
        <f t="shared" si="30"/>
        <v>3.2178809931506853</v>
      </c>
      <c r="K66" s="34">
        <f t="shared" si="30"/>
        <v>3.3875574325684603</v>
      </c>
      <c r="L66" s="34">
        <f t="shared" si="30"/>
        <v>3.3145456813610061</v>
      </c>
      <c r="M66" s="34">
        <f t="shared" si="30"/>
        <v>1.7471996165038182</v>
      </c>
      <c r="N66" s="34">
        <f t="shared" si="30"/>
        <v>5.2003878455701127</v>
      </c>
      <c r="O66" s="34">
        <f t="shared" si="30"/>
        <v>4.6717630463862161</v>
      </c>
      <c r="P66" s="34">
        <f t="shared" si="30"/>
        <v>4.4945993009215135</v>
      </c>
      <c r="Q66" s="34">
        <f t="shared" si="30"/>
        <v>3.3249340096444824</v>
      </c>
      <c r="R66" s="34">
        <f t="shared" si="30"/>
        <v>3.4358383770702101</v>
      </c>
      <c r="S66" s="34">
        <f t="shared" si="30"/>
        <v>3.6164690049976151</v>
      </c>
      <c r="T66" s="34">
        <f t="shared" si="30"/>
        <v>3.6033873292295726</v>
      </c>
      <c r="U66" s="34">
        <f t="shared" si="30"/>
        <v>3.5480666169400585</v>
      </c>
      <c r="V66" s="34">
        <f t="shared" si="30"/>
        <v>3.4455262255742194</v>
      </c>
      <c r="W66" s="34">
        <f t="shared" si="30"/>
        <v>3.4433104746537584</v>
      </c>
      <c r="X66" s="34">
        <f t="shared" si="30"/>
        <v>3.3558464031819626</v>
      </c>
      <c r="Y66" s="37">
        <f t="shared" si="0"/>
        <v>-6.8696729890687563E-2</v>
      </c>
      <c r="Z66" s="37">
        <f t="shared" si="1"/>
        <v>-2.5401157437187169E-2</v>
      </c>
      <c r="AA66" s="34">
        <f t="shared" si="30"/>
        <v>4.5886929577464786</v>
      </c>
      <c r="AB66" s="38">
        <f t="shared" si="2"/>
        <v>0.29329391275744487</v>
      </c>
      <c r="AC66" s="38">
        <f t="shared" si="3"/>
        <v>0.36737275978887163</v>
      </c>
      <c r="AD66" s="34" t="e">
        <f t="shared" si="30"/>
        <v>#DIV/0!</v>
      </c>
      <c r="AE66" s="34" t="e">
        <f t="shared" si="30"/>
        <v>#DIV/0!</v>
      </c>
    </row>
    <row r="67" spans="1:31" x14ac:dyDescent="0.35">
      <c r="A67" s="35" t="s">
        <v>84</v>
      </c>
      <c r="B67" s="36">
        <f>B26/B61</f>
        <v>0.1646597951385543</v>
      </c>
      <c r="C67" s="36">
        <f t="shared" ref="C67:AE67" si="31">C26/C61</f>
        <v>0.12413243449672899</v>
      </c>
      <c r="D67" s="36">
        <f t="shared" si="31"/>
        <v>-0.83042334369768278</v>
      </c>
      <c r="E67" s="36">
        <f t="shared" si="31"/>
        <v>9.1317749807345278E-2</v>
      </c>
      <c r="F67" s="36">
        <f t="shared" si="31"/>
        <v>0.19551690001414157</v>
      </c>
      <c r="G67" s="36">
        <f t="shared" si="31"/>
        <v>9.0568804836247824E-2</v>
      </c>
      <c r="H67" s="36">
        <f t="shared" si="31"/>
        <v>0.2042198027344006</v>
      </c>
      <c r="I67" s="36">
        <f t="shared" si="31"/>
        <v>0.42859661948443639</v>
      </c>
      <c r="J67" s="36">
        <f t="shared" si="31"/>
        <v>0.21799679340212441</v>
      </c>
      <c r="K67" s="36">
        <f t="shared" si="31"/>
        <v>-0.1277303841852474</v>
      </c>
      <c r="L67" s="36">
        <f t="shared" si="31"/>
        <v>9.4599594453040198E-2</v>
      </c>
      <c r="M67" s="36">
        <f t="shared" si="31"/>
        <v>0.15075119000396658</v>
      </c>
      <c r="N67" s="36">
        <f t="shared" si="31"/>
        <v>4.3285618765607325E-2</v>
      </c>
      <c r="O67" s="36">
        <f t="shared" si="31"/>
        <v>6.7365546132205301E-2</v>
      </c>
      <c r="P67" s="36">
        <f t="shared" si="31"/>
        <v>3.3683515112972989E-2</v>
      </c>
      <c r="Q67" s="36">
        <f t="shared" si="31"/>
        <v>0.12203117915809331</v>
      </c>
      <c r="R67" s="36">
        <f t="shared" si="31"/>
        <v>0.15657241202312849</v>
      </c>
      <c r="S67" s="36">
        <f t="shared" si="31"/>
        <v>0.17073630433143688</v>
      </c>
      <c r="T67" s="36">
        <f t="shared" si="31"/>
        <v>0.18806436437962323</v>
      </c>
      <c r="U67" s="36">
        <f t="shared" si="31"/>
        <v>0.18631351872510143</v>
      </c>
      <c r="V67" s="36">
        <f t="shared" si="31"/>
        <v>0.15138687034231113</v>
      </c>
      <c r="W67" s="36">
        <f t="shared" si="31"/>
        <v>0.16166443709365119</v>
      </c>
      <c r="X67" s="36">
        <f t="shared" si="31"/>
        <v>0.11223466208399763</v>
      </c>
      <c r="Y67" s="37">
        <f t="shared" si="0"/>
        <v>-0.40321143532837078</v>
      </c>
      <c r="Z67" s="37">
        <f t="shared" si="1"/>
        <v>-0.30575540235246179</v>
      </c>
      <c r="AA67" s="36">
        <f t="shared" si="31"/>
        <v>2.1279126872523493E-2</v>
      </c>
      <c r="AB67" s="38">
        <f t="shared" si="2"/>
        <v>-0.88578860504524082</v>
      </c>
      <c r="AC67" s="38">
        <f t="shared" si="3"/>
        <v>-0.81040503461757685</v>
      </c>
      <c r="AD67" s="36" t="e">
        <f t="shared" si="31"/>
        <v>#DIV/0!</v>
      </c>
      <c r="AE67" s="36" t="e">
        <f t="shared" si="31"/>
        <v>#DIV/0!</v>
      </c>
    </row>
  </sheetData>
  <pageMargins left="0.7" right="0.7" top="0.75" bottom="0.75" header="0.3" footer="0.3"/>
  <pageSetup orientation="portrait" r:id="rId1"/>
  <ignoredErrors>
    <ignoredError sqref="E25 I18 I25 M25 Q17 Q25 U25" formula="1"/>
    <ignoredError sqref="Q19"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2.xml><?xml version="1.0" encoding="utf-8"?>
<ds:datastoreItem xmlns:ds="http://schemas.openxmlformats.org/officeDocument/2006/customXml" ds:itemID="{82AF3359-AA7B-4C3F-BB32-4122371AAA35}">
  <ds:schemaRefs>
    <ds:schemaRef ds:uri="http://schemas.microsoft.com/office/2006/documentManagement/types"/>
    <ds:schemaRef ds:uri="http://purl.org/dc/elements/1.1/"/>
    <ds:schemaRef ds:uri="http://schemas.microsoft.com/office/2006/metadata/properties"/>
    <ds:schemaRef ds:uri="36567613-e428-4167-ab55-a4f66cede826"/>
    <ds:schemaRef ds:uri="http://schemas.microsoft.com/office/infopath/2007/PartnerControls"/>
    <ds:schemaRef ds:uri="http://purl.org/dc/dcmitype/"/>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2024-02-07T19:55:26Z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