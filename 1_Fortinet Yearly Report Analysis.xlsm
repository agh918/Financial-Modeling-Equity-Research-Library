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E:\Earnings models (BACKUP)\"/>
    </mc:Choice>
  </mc:AlternateContent>
  <xr:revisionPtr revIDLastSave="0" documentId="8_{CD61B04D-91BB-4E85-B16B-4526190D1606}" xr6:coauthVersionLast="47" xr6:coauthVersionMax="47" xr10:uidLastSave="{00000000-0000-0000-0000-000000000000}"/>
  <bookViews>
    <workbookView xWindow="-120" yWindow="-120" windowWidth="29040" windowHeight="15720" xr2:uid="{D43FCB80-6A93-4B27-B574-412BF9F6A2AF}"/>
  </bookViews>
  <sheets>
    <sheet name="Statements" sheetId="1" r:id="rId1"/>
    <sheet name="Observations" sheetId="2" r:id="rId2"/>
  </sheets>
  <definedNames>
    <definedName name="_xleta.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45" i="1" l="1"/>
  <c r="T45" i="1"/>
  <c r="S45" i="1"/>
  <c r="R45" i="1"/>
  <c r="Q45" i="1"/>
  <c r="P45" i="1"/>
  <c r="O45" i="1"/>
  <c r="L4" i="1"/>
  <c r="X37" i="1"/>
  <c r="W37" i="1"/>
  <c r="V37" i="1"/>
  <c r="X36" i="1"/>
  <c r="W36" i="1"/>
  <c r="V36" i="1"/>
  <c r="X35" i="1"/>
  <c r="W35" i="1"/>
  <c r="V35" i="1"/>
  <c r="X34" i="1"/>
  <c r="W34" i="1"/>
  <c r="V34" i="1"/>
  <c r="X32" i="1"/>
  <c r="W32" i="1"/>
  <c r="V32" i="1"/>
  <c r="X31" i="1"/>
  <c r="W31" i="1"/>
  <c r="V31" i="1"/>
  <c r="X30" i="1"/>
  <c r="W30" i="1"/>
  <c r="V30" i="1"/>
  <c r="X29" i="1"/>
  <c r="W29" i="1"/>
  <c r="V29" i="1"/>
  <c r="X28" i="1"/>
  <c r="W28" i="1"/>
  <c r="V28" i="1"/>
  <c r="W22" i="1"/>
  <c r="V22" i="1"/>
  <c r="X21" i="1"/>
  <c r="W21" i="1"/>
  <c r="V21" i="1"/>
  <c r="X20" i="1"/>
  <c r="W20" i="1"/>
  <c r="V20" i="1"/>
  <c r="X19" i="1"/>
  <c r="W19" i="1"/>
  <c r="V19" i="1"/>
  <c r="X18" i="1"/>
  <c r="W18" i="1"/>
  <c r="V18" i="1"/>
  <c r="X16" i="1"/>
  <c r="W16" i="1"/>
  <c r="V16" i="1"/>
  <c r="X15" i="1"/>
  <c r="W15" i="1"/>
  <c r="V15" i="1"/>
  <c r="X14" i="1"/>
  <c r="W14" i="1"/>
  <c r="V14" i="1"/>
  <c r="X13" i="1"/>
  <c r="W13" i="1"/>
  <c r="V13" i="1"/>
  <c r="X12" i="1"/>
  <c r="W12" i="1"/>
  <c r="V12" i="1"/>
  <c r="X11" i="1"/>
  <c r="W11" i="1"/>
  <c r="V11" i="1"/>
  <c r="L38" i="1"/>
  <c r="K38" i="1"/>
  <c r="J38" i="1"/>
  <c r="L35" i="1"/>
  <c r="K35" i="1"/>
  <c r="J35" i="1"/>
  <c r="L34" i="1"/>
  <c r="K34" i="1"/>
  <c r="J34" i="1"/>
  <c r="L32" i="1"/>
  <c r="K32" i="1"/>
  <c r="L31" i="1"/>
  <c r="K31" i="1"/>
  <c r="J31" i="1"/>
  <c r="L30" i="1"/>
  <c r="K30" i="1"/>
  <c r="J30" i="1"/>
  <c r="L26" i="1"/>
  <c r="K26" i="1"/>
  <c r="J26" i="1"/>
  <c r="L25" i="1"/>
  <c r="K25" i="1"/>
  <c r="J25" i="1"/>
  <c r="L24" i="1"/>
  <c r="K24" i="1"/>
  <c r="J24" i="1"/>
  <c r="L23" i="1"/>
  <c r="K23" i="1"/>
  <c r="J23" i="1"/>
  <c r="L17" i="1"/>
  <c r="K17" i="1"/>
  <c r="J17" i="1"/>
  <c r="L16" i="1"/>
  <c r="K16" i="1"/>
  <c r="J16" i="1"/>
  <c r="L12" i="1"/>
  <c r="K12" i="1"/>
  <c r="L11" i="1"/>
  <c r="K11" i="1"/>
  <c r="L10" i="1"/>
  <c r="K10" i="1"/>
  <c r="J10" i="1"/>
  <c r="U41" i="1"/>
  <c r="U42" i="1"/>
  <c r="T42" i="1"/>
  <c r="S42" i="1"/>
  <c r="R42" i="1"/>
  <c r="Q42" i="1"/>
  <c r="P42" i="1"/>
  <c r="O42" i="1"/>
  <c r="U33" i="1"/>
  <c r="T33" i="1"/>
  <c r="T38" i="1" s="1"/>
  <c r="S33" i="1"/>
  <c r="S38" i="1" s="1"/>
  <c r="R33" i="1"/>
  <c r="Q33" i="1"/>
  <c r="P33" i="1"/>
  <c r="P38" i="1" s="1"/>
  <c r="O33" i="1"/>
  <c r="O38" i="1" s="1"/>
  <c r="U23" i="1"/>
  <c r="U17" i="1"/>
  <c r="I42" i="1"/>
  <c r="I41" i="1"/>
  <c r="I40" i="1"/>
  <c r="I27" i="1"/>
  <c r="I18" i="1"/>
  <c r="I13" i="1"/>
  <c r="G42" i="1"/>
  <c r="F42" i="1"/>
  <c r="E42" i="1"/>
  <c r="D42" i="1"/>
  <c r="C42" i="1"/>
  <c r="H41" i="1"/>
  <c r="G41" i="1"/>
  <c r="F41" i="1"/>
  <c r="E41" i="1"/>
  <c r="D41" i="1"/>
  <c r="C41" i="1"/>
  <c r="T41" i="1"/>
  <c r="S41" i="1"/>
  <c r="R41" i="1"/>
  <c r="Q41" i="1"/>
  <c r="P41" i="1"/>
  <c r="O41" i="1"/>
  <c r="O43" i="1" s="1"/>
  <c r="H11" i="1"/>
  <c r="J11" i="1" s="1"/>
  <c r="H12" i="1"/>
  <c r="J12" i="1" s="1"/>
  <c r="H32" i="1"/>
  <c r="J32" i="1" s="1"/>
  <c r="R22" i="1"/>
  <c r="Q22" i="1"/>
  <c r="P22" i="1"/>
  <c r="O22" i="1"/>
  <c r="X22" i="1" s="1"/>
  <c r="R38" i="1"/>
  <c r="Q38" i="1"/>
  <c r="T17" i="1"/>
  <c r="S17" i="1"/>
  <c r="R17" i="1"/>
  <c r="Q17" i="1"/>
  <c r="O17" i="1"/>
  <c r="P17" i="1"/>
  <c r="W41" i="1" l="1"/>
  <c r="X41" i="1"/>
  <c r="V41" i="1"/>
  <c r="W42" i="1"/>
  <c r="V42" i="1"/>
  <c r="X42" i="1"/>
  <c r="U38" i="1"/>
  <c r="V33" i="1"/>
  <c r="X33" i="1"/>
  <c r="W33" i="1"/>
  <c r="W23" i="1"/>
  <c r="X23" i="1"/>
  <c r="V23" i="1"/>
  <c r="X17" i="1"/>
  <c r="W17" i="1"/>
  <c r="V17" i="1"/>
  <c r="U24" i="1"/>
  <c r="K42" i="1"/>
  <c r="L42" i="1"/>
  <c r="J41" i="1"/>
  <c r="L41" i="1"/>
  <c r="K41" i="1"/>
  <c r="L40" i="1"/>
  <c r="J40" i="1"/>
  <c r="K40" i="1"/>
  <c r="I20" i="1"/>
  <c r="T24" i="1"/>
  <c r="T40" i="1" s="1"/>
  <c r="S24" i="1"/>
  <c r="S40" i="1" s="1"/>
  <c r="R24" i="1"/>
  <c r="R40" i="1" s="1"/>
  <c r="Q24" i="1"/>
  <c r="Q40" i="1" s="1"/>
  <c r="O24" i="1"/>
  <c r="O40" i="1" s="1"/>
  <c r="P24" i="1"/>
  <c r="P40" i="1" s="1"/>
  <c r="U43" i="1"/>
  <c r="P43" i="1"/>
  <c r="Q43" i="1"/>
  <c r="R43" i="1"/>
  <c r="H42" i="1"/>
  <c r="J42" i="1" s="1"/>
  <c r="S43" i="1"/>
  <c r="H13" i="1"/>
  <c r="J13" i="1" s="1"/>
  <c r="T43" i="1"/>
  <c r="H27" i="1"/>
  <c r="J27" i="1" s="1"/>
  <c r="F27" i="1"/>
  <c r="E27" i="1"/>
  <c r="D27" i="1"/>
  <c r="C27" i="1"/>
  <c r="L27" i="1" s="1"/>
  <c r="G27" i="1"/>
  <c r="K27" i="1" s="1"/>
  <c r="H18" i="1"/>
  <c r="J18" i="1" s="1"/>
  <c r="F18" i="1"/>
  <c r="E18" i="1"/>
  <c r="D18" i="1"/>
  <c r="C18" i="1"/>
  <c r="L18" i="1" s="1"/>
  <c r="G18" i="1"/>
  <c r="K18" i="1" s="1"/>
  <c r="F13" i="1"/>
  <c r="E13" i="1"/>
  <c r="D13" i="1"/>
  <c r="C13" i="1"/>
  <c r="G13" i="1"/>
  <c r="K13" i="1" s="1"/>
  <c r="C4" i="1" a="1"/>
  <c r="C6" i="1" s="1"/>
  <c r="W38" i="1" l="1"/>
  <c r="V38" i="1"/>
  <c r="X38" i="1"/>
  <c r="W45" i="1"/>
  <c r="V45" i="1"/>
  <c r="X45" i="1"/>
  <c r="U40" i="1"/>
  <c r="X24" i="1"/>
  <c r="V24" i="1"/>
  <c r="W24" i="1"/>
  <c r="W43" i="1"/>
  <c r="V43" i="1"/>
  <c r="X43" i="1"/>
  <c r="L13" i="1"/>
  <c r="D4" i="2"/>
  <c r="I29" i="1"/>
  <c r="E20" i="1"/>
  <c r="E29" i="1" s="1"/>
  <c r="D20" i="1"/>
  <c r="D29" i="1" s="1"/>
  <c r="G20" i="1"/>
  <c r="F20" i="1"/>
  <c r="F29" i="1" s="1"/>
  <c r="H20" i="1"/>
  <c r="J20" i="1" s="1"/>
  <c r="C20" i="1"/>
  <c r="V40" i="1" l="1"/>
  <c r="W40" i="1"/>
  <c r="X40" i="1"/>
  <c r="D5" i="2"/>
  <c r="D8" i="2"/>
  <c r="C29" i="1"/>
  <c r="L20" i="1"/>
  <c r="U44" i="1"/>
  <c r="L29" i="1"/>
  <c r="I33" i="1"/>
  <c r="I45" i="1" s="1"/>
  <c r="D7" i="2" s="1"/>
  <c r="I43" i="1"/>
  <c r="G29" i="1"/>
  <c r="K20" i="1"/>
  <c r="D33" i="1"/>
  <c r="D43" i="1"/>
  <c r="P44" i="1"/>
  <c r="C33" i="1"/>
  <c r="C43" i="1"/>
  <c r="O44" i="1"/>
  <c r="F33" i="1"/>
  <c r="F43" i="1"/>
  <c r="R44" i="1"/>
  <c r="E33" i="1"/>
  <c r="E43" i="1"/>
  <c r="Q44" i="1"/>
  <c r="H29" i="1"/>
  <c r="J29" i="1" s="1"/>
  <c r="D10" i="2" l="1"/>
  <c r="X44" i="1"/>
  <c r="W44" i="1"/>
  <c r="K29" i="1"/>
  <c r="G33" i="1"/>
  <c r="K33" i="1" s="1"/>
  <c r="G43" i="1"/>
  <c r="S44" i="1"/>
  <c r="I36" i="1"/>
  <c r="D6" i="2" s="1"/>
  <c r="L33" i="1"/>
  <c r="K43" i="1"/>
  <c r="L43" i="1"/>
  <c r="D36" i="1"/>
  <c r="D45" i="1"/>
  <c r="C36" i="1"/>
  <c r="C45" i="1"/>
  <c r="L45" i="1" s="1"/>
  <c r="F36" i="1"/>
  <c r="F45" i="1"/>
  <c r="E36" i="1"/>
  <c r="E45" i="1"/>
  <c r="H33" i="1"/>
  <c r="H43" i="1"/>
  <c r="J43" i="1" s="1"/>
  <c r="T44" i="1"/>
  <c r="V44" i="1" s="1"/>
  <c r="E44" i="1"/>
  <c r="E39" i="1"/>
  <c r="D44" i="1"/>
  <c r="D39" i="1"/>
  <c r="G45" i="1" l="1"/>
  <c r="K45" i="1" s="1"/>
  <c r="G36" i="1"/>
  <c r="C44" i="1"/>
  <c r="C39" i="1"/>
  <c r="F44" i="1"/>
  <c r="F39" i="1"/>
  <c r="K36" i="1"/>
  <c r="L36" i="1"/>
  <c r="I39" i="1"/>
  <c r="I44" i="1"/>
  <c r="J33" i="1"/>
  <c r="H45" i="1"/>
  <c r="J45" i="1" s="1"/>
  <c r="H36" i="1"/>
  <c r="J36" i="1" s="1"/>
  <c r="G39" i="1" l="1"/>
  <c r="G44" i="1"/>
  <c r="K39" i="1"/>
  <c r="L39" i="1"/>
  <c r="K44" i="1"/>
  <c r="L44" i="1"/>
  <c r="H39" i="1"/>
  <c r="H44" i="1"/>
  <c r="J44" i="1" s="1"/>
  <c r="J39" i="1" l="1"/>
  <c r="D9" i="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2"/>
        </ext>
      </extLst>
    </bk>
  </futureMetadata>
  <cellMetadata count="1">
    <bk>
      <rc t="1" v="0"/>
    </bk>
  </cellMetadata>
  <valueMetadata count="1">
    <bk>
      <rc t="2" v="0"/>
    </bk>
  </valueMetadata>
</metadata>
</file>

<file path=xl/sharedStrings.xml><?xml version="1.0" encoding="utf-8"?>
<sst xmlns="http://schemas.openxmlformats.org/spreadsheetml/2006/main" count="105" uniqueCount="85">
  <si>
    <t>Price</t>
  </si>
  <si>
    <t>Shares outstanding</t>
  </si>
  <si>
    <t>Mkt cap</t>
  </si>
  <si>
    <t>Revenues</t>
  </si>
  <si>
    <t>Product</t>
  </si>
  <si>
    <t>Security subscription</t>
  </si>
  <si>
    <t>Technical support &amp; other</t>
  </si>
  <si>
    <t>Total revenue</t>
  </si>
  <si>
    <t>Cost of revenue</t>
  </si>
  <si>
    <t>Service</t>
  </si>
  <si>
    <t>Total cost of revenue</t>
  </si>
  <si>
    <t>Gross profit</t>
  </si>
  <si>
    <t>Expenses</t>
  </si>
  <si>
    <t>R&amp;D</t>
  </si>
  <si>
    <t>S&amp;M</t>
  </si>
  <si>
    <t>G&amp;A</t>
  </si>
  <si>
    <t>Gain on intellectual property</t>
  </si>
  <si>
    <t>Total expenses</t>
  </si>
  <si>
    <t>EBITDA</t>
  </si>
  <si>
    <t>Interest income</t>
  </si>
  <si>
    <t>Interest expense</t>
  </si>
  <si>
    <t>Other</t>
  </si>
  <si>
    <t>EBT</t>
  </si>
  <si>
    <t>Taxes</t>
  </si>
  <si>
    <t>Net income (loss)</t>
  </si>
  <si>
    <t>Loss from investments</t>
  </si>
  <si>
    <t>1Y</t>
  </si>
  <si>
    <t>2Y</t>
  </si>
  <si>
    <t>Assets</t>
  </si>
  <si>
    <t>Current</t>
  </si>
  <si>
    <t>Cash</t>
  </si>
  <si>
    <t>ST investments</t>
  </si>
  <si>
    <t>Marketable equity securities</t>
  </si>
  <si>
    <t>AR</t>
  </si>
  <si>
    <t>Inventory</t>
  </si>
  <si>
    <t>Prepaids</t>
  </si>
  <si>
    <t>LT investments</t>
  </si>
  <si>
    <t>PPE</t>
  </si>
  <si>
    <t>Defer contract costs</t>
  </si>
  <si>
    <t>Defer tax</t>
  </si>
  <si>
    <t>Total assets</t>
  </si>
  <si>
    <t>Liabilities</t>
  </si>
  <si>
    <t>Reporting date: 12/31</t>
  </si>
  <si>
    <t>AP</t>
  </si>
  <si>
    <t xml:space="preserve">Accrueds </t>
  </si>
  <si>
    <t>Accru payroll</t>
  </si>
  <si>
    <t>Defer revenue</t>
  </si>
  <si>
    <t>Income tax liabilities</t>
  </si>
  <si>
    <t>Total liabilities</t>
  </si>
  <si>
    <t>Equity</t>
  </si>
  <si>
    <t>LT debt</t>
  </si>
  <si>
    <t>Goodwill &amp; intangibles</t>
  </si>
  <si>
    <t>2019</t>
  </si>
  <si>
    <t>2020</t>
  </si>
  <si>
    <t>2021</t>
  </si>
  <si>
    <t>2022</t>
  </si>
  <si>
    <t>2023</t>
  </si>
  <si>
    <t>2024</t>
  </si>
  <si>
    <t>.</t>
  </si>
  <si>
    <t>EPS</t>
  </si>
  <si>
    <t>Mkt Cap</t>
  </si>
  <si>
    <t>Debt</t>
  </si>
  <si>
    <t>EV</t>
  </si>
  <si>
    <t>Product margin</t>
  </si>
  <si>
    <t>Service margin</t>
  </si>
  <si>
    <t>Operating margin</t>
  </si>
  <si>
    <t>Net margin</t>
  </si>
  <si>
    <t>EV/EBITDA</t>
  </si>
  <si>
    <t>ROE</t>
  </si>
  <si>
    <t>Screening Score</t>
  </si>
  <si>
    <t>Column1</t>
  </si>
  <si>
    <t>2025</t>
  </si>
  <si>
    <t>Revenue (CAGR)</t>
  </si>
  <si>
    <t>EBITDA Margin</t>
  </si>
  <si>
    <t>ROIC</t>
  </si>
  <si>
    <t>Debt-to-EBITDA</t>
  </si>
  <si>
    <t>EPS σ</t>
  </si>
  <si>
    <t>EV-to-EBITDA</t>
  </si>
  <si>
    <t>Industry</t>
  </si>
  <si>
    <t>6Y</t>
  </si>
  <si>
    <t>LT debt, current portion</t>
  </si>
  <si>
    <t>NOPAT</t>
  </si>
  <si>
    <t>IC</t>
  </si>
  <si>
    <t>Software</t>
  </si>
  <si>
    <t xml:space="preserve">Total current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</si>
</sst>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_([$$-409]* #,##0.00_);_([$$-409]* \(#,##0.00\);_([$$-409]* &quot;-&quot;??_);_(@_)"/>
    <numFmt numFmtId="165" formatCode="_(* #,##0.0_);_(* \(#,##0.0\);_(* &quot;-&quot;??_);_(@_)"/>
    <numFmt numFmtId="166" formatCode="_(* #,##0_);_(* \(#,##0\);_(* &quot;-&quot;??_);_(@_)"/>
    <numFmt numFmtId="167" formatCode="0.0%"/>
    <numFmt numFmtId="168" formatCode="0.000"/>
  </numFmts>
  <fonts count="10" x14ac:knownFonts="1">
    <font>
      <sz val="10"/>
      <color theme="1"/>
      <name val="Arial"/>
      <family val="2"/>
    </font>
    <font>
      <sz val="10"/>
      <color theme="1"/>
      <name val="Arial"/>
      <family val="2"/>
    </font>
    <font>
      <b/>
      <sz val="10"/>
      <color theme="1"/>
      <name val="Arial"/>
      <family val="2"/>
    </font>
    <font>
      <sz val="10"/>
      <color theme="4"/>
      <name val="Arial"/>
      <family val="2"/>
    </font>
    <font>
      <b/>
      <sz val="12"/>
      <color theme="1"/>
      <name val="Arial"/>
      <family val="2"/>
    </font>
    <font>
      <sz val="12"/>
      <color theme="4"/>
      <name val="Arial"/>
      <family val="2"/>
    </font>
    <font>
      <sz val="12"/>
      <color theme="0"/>
      <name val="Arial"/>
      <family val="2"/>
    </font>
    <font>
      <sz val="12"/>
      <color theme="1"/>
      <name val="Arial"/>
      <family val="2"/>
    </font>
    <font>
      <b/>
      <sz val="10"/>
      <color theme="0"/>
      <name val="Arial"/>
      <family val="2"/>
    </font>
    <font>
      <sz val="10"/>
      <color theme="0"/>
      <name val="Arial"/>
      <family val="2"/>
    </font>
  </fonts>
  <fills count="6">
    <fill>
      <patternFill patternType="none"/>
    </fill>
    <fill>
      <patternFill patternType="gray125"/>
    </fill>
    <fill>
      <patternFill patternType="solid">
        <fgColor rgb="FFFFFF00"/>
        <bgColor indexed="64"/>
      </patternFill>
    </fill>
    <fill>
      <patternFill patternType="solid">
        <fgColor rgb="FF94DCF8"/>
        <bgColor indexed="64"/>
      </patternFill>
    </fill>
    <fill>
      <patternFill patternType="solid">
        <fgColor rgb="FFB5E6A2"/>
        <bgColor indexed="64"/>
      </patternFill>
    </fill>
    <fill>
      <patternFill patternType="solid">
        <fgColor rgb="FFFF0000"/>
        <bgColor indexed="64"/>
      </patternFill>
    </fill>
  </fills>
  <borders count="8">
    <border>
      <left/>
      <right/>
      <top/>
      <bottom/>
      <diagonal/>
    </border>
    <border>
      <left/>
      <right/>
      <top style="thin">
        <color indexed="64"/>
      </top>
      <bottom style="medium">
        <color indexed="64"/>
      </bottom>
      <diagonal/>
    </border>
    <border>
      <left/>
      <right style="thin">
        <color indexed="64"/>
      </right>
      <top/>
      <bottom/>
      <diagonal/>
    </border>
    <border>
      <left/>
      <right style="thin">
        <color indexed="64"/>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s>
  <cellStyleXfs count="4">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57">
    <xf numFmtId="0" fontId="0" fillId="0" borderId="0" xfId="0"/>
    <xf numFmtId="164" fontId="0" fillId="0" borderId="0" xfId="0" applyNumberFormat="1"/>
    <xf numFmtId="165" fontId="0" fillId="0" borderId="0" xfId="1" applyNumberFormat="1" applyFont="1"/>
    <xf numFmtId="166" fontId="0" fillId="0" borderId="0" xfId="1" applyNumberFormat="1" applyFont="1"/>
    <xf numFmtId="1" fontId="0" fillId="0" borderId="0" xfId="0" applyNumberFormat="1"/>
    <xf numFmtId="165" fontId="2" fillId="0" borderId="1" xfId="1" applyNumberFormat="1" applyFont="1" applyBorder="1"/>
    <xf numFmtId="0" fontId="0" fillId="0" borderId="2" xfId="0" applyBorder="1"/>
    <xf numFmtId="0" fontId="2" fillId="0" borderId="2" xfId="0" applyFont="1" applyBorder="1"/>
    <xf numFmtId="0" fontId="2" fillId="0" borderId="3" xfId="0" applyFont="1" applyBorder="1"/>
    <xf numFmtId="0" fontId="2" fillId="0" borderId="4" xfId="0" applyFont="1" applyBorder="1"/>
    <xf numFmtId="165" fontId="2" fillId="0" borderId="0" xfId="1" applyNumberFormat="1" applyFont="1"/>
    <xf numFmtId="0" fontId="2" fillId="0" borderId="7" xfId="0" applyFont="1" applyBorder="1"/>
    <xf numFmtId="165" fontId="2" fillId="0" borderId="6" xfId="1" applyNumberFormat="1" applyFont="1" applyBorder="1"/>
    <xf numFmtId="0" fontId="2" fillId="0" borderId="3" xfId="0" applyFont="1" applyBorder="1" applyAlignment="1">
      <alignment horizontal="left" indent="1"/>
    </xf>
    <xf numFmtId="0" fontId="0" fillId="0" borderId="2" xfId="0" applyBorder="1" applyAlignment="1">
      <alignment horizontal="left" indent="1"/>
    </xf>
    <xf numFmtId="0" fontId="2" fillId="0" borderId="3" xfId="0" applyFont="1" applyBorder="1" applyAlignment="1">
      <alignment horizontal="left" indent="2"/>
    </xf>
    <xf numFmtId="0" fontId="2" fillId="2" borderId="4" xfId="0" applyFont="1" applyFill="1" applyBorder="1" applyAlignment="1">
      <alignment horizontal="center"/>
    </xf>
    <xf numFmtId="0" fontId="2" fillId="3" borderId="4" xfId="0" applyFont="1" applyFill="1" applyBorder="1" applyAlignment="1">
      <alignment horizontal="center"/>
    </xf>
    <xf numFmtId="0" fontId="2" fillId="4" borderId="4" xfId="0" applyFont="1" applyFill="1" applyBorder="1" applyAlignment="1">
      <alignment horizontal="center"/>
    </xf>
    <xf numFmtId="0" fontId="0" fillId="2" borderId="0" xfId="0" applyFill="1"/>
    <xf numFmtId="0" fontId="0" fillId="3" borderId="0" xfId="0" applyFill="1"/>
    <xf numFmtId="0" fontId="0" fillId="4" borderId="0" xfId="0" applyFill="1"/>
    <xf numFmtId="0" fontId="2" fillId="0" borderId="2" xfId="0" applyFont="1" applyBorder="1" applyAlignment="1">
      <alignment horizontal="left"/>
    </xf>
    <xf numFmtId="165" fontId="0" fillId="0" borderId="0" xfId="1" applyNumberFormat="1" applyFont="1" applyAlignment="1">
      <alignment horizontal="left" indent="1"/>
    </xf>
    <xf numFmtId="43" fontId="0" fillId="0" borderId="0" xfId="1" applyFont="1"/>
    <xf numFmtId="9" fontId="0" fillId="2" borderId="0" xfId="3" applyFont="1" applyFill="1" applyBorder="1"/>
    <xf numFmtId="9" fontId="0" fillId="3" borderId="0" xfId="3" applyFont="1" applyFill="1" applyBorder="1"/>
    <xf numFmtId="9" fontId="0" fillId="4" borderId="0" xfId="3" applyFont="1" applyFill="1" applyBorder="1"/>
    <xf numFmtId="0" fontId="3" fillId="0" borderId="5" xfId="0" applyFont="1" applyBorder="1"/>
    <xf numFmtId="44" fontId="0" fillId="0" borderId="0" xfId="2" applyFont="1"/>
    <xf numFmtId="167" fontId="0" fillId="0" borderId="0" xfId="3" applyNumberFormat="1" applyFont="1"/>
    <xf numFmtId="0" fontId="4" fillId="0" borderId="0" xfId="0" applyFont="1"/>
    <xf numFmtId="0" fontId="5" fillId="0" borderId="0" xfId="0" applyFont="1"/>
    <xf numFmtId="0" fontId="6" fillId="0" borderId="0" xfId="0" applyFont="1" applyAlignment="1">
      <alignment horizontal="right"/>
    </xf>
    <xf numFmtId="0" fontId="7" fillId="0" borderId="0" xfId="0" applyFont="1"/>
    <xf numFmtId="10" fontId="7" fillId="0" borderId="0" xfId="3" applyNumberFormat="1" applyFont="1"/>
    <xf numFmtId="168" fontId="7" fillId="0" borderId="0" xfId="0" applyNumberFormat="1" applyFont="1"/>
    <xf numFmtId="2" fontId="7" fillId="0" borderId="0" xfId="0" applyNumberFormat="1" applyFont="1"/>
    <xf numFmtId="0" fontId="7" fillId="0" borderId="0" xfId="0" applyFont="1" applyAlignment="1">
      <alignment horizontal="right"/>
    </xf>
    <xf numFmtId="167" fontId="0" fillId="2" borderId="0" xfId="3" applyNumberFormat="1" applyFont="1" applyFill="1"/>
    <xf numFmtId="167" fontId="0" fillId="3" borderId="0" xfId="3" applyNumberFormat="1" applyFont="1" applyFill="1"/>
    <xf numFmtId="167" fontId="0" fillId="4" borderId="0" xfId="3" applyNumberFormat="1" applyFont="1" applyFill="1"/>
    <xf numFmtId="167" fontId="2" fillId="2" borderId="1" xfId="3" applyNumberFormat="1" applyFont="1" applyFill="1" applyBorder="1"/>
    <xf numFmtId="167" fontId="2" fillId="3" borderId="1" xfId="3" applyNumberFormat="1" applyFont="1" applyFill="1" applyBorder="1"/>
    <xf numFmtId="167" fontId="2" fillId="4" borderId="1" xfId="3" applyNumberFormat="1" applyFont="1" applyFill="1" applyBorder="1"/>
    <xf numFmtId="167" fontId="0" fillId="2" borderId="0" xfId="3" applyNumberFormat="1" applyFont="1" applyFill="1" applyBorder="1"/>
    <xf numFmtId="167" fontId="0" fillId="3" borderId="0" xfId="3" applyNumberFormat="1" applyFont="1" applyFill="1" applyBorder="1"/>
    <xf numFmtId="167" fontId="0" fillId="4" borderId="0" xfId="3" applyNumberFormat="1" applyFont="1" applyFill="1" applyBorder="1"/>
    <xf numFmtId="167" fontId="2" fillId="3" borderId="0" xfId="3" applyNumberFormat="1" applyFont="1" applyFill="1" applyBorder="1"/>
    <xf numFmtId="167" fontId="2" fillId="4" borderId="0" xfId="3" applyNumberFormat="1" applyFont="1" applyFill="1" applyBorder="1"/>
    <xf numFmtId="167" fontId="8" fillId="5" borderId="1" xfId="3" applyNumberFormat="1" applyFont="1" applyFill="1" applyBorder="1"/>
    <xf numFmtId="167" fontId="8" fillId="5" borderId="0" xfId="3" applyNumberFormat="1" applyFont="1" applyFill="1"/>
    <xf numFmtId="165" fontId="9" fillId="0" borderId="0" xfId="1" applyNumberFormat="1" applyFont="1"/>
    <xf numFmtId="43" fontId="9" fillId="0" borderId="0" xfId="0" applyNumberFormat="1" applyFont="1"/>
    <xf numFmtId="10" fontId="0" fillId="0" borderId="0" xfId="3" applyNumberFormat="1" applyFont="1"/>
    <xf numFmtId="165" fontId="0" fillId="0" borderId="0" xfId="1" applyNumberFormat="1" applyFont="1" applyBorder="1"/>
    <xf numFmtId="167" fontId="8" fillId="5" borderId="0" xfId="3" applyNumberFormat="1" applyFont="1" applyFill="1" applyBorder="1"/>
  </cellXfs>
  <cellStyles count="4">
    <cellStyle name="Comma" xfId="1" builtinId="3"/>
    <cellStyle name="Currency" xfId="2" builtinId="4"/>
    <cellStyle name="Normal" xfId="0" builtinId="0"/>
    <cellStyle name="Percent" xfId="3" builtinId="5"/>
  </cellStyles>
  <dxfs count="33">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dxf>
    <dxf>
      <border outline="0">
        <bottom style="thin">
          <color indexed="64"/>
        </bottom>
      </border>
    </dxf>
    <dxf>
      <font>
        <b/>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font>
      <border diagonalUp="0" diagonalDown="0" outline="0">
        <left/>
        <right style="thin">
          <color indexed="64"/>
        </right>
        <top/>
        <bottom/>
      </border>
    </dxf>
    <dxf>
      <font>
        <b val="0"/>
      </font>
    </dxf>
    <dxf>
      <font>
        <b val="0"/>
        <i val="0"/>
        <strike val="0"/>
        <condense val="0"/>
        <extend val="0"/>
        <outline val="0"/>
        <shadow val="0"/>
        <u val="none"/>
        <vertAlign val="baseline"/>
        <sz val="10"/>
        <color theme="1"/>
        <name val="Arial"/>
        <family val="2"/>
        <scheme val="none"/>
      </font>
    </dxf>
    <dxf>
      <border outline="0">
        <bottom style="thin">
          <color indexed="64"/>
        </bottom>
      </border>
    </dxf>
    <dxf>
      <font>
        <b/>
        <i val="0"/>
        <strike val="0"/>
        <condense val="0"/>
        <extend val="0"/>
        <outline val="0"/>
        <shadow val="0"/>
        <u val="none"/>
        <vertAlign val="baseline"/>
        <sz val="10"/>
        <color theme="1"/>
        <name val="Arial"/>
        <family val="2"/>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Structure" Target="richData/rdrichvaluestructure.xml"/><Relationship Id="rId13" Type="http://schemas.openxmlformats.org/officeDocument/2006/relationships/calcChain" Target="calcChain.xml"/><Relationship Id="rId3" Type="http://schemas.openxmlformats.org/officeDocument/2006/relationships/theme" Target="theme/theme1.xml"/><Relationship Id="rId7" Type="http://schemas.microsoft.com/office/2017/06/relationships/rdRichValue" Target="richData/rdrichvalue.xml"/><Relationship Id="rId12" Type="http://schemas.microsoft.com/office/2017/06/relationships/rdRichValueTypes" Target="richData/rdRichValueTyp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sheetMetadata" Target="metadata.xml"/><Relationship Id="rId11" Type="http://schemas.microsoft.com/office/2017/06/relationships/rdSupportingPropertyBag" Target="richData/rdsupportingpropertybag.xml"/><Relationship Id="rId5" Type="http://schemas.openxmlformats.org/officeDocument/2006/relationships/sharedStrings" Target="sharedStrings.xml"/><Relationship Id="rId15" Type="http://schemas.openxmlformats.org/officeDocument/2006/relationships/customXml" Target="../customXml/item2.xml"/><Relationship Id="rId10" Type="http://schemas.microsoft.com/office/2017/06/relationships/rdSupportingPropertyBagStructure" Target="richData/rdsupportingpropertybagstructure.xml"/><Relationship Id="rId4" Type="http://schemas.openxmlformats.org/officeDocument/2006/relationships/styles" Target="styles.xml"/><Relationship Id="rId9" Type="http://schemas.microsoft.com/office/2017/06/relationships/richStyles" Target="richData/richStyles.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94634</xdr:colOff>
      <xdr:row>3</xdr:row>
      <xdr:rowOff>28575</xdr:rowOff>
    </xdr:from>
    <xdr:to>
      <xdr:col>8</xdr:col>
      <xdr:colOff>690806</xdr:colOff>
      <xdr:row>5</xdr:row>
      <xdr:rowOff>104775</xdr:rowOff>
    </xdr:to>
    <xdr:pic>
      <xdr:nvPicPr>
        <xdr:cNvPr id="2" name="Picture 1">
          <a:extLst>
            <a:ext uri="{FF2B5EF4-FFF2-40B4-BE49-F238E27FC236}">
              <a16:creationId xmlns:a16="http://schemas.microsoft.com/office/drawing/2014/main" id="{150F049C-669B-1113-4497-FC3285E8C3A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52259" y="514350"/>
          <a:ext cx="3453672"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https://www.bing.com/financeapi/forcetrigger?t=a1tg3m&amp;q=XNAS%3aFTNT&amp;form=skydnc</v>
    <v>Learn more on Bing</v>
  </rv>
  <rv s="1">
    <v>en-US</v>
    <v>a1tg3m</v>
    <v>268435456</v>
    <v>1</v>
    <v>Powered by Refinitiv</v>
    <v>0</v>
    <v>FORTINET, INC. (XNAS:FTNT)</v>
    <v>2</v>
    <v>3</v>
    <v>Finance</v>
    <v>4</v>
    <v>159.07</v>
    <v>70.12</v>
    <v>1.0711999999999999</v>
    <v>4.07</v>
    <v>7.0130000000000001E-3</v>
    <v>2.6890999999999998E-2</v>
    <v>1.0900000000000001</v>
    <v>USD</v>
    <v>Fortinet, Inc. is engaged in cybersecurity, driving the convergence of networking and security. The Company's integrated platform, Fortinet Security Fabric, spans secure networking, unified secure access service edge (SASE), and artificial intelligence (AI)-driven security operations (SecOps). Its products and services include FortiOS, FortiASIC, FortiCloud, FortiAI, FortiEndpoint, and OT Security. The FortiGuard Labs is a cybersecurity threat intelligence and research organization comprised of experienced threat hunters, researchers, analysts, engineers, and data scientists who develop and utilize machine learning and AI technologies. FortiGuard and Other Security Services is an AI-powered security that is integrated as part of the Fortinet Security Fabric to deliver detection and enforcement across the entire attack surface. FortiCare Technical Support Service is a technical support service which provides customers with access to operations and maintenance of Fortinet solutions.</v>
    <v>15311</v>
    <v>Nasdaq Stock Market</v>
    <v>XNAS</v>
    <v>XNAS</v>
    <v>909 Kifer Road, SUNNYVALE, CA, 94086 US</v>
    <v>159.07</v>
    <v>Software &amp; IT Services</v>
    <v>Stock</v>
    <v>46202.91528820547</v>
    <v>0</v>
    <v>152.13</v>
    <v>113868214327</v>
    <v>FORTINET, INC.</v>
    <v>FORTINET, INC.</v>
    <v>152.97399999999999</v>
    <v>58.473500000000001</v>
    <v>151.35</v>
    <v>155.41999999999999</v>
    <v>156.51</v>
    <v>732648400</v>
    <v>FTNT</v>
    <v>FORTINET, INC. (XNAS:FTNT)</v>
    <v>6767512</v>
    <v>6917911</v>
    <v>2000</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39BB9BA-CCDC-4800-A979-A2409CD4F17B}" name="Table1" displayName="Table1" ref="B8:I45" totalsRowShown="0" headerRowDxfId="32" dataDxfId="30" totalsRowDxfId="29" headerRowBorderDxfId="31" dataCellStyle="Comma">
  <autoFilter ref="B8:I45" xr:uid="{E39BB9BA-CCDC-4800-A979-A2409CD4F17B}">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C5E769A0-74A2-42E4-AC33-030550852B79}" name="." totalsRowDxfId="28"/>
    <tableColumn id="2" xr3:uid="{10343721-323A-446F-80B1-C80F0AFA8869}" name="2019" totalsRowDxfId="27" dataCellStyle="Comma" totalsRowCellStyle="Comma"/>
    <tableColumn id="3" xr3:uid="{E051176A-8FC0-4FB8-80DF-8C20F8FE3060}" name="2020" dataDxfId="26" totalsRowDxfId="25" dataCellStyle="Comma" totalsRowCellStyle="Comma"/>
    <tableColumn id="4" xr3:uid="{94619A2B-A58B-4251-9BA0-348F8E2FD2F6}" name="2021" dataDxfId="24" totalsRowDxfId="23" dataCellStyle="Comma" totalsRowCellStyle="Comma"/>
    <tableColumn id="5" xr3:uid="{A03264D4-D34D-47CF-A0C9-04426CA47889}" name="2022" dataDxfId="22" totalsRowDxfId="21" dataCellStyle="Comma" totalsRowCellStyle="Comma"/>
    <tableColumn id="6" xr3:uid="{B23E6F6A-560F-4C3A-8C19-0A5A1996C6BD}" name="2023" dataDxfId="20" totalsRowDxfId="19" dataCellStyle="Comma" totalsRowCellStyle="Comma"/>
    <tableColumn id="7" xr3:uid="{0A19703C-BACF-4547-BA3E-5C684983FD9C}" name="2024" dataDxfId="18" totalsRowDxfId="17" dataCellStyle="Comma" totalsRowCellStyle="Comma"/>
    <tableColumn id="8" xr3:uid="{76E9395D-7822-4FED-9B0B-AA5AC14123A8}" name="2025" dataDxfId="16" totalsRowDxfId="15" dataCellStyle="Comma" totalsRowCellStyle="Comma"/>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543360B-6A04-436D-9D9C-2A6C3771DD7F}" name="Table2" displayName="Table2" ref="N8:U45" totalsRowShown="0" headerRowDxfId="14" dataDxfId="12" headerRowBorderDxfId="13" dataCellStyle="Comma">
  <autoFilter ref="N8:U45" xr:uid="{F543360B-6A04-436D-9D9C-2A6C3771DD7F}">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DB662794-D269-4EB4-A3EE-FBDB2E319AF1}" name="."/>
    <tableColumn id="2" xr3:uid="{04505E97-F014-4E88-A20F-7FDAA31FAE48}" name="2019" dataDxfId="11" dataCellStyle="Comma"/>
    <tableColumn id="3" xr3:uid="{BA62481F-BC72-4CB3-88AF-DD6B861C0604}" name="2020" dataDxfId="10" dataCellStyle="Comma"/>
    <tableColumn id="4" xr3:uid="{5F5664EA-1A77-4C45-BD5F-E3B54D24DD25}" name="2021" dataDxfId="9" dataCellStyle="Comma"/>
    <tableColumn id="5" xr3:uid="{C4A34AE0-C34B-41D2-BAB8-989561E5D71B}" name="2022" dataDxfId="8" dataCellStyle="Comma"/>
    <tableColumn id="6" xr3:uid="{96EBABBD-8DCD-45DA-A55C-3D5C7E4FD4A6}" name="2023" dataDxfId="7" dataCellStyle="Comma"/>
    <tableColumn id="7" xr3:uid="{CD1FA74C-984C-4913-8C11-21B2A449A2F9}" name="2024" dataDxfId="6" dataCellStyle="Comma"/>
    <tableColumn id="8" xr3:uid="{AFD4DC20-B5BE-45DD-83B1-1978C40D0CDB}" name="2025" dataDxfId="5" dataCellStyle="Comma"/>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036456-ECC4-466E-99D2-23438D617DE7}" name="Table810" displayName="Table810" ref="B3:D11" totalsRowShown="0" headerRowDxfId="4" dataDxfId="3">
  <autoFilter ref="B3:D11" xr:uid="{12036456-ECC4-466E-99D2-23438D617DE7}">
    <filterColumn colId="0" hiddenButton="1"/>
    <filterColumn colId="1" hiddenButton="1"/>
    <filterColumn colId="2" hiddenButton="1"/>
  </autoFilter>
  <tableColumns count="3">
    <tableColumn id="1" xr3:uid="{EEB4AEE0-D740-49B8-A8BF-022652C24222}" name="Screening Score" dataDxfId="2"/>
    <tableColumn id="2" xr3:uid="{7679211E-E665-47AD-8E4B-0112FC893B0F}" name="Column1" dataDxfId="1"/>
    <tableColumn id="3" xr3:uid="{85EA3D23-630A-4AED-A0EE-C85946C108FF}" name="2025"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25833A-F059-4BB4-9AD2-983B267FB1AC}">
  <sheetPr>
    <pageSetUpPr fitToPage="1"/>
  </sheetPr>
  <dimension ref="B1:X577"/>
  <sheetViews>
    <sheetView tabSelected="1" topLeftCell="E1" zoomScale="115" zoomScaleNormal="115" workbookViewId="0">
      <selection activeCell="U45" sqref="U45"/>
    </sheetView>
  </sheetViews>
  <sheetFormatPr defaultColWidth="10.7109375" defaultRowHeight="12.75" x14ac:dyDescent="0.2"/>
  <cols>
    <col min="1" max="1" width="10.7109375" customWidth="1"/>
    <col min="2" max="2" width="25.7109375" style="6" customWidth="1"/>
    <col min="3" max="3" width="10.7109375" style="2" customWidth="1"/>
    <col min="4" max="9" width="10.7109375" style="2"/>
    <col min="10" max="10" width="10.7109375" customWidth="1"/>
    <col min="13" max="13" width="5.7109375" customWidth="1"/>
    <col min="14" max="14" width="25.7109375" style="6" customWidth="1"/>
    <col min="15" max="21" width="10.7109375" style="2"/>
  </cols>
  <sheetData>
    <row r="1" spans="2:24" x14ac:dyDescent="0.2">
      <c r="B1"/>
      <c r="C1"/>
      <c r="D1"/>
      <c r="E1"/>
      <c r="F1"/>
      <c r="G1"/>
      <c r="H1"/>
      <c r="I1"/>
      <c r="N1"/>
      <c r="O1"/>
      <c r="P1"/>
      <c r="Q1"/>
      <c r="R1"/>
      <c r="S1"/>
      <c r="T1"/>
      <c r="U1"/>
    </row>
    <row r="2" spans="2:24" x14ac:dyDescent="0.2">
      <c r="B2" t="s">
        <v>42</v>
      </c>
      <c r="C2"/>
      <c r="D2"/>
      <c r="E2"/>
      <c r="F2"/>
      <c r="G2"/>
      <c r="H2"/>
      <c r="I2"/>
      <c r="N2"/>
      <c r="O2"/>
      <c r="P2"/>
      <c r="Q2"/>
      <c r="R2"/>
      <c r="S2"/>
      <c r="T2"/>
      <c r="U2"/>
    </row>
    <row r="3" spans="2:24" x14ac:dyDescent="0.2">
      <c r="B3" t="e" vm="1">
        <v>#VALUE!</v>
      </c>
      <c r="C3"/>
      <c r="D3"/>
      <c r="E3"/>
      <c r="F3"/>
      <c r="G3"/>
      <c r="H3"/>
      <c r="I3"/>
      <c r="L3" s="52">
        <v>4047.1</v>
      </c>
      <c r="N3"/>
      <c r="O3"/>
      <c r="P3"/>
      <c r="Q3"/>
      <c r="R3"/>
      <c r="S3"/>
      <c r="T3"/>
      <c r="U3"/>
    </row>
    <row r="4" spans="2:24" x14ac:dyDescent="0.2">
      <c r="B4" t="s">
        <v>0</v>
      </c>
      <c r="C4" s="1" cm="1">
        <f t="array" aca="1" ref="C4" ca="1">_FV(B3,"Price")</f>
        <v>155.41999999999999</v>
      </c>
      <c r="D4"/>
      <c r="E4"/>
      <c r="F4"/>
      <c r="G4"/>
      <c r="H4"/>
      <c r="I4"/>
      <c r="L4" s="53">
        <f>L3+H10</f>
        <v>5955.8</v>
      </c>
      <c r="N4"/>
      <c r="O4"/>
      <c r="P4"/>
      <c r="Q4"/>
      <c r="R4"/>
      <c r="S4"/>
      <c r="T4"/>
      <c r="U4"/>
    </row>
    <row r="5" spans="2:24" x14ac:dyDescent="0.2">
      <c r="B5" t="s">
        <v>1</v>
      </c>
      <c r="C5" s="4">
        <v>766.45</v>
      </c>
      <c r="D5"/>
      <c r="E5"/>
      <c r="F5"/>
      <c r="G5"/>
      <c r="H5"/>
      <c r="I5"/>
      <c r="N5"/>
      <c r="O5"/>
      <c r="P5"/>
      <c r="Q5"/>
      <c r="R5"/>
      <c r="S5"/>
      <c r="T5"/>
      <c r="U5"/>
    </row>
    <row r="6" spans="2:24" x14ac:dyDescent="0.2">
      <c r="B6" t="s">
        <v>2</v>
      </c>
      <c r="C6" s="3">
        <f ca="1">C4*C5</f>
        <v>119121.659</v>
      </c>
      <c r="D6"/>
      <c r="E6"/>
      <c r="F6"/>
      <c r="G6"/>
      <c r="H6"/>
      <c r="I6"/>
      <c r="N6"/>
      <c r="O6"/>
      <c r="P6"/>
      <c r="Q6"/>
      <c r="R6"/>
      <c r="S6"/>
      <c r="T6"/>
      <c r="U6"/>
    </row>
    <row r="7" spans="2:24" x14ac:dyDescent="0.2">
      <c r="B7"/>
      <c r="C7"/>
      <c r="D7"/>
      <c r="E7"/>
      <c r="F7"/>
      <c r="G7"/>
      <c r="H7"/>
      <c r="I7"/>
      <c r="N7"/>
      <c r="O7"/>
      <c r="P7"/>
      <c r="Q7"/>
      <c r="R7"/>
      <c r="S7"/>
      <c r="T7"/>
      <c r="U7"/>
    </row>
    <row r="8" spans="2:24" x14ac:dyDescent="0.2">
      <c r="B8" s="28" t="s">
        <v>58</v>
      </c>
      <c r="C8" s="9" t="s">
        <v>52</v>
      </c>
      <c r="D8" s="9" t="s">
        <v>53</v>
      </c>
      <c r="E8" s="9" t="s">
        <v>54</v>
      </c>
      <c r="F8" s="9" t="s">
        <v>55</v>
      </c>
      <c r="G8" s="9" t="s">
        <v>56</v>
      </c>
      <c r="H8" s="9" t="s">
        <v>57</v>
      </c>
      <c r="I8" s="9" t="s">
        <v>71</v>
      </c>
      <c r="J8" s="16" t="s">
        <v>26</v>
      </c>
      <c r="K8" s="17" t="s">
        <v>27</v>
      </c>
      <c r="L8" s="18" t="s">
        <v>79</v>
      </c>
      <c r="N8" s="28" t="s">
        <v>58</v>
      </c>
      <c r="O8" s="9" t="s">
        <v>52</v>
      </c>
      <c r="P8" s="9" t="s">
        <v>53</v>
      </c>
      <c r="Q8" s="9" t="s">
        <v>54</v>
      </c>
      <c r="R8" s="9" t="s">
        <v>55</v>
      </c>
      <c r="S8" s="9" t="s">
        <v>56</v>
      </c>
      <c r="T8" s="9" t="s">
        <v>57</v>
      </c>
      <c r="U8" s="9" t="s">
        <v>71</v>
      </c>
      <c r="V8" s="16" t="s">
        <v>26</v>
      </c>
      <c r="W8" s="17" t="s">
        <v>27</v>
      </c>
      <c r="X8" s="18" t="s">
        <v>79</v>
      </c>
    </row>
    <row r="9" spans="2:24" x14ac:dyDescent="0.2">
      <c r="B9" s="7" t="s">
        <v>3</v>
      </c>
      <c r="C9"/>
      <c r="D9"/>
      <c r="E9"/>
      <c r="F9"/>
      <c r="G9"/>
      <c r="H9"/>
      <c r="J9" s="19"/>
      <c r="K9" s="20"/>
      <c r="L9" s="21"/>
      <c r="N9" s="7" t="s">
        <v>28</v>
      </c>
      <c r="V9" s="19"/>
      <c r="W9" s="20"/>
      <c r="X9" s="21"/>
    </row>
    <row r="10" spans="2:24" x14ac:dyDescent="0.2">
      <c r="B10" s="6" t="s">
        <v>4</v>
      </c>
      <c r="C10" s="2">
        <v>788.5</v>
      </c>
      <c r="D10" s="2">
        <v>916.4</v>
      </c>
      <c r="E10" s="2">
        <v>1255</v>
      </c>
      <c r="F10" s="2">
        <v>1780.5</v>
      </c>
      <c r="G10" s="2">
        <v>1927.3</v>
      </c>
      <c r="H10" s="2">
        <v>1908.7</v>
      </c>
      <c r="I10" s="2">
        <v>2218.4</v>
      </c>
      <c r="J10" s="51">
        <f>LN(Table1[[#This Row],[2025]]/Table1[[#This Row],[2024]])</f>
        <v>0.15036383326572172</v>
      </c>
      <c r="K10" s="40">
        <f>LN(Table1[[#This Row],[2025]]/Table1[[#This Row],[2023]])</f>
        <v>0.14066615559656243</v>
      </c>
      <c r="L10" s="51">
        <f>LN(Table1[[#This Row],[2025]]/Table1[[#This Row],[2019]])</f>
        <v>1.0344090878984753</v>
      </c>
      <c r="N10" s="7" t="s">
        <v>29</v>
      </c>
      <c r="V10" s="25"/>
      <c r="W10" s="26"/>
      <c r="X10" s="27"/>
    </row>
    <row r="11" spans="2:24" x14ac:dyDescent="0.2">
      <c r="B11" s="6" t="s">
        <v>5</v>
      </c>
      <c r="C11" s="2">
        <v>750.8</v>
      </c>
      <c r="D11" s="2">
        <v>918.7</v>
      </c>
      <c r="E11" s="2">
        <v>1125</v>
      </c>
      <c r="F11" s="2">
        <v>1427</v>
      </c>
      <c r="G11" s="2">
        <v>1898.1</v>
      </c>
      <c r="H11" s="24">
        <f>0.56*L3</f>
        <v>2266.3760000000002</v>
      </c>
      <c r="I11" s="2">
        <v>2633.2</v>
      </c>
      <c r="J11" s="51">
        <f>LN(Table1[[#This Row],[2025]]/Table1[[#This Row],[2024]])</f>
        <v>0.15001775661459901</v>
      </c>
      <c r="K11" s="51">
        <f>LN(Table1[[#This Row],[2025]]/Table1[[#This Row],[2023]])</f>
        <v>0.32734645077277336</v>
      </c>
      <c r="L11" s="51">
        <f>LN(Table1[[#This Row],[2025]]/Table1[[#This Row],[2019]])</f>
        <v>1.2548158108813678</v>
      </c>
      <c r="N11" s="14" t="s">
        <v>30</v>
      </c>
      <c r="O11" s="2">
        <v>1222.5</v>
      </c>
      <c r="P11" s="2">
        <v>1061.8</v>
      </c>
      <c r="Q11" s="2">
        <v>1319.1</v>
      </c>
      <c r="R11" s="2">
        <v>1682.9</v>
      </c>
      <c r="S11" s="2">
        <v>1397.9</v>
      </c>
      <c r="T11" s="2">
        <v>2875.9</v>
      </c>
      <c r="U11" s="2">
        <v>2495.3000000000002</v>
      </c>
      <c r="V11" s="56">
        <f>LN(Table2[[#This Row],[2025]]/Table2[[#This Row],[2024]])</f>
        <v>-0.14195670628355156</v>
      </c>
      <c r="W11" s="56">
        <f>LN(Table2[[#This Row],[2025]]/Table2[[#This Row],[2023]])</f>
        <v>0.57943785196119091</v>
      </c>
      <c r="X11" s="47">
        <f>LN(Table2[[#This Row],[2025]]/Table2[[#This Row],[2019]])</f>
        <v>0.71351102008924661</v>
      </c>
    </row>
    <row r="12" spans="2:24" x14ac:dyDescent="0.2">
      <c r="B12" s="6" t="s">
        <v>6</v>
      </c>
      <c r="C12" s="2">
        <v>623.70000000000005</v>
      </c>
      <c r="D12" s="2">
        <v>759.3</v>
      </c>
      <c r="E12" s="2">
        <v>962.2</v>
      </c>
      <c r="F12" s="2">
        <v>1209.9000000000001</v>
      </c>
      <c r="G12" s="2">
        <v>1479.4</v>
      </c>
      <c r="H12" s="24">
        <f>0.44*L3</f>
        <v>1780.7239999999999</v>
      </c>
      <c r="I12" s="2">
        <v>1948</v>
      </c>
      <c r="J12" s="51">
        <f>LN(Table1[[#This Row],[2025]]/Table1[[#This Row],[2024]])</f>
        <v>8.9783182040246143E-2</v>
      </c>
      <c r="K12" s="40">
        <f>LN(Table1[[#This Row],[2025]]/Table1[[#This Row],[2023]])</f>
        <v>0.27516660504871304</v>
      </c>
      <c r="L12" s="51">
        <f>LN(Table1[[#This Row],[2025]]/Table1[[#This Row],[2019]])</f>
        <v>1.1388890006704033</v>
      </c>
      <c r="N12" s="14" t="s">
        <v>31</v>
      </c>
      <c r="O12" s="2">
        <v>843.1</v>
      </c>
      <c r="P12" s="2">
        <v>775.5</v>
      </c>
      <c r="Q12" s="2">
        <v>1194</v>
      </c>
      <c r="R12" s="2">
        <v>502.6</v>
      </c>
      <c r="S12" s="2">
        <v>1021.5</v>
      </c>
      <c r="T12" s="2">
        <v>1126.4000000000001</v>
      </c>
      <c r="U12" s="2">
        <v>1087.2</v>
      </c>
      <c r="V12" s="45">
        <f>LN(Table2[[#This Row],[2025]]/Table2[[#This Row],[2024]])</f>
        <v>-3.5421122566843988E-2</v>
      </c>
      <c r="W12" s="46">
        <f>LN(Table2[[#This Row],[2025]]/Table2[[#This Row],[2023]])</f>
        <v>6.2333448579257301E-2</v>
      </c>
      <c r="X12" s="47">
        <f>LN(Table2[[#This Row],[2025]]/Table2[[#This Row],[2019]])</f>
        <v>0.25427528790830395</v>
      </c>
    </row>
    <row r="13" spans="2:24" ht="13.5" thickBot="1" x14ac:dyDescent="0.25">
      <c r="B13" s="8" t="s">
        <v>7</v>
      </c>
      <c r="C13" s="5">
        <f t="shared" ref="C13:F13" si="0">SUM(C10:C12)</f>
        <v>2163</v>
      </c>
      <c r="D13" s="5">
        <f t="shared" si="0"/>
        <v>2594.3999999999996</v>
      </c>
      <c r="E13" s="5">
        <f t="shared" si="0"/>
        <v>3342.2</v>
      </c>
      <c r="F13" s="5">
        <f t="shared" si="0"/>
        <v>4417.3999999999996</v>
      </c>
      <c r="G13" s="5">
        <f>SUM(G10:G12)</f>
        <v>5304.7999999999993</v>
      </c>
      <c r="H13" s="5">
        <f>SUM(H10:H12)</f>
        <v>5955.8</v>
      </c>
      <c r="I13" s="5">
        <f>SUM(I10:I12)</f>
        <v>6799.6</v>
      </c>
      <c r="J13" s="50">
        <f>LN(Table1[[#This Row],[2025]]/Table1[[#This Row],[2024]])</f>
        <v>0.132498252248135</v>
      </c>
      <c r="K13" s="43">
        <f>LN(Table1[[#This Row],[2025]]/Table1[[#This Row],[2023]])</f>
        <v>0.24825171584995695</v>
      </c>
      <c r="L13" s="50">
        <f>LN(Table1[[#This Row],[2025]]/Table1[[#This Row],[2019]])</f>
        <v>1.145367639951556</v>
      </c>
      <c r="N13" s="14" t="s">
        <v>32</v>
      </c>
      <c r="O13" s="2">
        <v>0</v>
      </c>
      <c r="P13" s="2">
        <v>0</v>
      </c>
      <c r="Q13" s="2">
        <v>38.6</v>
      </c>
      <c r="R13" s="2">
        <v>25.5</v>
      </c>
      <c r="S13" s="2">
        <v>21</v>
      </c>
      <c r="T13" s="2">
        <v>64.2</v>
      </c>
      <c r="U13" s="2">
        <v>0</v>
      </c>
      <c r="V13" s="45" t="e">
        <f>LN(Table2[[#This Row],[2025]]/Table2[[#This Row],[2024]])</f>
        <v>#NUM!</v>
      </c>
      <c r="W13" s="46" t="e">
        <f>LN(Table2[[#This Row],[2025]]/Table2[[#This Row],[2023]])</f>
        <v>#NUM!</v>
      </c>
      <c r="X13" s="47" t="e">
        <f>LN(Table2[[#This Row],[2025]]/Table2[[#This Row],[2019]])</f>
        <v>#DIV/0!</v>
      </c>
    </row>
    <row r="14" spans="2:24" x14ac:dyDescent="0.2">
      <c r="J14" s="19"/>
      <c r="K14" s="20"/>
      <c r="L14" s="21"/>
      <c r="N14" s="14" t="s">
        <v>33</v>
      </c>
      <c r="O14" s="2">
        <v>544.29999999999995</v>
      </c>
      <c r="P14" s="2">
        <v>720</v>
      </c>
      <c r="Q14" s="2">
        <v>807.7</v>
      </c>
      <c r="R14" s="2">
        <v>1261.7</v>
      </c>
      <c r="S14" s="2">
        <v>1402</v>
      </c>
      <c r="T14" s="2">
        <v>1463.4</v>
      </c>
      <c r="U14" s="2">
        <v>1691.2</v>
      </c>
      <c r="V14" s="45">
        <f>LN(Table2[[#This Row],[2025]]/Table2[[#This Row],[2024]])</f>
        <v>0.1446758406660435</v>
      </c>
      <c r="W14" s="46">
        <f>LN(Table2[[#This Row],[2025]]/Table2[[#This Row],[2023]])</f>
        <v>0.18753854752143775</v>
      </c>
      <c r="X14" s="47">
        <f>LN(Table2[[#This Row],[2025]]/Table2[[#This Row],[2019]])</f>
        <v>1.1336930496758189</v>
      </c>
    </row>
    <row r="15" spans="2:24" x14ac:dyDescent="0.2">
      <c r="B15" s="7" t="s">
        <v>8</v>
      </c>
      <c r="J15" s="19"/>
      <c r="K15" s="20"/>
      <c r="L15" s="21"/>
      <c r="N15" s="14" t="s">
        <v>34</v>
      </c>
      <c r="O15" s="2">
        <v>117.9</v>
      </c>
      <c r="P15" s="2">
        <v>139.80000000000001</v>
      </c>
      <c r="Q15" s="2">
        <v>175.8</v>
      </c>
      <c r="R15" s="2">
        <v>264.60000000000002</v>
      </c>
      <c r="S15" s="2">
        <v>484.8</v>
      </c>
      <c r="T15" s="2">
        <v>315.5</v>
      </c>
      <c r="U15" s="2">
        <v>399.5</v>
      </c>
      <c r="V15" s="56">
        <f>LN(Table2[[#This Row],[2025]]/Table2[[#This Row],[2024]])</f>
        <v>0.2360550832250615</v>
      </c>
      <c r="W15" s="46">
        <f>LN(Table2[[#This Row],[2025]]/Table2[[#This Row],[2023]])</f>
        <v>-0.19352266954877537</v>
      </c>
      <c r="X15" s="47">
        <f>LN(Table2[[#This Row],[2025]]/Table2[[#This Row],[2019]])</f>
        <v>1.2203769576630041</v>
      </c>
    </row>
    <row r="16" spans="2:24" x14ac:dyDescent="0.2">
      <c r="B16" s="6" t="s">
        <v>4</v>
      </c>
      <c r="C16" s="2">
        <v>324.60000000000002</v>
      </c>
      <c r="D16" s="2">
        <v>352.4</v>
      </c>
      <c r="E16" s="2">
        <v>487.7</v>
      </c>
      <c r="F16" s="2">
        <v>691.3</v>
      </c>
      <c r="G16" s="2">
        <v>763.6</v>
      </c>
      <c r="H16" s="2">
        <v>652</v>
      </c>
      <c r="I16" s="2">
        <v>725.4</v>
      </c>
      <c r="J16" s="51">
        <f>LN(Table1[[#This Row],[2025]]/Table1[[#This Row],[2024]])</f>
        <v>0.10667866492214895</v>
      </c>
      <c r="K16" s="40">
        <f>LN(Table1[[#This Row],[2025]]/Table1[[#This Row],[2023]])</f>
        <v>-5.1320865002790657E-2</v>
      </c>
      <c r="L16" s="51">
        <f>LN(Table1[[#This Row],[2025]]/Table1[[#This Row],[2019]])</f>
        <v>0.80412957176831101</v>
      </c>
      <c r="N16" s="14" t="s">
        <v>35</v>
      </c>
      <c r="O16" s="2">
        <v>41.2</v>
      </c>
      <c r="P16" s="2">
        <v>43.3</v>
      </c>
      <c r="Q16" s="2">
        <v>65.400000000000006</v>
      </c>
      <c r="R16" s="2">
        <v>73.099999999999994</v>
      </c>
      <c r="S16" s="2">
        <v>101.1</v>
      </c>
      <c r="T16" s="2">
        <v>126.1</v>
      </c>
      <c r="U16" s="2">
        <v>227</v>
      </c>
      <c r="V16" s="56">
        <f>LN(Table2[[#This Row],[2025]]/Table2[[#This Row],[2024]])</f>
        <v>0.58787477451052883</v>
      </c>
      <c r="W16" s="46">
        <f>LN(Table2[[#This Row],[2025]]/Table2[[#This Row],[2023]])</f>
        <v>0.80883989145497703</v>
      </c>
      <c r="X16" s="47">
        <f>LN(Table2[[#This Row],[2025]]/Table2[[#This Row],[2019]])</f>
        <v>1.706511761125922</v>
      </c>
    </row>
    <row r="17" spans="2:24" ht="13.5" thickBot="1" x14ac:dyDescent="0.25">
      <c r="B17" s="6" t="s">
        <v>9</v>
      </c>
      <c r="C17" s="2">
        <v>181.3</v>
      </c>
      <c r="D17" s="2">
        <v>217.6</v>
      </c>
      <c r="E17" s="2">
        <v>295.3</v>
      </c>
      <c r="F17" s="2">
        <v>393.6</v>
      </c>
      <c r="G17" s="2">
        <v>473.6</v>
      </c>
      <c r="H17" s="2">
        <v>505.6</v>
      </c>
      <c r="I17" s="2">
        <v>603.5</v>
      </c>
      <c r="J17" s="51">
        <f>LN(Table1[[#This Row],[2025]]/Table1[[#This Row],[2024]])</f>
        <v>0.17700019770493849</v>
      </c>
      <c r="K17" s="40">
        <f>LN(Table1[[#This Row],[2025]]/Table1[[#This Row],[2023]])</f>
        <v>0.24238295696779019</v>
      </c>
      <c r="L17" s="51">
        <f>LN(Table1[[#This Row],[2025]]/Table1[[#This Row],[2019]])</f>
        <v>1.2025929227767806</v>
      </c>
      <c r="N17" s="15" t="s">
        <v>84</v>
      </c>
      <c r="O17" s="5">
        <f t="shared" ref="O17" si="1">SUM(O11:O16)</f>
        <v>2768.9999999999995</v>
      </c>
      <c r="P17" s="5">
        <f>SUM(P11:P16)</f>
        <v>2740.4000000000005</v>
      </c>
      <c r="Q17" s="5">
        <f t="shared" ref="Q17:U17" si="2">SUM(Q11:Q16)</f>
        <v>3600.6</v>
      </c>
      <c r="R17" s="5">
        <f t="shared" si="2"/>
        <v>3810.3999999999996</v>
      </c>
      <c r="S17" s="5">
        <f t="shared" si="2"/>
        <v>4428.3</v>
      </c>
      <c r="T17" s="5">
        <f t="shared" si="2"/>
        <v>5971.5</v>
      </c>
      <c r="U17" s="5">
        <f t="shared" si="2"/>
        <v>5900.2</v>
      </c>
      <c r="V17" s="42">
        <f>LN(Table2[[#This Row],[2025]]/Table2[[#This Row],[2024]])</f>
        <v>-1.2011903484120616E-2</v>
      </c>
      <c r="W17" s="43">
        <f>LN(Table2[[#This Row],[2025]]/Table2[[#This Row],[2023]])</f>
        <v>0.28697048541330017</v>
      </c>
      <c r="X17" s="50">
        <f>LN(Table2[[#This Row],[2025]]/Table2[[#This Row],[2019]])</f>
        <v>0.75650000445339938</v>
      </c>
    </row>
    <row r="18" spans="2:24" ht="13.5" thickBot="1" x14ac:dyDescent="0.25">
      <c r="B18" s="8" t="s">
        <v>10</v>
      </c>
      <c r="C18" s="5">
        <f t="shared" ref="C18:F18" si="3">SUM(C16:C17)</f>
        <v>505.90000000000003</v>
      </c>
      <c r="D18" s="5">
        <f t="shared" si="3"/>
        <v>570</v>
      </c>
      <c r="E18" s="5">
        <f t="shared" si="3"/>
        <v>783</v>
      </c>
      <c r="F18" s="5">
        <f t="shared" si="3"/>
        <v>1084.9000000000001</v>
      </c>
      <c r="G18" s="5">
        <f>SUM(G16:G17)</f>
        <v>1237.2</v>
      </c>
      <c r="H18" s="5">
        <f>SUM(H16:H17)</f>
        <v>1157.5999999999999</v>
      </c>
      <c r="I18" s="5">
        <f>SUM(I16:I17)</f>
        <v>1328.9</v>
      </c>
      <c r="J18" s="50">
        <f>LN(Table1[[#This Row],[2025]]/Table1[[#This Row],[2024]])</f>
        <v>0.13800263602018814</v>
      </c>
      <c r="K18" s="43">
        <f>LN(Table1[[#This Row],[2025]]/Table1[[#This Row],[2023]])</f>
        <v>7.1500770526547547E-2</v>
      </c>
      <c r="L18" s="50">
        <f>LN(Table1[[#This Row],[2025]]/Table1[[#This Row],[2019]])</f>
        <v>0.96576779003957169</v>
      </c>
      <c r="N18" s="14" t="s">
        <v>36</v>
      </c>
      <c r="O18" s="2">
        <v>144.30000000000001</v>
      </c>
      <c r="P18" s="2">
        <v>118.3</v>
      </c>
      <c r="Q18" s="2">
        <v>440.8</v>
      </c>
      <c r="R18" s="2">
        <v>45.5</v>
      </c>
      <c r="S18" s="2">
        <v>0</v>
      </c>
      <c r="T18" s="2">
        <v>0</v>
      </c>
      <c r="U18" s="2">
        <v>339.7</v>
      </c>
      <c r="V18" s="45" t="e">
        <f>LN(Table2[[#This Row],[2025]]/Table2[[#This Row],[2024]])</f>
        <v>#DIV/0!</v>
      </c>
      <c r="W18" s="46" t="e">
        <f>LN(Table2[[#This Row],[2025]]/Table2[[#This Row],[2023]])</f>
        <v>#DIV/0!</v>
      </c>
      <c r="X18" s="47">
        <f>LN(Table2[[#This Row],[2025]]/Table2[[#This Row],[2019]])</f>
        <v>0.8561684093867129</v>
      </c>
    </row>
    <row r="19" spans="2:24" x14ac:dyDescent="0.2">
      <c r="J19" s="19"/>
      <c r="K19" s="20"/>
      <c r="L19" s="21"/>
      <c r="N19" s="14" t="s">
        <v>37</v>
      </c>
      <c r="O19" s="2">
        <v>344.3</v>
      </c>
      <c r="P19" s="2">
        <v>448</v>
      </c>
      <c r="Q19" s="2">
        <v>687.6</v>
      </c>
      <c r="R19" s="2">
        <v>898.5</v>
      </c>
      <c r="S19" s="2">
        <v>1044.4000000000001</v>
      </c>
      <c r="T19" s="2">
        <v>1349.5</v>
      </c>
      <c r="U19" s="2">
        <v>1619</v>
      </c>
      <c r="V19" s="56">
        <f>LN(Table2[[#This Row],[2025]]/Table2[[#This Row],[2024]])</f>
        <v>0.18207452121957587</v>
      </c>
      <c r="W19" s="56">
        <f>LN(Table2[[#This Row],[2025]]/Table2[[#This Row],[2023]])</f>
        <v>0.4383661168526613</v>
      </c>
      <c r="X19" s="56">
        <f>LN(Table2[[#This Row],[2025]]/Table2[[#This Row],[2019]])</f>
        <v>1.548050583333157</v>
      </c>
    </row>
    <row r="20" spans="2:24" ht="13.5" thickBot="1" x14ac:dyDescent="0.25">
      <c r="B20" s="11" t="s">
        <v>11</v>
      </c>
      <c r="C20" s="12">
        <f t="shared" ref="C20:F20" si="4">C13-C18</f>
        <v>1657.1</v>
      </c>
      <c r="D20" s="12">
        <f t="shared" si="4"/>
        <v>2024.3999999999996</v>
      </c>
      <c r="E20" s="12">
        <f t="shared" si="4"/>
        <v>2559.1999999999998</v>
      </c>
      <c r="F20" s="12">
        <f t="shared" si="4"/>
        <v>3332.4999999999995</v>
      </c>
      <c r="G20" s="12">
        <f>G13-G18</f>
        <v>4067.5999999999995</v>
      </c>
      <c r="H20" s="12">
        <f>H13-H18</f>
        <v>4798.2000000000007</v>
      </c>
      <c r="I20" s="12">
        <f>I13-I18</f>
        <v>5470.7000000000007</v>
      </c>
      <c r="J20" s="50">
        <f>LN(Table1[[#This Row],[2025]]/Table1[[#This Row],[2024]])</f>
        <v>0.13116573141211274</v>
      </c>
      <c r="K20" s="50">
        <f>LN(Table1[[#This Row],[2025]]/Table1[[#This Row],[2023]])</f>
        <v>0.29635343406102982</v>
      </c>
      <c r="L20" s="50">
        <f>LN(Table1[[#This Row],[2025]]/Table1[[#This Row],[2019]])</f>
        <v>1.1943374923422641</v>
      </c>
      <c r="N20" s="14" t="s">
        <v>38</v>
      </c>
      <c r="O20" s="2">
        <v>237</v>
      </c>
      <c r="P20" s="2">
        <v>304.8</v>
      </c>
      <c r="Q20" s="2">
        <v>423.3</v>
      </c>
      <c r="R20" s="2">
        <v>518.20000000000005</v>
      </c>
      <c r="S20" s="2">
        <v>605.6</v>
      </c>
      <c r="T20" s="2">
        <v>622.9</v>
      </c>
      <c r="U20" s="2">
        <v>735.5</v>
      </c>
      <c r="V20" s="56">
        <f>LN(Table2[[#This Row],[2025]]/Table2[[#This Row],[2024]])</f>
        <v>0.16616454778139247</v>
      </c>
      <c r="W20" s="46">
        <f>LN(Table2[[#This Row],[2025]]/Table2[[#This Row],[2023]])</f>
        <v>0.19433083791825317</v>
      </c>
      <c r="X20" s="47">
        <f>LN(Table2[[#This Row],[2025]]/Table2[[#This Row],[2019]])</f>
        <v>1.1324903989063611</v>
      </c>
    </row>
    <row r="21" spans="2:24" ht="13.5" thickTop="1" x14ac:dyDescent="0.2">
      <c r="J21" s="19"/>
      <c r="K21" s="20"/>
      <c r="L21" s="21"/>
      <c r="N21" s="14" t="s">
        <v>39</v>
      </c>
      <c r="O21" s="2">
        <v>226.3</v>
      </c>
      <c r="P21" s="2">
        <v>245.2</v>
      </c>
      <c r="Q21" s="2">
        <v>342.3</v>
      </c>
      <c r="R21" s="2">
        <v>569.4</v>
      </c>
      <c r="S21" s="2">
        <v>868.8</v>
      </c>
      <c r="T21" s="2">
        <v>1335.6</v>
      </c>
      <c r="U21" s="2">
        <v>1314.9</v>
      </c>
      <c r="V21" s="45">
        <f>LN(Table2[[#This Row],[2025]]/Table2[[#This Row],[2024]])</f>
        <v>-1.5620011976626184E-2</v>
      </c>
      <c r="W21" s="46">
        <f>LN(Table2[[#This Row],[2025]]/Table2[[#This Row],[2023]])</f>
        <v>0.41440294691320229</v>
      </c>
      <c r="X21" s="47">
        <f>LN(Table2[[#This Row],[2025]]/Table2[[#This Row],[2019]])</f>
        <v>1.7596543434533816</v>
      </c>
    </row>
    <row r="22" spans="2:24" x14ac:dyDescent="0.2">
      <c r="B22" s="7" t="s">
        <v>12</v>
      </c>
      <c r="J22" s="19"/>
      <c r="K22" s="20"/>
      <c r="L22" s="21"/>
      <c r="N22" s="14" t="s">
        <v>51</v>
      </c>
      <c r="O22" s="2">
        <f>67.2+31.1</f>
        <v>98.300000000000011</v>
      </c>
      <c r="P22" s="2">
        <f>31.6+93</f>
        <v>124.6</v>
      </c>
      <c r="Q22" s="2">
        <f>125.1+63.6</f>
        <v>188.7</v>
      </c>
      <c r="R22" s="2">
        <f>128+56</f>
        <v>184</v>
      </c>
      <c r="S22" s="2">
        <v>161.80000000000001</v>
      </c>
      <c r="T22" s="2">
        <v>350.4</v>
      </c>
      <c r="U22" s="2">
        <v>257.39999999999998</v>
      </c>
      <c r="V22" s="45">
        <f>LN(Table2[[#This Row],[2025]]/Table2[[#This Row],[2024]])</f>
        <v>-0.30844406390021012</v>
      </c>
      <c r="W22" s="46">
        <f>LN(Table2[[#This Row],[2025]]/Table2[[#This Row],[2023]])</f>
        <v>0.46427029053763474</v>
      </c>
      <c r="X22" s="47">
        <f>LN(Table2[[#This Row],[2025]]/Table2[[#This Row],[2019]])</f>
        <v>0.96260726800890517</v>
      </c>
    </row>
    <row r="23" spans="2:24" x14ac:dyDescent="0.2">
      <c r="B23" s="6" t="s">
        <v>13</v>
      </c>
      <c r="C23" s="2">
        <v>277.10000000000002</v>
      </c>
      <c r="D23" s="2">
        <v>341.4</v>
      </c>
      <c r="E23" s="2">
        <v>424.2</v>
      </c>
      <c r="F23" s="2">
        <v>512.4</v>
      </c>
      <c r="G23" s="2">
        <v>613.79999999999995</v>
      </c>
      <c r="H23" s="2">
        <v>716.8</v>
      </c>
      <c r="I23" s="2">
        <v>815.5</v>
      </c>
      <c r="J23" s="51">
        <f>LN(Table1[[#This Row],[2025]]/Table1[[#This Row],[2024]])</f>
        <v>0.12900456040034786</v>
      </c>
      <c r="K23" s="51">
        <f>LN(Table1[[#This Row],[2025]]/Table1[[#This Row],[2023]])</f>
        <v>0.28413227987543282</v>
      </c>
      <c r="L23" s="51">
        <f>LN(Table1[[#This Row],[2025]]/Table1[[#This Row],[2019]])</f>
        <v>1.0794229701921356</v>
      </c>
      <c r="N23" s="14" t="s">
        <v>21</v>
      </c>
      <c r="O23" s="2">
        <v>60</v>
      </c>
      <c r="P23" s="2">
        <v>63.2</v>
      </c>
      <c r="Q23" s="2">
        <v>235.8</v>
      </c>
      <c r="R23" s="2">
        <v>202</v>
      </c>
      <c r="S23" s="2">
        <v>150</v>
      </c>
      <c r="T23" s="2">
        <v>133.19999999999999</v>
      </c>
      <c r="U23" s="2">
        <f>97.3+125.2</f>
        <v>222.5</v>
      </c>
      <c r="V23" s="45">
        <f>LN(Table2[[#This Row],[2025]]/Table2[[#This Row],[2024]])</f>
        <v>0.51307534350000616</v>
      </c>
      <c r="W23" s="46">
        <f>LN(Table2[[#This Row],[2025]]/Table2[[#This Row],[2023]])</f>
        <v>0.39429180751003917</v>
      </c>
      <c r="X23" s="47">
        <f>LN(Table2[[#This Row],[2025]]/Table2[[#This Row],[2019]])</f>
        <v>1.3105825393841943</v>
      </c>
    </row>
    <row r="24" spans="2:24" ht="13.5" thickBot="1" x14ac:dyDescent="0.25">
      <c r="B24" s="6" t="s">
        <v>14</v>
      </c>
      <c r="C24" s="2">
        <v>926.9</v>
      </c>
      <c r="D24" s="2">
        <v>1071.9000000000001</v>
      </c>
      <c r="E24" s="2">
        <v>1345.7</v>
      </c>
      <c r="F24" s="2">
        <v>1686.1</v>
      </c>
      <c r="G24" s="2">
        <v>2006</v>
      </c>
      <c r="H24" s="2">
        <v>2044.8</v>
      </c>
      <c r="I24" s="2">
        <v>2347.5</v>
      </c>
      <c r="J24" s="51">
        <f>LN(Table1[[#This Row],[2025]]/Table1[[#This Row],[2024]])</f>
        <v>0.13805094689920236</v>
      </c>
      <c r="K24" s="40">
        <f>LN(Table1[[#This Row],[2025]]/Table1[[#This Row],[2023]])</f>
        <v>0.1572082425605372</v>
      </c>
      <c r="L24" s="51">
        <f>LN(Table1[[#This Row],[2025]]/Table1[[#This Row],[2019]])</f>
        <v>0.92926052620063093</v>
      </c>
      <c r="N24" s="15" t="s">
        <v>40</v>
      </c>
      <c r="O24" s="5">
        <f t="shared" ref="O24:T24" si="5">SUM(O17:O23)</f>
        <v>3879.2000000000003</v>
      </c>
      <c r="P24" s="5">
        <f t="shared" si="5"/>
        <v>4044.5000000000005</v>
      </c>
      <c r="Q24" s="5">
        <f t="shared" si="5"/>
        <v>5919.1</v>
      </c>
      <c r="R24" s="5">
        <f t="shared" si="5"/>
        <v>6227.9999999999991</v>
      </c>
      <c r="S24" s="5">
        <f t="shared" si="5"/>
        <v>7258.9000000000015</v>
      </c>
      <c r="T24" s="5">
        <f t="shared" si="5"/>
        <v>9763.1</v>
      </c>
      <c r="U24" s="5">
        <f>SUM(U17:U23)</f>
        <v>10389.199999999999</v>
      </c>
      <c r="V24" s="42">
        <f>LN(Table2[[#This Row],[2025]]/Table2[[#This Row],[2024]])</f>
        <v>6.2156832089767876E-2</v>
      </c>
      <c r="W24" s="43">
        <f>LN(Table2[[#This Row],[2025]]/Table2[[#This Row],[2023]])</f>
        <v>0.35853850282848809</v>
      </c>
      <c r="X24" s="44">
        <f>LN(Table2[[#This Row],[2025]]/Table2[[#This Row],[2019]])</f>
        <v>0.98513785822509226</v>
      </c>
    </row>
    <row r="25" spans="2:24" ht="13.5" thickBot="1" x14ac:dyDescent="0.25">
      <c r="B25" s="6" t="s">
        <v>15</v>
      </c>
      <c r="C25" s="2">
        <v>102.1</v>
      </c>
      <c r="D25" s="2">
        <v>119.5</v>
      </c>
      <c r="E25" s="2">
        <v>143.5</v>
      </c>
      <c r="F25" s="2">
        <v>169</v>
      </c>
      <c r="G25" s="2">
        <v>211.3</v>
      </c>
      <c r="H25" s="2">
        <v>237.8</v>
      </c>
      <c r="I25" s="2">
        <v>233.4</v>
      </c>
      <c r="J25" s="39">
        <f>LN(Table1[[#This Row],[2025]]/Table1[[#This Row],[2024]])</f>
        <v>-1.8676264404225859E-2</v>
      </c>
      <c r="K25" s="40">
        <f>LN(Table1[[#This Row],[2025]]/Table1[[#This Row],[2023]])</f>
        <v>9.947479523044464E-2</v>
      </c>
      <c r="L25" s="51">
        <f>LN(Table1[[#This Row],[2025]]/Table1[[#This Row],[2019]])</f>
        <v>0.82680099468183577</v>
      </c>
      <c r="N25" s="15"/>
      <c r="O25" s="5"/>
      <c r="P25" s="5"/>
      <c r="Q25" s="5"/>
      <c r="R25" s="5"/>
      <c r="S25" s="5"/>
      <c r="T25" s="5"/>
      <c r="U25" s="5"/>
      <c r="V25" s="25"/>
      <c r="W25" s="26"/>
      <c r="X25" s="27"/>
    </row>
    <row r="26" spans="2:24" x14ac:dyDescent="0.2">
      <c r="B26" s="6" t="s">
        <v>16</v>
      </c>
      <c r="C26" s="2">
        <v>0</v>
      </c>
      <c r="D26" s="2">
        <v>-40.200000000000003</v>
      </c>
      <c r="E26" s="2">
        <v>-4.5999999999999996</v>
      </c>
      <c r="F26" s="2">
        <v>-4.5999999999999996</v>
      </c>
      <c r="G26" s="2">
        <v>-4.5999999999999996</v>
      </c>
      <c r="H26" s="2">
        <v>-4.5999999999999996</v>
      </c>
      <c r="I26" s="2">
        <v>-10.4</v>
      </c>
      <c r="J26" s="51">
        <f>LN(Table1[[#This Row],[2025]]/Table1[[#This Row],[2024]])</f>
        <v>0.81574950265227775</v>
      </c>
      <c r="K26" s="40">
        <f>LN(Table1[[#This Row],[2025]]/Table1[[#This Row],[2023]])</f>
        <v>0.81574950265227775</v>
      </c>
      <c r="L26" s="41" t="e">
        <f>LN(Table1[[#This Row],[2025]]/Table1[[#This Row],[2019]])</f>
        <v>#DIV/0!</v>
      </c>
      <c r="N26" s="22" t="s">
        <v>41</v>
      </c>
      <c r="Q26" s="23"/>
      <c r="V26" s="25"/>
      <c r="W26" s="26"/>
      <c r="X26" s="27"/>
    </row>
    <row r="27" spans="2:24" ht="13.5" thickBot="1" x14ac:dyDescent="0.25">
      <c r="B27" s="8" t="s">
        <v>17</v>
      </c>
      <c r="C27" s="5">
        <f t="shared" ref="C27:F27" si="6">SUM(C23:C26)</f>
        <v>1306.0999999999999</v>
      </c>
      <c r="D27" s="5">
        <f t="shared" si="6"/>
        <v>1492.6000000000001</v>
      </c>
      <c r="E27" s="5">
        <f t="shared" si="6"/>
        <v>1908.8000000000002</v>
      </c>
      <c r="F27" s="5">
        <f t="shared" si="6"/>
        <v>2362.9</v>
      </c>
      <c r="G27" s="5">
        <f>SUM(G23:G26)</f>
        <v>2826.5000000000005</v>
      </c>
      <c r="H27" s="5">
        <f>SUM(H23:H26)</f>
        <v>2994.8</v>
      </c>
      <c r="I27" s="5">
        <f>SUM(I23:I26)</f>
        <v>3386</v>
      </c>
      <c r="J27" s="50">
        <f>LN(Table1[[#This Row],[2025]]/Table1[[#This Row],[2024]])</f>
        <v>0.12277183233655044</v>
      </c>
      <c r="K27" s="43">
        <f>LN(Table1[[#This Row],[2025]]/Table1[[#This Row],[2023]])</f>
        <v>0.18061008657773492</v>
      </c>
      <c r="L27" s="50">
        <f>LN(Table1[[#This Row],[2025]]/Table1[[#This Row],[2019]])</f>
        <v>0.95260368610960522</v>
      </c>
      <c r="N27" s="7" t="s">
        <v>29</v>
      </c>
      <c r="V27" s="25"/>
      <c r="W27" s="26"/>
      <c r="X27" s="27"/>
    </row>
    <row r="28" spans="2:24" x14ac:dyDescent="0.2">
      <c r="J28" s="19"/>
      <c r="K28" s="20"/>
      <c r="L28" s="21"/>
      <c r="N28" s="14" t="s">
        <v>43</v>
      </c>
      <c r="O28" s="2">
        <v>96.4</v>
      </c>
      <c r="P28" s="2">
        <v>141.6</v>
      </c>
      <c r="Q28" s="2">
        <v>148.4</v>
      </c>
      <c r="R28" s="2">
        <v>243.4</v>
      </c>
      <c r="S28" s="2">
        <v>204.3</v>
      </c>
      <c r="T28" s="2">
        <v>190.9</v>
      </c>
      <c r="U28" s="2">
        <v>230.8</v>
      </c>
      <c r="V28" s="45">
        <f>LN(Table2[[#This Row],[2025]]/Table2[[#This Row],[2024]])</f>
        <v>0.18980180390224258</v>
      </c>
      <c r="W28" s="46">
        <f>LN(Table2[[#This Row],[2025]]/Table2[[#This Row],[2023]])</f>
        <v>0.12196203281036816</v>
      </c>
      <c r="X28" s="47">
        <f>LN(Table2[[#This Row],[2025]]/Table2[[#This Row],[2019]])</f>
        <v>0.87304533301744458</v>
      </c>
    </row>
    <row r="29" spans="2:24" x14ac:dyDescent="0.2">
      <c r="B29" s="7" t="s">
        <v>18</v>
      </c>
      <c r="C29" s="10">
        <f t="shared" ref="C29:F29" si="7">C20-C27</f>
        <v>351</v>
      </c>
      <c r="D29" s="10">
        <f t="shared" si="7"/>
        <v>531.7999999999995</v>
      </c>
      <c r="E29" s="10">
        <f t="shared" si="7"/>
        <v>650.39999999999964</v>
      </c>
      <c r="F29" s="10">
        <f t="shared" si="7"/>
        <v>969.59999999999945</v>
      </c>
      <c r="G29" s="10">
        <f>G20-G27</f>
        <v>1241.099999999999</v>
      </c>
      <c r="H29" s="10">
        <f>H20-H27</f>
        <v>1803.4000000000005</v>
      </c>
      <c r="I29" s="10">
        <f>I20-I27</f>
        <v>2084.7000000000007</v>
      </c>
      <c r="J29" s="51">
        <f>LN(Table1[[#This Row],[2025]]/Table1[[#This Row],[2024]])</f>
        <v>0.14495118792258505</v>
      </c>
      <c r="K29" s="51">
        <f>LN(Table1[[#This Row],[2025]]/Table1[[#This Row],[2023]])</f>
        <v>0.51862687685291697</v>
      </c>
      <c r="L29" s="51">
        <f>LN(Table1[[#This Row],[2025]]/Table1[[#This Row],[2019]])</f>
        <v>1.7815940155225258</v>
      </c>
      <c r="N29" s="14" t="s">
        <v>44</v>
      </c>
      <c r="O29" s="2">
        <v>101.8</v>
      </c>
      <c r="P29" s="2">
        <v>149.19999999999999</v>
      </c>
      <c r="Q29" s="2">
        <v>197.3</v>
      </c>
      <c r="R29" s="2">
        <v>266.3</v>
      </c>
      <c r="S29" s="2">
        <v>423.7</v>
      </c>
      <c r="T29" s="2">
        <v>337.9</v>
      </c>
      <c r="U29" s="2">
        <v>354.6</v>
      </c>
      <c r="V29" s="45">
        <f>LN(Table2[[#This Row],[2025]]/Table2[[#This Row],[2024]])</f>
        <v>4.8240399919863355E-2</v>
      </c>
      <c r="W29" s="46">
        <f>LN(Table2[[#This Row],[2025]]/Table2[[#This Row],[2023]])</f>
        <v>-0.17803526399240593</v>
      </c>
      <c r="X29" s="47">
        <f>LN(Table2[[#This Row],[2025]]/Table2[[#This Row],[2019]])</f>
        <v>1.2479802895236853</v>
      </c>
    </row>
    <row r="30" spans="2:24" x14ac:dyDescent="0.2">
      <c r="B30" s="6" t="s">
        <v>19</v>
      </c>
      <c r="C30" s="2">
        <v>42.5</v>
      </c>
      <c r="D30" s="2">
        <v>17.7</v>
      </c>
      <c r="E30" s="2">
        <v>4.5</v>
      </c>
      <c r="F30" s="2">
        <v>17.399999999999999</v>
      </c>
      <c r="G30" s="2">
        <v>119.7</v>
      </c>
      <c r="H30" s="2">
        <v>155.19999999999999</v>
      </c>
      <c r="I30" s="2">
        <v>162.30000000000001</v>
      </c>
      <c r="J30" s="39">
        <f>LN(Table1[[#This Row],[2025]]/Table1[[#This Row],[2024]])</f>
        <v>4.4731866771427209E-2</v>
      </c>
      <c r="K30" s="40">
        <f>LN(Table1[[#This Row],[2025]]/Table1[[#This Row],[2023]])</f>
        <v>0.30445786195661811</v>
      </c>
      <c r="L30" s="41">
        <f>LN(Table1[[#This Row],[2025]]/Table1[[#This Row],[2019]])</f>
        <v>1.3399423985901746</v>
      </c>
      <c r="N30" s="14" t="s">
        <v>45</v>
      </c>
      <c r="O30" s="2">
        <v>101.8</v>
      </c>
      <c r="P30" s="2">
        <v>145.9</v>
      </c>
      <c r="Q30" s="2">
        <v>195</v>
      </c>
      <c r="R30" s="2">
        <v>219.4</v>
      </c>
      <c r="S30" s="2">
        <v>242.3</v>
      </c>
      <c r="T30" s="2">
        <v>255.7</v>
      </c>
      <c r="U30" s="2">
        <v>312.89999999999998</v>
      </c>
      <c r="V30" s="45">
        <f>LN(Table2[[#This Row],[2025]]/Table2[[#This Row],[2024]])</f>
        <v>0.20187876837769547</v>
      </c>
      <c r="W30" s="46">
        <f>LN(Table2[[#This Row],[2025]]/Table2[[#This Row],[2023]])</f>
        <v>0.25570702285235625</v>
      </c>
      <c r="X30" s="47">
        <f>LN(Table2[[#This Row],[2025]]/Table2[[#This Row],[2019]])</f>
        <v>1.1228735465584139</v>
      </c>
    </row>
    <row r="31" spans="2:24" x14ac:dyDescent="0.2">
      <c r="B31" s="6" t="s">
        <v>20</v>
      </c>
      <c r="C31" s="2">
        <v>0</v>
      </c>
      <c r="D31" s="2">
        <v>0</v>
      </c>
      <c r="E31" s="2">
        <v>-14.9</v>
      </c>
      <c r="F31" s="2">
        <v>-18</v>
      </c>
      <c r="G31" s="2">
        <v>-21</v>
      </c>
      <c r="H31" s="2">
        <v>-20</v>
      </c>
      <c r="I31" s="2">
        <v>-20.100000000000001</v>
      </c>
      <c r="J31" s="39">
        <f>LN(Table1[[#This Row],[2025]]/Table1[[#This Row],[2024]])</f>
        <v>4.9875415110391882E-3</v>
      </c>
      <c r="K31" s="40">
        <f>LN(Table1[[#This Row],[2025]]/Table1[[#This Row],[2023]])</f>
        <v>-4.3802622658392888E-2</v>
      </c>
      <c r="L31" s="41" t="e">
        <f>LN(Table1[[#This Row],[2025]]/Table1[[#This Row],[2019]])</f>
        <v>#DIV/0!</v>
      </c>
      <c r="N31" s="14" t="s">
        <v>80</v>
      </c>
      <c r="O31" s="2">
        <v>0</v>
      </c>
      <c r="P31" s="2">
        <v>0</v>
      </c>
      <c r="Q31" s="2">
        <v>0</v>
      </c>
      <c r="R31" s="2">
        <v>0</v>
      </c>
      <c r="S31" s="2">
        <v>0</v>
      </c>
      <c r="T31" s="2">
        <v>0</v>
      </c>
      <c r="U31" s="2">
        <v>499.7</v>
      </c>
      <c r="V31" s="45" t="e">
        <f>LN(Table2[[#This Row],[2025]]/Table2[[#This Row],[2024]])</f>
        <v>#DIV/0!</v>
      </c>
      <c r="W31" s="46" t="e">
        <f>LN(Table2[[#This Row],[2025]]/Table2[[#This Row],[2023]])</f>
        <v>#DIV/0!</v>
      </c>
      <c r="X31" s="47" t="e">
        <f>LN(Table2[[#This Row],[2025]]/Table2[[#This Row],[2019]])</f>
        <v>#DIV/0!</v>
      </c>
    </row>
    <row r="32" spans="2:24" x14ac:dyDescent="0.2">
      <c r="B32" s="6" t="s">
        <v>21</v>
      </c>
      <c r="C32" s="2">
        <v>-7.5</v>
      </c>
      <c r="D32" s="2">
        <v>-7.8</v>
      </c>
      <c r="E32" s="2">
        <v>-11.6</v>
      </c>
      <c r="F32" s="2">
        <v>-13.5</v>
      </c>
      <c r="G32" s="2">
        <v>-6.1</v>
      </c>
      <c r="H32" s="2">
        <f>106.3+13.6</f>
        <v>119.89999999999999</v>
      </c>
      <c r="I32" s="2">
        <v>55.3</v>
      </c>
      <c r="J32" s="39">
        <f>LN(Table1[[#This Row],[2025]]/Table1[[#This Row],[2024]])</f>
        <v>-0.77388515350517939</v>
      </c>
      <c r="K32" s="40" t="e">
        <f>LN(Table1[[#This Row],[2025]]/Table1[[#This Row],[2023]])</f>
        <v>#NUM!</v>
      </c>
      <c r="L32" s="41" t="e">
        <f>LN(Table1[[#This Row],[2025]]/Table1[[#This Row],[2019]])</f>
        <v>#NUM!</v>
      </c>
      <c r="N32" s="14" t="s">
        <v>46</v>
      </c>
      <c r="O32" s="2">
        <v>1155.8</v>
      </c>
      <c r="P32" s="2">
        <v>1392.8</v>
      </c>
      <c r="Q32" s="2">
        <v>1777.4</v>
      </c>
      <c r="R32" s="2">
        <v>2349.3000000000002</v>
      </c>
      <c r="S32" s="2">
        <v>2848.7</v>
      </c>
      <c r="T32" s="2">
        <v>3276.2</v>
      </c>
      <c r="U32" s="2">
        <v>3636</v>
      </c>
      <c r="V32" s="45">
        <f>LN(Table2[[#This Row],[2025]]/Table2[[#This Row],[2024]])</f>
        <v>0.1041999621268386</v>
      </c>
      <c r="W32" s="46">
        <f>LN(Table2[[#This Row],[2025]]/Table2[[#This Row],[2023]])</f>
        <v>0.24402142644920663</v>
      </c>
      <c r="X32" s="47">
        <f>LN(Table2[[#This Row],[2025]]/Table2[[#This Row],[2019]])</f>
        <v>1.1460914314136919</v>
      </c>
    </row>
    <row r="33" spans="2:24" ht="13.5" thickBot="1" x14ac:dyDescent="0.25">
      <c r="B33" s="13" t="s">
        <v>22</v>
      </c>
      <c r="C33" s="5">
        <f t="shared" ref="C33:F33" si="8">SUM(C29:C32)</f>
        <v>386</v>
      </c>
      <c r="D33" s="5">
        <f t="shared" si="8"/>
        <v>541.69999999999959</v>
      </c>
      <c r="E33" s="5">
        <f t="shared" si="8"/>
        <v>628.39999999999964</v>
      </c>
      <c r="F33" s="5">
        <f t="shared" si="8"/>
        <v>955.49999999999943</v>
      </c>
      <c r="G33" s="5">
        <f>SUM(G29:G32)</f>
        <v>1333.6999999999991</v>
      </c>
      <c r="H33" s="5">
        <f>SUM(H29:H32)</f>
        <v>2058.5000000000005</v>
      </c>
      <c r="I33" s="5">
        <f>SUM(I29:I32)</f>
        <v>2282.2000000000012</v>
      </c>
      <c r="J33" s="50">
        <f>LN(Table1[[#This Row],[2025]]/Table1[[#This Row],[2024]])</f>
        <v>0.10316232779062028</v>
      </c>
      <c r="K33" s="50">
        <f>LN(Table1[[#This Row],[2025]]/Table1[[#This Row],[2023]])</f>
        <v>0.53718285537223154</v>
      </c>
      <c r="L33" s="50">
        <f>LN(Table1[[#This Row],[2025]]/Table1[[#This Row],[2019]])</f>
        <v>1.7770577995357488</v>
      </c>
      <c r="N33" s="15" t="s">
        <v>84</v>
      </c>
      <c r="O33" s="5">
        <f>SUM(O28:O32)</f>
        <v>1455.8</v>
      </c>
      <c r="P33" s="5">
        <f t="shared" ref="P33:U33" si="9">SUM(P28:P32)</f>
        <v>1829.5</v>
      </c>
      <c r="Q33" s="5">
        <f t="shared" si="9"/>
        <v>2318.1000000000004</v>
      </c>
      <c r="R33" s="5">
        <f t="shared" si="9"/>
        <v>3078.4</v>
      </c>
      <c r="S33" s="5">
        <f t="shared" si="9"/>
        <v>3719</v>
      </c>
      <c r="T33" s="5">
        <f t="shared" si="9"/>
        <v>4060.7</v>
      </c>
      <c r="U33" s="5">
        <f t="shared" si="9"/>
        <v>5034</v>
      </c>
      <c r="V33" s="50">
        <f>LN(Table2[[#This Row],[2025]]/Table2[[#This Row],[2024]])</f>
        <v>0.21485952416792933</v>
      </c>
      <c r="W33" s="43">
        <f>LN(Table2[[#This Row],[2025]]/Table2[[#This Row],[2023]])</f>
        <v>0.30276008177019115</v>
      </c>
      <c r="X33" s="50">
        <f>LN(Table2[[#This Row],[2025]]/Table2[[#This Row],[2019]])</f>
        <v>1.2406593190111037</v>
      </c>
    </row>
    <row r="34" spans="2:24" x14ac:dyDescent="0.2">
      <c r="B34" s="14" t="s">
        <v>23</v>
      </c>
      <c r="C34" s="2">
        <v>54.3</v>
      </c>
      <c r="D34" s="2">
        <v>53.2</v>
      </c>
      <c r="E34" s="2">
        <v>14.1</v>
      </c>
      <c r="F34" s="2">
        <v>30.8</v>
      </c>
      <c r="G34" s="2">
        <v>143.80000000000001</v>
      </c>
      <c r="H34" s="2">
        <v>283.89999999999998</v>
      </c>
      <c r="I34" s="2">
        <v>439.1</v>
      </c>
      <c r="J34" s="39">
        <f>LN(Table1[[#This Row],[2025]]/Table1[[#This Row],[2024]])</f>
        <v>0.43610511408874642</v>
      </c>
      <c r="K34" s="40">
        <f>LN(Table1[[#This Row],[2025]]/Table1[[#This Row],[2023]])</f>
        <v>1.1163037322807254</v>
      </c>
      <c r="L34" s="41">
        <f>LN(Table1[[#This Row],[2025]]/Table1[[#This Row],[2019]])</f>
        <v>2.0902029506277819</v>
      </c>
      <c r="N34" s="14" t="s">
        <v>46</v>
      </c>
      <c r="O34" s="2">
        <v>953.3</v>
      </c>
      <c r="P34" s="2">
        <v>1212.5</v>
      </c>
      <c r="Q34" s="2">
        <v>1675.5</v>
      </c>
      <c r="R34" s="2">
        <v>2291</v>
      </c>
      <c r="S34" s="2">
        <v>2886.3</v>
      </c>
      <c r="T34" s="2">
        <v>3084.7</v>
      </c>
      <c r="U34" s="2">
        <v>3479.8</v>
      </c>
      <c r="V34" s="45">
        <f>LN(Table2[[#This Row],[2025]]/Table2[[#This Row],[2024]])</f>
        <v>0.12052041297428021</v>
      </c>
      <c r="W34" s="46">
        <f>LN(Table2[[#This Row],[2025]]/Table2[[#This Row],[2023]])</f>
        <v>0.18699941581728721</v>
      </c>
      <c r="X34" s="47">
        <f>LN(Table2[[#This Row],[2025]]/Table2[[#This Row],[2019]])</f>
        <v>1.2948004503530834</v>
      </c>
    </row>
    <row r="35" spans="2:24" x14ac:dyDescent="0.2">
      <c r="B35" s="14" t="s">
        <v>25</v>
      </c>
      <c r="C35" s="2">
        <v>0</v>
      </c>
      <c r="D35" s="2">
        <v>0</v>
      </c>
      <c r="E35" s="2">
        <v>-7.6</v>
      </c>
      <c r="F35" s="2">
        <v>-68.099999999999994</v>
      </c>
      <c r="G35" s="2">
        <v>-42.1</v>
      </c>
      <c r="H35" s="2">
        <v>-29.4</v>
      </c>
      <c r="I35" s="2">
        <v>10.3</v>
      </c>
      <c r="J35" s="39" t="e">
        <f>LN(Table1[[#This Row],[2025]]/Table1[[#This Row],[2024]])</f>
        <v>#NUM!</v>
      </c>
      <c r="K35" s="40" t="e">
        <f>LN(Table1[[#This Row],[2025]]/Table1[[#This Row],[2023]])</f>
        <v>#NUM!</v>
      </c>
      <c r="L35" s="41" t="e">
        <f>LN(Table1[[#This Row],[2025]]/Table1[[#This Row],[2019]])</f>
        <v>#DIV/0!</v>
      </c>
      <c r="N35" s="14" t="s">
        <v>47</v>
      </c>
      <c r="O35" s="2">
        <v>82.8</v>
      </c>
      <c r="P35" s="2">
        <v>90.3</v>
      </c>
      <c r="Q35" s="2">
        <v>79.5</v>
      </c>
      <c r="R35" s="2">
        <v>67.8</v>
      </c>
      <c r="S35" s="2">
        <v>0</v>
      </c>
      <c r="T35" s="2">
        <v>0</v>
      </c>
      <c r="U35" s="2">
        <v>0</v>
      </c>
      <c r="V35" s="45" t="e">
        <f>LN(Table2[[#This Row],[2025]]/Table2[[#This Row],[2024]])</f>
        <v>#DIV/0!</v>
      </c>
      <c r="W35" s="46" t="e">
        <f>LN(Table2[[#This Row],[2025]]/Table2[[#This Row],[2023]])</f>
        <v>#DIV/0!</v>
      </c>
      <c r="X35" s="47" t="e">
        <f>LN(Table2[[#This Row],[2025]]/Table2[[#This Row],[2019]])</f>
        <v>#NUM!</v>
      </c>
    </row>
    <row r="36" spans="2:24" ht="13.5" thickBot="1" x14ac:dyDescent="0.25">
      <c r="B36" s="15" t="s">
        <v>24</v>
      </c>
      <c r="C36" s="5">
        <f t="shared" ref="C36:I36" si="10">C33-C34+C35</f>
        <v>331.7</v>
      </c>
      <c r="D36" s="5">
        <f t="shared" si="10"/>
        <v>488.4999999999996</v>
      </c>
      <c r="E36" s="5">
        <f t="shared" si="10"/>
        <v>606.69999999999959</v>
      </c>
      <c r="F36" s="5">
        <f t="shared" si="10"/>
        <v>856.59999999999945</v>
      </c>
      <c r="G36" s="5">
        <f t="shared" si="10"/>
        <v>1147.7999999999993</v>
      </c>
      <c r="H36" s="5">
        <f t="shared" si="10"/>
        <v>1745.2000000000003</v>
      </c>
      <c r="I36" s="5">
        <f t="shared" si="10"/>
        <v>1853.4000000000012</v>
      </c>
      <c r="J36" s="42">
        <f>LN(Table1[[#This Row],[2025]]/Table1[[#This Row],[2024]])</f>
        <v>6.0152627903136933E-2</v>
      </c>
      <c r="K36" s="50">
        <f>LN(Table1[[#This Row],[2025]]/Table1[[#This Row],[2023]])</f>
        <v>0.47917472347833012</v>
      </c>
      <c r="L36" s="50">
        <f>LN(Table1[[#This Row],[2025]]/Table1[[#This Row],[2019]])</f>
        <v>1.7205461231995851</v>
      </c>
      <c r="N36" s="14" t="s">
        <v>50</v>
      </c>
      <c r="O36" s="2">
        <v>0</v>
      </c>
      <c r="P36" s="2">
        <v>0</v>
      </c>
      <c r="Q36" s="2">
        <v>988.4</v>
      </c>
      <c r="R36" s="2">
        <v>990.4</v>
      </c>
      <c r="S36" s="2">
        <v>992.3</v>
      </c>
      <c r="T36" s="2">
        <v>994.3</v>
      </c>
      <c r="U36" s="2">
        <v>496.6</v>
      </c>
      <c r="V36" s="56">
        <f>LN(Table2[[#This Row],[2025]]/Table2[[#This Row],[2024]])</f>
        <v>-0.69425409891196166</v>
      </c>
      <c r="W36" s="46">
        <f>LN(Table2[[#This Row],[2025]]/Table2[[#This Row],[2023]])</f>
        <v>-0.69224060784612951</v>
      </c>
      <c r="X36" s="47" t="e">
        <f>LN(Table2[[#This Row],[2025]]/Table2[[#This Row],[2019]])</f>
        <v>#DIV/0!</v>
      </c>
    </row>
    <row r="37" spans="2:24" x14ac:dyDescent="0.2">
      <c r="J37" s="19"/>
      <c r="K37" s="20"/>
      <c r="L37" s="21"/>
      <c r="N37" s="14" t="s">
        <v>21</v>
      </c>
      <c r="O37" s="2">
        <v>44.9</v>
      </c>
      <c r="P37" s="2">
        <v>56.2</v>
      </c>
      <c r="Q37" s="2">
        <v>59.2</v>
      </c>
      <c r="R37" s="2">
        <v>82</v>
      </c>
      <c r="S37" s="2">
        <v>124.7</v>
      </c>
      <c r="T37" s="2">
        <v>129.6</v>
      </c>
      <c r="U37" s="2">
        <v>141.30000000000001</v>
      </c>
      <c r="V37" s="45">
        <f>LN(Table2[[#This Row],[2025]]/Table2[[#This Row],[2024]])</f>
        <v>8.6432505772307544E-2</v>
      </c>
      <c r="W37" s="46">
        <f>LN(Table2[[#This Row],[2025]]/Table2[[#This Row],[2023]])</f>
        <v>0.12497443700449111</v>
      </c>
      <c r="X37" s="47">
        <f>LN(Table2[[#This Row],[2025]]/Table2[[#This Row],[2019]])</f>
        <v>1.1464474949422734</v>
      </c>
    </row>
    <row r="38" spans="2:24" ht="13.5" thickBot="1" x14ac:dyDescent="0.25">
      <c r="B38" s="6" t="s">
        <v>1</v>
      </c>
      <c r="C38" s="3">
        <v>175</v>
      </c>
      <c r="D38" s="3">
        <v>167.7</v>
      </c>
      <c r="E38" s="3">
        <v>835.3</v>
      </c>
      <c r="F38" s="3">
        <v>805.3</v>
      </c>
      <c r="G38" s="3">
        <v>778.2</v>
      </c>
      <c r="H38" s="3">
        <v>772</v>
      </c>
      <c r="I38" s="2">
        <v>764.6</v>
      </c>
      <c r="J38" s="39">
        <f>LN(Table1[[#This Row],[2025]]/Table1[[#This Row],[2024]])</f>
        <v>-9.6317287624636972E-3</v>
      </c>
      <c r="K38" s="40">
        <f>LN(Table1[[#This Row],[2025]]/Table1[[#This Row],[2023]])</f>
        <v>-1.763073928814084E-2</v>
      </c>
      <c r="L38" s="41">
        <f>LN(Table1[[#This Row],[2025]]/Table1[[#This Row],[2019]])</f>
        <v>1.4745668473387983</v>
      </c>
      <c r="N38" s="15" t="s">
        <v>48</v>
      </c>
      <c r="O38" s="5">
        <f>SUM(O33:O37)</f>
        <v>2536.8000000000002</v>
      </c>
      <c r="P38" s="5">
        <f t="shared" ref="P38:U38" si="11">SUM(P33:P37)</f>
        <v>3188.5</v>
      </c>
      <c r="Q38" s="5">
        <f t="shared" si="11"/>
        <v>5120.7</v>
      </c>
      <c r="R38" s="5">
        <f t="shared" si="11"/>
        <v>6509.5999999999995</v>
      </c>
      <c r="S38" s="5">
        <f t="shared" si="11"/>
        <v>7722.3</v>
      </c>
      <c r="T38" s="5">
        <f t="shared" si="11"/>
        <v>8269.2999999999993</v>
      </c>
      <c r="U38" s="5">
        <f t="shared" si="11"/>
        <v>9151.6999999999989</v>
      </c>
      <c r="V38" s="50">
        <f>LN(Table2[[#This Row],[2025]]/Table2[[#This Row],[2024]])</f>
        <v>0.1013897922157373</v>
      </c>
      <c r="W38" s="43">
        <f>LN(Table2[[#This Row],[2025]]/Table2[[#This Row],[2023]])</f>
        <v>0.16982740725364406</v>
      </c>
      <c r="X38" s="50">
        <f>LN(Table2[[#This Row],[2025]]/Table2[[#This Row],[2019]])</f>
        <v>1.2830362101378949</v>
      </c>
    </row>
    <row r="39" spans="2:24" x14ac:dyDescent="0.2">
      <c r="B39" s="6" t="s">
        <v>59</v>
      </c>
      <c r="C39" s="29">
        <f>C36/C38</f>
        <v>1.8954285714285715</v>
      </c>
      <c r="D39" s="29">
        <f t="shared" ref="D39:I39" si="12">D36/D38</f>
        <v>2.9129397734048874</v>
      </c>
      <c r="E39" s="29">
        <f t="shared" si="12"/>
        <v>0.72632587094457035</v>
      </c>
      <c r="F39" s="29">
        <f t="shared" si="12"/>
        <v>1.0637029678380721</v>
      </c>
      <c r="G39" s="29">
        <f t="shared" si="12"/>
        <v>1.4749421742482642</v>
      </c>
      <c r="H39" s="29">
        <f t="shared" si="12"/>
        <v>2.2606217616580313</v>
      </c>
      <c r="I39" s="29">
        <f t="shared" si="12"/>
        <v>2.4240125555846208</v>
      </c>
      <c r="J39" s="39">
        <f>LN(Table1[[#This Row],[2025]]/Table1[[#This Row],[2024]])</f>
        <v>6.9784356665600678E-2</v>
      </c>
      <c r="K39" s="51">
        <f>LN(Table1[[#This Row],[2025]]/Table1[[#This Row],[2023]])</f>
        <v>0.49680546276647092</v>
      </c>
      <c r="L39" s="41">
        <f>LN(Table1[[#This Row],[2025]]/Table1[[#This Row],[2019]])</f>
        <v>0.24597927586078658</v>
      </c>
      <c r="V39" s="25"/>
      <c r="W39" s="26"/>
      <c r="X39" s="27"/>
    </row>
    <row r="40" spans="2:24" x14ac:dyDescent="0.2">
      <c r="B40" s="6" t="s">
        <v>60</v>
      </c>
      <c r="C40" s="2">
        <v>18330</v>
      </c>
      <c r="D40" s="2">
        <v>24110</v>
      </c>
      <c r="E40" s="2">
        <v>58760</v>
      </c>
      <c r="F40" s="2">
        <v>38190</v>
      </c>
      <c r="G40" s="2">
        <v>44940</v>
      </c>
      <c r="H40" s="2">
        <v>73640</v>
      </c>
      <c r="I40" s="2">
        <f>81.26*I38</f>
        <v>62131.396000000008</v>
      </c>
      <c r="J40" s="51">
        <f>LN(Table1[[#This Row],[2025]]/Table1[[#This Row],[2024]])</f>
        <v>-0.16993692352512099</v>
      </c>
      <c r="K40" s="40">
        <f>LN(Table1[[#This Row],[2025]]/Table1[[#This Row],[2023]])</f>
        <v>0.3239231660825731</v>
      </c>
      <c r="L40" s="41">
        <f>LN(Table1[[#This Row],[2025]]/Table1[[#This Row],[2019]])</f>
        <v>1.2207123709881424</v>
      </c>
      <c r="N40" s="22" t="s">
        <v>49</v>
      </c>
      <c r="O40" s="10">
        <f t="shared" ref="O40:S40" si="13">O24-O38</f>
        <v>1342.4</v>
      </c>
      <c r="P40" s="10">
        <f t="shared" si="13"/>
        <v>856.00000000000045</v>
      </c>
      <c r="Q40" s="10">
        <f t="shared" si="13"/>
        <v>798.40000000000055</v>
      </c>
      <c r="R40" s="10">
        <f t="shared" si="13"/>
        <v>-281.60000000000036</v>
      </c>
      <c r="S40" s="10">
        <f t="shared" si="13"/>
        <v>-463.39999999999873</v>
      </c>
      <c r="T40" s="10">
        <f>T24-T38</f>
        <v>1493.8000000000011</v>
      </c>
      <c r="U40" s="10">
        <f>U24-U38</f>
        <v>1237.5</v>
      </c>
      <c r="V40" s="56">
        <f>LN(Table2[[#This Row],[2025]]/Table2[[#This Row],[2024]])</f>
        <v>-0.18822999348012168</v>
      </c>
      <c r="W40" s="48" t="e">
        <f>LN(Table2[[#This Row],[2025]]/Table2[[#This Row],[2023]])</f>
        <v>#NUM!</v>
      </c>
      <c r="X40" s="49">
        <f>LN(Table2[[#This Row],[2025]]/Table2[[#This Row],[2019]])</f>
        <v>-8.1365841270096481E-2</v>
      </c>
    </row>
    <row r="41" spans="2:24" x14ac:dyDescent="0.2">
      <c r="B41" s="6" t="s">
        <v>63</v>
      </c>
      <c r="C41" s="54">
        <f>(C10-C16)/C10</f>
        <v>0.58833227647431829</v>
      </c>
      <c r="D41" s="54">
        <f t="shared" ref="D41:H41" si="14">(D10-D16)/D10</f>
        <v>0.61545176778699262</v>
      </c>
      <c r="E41" s="54">
        <f t="shared" si="14"/>
        <v>0.61139442231075691</v>
      </c>
      <c r="F41" s="54">
        <f t="shared" si="14"/>
        <v>0.61173827576523454</v>
      </c>
      <c r="G41" s="54">
        <f t="shared" si="14"/>
        <v>0.60379805946142262</v>
      </c>
      <c r="H41" s="54">
        <f t="shared" si="14"/>
        <v>0.65840624508827994</v>
      </c>
      <c r="I41" s="54">
        <f t="shared" ref="I41" si="15">(I10-I16)/I10</f>
        <v>0.67300757302560399</v>
      </c>
      <c r="J41" s="39">
        <f>LN(Table1[[#This Row],[2025]]/Table1[[#This Row],[2024]])</f>
        <v>2.1934447652369852E-2</v>
      </c>
      <c r="K41" s="40">
        <f>LN(Table1[[#This Row],[2025]]/Table1[[#This Row],[2023]])</f>
        <v>0.10851677882859682</v>
      </c>
      <c r="L41" s="41">
        <f>LN(Table1[[#This Row],[2025]]/Table1[[#This Row],[2019]])</f>
        <v>0.1344646978830171</v>
      </c>
      <c r="N41" s="6" t="s">
        <v>30</v>
      </c>
      <c r="O41" s="2">
        <f>O11+O12</f>
        <v>2065.6</v>
      </c>
      <c r="P41" s="2">
        <f t="shared" ref="P41:U41" si="16">P11+P12</f>
        <v>1837.3</v>
      </c>
      <c r="Q41" s="2">
        <f t="shared" si="16"/>
        <v>2513.1</v>
      </c>
      <c r="R41" s="2">
        <f t="shared" si="16"/>
        <v>2185.5</v>
      </c>
      <c r="S41" s="2">
        <f t="shared" si="16"/>
        <v>2419.4</v>
      </c>
      <c r="T41" s="2">
        <f t="shared" si="16"/>
        <v>4002.3</v>
      </c>
      <c r="U41" s="2">
        <f t="shared" si="16"/>
        <v>3582.5</v>
      </c>
      <c r="V41" s="45">
        <f>LN(Table2[[#This Row],[2025]]/Table2[[#This Row],[2024]])</f>
        <v>-0.11080831515054325</v>
      </c>
      <c r="W41" s="46">
        <f>LN(Table2[[#This Row],[2025]]/Table2[[#This Row],[2023]])</f>
        <v>0.39254130517657898</v>
      </c>
      <c r="X41" s="47">
        <f>LN(Table2[[#This Row],[2025]]/Table2[[#This Row],[2019]])</f>
        <v>0.55064013960994895</v>
      </c>
    </row>
    <row r="42" spans="2:24" x14ac:dyDescent="0.2">
      <c r="B42" s="6" t="s">
        <v>64</v>
      </c>
      <c r="C42" s="54">
        <f>((C11+C12)-C17)/(SUM(C11:C12))</f>
        <v>0.86809748999636238</v>
      </c>
      <c r="D42" s="54">
        <f t="shared" ref="D42:H42" si="17">((D11+D12)-D17)/(SUM(D11:D12))</f>
        <v>0.87032181168057221</v>
      </c>
      <c r="E42" s="54">
        <f t="shared" si="17"/>
        <v>0.85851858949789195</v>
      </c>
      <c r="F42" s="54">
        <f t="shared" si="17"/>
        <v>0.8507338162235959</v>
      </c>
      <c r="G42" s="54">
        <f t="shared" si="17"/>
        <v>0.85977794226498894</v>
      </c>
      <c r="H42" s="54">
        <f t="shared" si="17"/>
        <v>0.87507103852141044</v>
      </c>
      <c r="I42" s="54">
        <f t="shared" ref="I42" si="18">((I11+I12)-I17)/(SUM(I11:I12))</f>
        <v>0.86826595651794292</v>
      </c>
      <c r="J42" s="39">
        <f>LN(Table1[[#This Row],[2025]]/Table1[[#This Row],[2024]])</f>
        <v>-7.8070006963911849E-3</v>
      </c>
      <c r="K42" s="40">
        <f>LN(Table1[[#This Row],[2025]]/Table1[[#This Row],[2023]])</f>
        <v>9.8239200095040485E-3</v>
      </c>
      <c r="L42" s="41">
        <f>LN(Table1[[#This Row],[2025]]/Table1[[#This Row],[2019]])</f>
        <v>1.9404522992844657E-4</v>
      </c>
      <c r="N42" s="6" t="s">
        <v>61</v>
      </c>
      <c r="O42" s="2">
        <f>O31+O36</f>
        <v>0</v>
      </c>
      <c r="P42" s="2">
        <f t="shared" ref="P42:U42" si="19">P31+P36</f>
        <v>0</v>
      </c>
      <c r="Q42" s="2">
        <f t="shared" si="19"/>
        <v>988.4</v>
      </c>
      <c r="R42" s="2">
        <f t="shared" si="19"/>
        <v>990.4</v>
      </c>
      <c r="S42" s="2">
        <f t="shared" si="19"/>
        <v>992.3</v>
      </c>
      <c r="T42" s="2">
        <f t="shared" si="19"/>
        <v>994.3</v>
      </c>
      <c r="U42" s="2">
        <f t="shared" si="19"/>
        <v>996.3</v>
      </c>
      <c r="V42" s="45">
        <f>LN(Table2[[#This Row],[2025]]/Table2[[#This Row],[2024]])</f>
        <v>2.0094450647827754E-3</v>
      </c>
      <c r="W42" s="46">
        <f>LN(Table2[[#This Row],[2025]]/Table2[[#This Row],[2023]])</f>
        <v>4.0229361306148631E-3</v>
      </c>
      <c r="X42" s="47" t="e">
        <f>LN(Table2[[#This Row],[2025]]/Table2[[#This Row],[2019]])</f>
        <v>#DIV/0!</v>
      </c>
    </row>
    <row r="43" spans="2:24" x14ac:dyDescent="0.2">
      <c r="B43" s="6" t="s">
        <v>65</v>
      </c>
      <c r="C43" s="54">
        <f>C29/C13</f>
        <v>0.16227461858529821</v>
      </c>
      <c r="D43" s="54">
        <f t="shared" ref="D43:H43" si="20">D29/D13</f>
        <v>0.20497995683009543</v>
      </c>
      <c r="E43" s="54">
        <f t="shared" si="20"/>
        <v>0.19460235772844225</v>
      </c>
      <c r="F43" s="54">
        <f t="shared" si="20"/>
        <v>0.21949563091411226</v>
      </c>
      <c r="G43" s="54">
        <f t="shared" si="20"/>
        <v>0.23395792489820524</v>
      </c>
      <c r="H43" s="54">
        <f t="shared" si="20"/>
        <v>0.30279727324624744</v>
      </c>
      <c r="I43" s="54">
        <f t="shared" ref="I43" si="21">I29/I13</f>
        <v>0.3065915642096595</v>
      </c>
      <c r="J43" s="39">
        <f>LN(Table1[[#This Row],[2025]]/Table1[[#This Row],[2024]])</f>
        <v>1.2452935674449953E-2</v>
      </c>
      <c r="K43" s="51">
        <f>LN(Table1[[#This Row],[2025]]/Table1[[#This Row],[2023]])</f>
        <v>0.27037516100296005</v>
      </c>
      <c r="L43" s="51">
        <f>LN(Table1[[#This Row],[2025]]/Table1[[#This Row],[2019]])</f>
        <v>0.63622637557096995</v>
      </c>
      <c r="N43" s="6" t="s">
        <v>62</v>
      </c>
      <c r="O43" s="2">
        <f t="shared" ref="O43:U43" si="22">C40+O42-O41</f>
        <v>16264.4</v>
      </c>
      <c r="P43" s="2">
        <f t="shared" si="22"/>
        <v>22272.7</v>
      </c>
      <c r="Q43" s="2">
        <f t="shared" si="22"/>
        <v>57235.3</v>
      </c>
      <c r="R43" s="2">
        <f t="shared" si="22"/>
        <v>36994.9</v>
      </c>
      <c r="S43" s="2">
        <f t="shared" si="22"/>
        <v>43512.9</v>
      </c>
      <c r="T43" s="2">
        <f t="shared" si="22"/>
        <v>70632</v>
      </c>
      <c r="U43" s="2">
        <f t="shared" si="22"/>
        <v>59545.196000000011</v>
      </c>
      <c r="V43" s="56">
        <f>LN(Table2[[#This Row],[2025]]/Table2[[#This Row],[2024]])</f>
        <v>-0.170747678756559</v>
      </c>
      <c r="W43" s="46">
        <f>LN(Table2[[#This Row],[2025]]/Table2[[#This Row],[2023]])</f>
        <v>0.31367817498671724</v>
      </c>
      <c r="X43" s="47">
        <f>LN(Table2[[#This Row],[2025]]/Table2[[#This Row],[2019]])</f>
        <v>1.2977569506233393</v>
      </c>
    </row>
    <row r="44" spans="2:24" x14ac:dyDescent="0.2">
      <c r="B44" s="6" t="s">
        <v>66</v>
      </c>
      <c r="C44" s="30">
        <f>C36/C13</f>
        <v>0.15335182616736015</v>
      </c>
      <c r="D44" s="30">
        <f t="shared" ref="D44:H44" si="23">D36/D13</f>
        <v>0.18829016342892371</v>
      </c>
      <c r="E44" s="30">
        <f t="shared" si="23"/>
        <v>0.1815271378134162</v>
      </c>
      <c r="F44" s="30">
        <f t="shared" si="23"/>
        <v>0.19391497260832152</v>
      </c>
      <c r="G44" s="30">
        <f t="shared" si="23"/>
        <v>0.21637007992761262</v>
      </c>
      <c r="H44" s="30">
        <f t="shared" si="23"/>
        <v>0.29302528627556335</v>
      </c>
      <c r="I44" s="30">
        <f t="shared" ref="I44" si="24">I36/I13</f>
        <v>0.27257485734454984</v>
      </c>
      <c r="J44" s="51">
        <f>LN(Table1[[#This Row],[2025]]/Table1[[#This Row],[2024]])</f>
        <v>-7.2345624344998027E-2</v>
      </c>
      <c r="K44" s="40">
        <f>LN(Table1[[#This Row],[2025]]/Table1[[#This Row],[2023]])</f>
        <v>0.23092300762837314</v>
      </c>
      <c r="L44" s="41">
        <f>LN(Table1[[#This Row],[2025]]/Table1[[#This Row],[2019]])</f>
        <v>0.57517848324802889</v>
      </c>
      <c r="N44" s="6" t="s">
        <v>67</v>
      </c>
      <c r="O44" s="2">
        <f t="shared" ref="O44:U44" si="25">O43/C29</f>
        <v>46.337321937321938</v>
      </c>
      <c r="P44" s="2">
        <f t="shared" si="25"/>
        <v>41.881722452049686</v>
      </c>
      <c r="Q44" s="2">
        <f t="shared" si="25"/>
        <v>88.000153751537567</v>
      </c>
      <c r="R44" s="2">
        <f t="shared" si="25"/>
        <v>38.154806105610582</v>
      </c>
      <c r="S44" s="2">
        <f t="shared" si="25"/>
        <v>35.059946821368172</v>
      </c>
      <c r="T44" s="2">
        <f t="shared" si="25"/>
        <v>39.166019740490171</v>
      </c>
      <c r="U44" s="2">
        <f t="shared" si="25"/>
        <v>28.562956780352085</v>
      </c>
      <c r="V44" s="56">
        <f>LN(Table2[[#This Row],[2025]]/Table2[[#This Row],[2024]])</f>
        <v>-0.31569886667914404</v>
      </c>
      <c r="W44" s="46">
        <f>LN(Table2[[#This Row],[2025]]/Table2[[#This Row],[2023]])</f>
        <v>-0.20494870186619982</v>
      </c>
      <c r="X44" s="47">
        <f>LN(Table2[[#This Row],[2025]]/Table2[[#This Row],[2019]])</f>
        <v>-0.48383706489918665</v>
      </c>
    </row>
    <row r="45" spans="2:24" x14ac:dyDescent="0.2">
      <c r="B45" s="6" t="s">
        <v>81</v>
      </c>
      <c r="C45" s="24">
        <f>C29*(1-(C34/C33))</f>
        <v>301.62357512953366</v>
      </c>
      <c r="D45" s="24">
        <f t="shared" ref="D45:I45" si="26">D29*(1-(D34/D33))</f>
        <v>479.57227247553948</v>
      </c>
      <c r="E45" s="24">
        <f t="shared" si="26"/>
        <v>635.80636537237388</v>
      </c>
      <c r="F45" s="24">
        <f t="shared" si="26"/>
        <v>938.345494505494</v>
      </c>
      <c r="G45" s="24">
        <f t="shared" si="26"/>
        <v>1107.2841643548013</v>
      </c>
      <c r="H45" s="24">
        <f t="shared" si="26"/>
        <v>1554.6823609424343</v>
      </c>
      <c r="I45" s="24">
        <f t="shared" si="26"/>
        <v>1683.5994084655165</v>
      </c>
      <c r="J45" s="51">
        <f>LN(Table1[[#This Row],[2025]]/Table1[[#This Row],[2024]])</f>
        <v>7.9662751288304745E-2</v>
      </c>
      <c r="K45" s="40">
        <f>LN(Table1[[#This Row],[2025]]/Table1[[#This Row],[2023]])</f>
        <v>0.41902368807715618</v>
      </c>
      <c r="L45" s="41">
        <f>LN(Table1[[#This Row],[2025]]/Table1[[#This Row],[2019]])</f>
        <v>1.719509485591348</v>
      </c>
      <c r="N45" s="6" t="s">
        <v>82</v>
      </c>
      <c r="O45" s="2">
        <f>O17-O33+O19+O22</f>
        <v>1755.7999999999995</v>
      </c>
      <c r="P45" s="2">
        <f t="shared" ref="P45:U45" si="27">P17-P33+P19+P22</f>
        <v>1483.5000000000005</v>
      </c>
      <c r="Q45" s="2">
        <f t="shared" si="27"/>
        <v>2158.7999999999993</v>
      </c>
      <c r="R45" s="2">
        <f t="shared" si="27"/>
        <v>1814.4999999999995</v>
      </c>
      <c r="S45" s="2">
        <f t="shared" si="27"/>
        <v>1915.5000000000002</v>
      </c>
      <c r="T45" s="2">
        <f t="shared" si="27"/>
        <v>3610.7000000000003</v>
      </c>
      <c r="U45" s="2">
        <f t="shared" si="27"/>
        <v>2742.6</v>
      </c>
      <c r="V45" s="56">
        <f>LN(Table2[[#This Row],[2025]]/Table2[[#This Row],[2024]])</f>
        <v>-0.27499528378104449</v>
      </c>
      <c r="W45" s="46">
        <f>LN(Table2[[#This Row],[2025]]/Table2[[#This Row],[2023]])</f>
        <v>0.35892769042504985</v>
      </c>
      <c r="X45" s="47">
        <f>LN(Table2[[#This Row],[2025]]/Table2[[#This Row],[2019]])</f>
        <v>0.44598178207364553</v>
      </c>
    </row>
    <row r="46" spans="2:24" x14ac:dyDescent="0.2">
      <c r="B46"/>
      <c r="N46"/>
    </row>
    <row r="47" spans="2:24" x14ac:dyDescent="0.2">
      <c r="B47"/>
      <c r="C47" s="55"/>
      <c r="N47"/>
      <c r="O47" s="55"/>
    </row>
    <row r="48" spans="2:24" x14ac:dyDescent="0.2">
      <c r="B48"/>
      <c r="C48" s="55"/>
      <c r="N48"/>
    </row>
    <row r="49" spans="2:14" x14ac:dyDescent="0.2">
      <c r="B49"/>
      <c r="C49" s="55"/>
      <c r="N49"/>
    </row>
    <row r="50" spans="2:14" x14ac:dyDescent="0.2">
      <c r="B50"/>
      <c r="C50" s="55"/>
      <c r="N50"/>
    </row>
    <row r="51" spans="2:14" x14ac:dyDescent="0.2">
      <c r="B51"/>
      <c r="C51" s="55"/>
      <c r="N51"/>
    </row>
    <row r="52" spans="2:14" x14ac:dyDescent="0.2">
      <c r="B52"/>
      <c r="C52" s="55"/>
      <c r="N52"/>
    </row>
    <row r="53" spans="2:14" x14ac:dyDescent="0.2">
      <c r="B53"/>
      <c r="C53" s="55"/>
      <c r="N53"/>
    </row>
    <row r="54" spans="2:14" x14ac:dyDescent="0.2">
      <c r="B54"/>
      <c r="C54" s="55"/>
      <c r="N54"/>
    </row>
    <row r="55" spans="2:14" x14ac:dyDescent="0.2">
      <c r="B55"/>
      <c r="C55" s="55"/>
      <c r="N55"/>
    </row>
    <row r="56" spans="2:14" x14ac:dyDescent="0.2">
      <c r="B56"/>
      <c r="C56" s="55"/>
      <c r="N56"/>
    </row>
    <row r="57" spans="2:14" x14ac:dyDescent="0.2">
      <c r="B57"/>
      <c r="C57" s="55"/>
      <c r="N57"/>
    </row>
    <row r="58" spans="2:14" x14ac:dyDescent="0.2">
      <c r="B58"/>
      <c r="C58" s="55"/>
      <c r="N58"/>
    </row>
    <row r="59" spans="2:14" x14ac:dyDescent="0.2">
      <c r="B59"/>
      <c r="C59" s="55"/>
      <c r="N59"/>
    </row>
    <row r="60" spans="2:14" x14ac:dyDescent="0.2">
      <c r="B60"/>
      <c r="C60" s="55"/>
      <c r="N60"/>
    </row>
    <row r="61" spans="2:14" x14ac:dyDescent="0.2">
      <c r="B61"/>
      <c r="C61" s="55"/>
      <c r="N61"/>
    </row>
    <row r="62" spans="2:14" x14ac:dyDescent="0.2">
      <c r="B62"/>
      <c r="C62" s="55"/>
      <c r="N62"/>
    </row>
    <row r="63" spans="2:14" x14ac:dyDescent="0.2">
      <c r="B63"/>
      <c r="C63" s="55"/>
      <c r="N63"/>
    </row>
    <row r="64" spans="2:14" x14ac:dyDescent="0.2">
      <c r="B64"/>
      <c r="C64" s="55"/>
      <c r="N64"/>
    </row>
    <row r="65" spans="2:14" x14ac:dyDescent="0.2">
      <c r="B65"/>
      <c r="C65" s="55"/>
      <c r="N65"/>
    </row>
    <row r="66" spans="2:14" x14ac:dyDescent="0.2">
      <c r="B66"/>
      <c r="C66" s="55"/>
      <c r="N66"/>
    </row>
    <row r="67" spans="2:14" x14ac:dyDescent="0.2">
      <c r="B67"/>
      <c r="C67" s="55"/>
      <c r="N67"/>
    </row>
    <row r="68" spans="2:14" x14ac:dyDescent="0.2">
      <c r="B68"/>
      <c r="C68" s="55"/>
      <c r="N68"/>
    </row>
    <row r="69" spans="2:14" x14ac:dyDescent="0.2">
      <c r="B69"/>
      <c r="C69" s="55"/>
      <c r="N69"/>
    </row>
    <row r="70" spans="2:14" x14ac:dyDescent="0.2">
      <c r="B70"/>
      <c r="C70" s="55"/>
      <c r="N70"/>
    </row>
    <row r="71" spans="2:14" x14ac:dyDescent="0.2">
      <c r="B71"/>
      <c r="C71" s="55"/>
      <c r="N71"/>
    </row>
    <row r="72" spans="2:14" x14ac:dyDescent="0.2">
      <c r="B72"/>
      <c r="C72" s="55"/>
      <c r="N72"/>
    </row>
    <row r="73" spans="2:14" x14ac:dyDescent="0.2">
      <c r="B73"/>
      <c r="C73" s="55"/>
      <c r="N73"/>
    </row>
    <row r="74" spans="2:14" x14ac:dyDescent="0.2">
      <c r="B74"/>
      <c r="C74" s="55"/>
      <c r="N74"/>
    </row>
    <row r="75" spans="2:14" x14ac:dyDescent="0.2">
      <c r="B75"/>
      <c r="C75" s="55"/>
      <c r="N75"/>
    </row>
    <row r="76" spans="2:14" x14ac:dyDescent="0.2">
      <c r="B76"/>
      <c r="C76" s="55"/>
      <c r="N76"/>
    </row>
    <row r="77" spans="2:14" x14ac:dyDescent="0.2">
      <c r="B77"/>
      <c r="C77" s="55"/>
      <c r="N77"/>
    </row>
    <row r="78" spans="2:14" x14ac:dyDescent="0.2">
      <c r="B78"/>
      <c r="C78" s="55"/>
      <c r="N78"/>
    </row>
    <row r="79" spans="2:14" x14ac:dyDescent="0.2">
      <c r="B79"/>
      <c r="C79" s="55"/>
      <c r="N79"/>
    </row>
    <row r="80" spans="2:14" x14ac:dyDescent="0.2">
      <c r="B80"/>
      <c r="C80" s="55"/>
      <c r="N80"/>
    </row>
    <row r="81" spans="2:14" x14ac:dyDescent="0.2">
      <c r="B81"/>
      <c r="C81" s="55"/>
      <c r="N81"/>
    </row>
    <row r="82" spans="2:14" x14ac:dyDescent="0.2">
      <c r="B82"/>
      <c r="C82" s="55"/>
      <c r="N82"/>
    </row>
    <row r="83" spans="2:14" x14ac:dyDescent="0.2">
      <c r="B83"/>
      <c r="C83" s="55"/>
      <c r="N83"/>
    </row>
    <row r="84" spans="2:14" x14ac:dyDescent="0.2">
      <c r="B84"/>
      <c r="C84" s="55"/>
      <c r="N84"/>
    </row>
    <row r="85" spans="2:14" x14ac:dyDescent="0.2">
      <c r="B85"/>
      <c r="C85" s="55"/>
      <c r="N85"/>
    </row>
    <row r="86" spans="2:14" x14ac:dyDescent="0.2">
      <c r="B86"/>
      <c r="C86" s="55"/>
      <c r="N86"/>
    </row>
    <row r="87" spans="2:14" x14ac:dyDescent="0.2">
      <c r="B87"/>
      <c r="C87" s="55"/>
      <c r="N87"/>
    </row>
    <row r="88" spans="2:14" x14ac:dyDescent="0.2">
      <c r="B88"/>
      <c r="C88" s="55"/>
      <c r="N88"/>
    </row>
    <row r="89" spans="2:14" x14ac:dyDescent="0.2">
      <c r="B89"/>
      <c r="C89" s="55"/>
      <c r="N89"/>
    </row>
    <row r="90" spans="2:14" x14ac:dyDescent="0.2">
      <c r="B90"/>
      <c r="C90" s="55"/>
      <c r="N90"/>
    </row>
    <row r="91" spans="2:14" x14ac:dyDescent="0.2">
      <c r="B91"/>
      <c r="C91" s="55"/>
      <c r="N91"/>
    </row>
    <row r="92" spans="2:14" x14ac:dyDescent="0.2">
      <c r="B92"/>
      <c r="C92" s="55"/>
      <c r="N92"/>
    </row>
    <row r="93" spans="2:14" x14ac:dyDescent="0.2">
      <c r="B93"/>
      <c r="C93" s="55"/>
      <c r="N93"/>
    </row>
    <row r="94" spans="2:14" x14ac:dyDescent="0.2">
      <c r="B94"/>
      <c r="C94" s="55"/>
      <c r="N94"/>
    </row>
    <row r="95" spans="2:14" x14ac:dyDescent="0.2">
      <c r="B95"/>
      <c r="C95" s="55"/>
      <c r="N95"/>
    </row>
    <row r="96" spans="2:14" x14ac:dyDescent="0.2">
      <c r="B96"/>
      <c r="C96" s="55"/>
      <c r="N96"/>
    </row>
    <row r="97" spans="2:14" x14ac:dyDescent="0.2">
      <c r="B97"/>
      <c r="C97" s="55"/>
      <c r="N97"/>
    </row>
    <row r="98" spans="2:14" x14ac:dyDescent="0.2">
      <c r="B98"/>
      <c r="C98" s="55"/>
      <c r="N98"/>
    </row>
    <row r="99" spans="2:14" x14ac:dyDescent="0.2">
      <c r="B99"/>
      <c r="C99" s="55"/>
      <c r="N99"/>
    </row>
    <row r="100" spans="2:14" x14ac:dyDescent="0.2">
      <c r="B100"/>
      <c r="C100" s="55"/>
      <c r="N100"/>
    </row>
    <row r="101" spans="2:14" x14ac:dyDescent="0.2">
      <c r="B101"/>
      <c r="C101" s="55"/>
      <c r="N101"/>
    </row>
    <row r="102" spans="2:14" x14ac:dyDescent="0.2">
      <c r="B102"/>
      <c r="C102" s="55"/>
      <c r="N102"/>
    </row>
    <row r="103" spans="2:14" x14ac:dyDescent="0.2">
      <c r="B103"/>
      <c r="C103" s="55"/>
      <c r="N103"/>
    </row>
    <row r="104" spans="2:14" x14ac:dyDescent="0.2">
      <c r="B104"/>
      <c r="C104" s="55"/>
      <c r="N104"/>
    </row>
    <row r="105" spans="2:14" x14ac:dyDescent="0.2">
      <c r="B105"/>
      <c r="C105" s="55"/>
      <c r="N105"/>
    </row>
    <row r="106" spans="2:14" x14ac:dyDescent="0.2">
      <c r="B106"/>
      <c r="C106" s="55"/>
      <c r="N106"/>
    </row>
    <row r="107" spans="2:14" x14ac:dyDescent="0.2">
      <c r="B107"/>
      <c r="C107" s="55"/>
      <c r="N107"/>
    </row>
    <row r="108" spans="2:14" x14ac:dyDescent="0.2">
      <c r="B108"/>
      <c r="C108" s="55"/>
      <c r="N108"/>
    </row>
    <row r="109" spans="2:14" x14ac:dyDescent="0.2">
      <c r="B109"/>
      <c r="C109" s="55"/>
      <c r="N109"/>
    </row>
    <row r="110" spans="2:14" x14ac:dyDescent="0.2">
      <c r="B110"/>
      <c r="C110" s="55"/>
      <c r="N110"/>
    </row>
    <row r="111" spans="2:14" x14ac:dyDescent="0.2">
      <c r="B111"/>
      <c r="C111" s="55"/>
      <c r="N111"/>
    </row>
    <row r="112" spans="2:14" x14ac:dyDescent="0.2">
      <c r="B112"/>
      <c r="C112" s="55"/>
      <c r="N112"/>
    </row>
    <row r="113" spans="2:14" x14ac:dyDescent="0.2">
      <c r="B113"/>
      <c r="C113" s="55"/>
      <c r="N113"/>
    </row>
    <row r="114" spans="2:14" x14ac:dyDescent="0.2">
      <c r="B114"/>
      <c r="C114" s="55"/>
      <c r="N114"/>
    </row>
    <row r="115" spans="2:14" x14ac:dyDescent="0.2">
      <c r="B115"/>
      <c r="C115" s="55"/>
      <c r="N115"/>
    </row>
    <row r="116" spans="2:14" x14ac:dyDescent="0.2">
      <c r="B116"/>
      <c r="C116" s="55"/>
      <c r="N116"/>
    </row>
    <row r="117" spans="2:14" x14ac:dyDescent="0.2">
      <c r="B117"/>
      <c r="C117" s="55"/>
      <c r="N117"/>
    </row>
    <row r="118" spans="2:14" x14ac:dyDescent="0.2">
      <c r="B118"/>
      <c r="C118" s="55"/>
      <c r="N118"/>
    </row>
    <row r="119" spans="2:14" x14ac:dyDescent="0.2">
      <c r="B119"/>
      <c r="C119" s="55"/>
      <c r="N119"/>
    </row>
    <row r="120" spans="2:14" x14ac:dyDescent="0.2">
      <c r="B120"/>
      <c r="C120" s="55"/>
      <c r="N120"/>
    </row>
    <row r="121" spans="2:14" x14ac:dyDescent="0.2">
      <c r="B121"/>
      <c r="C121" s="55"/>
      <c r="N121"/>
    </row>
    <row r="122" spans="2:14" x14ac:dyDescent="0.2">
      <c r="B122"/>
      <c r="C122" s="55"/>
      <c r="N122"/>
    </row>
    <row r="123" spans="2:14" x14ac:dyDescent="0.2">
      <c r="B123"/>
      <c r="C123" s="55"/>
      <c r="N123"/>
    </row>
    <row r="124" spans="2:14" x14ac:dyDescent="0.2">
      <c r="B124"/>
      <c r="C124" s="55"/>
      <c r="N124"/>
    </row>
    <row r="125" spans="2:14" x14ac:dyDescent="0.2">
      <c r="B125"/>
      <c r="C125" s="55"/>
      <c r="N125"/>
    </row>
    <row r="126" spans="2:14" x14ac:dyDescent="0.2">
      <c r="B126"/>
      <c r="C126" s="55"/>
      <c r="N126"/>
    </row>
    <row r="127" spans="2:14" x14ac:dyDescent="0.2">
      <c r="B127"/>
      <c r="C127" s="55"/>
      <c r="N127"/>
    </row>
    <row r="128" spans="2:14" x14ac:dyDescent="0.2">
      <c r="B128"/>
      <c r="C128" s="55"/>
      <c r="N128"/>
    </row>
    <row r="129" spans="2:14" x14ac:dyDescent="0.2">
      <c r="B129"/>
      <c r="C129" s="55"/>
      <c r="N129"/>
    </row>
    <row r="130" spans="2:14" x14ac:dyDescent="0.2">
      <c r="B130"/>
      <c r="C130" s="55"/>
      <c r="N130"/>
    </row>
    <row r="131" spans="2:14" x14ac:dyDescent="0.2">
      <c r="B131"/>
      <c r="C131" s="55"/>
      <c r="N131"/>
    </row>
    <row r="132" spans="2:14" x14ac:dyDescent="0.2">
      <c r="B132"/>
      <c r="C132" s="55"/>
      <c r="N132"/>
    </row>
    <row r="133" spans="2:14" x14ac:dyDescent="0.2">
      <c r="B133"/>
      <c r="C133" s="55"/>
      <c r="N133"/>
    </row>
    <row r="134" spans="2:14" x14ac:dyDescent="0.2">
      <c r="B134"/>
      <c r="C134" s="55"/>
      <c r="N134"/>
    </row>
    <row r="135" spans="2:14" x14ac:dyDescent="0.2">
      <c r="B135"/>
      <c r="C135" s="55"/>
      <c r="N135"/>
    </row>
    <row r="136" spans="2:14" x14ac:dyDescent="0.2">
      <c r="B136"/>
      <c r="C136" s="55"/>
      <c r="N136"/>
    </row>
    <row r="137" spans="2:14" x14ac:dyDescent="0.2">
      <c r="B137"/>
      <c r="C137" s="55"/>
      <c r="N137"/>
    </row>
    <row r="138" spans="2:14" x14ac:dyDescent="0.2">
      <c r="B138"/>
      <c r="C138" s="55"/>
      <c r="N138"/>
    </row>
    <row r="139" spans="2:14" x14ac:dyDescent="0.2">
      <c r="B139"/>
      <c r="C139" s="55"/>
      <c r="N139"/>
    </row>
    <row r="140" spans="2:14" x14ac:dyDescent="0.2">
      <c r="B140"/>
      <c r="C140" s="55"/>
      <c r="N140"/>
    </row>
    <row r="141" spans="2:14" x14ac:dyDescent="0.2">
      <c r="B141"/>
      <c r="C141" s="55"/>
      <c r="N141"/>
    </row>
    <row r="142" spans="2:14" x14ac:dyDescent="0.2">
      <c r="B142"/>
      <c r="C142" s="55"/>
      <c r="N142"/>
    </row>
    <row r="143" spans="2:14" x14ac:dyDescent="0.2">
      <c r="B143"/>
      <c r="C143" s="55"/>
      <c r="N143"/>
    </row>
    <row r="144" spans="2:14" x14ac:dyDescent="0.2">
      <c r="B144"/>
      <c r="C144" s="55"/>
      <c r="N144"/>
    </row>
    <row r="145" spans="2:14" x14ac:dyDescent="0.2">
      <c r="B145"/>
      <c r="C145" s="55"/>
      <c r="N145"/>
    </row>
    <row r="146" spans="2:14" x14ac:dyDescent="0.2">
      <c r="B146"/>
      <c r="C146" s="55"/>
      <c r="N146"/>
    </row>
    <row r="147" spans="2:14" x14ac:dyDescent="0.2">
      <c r="B147"/>
      <c r="C147" s="55"/>
      <c r="N147"/>
    </row>
    <row r="148" spans="2:14" x14ac:dyDescent="0.2">
      <c r="B148"/>
      <c r="C148" s="55"/>
      <c r="N148"/>
    </row>
    <row r="149" spans="2:14" x14ac:dyDescent="0.2">
      <c r="B149"/>
      <c r="C149" s="55"/>
      <c r="N149"/>
    </row>
    <row r="150" spans="2:14" x14ac:dyDescent="0.2">
      <c r="B150"/>
      <c r="C150" s="55"/>
      <c r="N150"/>
    </row>
    <row r="151" spans="2:14" x14ac:dyDescent="0.2">
      <c r="B151"/>
      <c r="C151" s="55"/>
      <c r="N151"/>
    </row>
    <row r="152" spans="2:14" x14ac:dyDescent="0.2">
      <c r="B152"/>
      <c r="C152" s="55"/>
      <c r="N152"/>
    </row>
    <row r="153" spans="2:14" x14ac:dyDescent="0.2">
      <c r="B153"/>
      <c r="C153" s="55"/>
      <c r="N153"/>
    </row>
    <row r="154" spans="2:14" x14ac:dyDescent="0.2">
      <c r="B154"/>
      <c r="C154" s="55"/>
      <c r="N154"/>
    </row>
    <row r="155" spans="2:14" x14ac:dyDescent="0.2">
      <c r="B155"/>
      <c r="C155" s="55"/>
      <c r="N155"/>
    </row>
    <row r="156" spans="2:14" x14ac:dyDescent="0.2">
      <c r="B156"/>
      <c r="C156" s="55"/>
      <c r="N156"/>
    </row>
    <row r="157" spans="2:14" x14ac:dyDescent="0.2">
      <c r="B157"/>
      <c r="C157" s="55"/>
      <c r="N157"/>
    </row>
    <row r="158" spans="2:14" x14ac:dyDescent="0.2">
      <c r="B158"/>
      <c r="C158" s="55"/>
      <c r="N158"/>
    </row>
    <row r="159" spans="2:14" x14ac:dyDescent="0.2">
      <c r="B159"/>
      <c r="C159" s="55"/>
      <c r="N159"/>
    </row>
    <row r="160" spans="2:14" x14ac:dyDescent="0.2">
      <c r="B160"/>
      <c r="C160" s="55"/>
      <c r="N160"/>
    </row>
    <row r="161" spans="2:14" x14ac:dyDescent="0.2">
      <c r="B161"/>
      <c r="C161" s="55"/>
      <c r="N161"/>
    </row>
    <row r="162" spans="2:14" x14ac:dyDescent="0.2">
      <c r="B162"/>
      <c r="C162" s="55"/>
      <c r="N162"/>
    </row>
    <row r="163" spans="2:14" x14ac:dyDescent="0.2">
      <c r="B163"/>
      <c r="C163" s="55"/>
      <c r="N163"/>
    </row>
    <row r="164" spans="2:14" x14ac:dyDescent="0.2">
      <c r="B164"/>
      <c r="C164" s="55"/>
      <c r="N164"/>
    </row>
    <row r="165" spans="2:14" x14ac:dyDescent="0.2">
      <c r="B165"/>
      <c r="C165" s="55"/>
      <c r="N165"/>
    </row>
    <row r="166" spans="2:14" x14ac:dyDescent="0.2">
      <c r="B166"/>
      <c r="C166" s="55"/>
      <c r="N166"/>
    </row>
    <row r="167" spans="2:14" x14ac:dyDescent="0.2">
      <c r="B167"/>
      <c r="C167" s="55"/>
      <c r="N167"/>
    </row>
    <row r="168" spans="2:14" x14ac:dyDescent="0.2">
      <c r="B168"/>
      <c r="C168" s="55"/>
      <c r="N168"/>
    </row>
    <row r="169" spans="2:14" x14ac:dyDescent="0.2">
      <c r="B169"/>
      <c r="C169" s="55"/>
      <c r="N169"/>
    </row>
    <row r="170" spans="2:14" x14ac:dyDescent="0.2">
      <c r="B170"/>
      <c r="C170" s="55"/>
      <c r="N170"/>
    </row>
    <row r="171" spans="2:14" x14ac:dyDescent="0.2">
      <c r="B171"/>
      <c r="C171" s="55"/>
      <c r="N171"/>
    </row>
    <row r="172" spans="2:14" x14ac:dyDescent="0.2">
      <c r="B172"/>
      <c r="C172" s="55"/>
      <c r="N172"/>
    </row>
    <row r="173" spans="2:14" x14ac:dyDescent="0.2">
      <c r="B173"/>
      <c r="C173" s="55"/>
      <c r="N173"/>
    </row>
    <row r="174" spans="2:14" x14ac:dyDescent="0.2">
      <c r="B174"/>
      <c r="C174" s="55"/>
      <c r="N174"/>
    </row>
    <row r="175" spans="2:14" x14ac:dyDescent="0.2">
      <c r="B175"/>
      <c r="C175" s="55"/>
      <c r="N175"/>
    </row>
    <row r="176" spans="2:14" x14ac:dyDescent="0.2">
      <c r="B176"/>
      <c r="C176" s="55"/>
      <c r="N176"/>
    </row>
    <row r="177" spans="2:14" x14ac:dyDescent="0.2">
      <c r="B177"/>
      <c r="C177" s="55"/>
      <c r="N177"/>
    </row>
    <row r="178" spans="2:14" x14ac:dyDescent="0.2">
      <c r="B178"/>
      <c r="C178" s="55"/>
      <c r="N178"/>
    </row>
    <row r="179" spans="2:14" x14ac:dyDescent="0.2">
      <c r="B179"/>
      <c r="C179" s="55"/>
      <c r="N179"/>
    </row>
    <row r="180" spans="2:14" x14ac:dyDescent="0.2">
      <c r="B180"/>
      <c r="C180" s="55"/>
      <c r="N180"/>
    </row>
    <row r="181" spans="2:14" x14ac:dyDescent="0.2">
      <c r="B181"/>
      <c r="C181" s="55"/>
      <c r="N181"/>
    </row>
    <row r="182" spans="2:14" x14ac:dyDescent="0.2">
      <c r="B182"/>
      <c r="C182" s="55"/>
      <c r="N182"/>
    </row>
    <row r="183" spans="2:14" x14ac:dyDescent="0.2">
      <c r="B183"/>
      <c r="C183" s="55"/>
      <c r="N183"/>
    </row>
    <row r="184" spans="2:14" x14ac:dyDescent="0.2">
      <c r="B184"/>
      <c r="C184" s="55"/>
      <c r="N184"/>
    </row>
    <row r="185" spans="2:14" x14ac:dyDescent="0.2">
      <c r="B185"/>
      <c r="C185" s="55"/>
      <c r="N185"/>
    </row>
    <row r="186" spans="2:14" x14ac:dyDescent="0.2">
      <c r="B186"/>
      <c r="C186" s="55"/>
      <c r="N186"/>
    </row>
    <row r="187" spans="2:14" x14ac:dyDescent="0.2">
      <c r="B187"/>
      <c r="C187" s="55"/>
      <c r="N187"/>
    </row>
    <row r="188" spans="2:14" x14ac:dyDescent="0.2">
      <c r="B188"/>
      <c r="C188" s="55"/>
      <c r="N188"/>
    </row>
    <row r="189" spans="2:14" x14ac:dyDescent="0.2">
      <c r="B189"/>
      <c r="C189" s="55"/>
      <c r="N189"/>
    </row>
    <row r="190" spans="2:14" x14ac:dyDescent="0.2">
      <c r="B190"/>
      <c r="C190" s="55"/>
      <c r="N190"/>
    </row>
    <row r="191" spans="2:14" x14ac:dyDescent="0.2">
      <c r="B191"/>
      <c r="C191" s="55"/>
      <c r="N191"/>
    </row>
    <row r="192" spans="2:14" x14ac:dyDescent="0.2">
      <c r="B192"/>
      <c r="C192" s="55"/>
      <c r="N192"/>
    </row>
    <row r="193" spans="2:14" x14ac:dyDescent="0.2">
      <c r="B193"/>
      <c r="C193" s="55"/>
      <c r="N193"/>
    </row>
    <row r="194" spans="2:14" x14ac:dyDescent="0.2">
      <c r="B194"/>
      <c r="C194" s="55"/>
      <c r="N194"/>
    </row>
    <row r="195" spans="2:14" x14ac:dyDescent="0.2">
      <c r="B195"/>
      <c r="C195" s="55"/>
      <c r="N195"/>
    </row>
    <row r="196" spans="2:14" x14ac:dyDescent="0.2">
      <c r="B196"/>
      <c r="C196" s="55"/>
      <c r="N196"/>
    </row>
    <row r="197" spans="2:14" x14ac:dyDescent="0.2">
      <c r="B197"/>
      <c r="C197" s="55"/>
      <c r="N197"/>
    </row>
    <row r="198" spans="2:14" x14ac:dyDescent="0.2">
      <c r="B198"/>
      <c r="C198" s="55"/>
      <c r="N198"/>
    </row>
    <row r="199" spans="2:14" x14ac:dyDescent="0.2">
      <c r="B199"/>
      <c r="C199" s="55"/>
      <c r="N199"/>
    </row>
    <row r="200" spans="2:14" x14ac:dyDescent="0.2">
      <c r="B200"/>
      <c r="C200" s="55"/>
      <c r="N200"/>
    </row>
    <row r="201" spans="2:14" x14ac:dyDescent="0.2">
      <c r="B201"/>
      <c r="C201" s="55"/>
      <c r="N201"/>
    </row>
    <row r="202" spans="2:14" x14ac:dyDescent="0.2">
      <c r="B202"/>
      <c r="C202" s="55"/>
      <c r="N202"/>
    </row>
    <row r="203" spans="2:14" x14ac:dyDescent="0.2">
      <c r="B203"/>
      <c r="C203" s="55"/>
      <c r="N203"/>
    </row>
    <row r="204" spans="2:14" x14ac:dyDescent="0.2">
      <c r="B204"/>
      <c r="C204" s="55"/>
      <c r="N204"/>
    </row>
    <row r="205" spans="2:14" x14ac:dyDescent="0.2">
      <c r="B205"/>
      <c r="C205" s="55"/>
      <c r="N205"/>
    </row>
    <row r="206" spans="2:14" x14ac:dyDescent="0.2">
      <c r="B206"/>
      <c r="C206" s="55"/>
      <c r="N206"/>
    </row>
    <row r="207" spans="2:14" x14ac:dyDescent="0.2">
      <c r="B207"/>
      <c r="C207" s="55"/>
      <c r="N207"/>
    </row>
    <row r="208" spans="2:14" x14ac:dyDescent="0.2">
      <c r="B208"/>
      <c r="C208" s="55"/>
      <c r="N208"/>
    </row>
    <row r="209" spans="2:14" x14ac:dyDescent="0.2">
      <c r="B209"/>
      <c r="C209" s="55"/>
      <c r="N209"/>
    </row>
    <row r="210" spans="2:14" x14ac:dyDescent="0.2">
      <c r="B210"/>
      <c r="C210" s="55"/>
      <c r="N210"/>
    </row>
    <row r="211" spans="2:14" x14ac:dyDescent="0.2">
      <c r="B211"/>
      <c r="C211" s="55"/>
      <c r="N211"/>
    </row>
    <row r="212" spans="2:14" x14ac:dyDescent="0.2">
      <c r="B212"/>
      <c r="C212" s="55"/>
      <c r="N212"/>
    </row>
    <row r="213" spans="2:14" x14ac:dyDescent="0.2">
      <c r="B213"/>
      <c r="C213" s="55"/>
      <c r="N213"/>
    </row>
    <row r="214" spans="2:14" x14ac:dyDescent="0.2">
      <c r="B214"/>
      <c r="C214" s="55"/>
      <c r="N214"/>
    </row>
    <row r="215" spans="2:14" x14ac:dyDescent="0.2">
      <c r="B215"/>
      <c r="C215" s="55"/>
      <c r="N215"/>
    </row>
    <row r="216" spans="2:14" x14ac:dyDescent="0.2">
      <c r="B216"/>
      <c r="C216" s="55"/>
      <c r="N216"/>
    </row>
    <row r="217" spans="2:14" x14ac:dyDescent="0.2">
      <c r="B217"/>
      <c r="C217" s="55"/>
      <c r="N217"/>
    </row>
    <row r="218" spans="2:14" x14ac:dyDescent="0.2">
      <c r="B218"/>
      <c r="C218" s="55"/>
      <c r="N218"/>
    </row>
    <row r="219" spans="2:14" x14ac:dyDescent="0.2">
      <c r="B219"/>
      <c r="C219" s="55"/>
      <c r="N219"/>
    </row>
    <row r="220" spans="2:14" x14ac:dyDescent="0.2">
      <c r="B220"/>
      <c r="C220" s="55"/>
      <c r="N220"/>
    </row>
    <row r="221" spans="2:14" x14ac:dyDescent="0.2">
      <c r="B221"/>
      <c r="C221" s="55"/>
      <c r="N221"/>
    </row>
    <row r="222" spans="2:14" x14ac:dyDescent="0.2">
      <c r="B222"/>
      <c r="C222" s="55"/>
      <c r="N222"/>
    </row>
    <row r="223" spans="2:14" x14ac:dyDescent="0.2">
      <c r="B223"/>
      <c r="C223" s="55"/>
      <c r="N223"/>
    </row>
    <row r="224" spans="2:14" x14ac:dyDescent="0.2">
      <c r="B224"/>
      <c r="C224" s="55"/>
      <c r="N224"/>
    </row>
    <row r="225" spans="2:14" x14ac:dyDescent="0.2">
      <c r="B225"/>
      <c r="C225" s="55"/>
      <c r="N225"/>
    </row>
    <row r="226" spans="2:14" x14ac:dyDescent="0.2">
      <c r="B226"/>
      <c r="C226" s="55"/>
      <c r="N226"/>
    </row>
    <row r="227" spans="2:14" x14ac:dyDescent="0.2">
      <c r="B227"/>
      <c r="C227" s="55"/>
      <c r="N227"/>
    </row>
    <row r="228" spans="2:14" x14ac:dyDescent="0.2">
      <c r="B228"/>
      <c r="C228" s="55"/>
      <c r="N228"/>
    </row>
    <row r="229" spans="2:14" x14ac:dyDescent="0.2">
      <c r="B229"/>
      <c r="C229" s="55"/>
      <c r="N229"/>
    </row>
    <row r="230" spans="2:14" x14ac:dyDescent="0.2">
      <c r="B230"/>
      <c r="C230" s="55"/>
      <c r="N230"/>
    </row>
    <row r="231" spans="2:14" x14ac:dyDescent="0.2">
      <c r="B231"/>
      <c r="C231" s="55"/>
      <c r="N231"/>
    </row>
    <row r="232" spans="2:14" x14ac:dyDescent="0.2">
      <c r="B232"/>
      <c r="C232" s="55"/>
      <c r="N232"/>
    </row>
    <row r="233" spans="2:14" x14ac:dyDescent="0.2">
      <c r="B233"/>
      <c r="C233" s="55"/>
      <c r="N233"/>
    </row>
    <row r="234" spans="2:14" x14ac:dyDescent="0.2">
      <c r="B234"/>
      <c r="C234" s="55"/>
      <c r="N234"/>
    </row>
    <row r="235" spans="2:14" x14ac:dyDescent="0.2">
      <c r="B235"/>
      <c r="C235" s="55"/>
      <c r="N235"/>
    </row>
    <row r="236" spans="2:14" x14ac:dyDescent="0.2">
      <c r="B236"/>
      <c r="C236" s="55"/>
      <c r="N236"/>
    </row>
    <row r="237" spans="2:14" x14ac:dyDescent="0.2">
      <c r="B237"/>
      <c r="C237" s="55"/>
      <c r="N237"/>
    </row>
    <row r="238" spans="2:14" x14ac:dyDescent="0.2">
      <c r="B238"/>
      <c r="C238" s="55"/>
      <c r="N238"/>
    </row>
    <row r="239" spans="2:14" x14ac:dyDescent="0.2">
      <c r="B239"/>
      <c r="C239" s="55"/>
      <c r="N239"/>
    </row>
    <row r="240" spans="2:14" x14ac:dyDescent="0.2">
      <c r="B240"/>
      <c r="C240" s="55"/>
      <c r="N240"/>
    </row>
    <row r="241" spans="2:14" x14ac:dyDescent="0.2">
      <c r="B241"/>
      <c r="C241" s="55"/>
      <c r="N241"/>
    </row>
    <row r="242" spans="2:14" x14ac:dyDescent="0.2">
      <c r="B242"/>
      <c r="C242" s="55"/>
      <c r="N242"/>
    </row>
    <row r="243" spans="2:14" x14ac:dyDescent="0.2">
      <c r="B243"/>
      <c r="C243" s="55"/>
      <c r="N243"/>
    </row>
    <row r="244" spans="2:14" x14ac:dyDescent="0.2">
      <c r="B244"/>
      <c r="C244" s="55"/>
      <c r="N244"/>
    </row>
    <row r="245" spans="2:14" x14ac:dyDescent="0.2">
      <c r="B245"/>
      <c r="C245" s="55"/>
      <c r="N245"/>
    </row>
    <row r="246" spans="2:14" x14ac:dyDescent="0.2">
      <c r="B246"/>
      <c r="C246" s="55"/>
      <c r="N246"/>
    </row>
    <row r="247" spans="2:14" x14ac:dyDescent="0.2">
      <c r="B247"/>
      <c r="C247" s="55"/>
      <c r="N247"/>
    </row>
    <row r="248" spans="2:14" x14ac:dyDescent="0.2">
      <c r="B248"/>
      <c r="C248" s="55"/>
      <c r="N248"/>
    </row>
    <row r="249" spans="2:14" x14ac:dyDescent="0.2">
      <c r="B249"/>
      <c r="C249" s="55"/>
      <c r="N249"/>
    </row>
    <row r="250" spans="2:14" x14ac:dyDescent="0.2">
      <c r="B250"/>
      <c r="C250" s="55"/>
      <c r="N250"/>
    </row>
    <row r="251" spans="2:14" x14ac:dyDescent="0.2">
      <c r="B251"/>
      <c r="C251" s="55"/>
      <c r="N251"/>
    </row>
    <row r="252" spans="2:14" x14ac:dyDescent="0.2">
      <c r="B252"/>
      <c r="C252" s="55"/>
      <c r="N252"/>
    </row>
    <row r="253" spans="2:14" x14ac:dyDescent="0.2">
      <c r="B253"/>
      <c r="C253" s="55"/>
      <c r="N253"/>
    </row>
    <row r="254" spans="2:14" x14ac:dyDescent="0.2">
      <c r="B254"/>
      <c r="C254" s="55"/>
      <c r="N254"/>
    </row>
    <row r="255" spans="2:14" x14ac:dyDescent="0.2">
      <c r="B255"/>
      <c r="C255" s="55"/>
      <c r="N255"/>
    </row>
    <row r="256" spans="2:14" x14ac:dyDescent="0.2">
      <c r="B256"/>
      <c r="C256" s="55"/>
      <c r="N256"/>
    </row>
    <row r="257" spans="2:14" x14ac:dyDescent="0.2">
      <c r="B257"/>
      <c r="C257" s="55"/>
      <c r="N257"/>
    </row>
    <row r="258" spans="2:14" x14ac:dyDescent="0.2">
      <c r="B258"/>
      <c r="C258" s="55"/>
      <c r="N258"/>
    </row>
    <row r="259" spans="2:14" x14ac:dyDescent="0.2">
      <c r="B259"/>
      <c r="C259" s="55"/>
      <c r="N259"/>
    </row>
    <row r="260" spans="2:14" x14ac:dyDescent="0.2">
      <c r="B260"/>
      <c r="C260" s="55"/>
      <c r="N260"/>
    </row>
    <row r="261" spans="2:14" x14ac:dyDescent="0.2">
      <c r="B261"/>
      <c r="C261" s="55"/>
      <c r="N261"/>
    </row>
    <row r="262" spans="2:14" x14ac:dyDescent="0.2">
      <c r="B262"/>
      <c r="C262" s="55"/>
      <c r="N262"/>
    </row>
    <row r="263" spans="2:14" x14ac:dyDescent="0.2">
      <c r="B263"/>
      <c r="C263" s="55"/>
      <c r="N263"/>
    </row>
    <row r="264" spans="2:14" x14ac:dyDescent="0.2">
      <c r="B264"/>
      <c r="C264" s="55"/>
      <c r="N264"/>
    </row>
    <row r="265" spans="2:14" x14ac:dyDescent="0.2">
      <c r="B265"/>
      <c r="C265" s="55"/>
      <c r="N265"/>
    </row>
    <row r="266" spans="2:14" x14ac:dyDescent="0.2">
      <c r="B266"/>
      <c r="C266" s="55"/>
      <c r="N266"/>
    </row>
    <row r="267" spans="2:14" x14ac:dyDescent="0.2">
      <c r="B267"/>
      <c r="C267" s="55"/>
      <c r="N267"/>
    </row>
    <row r="268" spans="2:14" x14ac:dyDescent="0.2">
      <c r="B268"/>
      <c r="C268" s="55"/>
      <c r="N268"/>
    </row>
    <row r="269" spans="2:14" x14ac:dyDescent="0.2">
      <c r="B269"/>
      <c r="C269" s="55"/>
      <c r="N269"/>
    </row>
    <row r="270" spans="2:14" x14ac:dyDescent="0.2">
      <c r="B270"/>
      <c r="C270" s="55"/>
      <c r="N270"/>
    </row>
    <row r="271" spans="2:14" x14ac:dyDescent="0.2">
      <c r="B271"/>
      <c r="C271" s="55"/>
      <c r="N271"/>
    </row>
    <row r="272" spans="2:14" x14ac:dyDescent="0.2">
      <c r="B272"/>
      <c r="C272" s="55"/>
      <c r="N272"/>
    </row>
    <row r="273" spans="2:14" x14ac:dyDescent="0.2">
      <c r="B273"/>
      <c r="C273" s="55"/>
      <c r="N273"/>
    </row>
    <row r="274" spans="2:14" x14ac:dyDescent="0.2">
      <c r="B274"/>
      <c r="C274" s="55"/>
      <c r="N274"/>
    </row>
    <row r="275" spans="2:14" x14ac:dyDescent="0.2">
      <c r="B275"/>
      <c r="C275" s="55"/>
      <c r="N275"/>
    </row>
    <row r="276" spans="2:14" x14ac:dyDescent="0.2">
      <c r="B276"/>
      <c r="C276" s="55"/>
      <c r="N276"/>
    </row>
    <row r="277" spans="2:14" x14ac:dyDescent="0.2">
      <c r="B277"/>
      <c r="C277" s="55"/>
      <c r="N277"/>
    </row>
    <row r="278" spans="2:14" x14ac:dyDescent="0.2">
      <c r="B278"/>
      <c r="C278" s="55"/>
      <c r="N278"/>
    </row>
    <row r="279" spans="2:14" x14ac:dyDescent="0.2">
      <c r="B279"/>
      <c r="C279" s="55"/>
      <c r="N279"/>
    </row>
    <row r="280" spans="2:14" x14ac:dyDescent="0.2">
      <c r="B280"/>
      <c r="C280" s="55"/>
      <c r="N280"/>
    </row>
    <row r="281" spans="2:14" x14ac:dyDescent="0.2">
      <c r="B281"/>
      <c r="C281" s="55"/>
      <c r="N281"/>
    </row>
    <row r="282" spans="2:14" x14ac:dyDescent="0.2">
      <c r="B282"/>
      <c r="C282" s="55"/>
      <c r="N282"/>
    </row>
    <row r="283" spans="2:14" x14ac:dyDescent="0.2">
      <c r="B283"/>
      <c r="C283" s="55"/>
      <c r="N283"/>
    </row>
    <row r="284" spans="2:14" x14ac:dyDescent="0.2">
      <c r="B284"/>
      <c r="C284" s="55"/>
      <c r="N284"/>
    </row>
    <row r="285" spans="2:14" x14ac:dyDescent="0.2">
      <c r="B285"/>
      <c r="C285" s="55"/>
      <c r="N285"/>
    </row>
    <row r="286" spans="2:14" x14ac:dyDescent="0.2">
      <c r="B286"/>
      <c r="C286" s="55"/>
      <c r="N286"/>
    </row>
    <row r="287" spans="2:14" x14ac:dyDescent="0.2">
      <c r="B287"/>
      <c r="C287" s="55"/>
      <c r="N287"/>
    </row>
    <row r="288" spans="2:14" x14ac:dyDescent="0.2">
      <c r="B288"/>
      <c r="C288" s="55"/>
      <c r="N288"/>
    </row>
    <row r="289" spans="2:14" x14ac:dyDescent="0.2">
      <c r="B289"/>
      <c r="C289" s="55"/>
      <c r="N289"/>
    </row>
    <row r="290" spans="2:14" x14ac:dyDescent="0.2">
      <c r="B290"/>
      <c r="C290" s="55"/>
      <c r="N290"/>
    </row>
    <row r="291" spans="2:14" x14ac:dyDescent="0.2">
      <c r="B291"/>
      <c r="C291" s="55"/>
      <c r="N291"/>
    </row>
    <row r="292" spans="2:14" x14ac:dyDescent="0.2">
      <c r="B292"/>
      <c r="C292" s="55"/>
      <c r="N292"/>
    </row>
    <row r="293" spans="2:14" x14ac:dyDescent="0.2">
      <c r="B293"/>
      <c r="C293" s="55"/>
      <c r="N293"/>
    </row>
    <row r="294" spans="2:14" x14ac:dyDescent="0.2">
      <c r="B294"/>
      <c r="C294" s="55"/>
      <c r="N294"/>
    </row>
    <row r="295" spans="2:14" x14ac:dyDescent="0.2">
      <c r="B295"/>
      <c r="C295" s="55"/>
      <c r="N295"/>
    </row>
    <row r="296" spans="2:14" x14ac:dyDescent="0.2">
      <c r="B296"/>
      <c r="C296" s="55"/>
      <c r="N296"/>
    </row>
    <row r="297" spans="2:14" x14ac:dyDescent="0.2">
      <c r="B297"/>
      <c r="C297" s="55"/>
      <c r="N297"/>
    </row>
    <row r="298" spans="2:14" x14ac:dyDescent="0.2">
      <c r="B298"/>
      <c r="C298" s="55"/>
      <c r="N298"/>
    </row>
    <row r="299" spans="2:14" x14ac:dyDescent="0.2">
      <c r="B299"/>
      <c r="C299" s="55"/>
      <c r="N299"/>
    </row>
    <row r="300" spans="2:14" x14ac:dyDescent="0.2">
      <c r="B300"/>
      <c r="C300" s="55"/>
      <c r="N300"/>
    </row>
    <row r="301" spans="2:14" x14ac:dyDescent="0.2">
      <c r="B301"/>
      <c r="C301" s="55"/>
      <c r="N301"/>
    </row>
    <row r="302" spans="2:14" x14ac:dyDescent="0.2">
      <c r="B302"/>
      <c r="C302" s="55"/>
      <c r="N302"/>
    </row>
    <row r="303" spans="2:14" x14ac:dyDescent="0.2">
      <c r="B303"/>
      <c r="C303" s="55"/>
      <c r="N303"/>
    </row>
    <row r="304" spans="2:14" x14ac:dyDescent="0.2">
      <c r="B304"/>
      <c r="C304" s="55"/>
      <c r="N304"/>
    </row>
    <row r="305" spans="2:14" x14ac:dyDescent="0.2">
      <c r="B305"/>
      <c r="C305" s="55"/>
      <c r="N305"/>
    </row>
    <row r="306" spans="2:14" x14ac:dyDescent="0.2">
      <c r="B306"/>
      <c r="C306" s="55"/>
      <c r="N306"/>
    </row>
    <row r="307" spans="2:14" x14ac:dyDescent="0.2">
      <c r="B307"/>
      <c r="C307" s="55"/>
      <c r="N307"/>
    </row>
    <row r="308" spans="2:14" x14ac:dyDescent="0.2">
      <c r="B308"/>
      <c r="C308" s="55"/>
      <c r="N308"/>
    </row>
    <row r="309" spans="2:14" x14ac:dyDescent="0.2">
      <c r="B309"/>
      <c r="C309" s="55"/>
      <c r="N309"/>
    </row>
    <row r="310" spans="2:14" x14ac:dyDescent="0.2">
      <c r="B310"/>
      <c r="C310" s="55"/>
      <c r="N310"/>
    </row>
    <row r="311" spans="2:14" x14ac:dyDescent="0.2">
      <c r="B311"/>
      <c r="C311" s="55"/>
      <c r="N311"/>
    </row>
    <row r="312" spans="2:14" x14ac:dyDescent="0.2">
      <c r="B312"/>
      <c r="C312" s="55"/>
      <c r="N312"/>
    </row>
    <row r="313" spans="2:14" x14ac:dyDescent="0.2">
      <c r="B313"/>
      <c r="C313" s="55"/>
      <c r="N313"/>
    </row>
    <row r="314" spans="2:14" x14ac:dyDescent="0.2">
      <c r="B314"/>
      <c r="C314" s="55"/>
      <c r="N314"/>
    </row>
    <row r="315" spans="2:14" x14ac:dyDescent="0.2">
      <c r="B315"/>
      <c r="C315" s="55"/>
      <c r="N315"/>
    </row>
    <row r="316" spans="2:14" x14ac:dyDescent="0.2">
      <c r="B316"/>
      <c r="C316" s="55"/>
      <c r="N316"/>
    </row>
    <row r="317" spans="2:14" x14ac:dyDescent="0.2">
      <c r="B317"/>
      <c r="C317" s="55"/>
      <c r="N317"/>
    </row>
    <row r="318" spans="2:14" x14ac:dyDescent="0.2">
      <c r="B318"/>
      <c r="C318" s="55"/>
      <c r="N318"/>
    </row>
    <row r="319" spans="2:14" x14ac:dyDescent="0.2">
      <c r="B319"/>
      <c r="C319" s="55"/>
      <c r="N319"/>
    </row>
    <row r="320" spans="2:14" x14ac:dyDescent="0.2">
      <c r="B320"/>
      <c r="C320" s="55"/>
      <c r="N320"/>
    </row>
    <row r="321" spans="2:14" x14ac:dyDescent="0.2">
      <c r="B321"/>
      <c r="C321" s="55"/>
      <c r="N321"/>
    </row>
    <row r="322" spans="2:14" x14ac:dyDescent="0.2">
      <c r="B322"/>
      <c r="C322" s="55"/>
      <c r="N322"/>
    </row>
    <row r="323" spans="2:14" x14ac:dyDescent="0.2">
      <c r="B323"/>
      <c r="C323" s="55"/>
      <c r="N323"/>
    </row>
    <row r="324" spans="2:14" x14ac:dyDescent="0.2">
      <c r="B324"/>
      <c r="C324" s="55"/>
      <c r="N324"/>
    </row>
    <row r="325" spans="2:14" x14ac:dyDescent="0.2">
      <c r="B325"/>
      <c r="C325" s="55"/>
      <c r="N325"/>
    </row>
    <row r="326" spans="2:14" x14ac:dyDescent="0.2">
      <c r="B326"/>
      <c r="C326" s="55"/>
      <c r="N326"/>
    </row>
    <row r="327" spans="2:14" x14ac:dyDescent="0.2">
      <c r="B327"/>
      <c r="C327" s="55"/>
      <c r="N327"/>
    </row>
    <row r="328" spans="2:14" x14ac:dyDescent="0.2">
      <c r="B328"/>
      <c r="C328" s="55"/>
      <c r="N328"/>
    </row>
    <row r="329" spans="2:14" x14ac:dyDescent="0.2">
      <c r="B329"/>
      <c r="C329" s="55"/>
      <c r="N329"/>
    </row>
    <row r="330" spans="2:14" x14ac:dyDescent="0.2">
      <c r="B330"/>
      <c r="C330" s="55"/>
      <c r="N330"/>
    </row>
    <row r="331" spans="2:14" x14ac:dyDescent="0.2">
      <c r="B331"/>
      <c r="C331" s="55"/>
      <c r="N331"/>
    </row>
    <row r="332" spans="2:14" x14ac:dyDescent="0.2">
      <c r="B332"/>
      <c r="C332" s="55"/>
      <c r="N332"/>
    </row>
    <row r="333" spans="2:14" x14ac:dyDescent="0.2">
      <c r="B333"/>
      <c r="C333" s="55"/>
      <c r="N333"/>
    </row>
    <row r="334" spans="2:14" x14ac:dyDescent="0.2">
      <c r="B334"/>
      <c r="C334" s="55"/>
      <c r="N334"/>
    </row>
    <row r="335" spans="2:14" x14ac:dyDescent="0.2">
      <c r="B335"/>
      <c r="C335" s="55"/>
      <c r="N335"/>
    </row>
    <row r="336" spans="2:14" x14ac:dyDescent="0.2">
      <c r="B336"/>
      <c r="C336" s="55"/>
      <c r="N336"/>
    </row>
    <row r="337" spans="2:14" x14ac:dyDescent="0.2">
      <c r="B337"/>
      <c r="C337" s="55"/>
      <c r="N337"/>
    </row>
    <row r="338" spans="2:14" x14ac:dyDescent="0.2">
      <c r="B338"/>
      <c r="C338" s="55"/>
      <c r="N338"/>
    </row>
    <row r="339" spans="2:14" x14ac:dyDescent="0.2">
      <c r="B339"/>
      <c r="C339" s="55"/>
      <c r="N339"/>
    </row>
    <row r="340" spans="2:14" x14ac:dyDescent="0.2">
      <c r="B340"/>
      <c r="C340" s="55"/>
      <c r="N340"/>
    </row>
    <row r="341" spans="2:14" x14ac:dyDescent="0.2">
      <c r="B341"/>
      <c r="C341" s="55"/>
      <c r="N341"/>
    </row>
    <row r="342" spans="2:14" x14ac:dyDescent="0.2">
      <c r="B342"/>
      <c r="C342" s="55"/>
      <c r="N342"/>
    </row>
    <row r="343" spans="2:14" x14ac:dyDescent="0.2">
      <c r="B343"/>
      <c r="C343" s="55"/>
      <c r="N343"/>
    </row>
    <row r="344" spans="2:14" x14ac:dyDescent="0.2">
      <c r="B344"/>
      <c r="C344" s="55"/>
      <c r="N344"/>
    </row>
    <row r="345" spans="2:14" x14ac:dyDescent="0.2">
      <c r="B345"/>
      <c r="C345" s="55"/>
      <c r="N345"/>
    </row>
    <row r="346" spans="2:14" x14ac:dyDescent="0.2">
      <c r="B346"/>
      <c r="C346" s="55"/>
      <c r="N346"/>
    </row>
    <row r="347" spans="2:14" x14ac:dyDescent="0.2">
      <c r="B347"/>
      <c r="C347" s="55"/>
      <c r="N347"/>
    </row>
    <row r="348" spans="2:14" x14ac:dyDescent="0.2">
      <c r="B348"/>
      <c r="C348" s="55"/>
      <c r="N348"/>
    </row>
    <row r="349" spans="2:14" x14ac:dyDescent="0.2">
      <c r="B349"/>
      <c r="C349" s="55"/>
      <c r="N349"/>
    </row>
    <row r="350" spans="2:14" x14ac:dyDescent="0.2">
      <c r="B350"/>
      <c r="C350" s="55"/>
      <c r="N350"/>
    </row>
    <row r="351" spans="2:14" x14ac:dyDescent="0.2">
      <c r="B351"/>
      <c r="C351" s="55"/>
      <c r="N351"/>
    </row>
    <row r="352" spans="2:14" x14ac:dyDescent="0.2">
      <c r="B352"/>
      <c r="C352" s="55"/>
      <c r="N352"/>
    </row>
    <row r="353" spans="2:14" x14ac:dyDescent="0.2">
      <c r="B353"/>
      <c r="C353" s="55"/>
      <c r="N353"/>
    </row>
    <row r="354" spans="2:14" x14ac:dyDescent="0.2">
      <c r="B354"/>
      <c r="C354" s="55"/>
      <c r="N354"/>
    </row>
    <row r="355" spans="2:14" x14ac:dyDescent="0.2">
      <c r="B355"/>
      <c r="C355" s="55"/>
      <c r="N355"/>
    </row>
    <row r="356" spans="2:14" x14ac:dyDescent="0.2">
      <c r="B356"/>
      <c r="C356" s="55"/>
      <c r="N356"/>
    </row>
    <row r="357" spans="2:14" x14ac:dyDescent="0.2">
      <c r="B357"/>
      <c r="C357" s="55"/>
      <c r="N357"/>
    </row>
    <row r="358" spans="2:14" x14ac:dyDescent="0.2">
      <c r="B358"/>
      <c r="C358" s="55"/>
      <c r="N358"/>
    </row>
    <row r="359" spans="2:14" x14ac:dyDescent="0.2">
      <c r="B359"/>
      <c r="C359" s="55"/>
      <c r="N359"/>
    </row>
    <row r="360" spans="2:14" x14ac:dyDescent="0.2">
      <c r="B360"/>
      <c r="C360" s="55"/>
      <c r="N360"/>
    </row>
    <row r="361" spans="2:14" x14ac:dyDescent="0.2">
      <c r="B361"/>
      <c r="C361" s="55"/>
      <c r="N361"/>
    </row>
    <row r="362" spans="2:14" x14ac:dyDescent="0.2">
      <c r="B362"/>
      <c r="C362" s="55"/>
      <c r="N362"/>
    </row>
    <row r="363" spans="2:14" x14ac:dyDescent="0.2">
      <c r="B363"/>
      <c r="C363" s="55"/>
      <c r="N363"/>
    </row>
    <row r="364" spans="2:14" x14ac:dyDescent="0.2">
      <c r="B364"/>
      <c r="C364" s="55"/>
      <c r="N364"/>
    </row>
    <row r="365" spans="2:14" x14ac:dyDescent="0.2">
      <c r="B365"/>
      <c r="C365" s="55"/>
      <c r="N365"/>
    </row>
    <row r="366" spans="2:14" x14ac:dyDescent="0.2">
      <c r="B366"/>
      <c r="C366" s="55"/>
      <c r="N366"/>
    </row>
    <row r="367" spans="2:14" x14ac:dyDescent="0.2">
      <c r="B367"/>
      <c r="C367" s="55"/>
      <c r="N367"/>
    </row>
    <row r="368" spans="2:14" x14ac:dyDescent="0.2">
      <c r="B368"/>
      <c r="C368" s="55"/>
      <c r="N368"/>
    </row>
    <row r="369" spans="2:14" x14ac:dyDescent="0.2">
      <c r="B369"/>
      <c r="C369" s="55"/>
      <c r="N369"/>
    </row>
    <row r="370" spans="2:14" x14ac:dyDescent="0.2">
      <c r="B370"/>
      <c r="C370" s="55"/>
      <c r="N370"/>
    </row>
    <row r="371" spans="2:14" x14ac:dyDescent="0.2">
      <c r="B371"/>
      <c r="C371" s="55"/>
      <c r="N371"/>
    </row>
    <row r="372" spans="2:14" x14ac:dyDescent="0.2">
      <c r="B372"/>
      <c r="C372" s="55"/>
      <c r="N372"/>
    </row>
    <row r="373" spans="2:14" x14ac:dyDescent="0.2">
      <c r="B373"/>
      <c r="C373" s="55"/>
      <c r="N373"/>
    </row>
    <row r="374" spans="2:14" x14ac:dyDescent="0.2">
      <c r="B374"/>
      <c r="C374" s="55"/>
      <c r="N374"/>
    </row>
    <row r="375" spans="2:14" x14ac:dyDescent="0.2">
      <c r="B375"/>
      <c r="C375" s="55"/>
      <c r="N375"/>
    </row>
    <row r="376" spans="2:14" x14ac:dyDescent="0.2">
      <c r="B376"/>
      <c r="C376" s="55"/>
      <c r="N376"/>
    </row>
    <row r="377" spans="2:14" x14ac:dyDescent="0.2">
      <c r="B377"/>
      <c r="C377" s="55"/>
      <c r="N377"/>
    </row>
    <row r="378" spans="2:14" x14ac:dyDescent="0.2">
      <c r="B378"/>
      <c r="C378" s="55"/>
      <c r="N378"/>
    </row>
    <row r="379" spans="2:14" x14ac:dyDescent="0.2">
      <c r="B379"/>
      <c r="C379" s="55"/>
      <c r="N379"/>
    </row>
    <row r="380" spans="2:14" x14ac:dyDescent="0.2">
      <c r="B380"/>
      <c r="C380" s="55"/>
      <c r="N380"/>
    </row>
    <row r="381" spans="2:14" x14ac:dyDescent="0.2">
      <c r="B381"/>
      <c r="C381" s="55"/>
      <c r="N381"/>
    </row>
    <row r="382" spans="2:14" x14ac:dyDescent="0.2">
      <c r="B382"/>
      <c r="C382" s="55"/>
      <c r="N382"/>
    </row>
    <row r="383" spans="2:14" x14ac:dyDescent="0.2">
      <c r="B383"/>
      <c r="C383" s="55"/>
      <c r="N383"/>
    </row>
    <row r="384" spans="2:14" x14ac:dyDescent="0.2">
      <c r="B384"/>
      <c r="C384" s="55"/>
      <c r="N384"/>
    </row>
    <row r="385" spans="2:14" x14ac:dyDescent="0.2">
      <c r="B385"/>
      <c r="C385" s="55"/>
      <c r="N385"/>
    </row>
    <row r="386" spans="2:14" x14ac:dyDescent="0.2">
      <c r="B386"/>
      <c r="C386" s="55"/>
      <c r="N386"/>
    </row>
    <row r="387" spans="2:14" x14ac:dyDescent="0.2">
      <c r="B387"/>
      <c r="C387" s="55"/>
      <c r="N387"/>
    </row>
    <row r="388" spans="2:14" x14ac:dyDescent="0.2">
      <c r="B388"/>
      <c r="C388" s="55"/>
      <c r="N388"/>
    </row>
    <row r="389" spans="2:14" x14ac:dyDescent="0.2">
      <c r="B389"/>
      <c r="C389" s="55"/>
      <c r="N389"/>
    </row>
    <row r="390" spans="2:14" x14ac:dyDescent="0.2">
      <c r="B390"/>
      <c r="C390" s="55"/>
      <c r="N390"/>
    </row>
    <row r="391" spans="2:14" x14ac:dyDescent="0.2">
      <c r="B391"/>
      <c r="C391" s="55"/>
      <c r="N391"/>
    </row>
    <row r="392" spans="2:14" x14ac:dyDescent="0.2">
      <c r="B392"/>
      <c r="C392" s="55"/>
      <c r="N392"/>
    </row>
    <row r="393" spans="2:14" x14ac:dyDescent="0.2">
      <c r="B393"/>
      <c r="C393" s="55"/>
      <c r="N393"/>
    </row>
    <row r="394" spans="2:14" x14ac:dyDescent="0.2">
      <c r="B394"/>
      <c r="C394" s="55"/>
      <c r="N394"/>
    </row>
    <row r="395" spans="2:14" x14ac:dyDescent="0.2">
      <c r="B395"/>
      <c r="C395" s="55"/>
      <c r="N395"/>
    </row>
    <row r="396" spans="2:14" x14ac:dyDescent="0.2">
      <c r="B396"/>
      <c r="C396" s="55"/>
      <c r="N396"/>
    </row>
    <row r="397" spans="2:14" x14ac:dyDescent="0.2">
      <c r="B397"/>
      <c r="C397" s="55"/>
      <c r="N397"/>
    </row>
    <row r="398" spans="2:14" x14ac:dyDescent="0.2">
      <c r="B398"/>
      <c r="C398" s="55"/>
      <c r="N398"/>
    </row>
    <row r="399" spans="2:14" x14ac:dyDescent="0.2">
      <c r="B399"/>
      <c r="C399" s="55"/>
      <c r="N399"/>
    </row>
    <row r="400" spans="2:14" x14ac:dyDescent="0.2">
      <c r="B400"/>
      <c r="C400" s="55"/>
      <c r="N400"/>
    </row>
    <row r="401" spans="2:14" x14ac:dyDescent="0.2">
      <c r="B401"/>
      <c r="C401" s="55"/>
      <c r="N401"/>
    </row>
    <row r="402" spans="2:14" x14ac:dyDescent="0.2">
      <c r="B402"/>
      <c r="C402" s="55"/>
      <c r="N402"/>
    </row>
    <row r="403" spans="2:14" x14ac:dyDescent="0.2">
      <c r="B403"/>
      <c r="C403" s="55"/>
      <c r="N403"/>
    </row>
    <row r="404" spans="2:14" x14ac:dyDescent="0.2">
      <c r="B404"/>
      <c r="C404" s="55"/>
      <c r="N404"/>
    </row>
    <row r="405" spans="2:14" x14ac:dyDescent="0.2">
      <c r="B405"/>
      <c r="C405" s="55"/>
      <c r="N405"/>
    </row>
    <row r="406" spans="2:14" x14ac:dyDescent="0.2">
      <c r="B406"/>
      <c r="C406" s="55"/>
      <c r="N406"/>
    </row>
    <row r="407" spans="2:14" x14ac:dyDescent="0.2">
      <c r="B407"/>
      <c r="C407" s="55"/>
      <c r="N407"/>
    </row>
    <row r="408" spans="2:14" x14ac:dyDescent="0.2">
      <c r="B408"/>
      <c r="C408" s="55"/>
      <c r="N408"/>
    </row>
    <row r="409" spans="2:14" x14ac:dyDescent="0.2">
      <c r="B409"/>
      <c r="C409" s="55"/>
      <c r="N409"/>
    </row>
    <row r="410" spans="2:14" x14ac:dyDescent="0.2">
      <c r="B410"/>
      <c r="C410" s="55"/>
      <c r="N410"/>
    </row>
    <row r="411" spans="2:14" x14ac:dyDescent="0.2">
      <c r="B411"/>
      <c r="C411" s="55"/>
      <c r="N411"/>
    </row>
    <row r="412" spans="2:14" x14ac:dyDescent="0.2">
      <c r="B412"/>
      <c r="C412" s="55"/>
      <c r="N412"/>
    </row>
    <row r="413" spans="2:14" x14ac:dyDescent="0.2">
      <c r="B413"/>
      <c r="C413" s="55"/>
      <c r="N413"/>
    </row>
    <row r="414" spans="2:14" x14ac:dyDescent="0.2">
      <c r="B414"/>
      <c r="C414" s="55"/>
      <c r="N414"/>
    </row>
    <row r="415" spans="2:14" x14ac:dyDescent="0.2">
      <c r="B415"/>
      <c r="C415" s="55"/>
      <c r="N415"/>
    </row>
    <row r="416" spans="2:14" x14ac:dyDescent="0.2">
      <c r="B416"/>
      <c r="C416" s="55"/>
      <c r="N416"/>
    </row>
    <row r="417" spans="2:14" x14ac:dyDescent="0.2">
      <c r="B417"/>
      <c r="C417" s="55"/>
      <c r="N417"/>
    </row>
    <row r="418" spans="2:14" x14ac:dyDescent="0.2">
      <c r="B418"/>
      <c r="C418" s="55"/>
      <c r="N418"/>
    </row>
    <row r="419" spans="2:14" x14ac:dyDescent="0.2">
      <c r="B419"/>
      <c r="C419" s="55"/>
      <c r="N419"/>
    </row>
    <row r="420" spans="2:14" x14ac:dyDescent="0.2">
      <c r="B420"/>
      <c r="C420" s="55"/>
      <c r="N420"/>
    </row>
    <row r="421" spans="2:14" x14ac:dyDescent="0.2">
      <c r="B421"/>
      <c r="C421" s="55"/>
      <c r="N421"/>
    </row>
    <row r="422" spans="2:14" x14ac:dyDescent="0.2">
      <c r="B422"/>
      <c r="C422" s="55"/>
      <c r="N422"/>
    </row>
    <row r="423" spans="2:14" x14ac:dyDescent="0.2">
      <c r="B423"/>
      <c r="C423" s="55"/>
      <c r="N423"/>
    </row>
    <row r="424" spans="2:14" x14ac:dyDescent="0.2">
      <c r="B424"/>
      <c r="C424" s="55"/>
      <c r="N424"/>
    </row>
    <row r="425" spans="2:14" x14ac:dyDescent="0.2">
      <c r="B425"/>
      <c r="C425" s="55"/>
      <c r="N425"/>
    </row>
    <row r="426" spans="2:14" x14ac:dyDescent="0.2">
      <c r="B426"/>
      <c r="C426" s="55"/>
      <c r="N426"/>
    </row>
    <row r="427" spans="2:14" x14ac:dyDescent="0.2">
      <c r="B427"/>
      <c r="C427" s="55"/>
      <c r="N427"/>
    </row>
    <row r="428" spans="2:14" x14ac:dyDescent="0.2">
      <c r="B428"/>
      <c r="C428" s="55"/>
      <c r="N428"/>
    </row>
    <row r="429" spans="2:14" x14ac:dyDescent="0.2">
      <c r="B429"/>
      <c r="C429" s="55"/>
      <c r="N429"/>
    </row>
    <row r="430" spans="2:14" x14ac:dyDescent="0.2">
      <c r="B430"/>
      <c r="C430" s="55"/>
      <c r="N430"/>
    </row>
    <row r="431" spans="2:14" x14ac:dyDescent="0.2">
      <c r="B431"/>
      <c r="C431" s="55"/>
      <c r="N431"/>
    </row>
    <row r="432" spans="2:14" x14ac:dyDescent="0.2">
      <c r="B432"/>
      <c r="C432" s="55"/>
      <c r="N432"/>
    </row>
    <row r="433" spans="2:14" x14ac:dyDescent="0.2">
      <c r="B433"/>
      <c r="C433" s="55"/>
      <c r="N433"/>
    </row>
    <row r="434" spans="2:14" x14ac:dyDescent="0.2">
      <c r="B434"/>
      <c r="C434" s="55"/>
      <c r="N434"/>
    </row>
    <row r="435" spans="2:14" x14ac:dyDescent="0.2">
      <c r="B435"/>
      <c r="C435" s="55"/>
      <c r="N435"/>
    </row>
    <row r="436" spans="2:14" x14ac:dyDescent="0.2">
      <c r="B436"/>
      <c r="C436" s="55"/>
      <c r="N436"/>
    </row>
    <row r="437" spans="2:14" x14ac:dyDescent="0.2">
      <c r="B437"/>
      <c r="C437" s="55"/>
      <c r="N437"/>
    </row>
    <row r="438" spans="2:14" x14ac:dyDescent="0.2">
      <c r="B438"/>
      <c r="C438" s="55"/>
      <c r="N438"/>
    </row>
    <row r="439" spans="2:14" x14ac:dyDescent="0.2">
      <c r="B439"/>
      <c r="C439" s="55"/>
      <c r="N439"/>
    </row>
    <row r="440" spans="2:14" x14ac:dyDescent="0.2">
      <c r="B440"/>
      <c r="C440" s="55"/>
      <c r="N440"/>
    </row>
    <row r="441" spans="2:14" x14ac:dyDescent="0.2">
      <c r="B441"/>
      <c r="C441" s="55"/>
      <c r="N441"/>
    </row>
    <row r="442" spans="2:14" x14ac:dyDescent="0.2">
      <c r="B442"/>
      <c r="C442" s="55"/>
      <c r="N442"/>
    </row>
    <row r="443" spans="2:14" x14ac:dyDescent="0.2">
      <c r="B443"/>
      <c r="C443" s="55"/>
      <c r="N443"/>
    </row>
    <row r="444" spans="2:14" x14ac:dyDescent="0.2">
      <c r="B444"/>
      <c r="C444" s="55"/>
      <c r="N444"/>
    </row>
    <row r="445" spans="2:14" x14ac:dyDescent="0.2">
      <c r="B445"/>
      <c r="C445" s="55"/>
      <c r="N445"/>
    </row>
    <row r="446" spans="2:14" x14ac:dyDescent="0.2">
      <c r="B446"/>
      <c r="C446" s="55"/>
      <c r="N446"/>
    </row>
    <row r="447" spans="2:14" x14ac:dyDescent="0.2">
      <c r="B447"/>
      <c r="C447" s="55"/>
      <c r="N447"/>
    </row>
    <row r="448" spans="2:14" x14ac:dyDescent="0.2">
      <c r="B448"/>
      <c r="C448" s="55"/>
      <c r="N448"/>
    </row>
    <row r="449" spans="2:14" x14ac:dyDescent="0.2">
      <c r="B449"/>
      <c r="C449" s="55"/>
      <c r="N449"/>
    </row>
    <row r="450" spans="2:14" x14ac:dyDescent="0.2">
      <c r="B450"/>
      <c r="C450" s="55"/>
      <c r="N450"/>
    </row>
    <row r="451" spans="2:14" x14ac:dyDescent="0.2">
      <c r="B451"/>
      <c r="C451" s="55"/>
      <c r="N451"/>
    </row>
    <row r="452" spans="2:14" x14ac:dyDescent="0.2">
      <c r="B452"/>
      <c r="C452" s="55"/>
      <c r="N452"/>
    </row>
    <row r="453" spans="2:14" x14ac:dyDescent="0.2">
      <c r="B453"/>
      <c r="C453" s="55"/>
      <c r="N453"/>
    </row>
    <row r="454" spans="2:14" x14ac:dyDescent="0.2">
      <c r="B454"/>
      <c r="C454" s="55"/>
      <c r="N454"/>
    </row>
    <row r="455" spans="2:14" x14ac:dyDescent="0.2">
      <c r="B455"/>
      <c r="C455" s="55"/>
      <c r="N455"/>
    </row>
    <row r="456" spans="2:14" x14ac:dyDescent="0.2">
      <c r="B456"/>
      <c r="C456" s="55"/>
      <c r="N456"/>
    </row>
    <row r="457" spans="2:14" x14ac:dyDescent="0.2">
      <c r="B457"/>
      <c r="C457" s="55"/>
      <c r="N457"/>
    </row>
    <row r="458" spans="2:14" x14ac:dyDescent="0.2">
      <c r="B458"/>
      <c r="C458" s="55"/>
      <c r="N458"/>
    </row>
    <row r="459" spans="2:14" x14ac:dyDescent="0.2">
      <c r="B459"/>
      <c r="C459" s="55"/>
      <c r="N459"/>
    </row>
    <row r="460" spans="2:14" x14ac:dyDescent="0.2">
      <c r="B460"/>
      <c r="C460" s="55"/>
      <c r="N460"/>
    </row>
    <row r="461" spans="2:14" x14ac:dyDescent="0.2">
      <c r="B461"/>
      <c r="C461" s="55"/>
      <c r="N461"/>
    </row>
    <row r="462" spans="2:14" x14ac:dyDescent="0.2">
      <c r="B462"/>
      <c r="C462" s="55"/>
    </row>
    <row r="463" spans="2:14" x14ac:dyDescent="0.2">
      <c r="B463"/>
      <c r="C463" s="55"/>
    </row>
    <row r="464" spans="2:14" x14ac:dyDescent="0.2">
      <c r="B464"/>
      <c r="C464" s="55"/>
    </row>
    <row r="465" spans="2:3" x14ac:dyDescent="0.2">
      <c r="B465"/>
      <c r="C465" s="55"/>
    </row>
    <row r="466" spans="2:3" x14ac:dyDescent="0.2">
      <c r="B466"/>
      <c r="C466" s="55"/>
    </row>
    <row r="467" spans="2:3" x14ac:dyDescent="0.2">
      <c r="B467"/>
      <c r="C467" s="55"/>
    </row>
    <row r="468" spans="2:3" x14ac:dyDescent="0.2">
      <c r="B468"/>
      <c r="C468" s="55"/>
    </row>
    <row r="469" spans="2:3" x14ac:dyDescent="0.2">
      <c r="B469"/>
      <c r="C469" s="55"/>
    </row>
    <row r="470" spans="2:3" x14ac:dyDescent="0.2">
      <c r="B470"/>
      <c r="C470" s="55"/>
    </row>
    <row r="471" spans="2:3" x14ac:dyDescent="0.2">
      <c r="B471"/>
      <c r="C471" s="55"/>
    </row>
    <row r="472" spans="2:3" x14ac:dyDescent="0.2">
      <c r="B472"/>
      <c r="C472" s="55"/>
    </row>
    <row r="473" spans="2:3" x14ac:dyDescent="0.2">
      <c r="B473"/>
      <c r="C473" s="55"/>
    </row>
    <row r="474" spans="2:3" x14ac:dyDescent="0.2">
      <c r="B474"/>
      <c r="C474" s="55"/>
    </row>
    <row r="475" spans="2:3" x14ac:dyDescent="0.2">
      <c r="B475"/>
      <c r="C475" s="55"/>
    </row>
    <row r="476" spans="2:3" x14ac:dyDescent="0.2">
      <c r="B476"/>
      <c r="C476" s="55"/>
    </row>
    <row r="477" spans="2:3" x14ac:dyDescent="0.2">
      <c r="B477"/>
      <c r="C477" s="55"/>
    </row>
    <row r="478" spans="2:3" x14ac:dyDescent="0.2">
      <c r="B478"/>
      <c r="C478" s="55"/>
    </row>
    <row r="479" spans="2:3" x14ac:dyDescent="0.2">
      <c r="B479"/>
      <c r="C479" s="55"/>
    </row>
    <row r="480" spans="2:3" x14ac:dyDescent="0.2">
      <c r="B480"/>
      <c r="C480" s="55"/>
    </row>
    <row r="481" spans="2:3" x14ac:dyDescent="0.2">
      <c r="B481"/>
      <c r="C481" s="55"/>
    </row>
    <row r="482" spans="2:3" x14ac:dyDescent="0.2">
      <c r="B482"/>
      <c r="C482" s="55"/>
    </row>
    <row r="483" spans="2:3" x14ac:dyDescent="0.2">
      <c r="B483"/>
      <c r="C483" s="55"/>
    </row>
    <row r="484" spans="2:3" x14ac:dyDescent="0.2">
      <c r="B484"/>
      <c r="C484" s="55"/>
    </row>
    <row r="485" spans="2:3" x14ac:dyDescent="0.2">
      <c r="B485"/>
      <c r="C485" s="55"/>
    </row>
    <row r="486" spans="2:3" x14ac:dyDescent="0.2">
      <c r="B486"/>
      <c r="C486" s="55"/>
    </row>
    <row r="487" spans="2:3" x14ac:dyDescent="0.2">
      <c r="B487"/>
      <c r="C487" s="55"/>
    </row>
    <row r="488" spans="2:3" x14ac:dyDescent="0.2">
      <c r="B488"/>
      <c r="C488" s="55"/>
    </row>
    <row r="489" spans="2:3" x14ac:dyDescent="0.2">
      <c r="B489"/>
      <c r="C489" s="55"/>
    </row>
    <row r="490" spans="2:3" x14ac:dyDescent="0.2">
      <c r="B490"/>
      <c r="C490" s="55"/>
    </row>
    <row r="491" spans="2:3" x14ac:dyDescent="0.2">
      <c r="B491"/>
      <c r="C491" s="55"/>
    </row>
    <row r="492" spans="2:3" x14ac:dyDescent="0.2">
      <c r="B492"/>
      <c r="C492" s="55"/>
    </row>
    <row r="493" spans="2:3" x14ac:dyDescent="0.2">
      <c r="B493"/>
      <c r="C493" s="55"/>
    </row>
    <row r="494" spans="2:3" x14ac:dyDescent="0.2">
      <c r="B494"/>
      <c r="C494" s="55"/>
    </row>
    <row r="495" spans="2:3" x14ac:dyDescent="0.2">
      <c r="B495"/>
      <c r="C495" s="55"/>
    </row>
    <row r="496" spans="2:3" x14ac:dyDescent="0.2">
      <c r="B496"/>
      <c r="C496" s="55"/>
    </row>
    <row r="497" spans="2:3" x14ac:dyDescent="0.2">
      <c r="B497"/>
      <c r="C497" s="55"/>
    </row>
    <row r="498" spans="2:3" x14ac:dyDescent="0.2">
      <c r="B498"/>
      <c r="C498" s="55"/>
    </row>
    <row r="499" spans="2:3" x14ac:dyDescent="0.2">
      <c r="B499"/>
      <c r="C499" s="55"/>
    </row>
    <row r="500" spans="2:3" x14ac:dyDescent="0.2">
      <c r="B500"/>
      <c r="C500" s="55"/>
    </row>
    <row r="501" spans="2:3" x14ac:dyDescent="0.2">
      <c r="B501"/>
      <c r="C501" s="55"/>
    </row>
    <row r="502" spans="2:3" x14ac:dyDescent="0.2">
      <c r="B502"/>
      <c r="C502" s="55"/>
    </row>
    <row r="503" spans="2:3" x14ac:dyDescent="0.2">
      <c r="B503"/>
      <c r="C503" s="55"/>
    </row>
    <row r="504" spans="2:3" x14ac:dyDescent="0.2">
      <c r="B504"/>
      <c r="C504" s="55"/>
    </row>
    <row r="505" spans="2:3" x14ac:dyDescent="0.2">
      <c r="B505"/>
      <c r="C505" s="55"/>
    </row>
    <row r="506" spans="2:3" x14ac:dyDescent="0.2">
      <c r="B506"/>
      <c r="C506" s="55"/>
    </row>
    <row r="507" spans="2:3" x14ac:dyDescent="0.2">
      <c r="B507"/>
      <c r="C507" s="55"/>
    </row>
    <row r="508" spans="2:3" x14ac:dyDescent="0.2">
      <c r="B508"/>
      <c r="C508" s="55"/>
    </row>
    <row r="509" spans="2:3" x14ac:dyDescent="0.2">
      <c r="B509"/>
      <c r="C509" s="55"/>
    </row>
    <row r="510" spans="2:3" x14ac:dyDescent="0.2">
      <c r="B510"/>
      <c r="C510" s="55"/>
    </row>
    <row r="511" spans="2:3" x14ac:dyDescent="0.2">
      <c r="B511"/>
      <c r="C511" s="55"/>
    </row>
    <row r="512" spans="2:3" x14ac:dyDescent="0.2">
      <c r="B512"/>
      <c r="C512" s="55"/>
    </row>
    <row r="513" spans="2:3" x14ac:dyDescent="0.2">
      <c r="B513"/>
      <c r="C513" s="55"/>
    </row>
    <row r="514" spans="2:3" x14ac:dyDescent="0.2">
      <c r="B514"/>
      <c r="C514" s="55"/>
    </row>
    <row r="515" spans="2:3" x14ac:dyDescent="0.2">
      <c r="B515"/>
      <c r="C515" s="55"/>
    </row>
    <row r="516" spans="2:3" x14ac:dyDescent="0.2">
      <c r="B516"/>
      <c r="C516" s="55"/>
    </row>
    <row r="517" spans="2:3" x14ac:dyDescent="0.2">
      <c r="B517"/>
      <c r="C517" s="55"/>
    </row>
    <row r="518" spans="2:3" x14ac:dyDescent="0.2">
      <c r="B518"/>
      <c r="C518" s="55"/>
    </row>
    <row r="519" spans="2:3" x14ac:dyDescent="0.2">
      <c r="B519"/>
      <c r="C519" s="55"/>
    </row>
    <row r="520" spans="2:3" x14ac:dyDescent="0.2">
      <c r="B520"/>
      <c r="C520" s="55"/>
    </row>
    <row r="521" spans="2:3" x14ac:dyDescent="0.2">
      <c r="B521"/>
      <c r="C521" s="55"/>
    </row>
    <row r="522" spans="2:3" x14ac:dyDescent="0.2">
      <c r="B522"/>
      <c r="C522" s="55"/>
    </row>
    <row r="523" spans="2:3" x14ac:dyDescent="0.2">
      <c r="B523"/>
      <c r="C523" s="55"/>
    </row>
    <row r="524" spans="2:3" x14ac:dyDescent="0.2">
      <c r="B524"/>
      <c r="C524" s="55"/>
    </row>
    <row r="525" spans="2:3" x14ac:dyDescent="0.2">
      <c r="B525"/>
      <c r="C525" s="55"/>
    </row>
    <row r="526" spans="2:3" x14ac:dyDescent="0.2">
      <c r="B526"/>
      <c r="C526" s="55"/>
    </row>
    <row r="527" spans="2:3" x14ac:dyDescent="0.2">
      <c r="B527"/>
      <c r="C527" s="55"/>
    </row>
    <row r="528" spans="2:3" x14ac:dyDescent="0.2">
      <c r="B528"/>
      <c r="C528" s="55"/>
    </row>
    <row r="529" spans="2:3" x14ac:dyDescent="0.2">
      <c r="B529"/>
      <c r="C529" s="55"/>
    </row>
    <row r="530" spans="2:3" x14ac:dyDescent="0.2">
      <c r="B530"/>
      <c r="C530" s="55"/>
    </row>
    <row r="531" spans="2:3" x14ac:dyDescent="0.2">
      <c r="B531"/>
      <c r="C531" s="55"/>
    </row>
    <row r="532" spans="2:3" x14ac:dyDescent="0.2">
      <c r="B532"/>
      <c r="C532" s="55"/>
    </row>
    <row r="533" spans="2:3" x14ac:dyDescent="0.2">
      <c r="B533"/>
      <c r="C533" s="55"/>
    </row>
    <row r="534" spans="2:3" x14ac:dyDescent="0.2">
      <c r="B534"/>
      <c r="C534" s="55"/>
    </row>
    <row r="535" spans="2:3" x14ac:dyDescent="0.2">
      <c r="B535"/>
      <c r="C535" s="55"/>
    </row>
    <row r="536" spans="2:3" x14ac:dyDescent="0.2">
      <c r="B536"/>
      <c r="C536" s="55"/>
    </row>
    <row r="537" spans="2:3" x14ac:dyDescent="0.2">
      <c r="B537"/>
      <c r="C537" s="55"/>
    </row>
    <row r="538" spans="2:3" x14ac:dyDescent="0.2">
      <c r="B538"/>
      <c r="C538" s="55"/>
    </row>
    <row r="539" spans="2:3" x14ac:dyDescent="0.2">
      <c r="B539"/>
      <c r="C539" s="55"/>
    </row>
    <row r="540" spans="2:3" x14ac:dyDescent="0.2">
      <c r="B540"/>
      <c r="C540" s="55"/>
    </row>
    <row r="541" spans="2:3" x14ac:dyDescent="0.2">
      <c r="B541"/>
      <c r="C541" s="55"/>
    </row>
    <row r="542" spans="2:3" x14ac:dyDescent="0.2">
      <c r="B542"/>
      <c r="C542" s="55"/>
    </row>
    <row r="543" spans="2:3" x14ac:dyDescent="0.2">
      <c r="B543"/>
      <c r="C543" s="55"/>
    </row>
    <row r="544" spans="2:3" x14ac:dyDescent="0.2">
      <c r="B544"/>
      <c r="C544" s="55"/>
    </row>
    <row r="545" spans="2:3" x14ac:dyDescent="0.2">
      <c r="B545"/>
      <c r="C545" s="55"/>
    </row>
    <row r="546" spans="2:3" x14ac:dyDescent="0.2">
      <c r="B546"/>
      <c r="C546" s="55"/>
    </row>
    <row r="547" spans="2:3" x14ac:dyDescent="0.2">
      <c r="B547"/>
      <c r="C547" s="55"/>
    </row>
    <row r="548" spans="2:3" x14ac:dyDescent="0.2">
      <c r="B548"/>
      <c r="C548" s="55"/>
    </row>
    <row r="549" spans="2:3" x14ac:dyDescent="0.2">
      <c r="B549"/>
      <c r="C549" s="55"/>
    </row>
    <row r="550" spans="2:3" x14ac:dyDescent="0.2">
      <c r="B550"/>
      <c r="C550" s="55"/>
    </row>
    <row r="551" spans="2:3" x14ac:dyDescent="0.2">
      <c r="B551"/>
      <c r="C551" s="55"/>
    </row>
    <row r="552" spans="2:3" x14ac:dyDescent="0.2">
      <c r="B552"/>
      <c r="C552" s="55"/>
    </row>
    <row r="553" spans="2:3" x14ac:dyDescent="0.2">
      <c r="B553"/>
      <c r="C553" s="55"/>
    </row>
    <row r="554" spans="2:3" x14ac:dyDescent="0.2">
      <c r="B554"/>
      <c r="C554" s="55"/>
    </row>
    <row r="555" spans="2:3" x14ac:dyDescent="0.2">
      <c r="B555"/>
      <c r="C555" s="55"/>
    </row>
    <row r="556" spans="2:3" x14ac:dyDescent="0.2">
      <c r="B556"/>
      <c r="C556" s="55"/>
    </row>
    <row r="557" spans="2:3" x14ac:dyDescent="0.2">
      <c r="B557"/>
      <c r="C557" s="55"/>
    </row>
    <row r="558" spans="2:3" x14ac:dyDescent="0.2">
      <c r="B558"/>
      <c r="C558" s="55"/>
    </row>
    <row r="559" spans="2:3" x14ac:dyDescent="0.2">
      <c r="B559"/>
      <c r="C559" s="55"/>
    </row>
    <row r="560" spans="2:3" x14ac:dyDescent="0.2">
      <c r="B560"/>
      <c r="C560" s="55"/>
    </row>
    <row r="561" spans="2:3" x14ac:dyDescent="0.2">
      <c r="B561"/>
      <c r="C561" s="55"/>
    </row>
    <row r="562" spans="2:3" x14ac:dyDescent="0.2">
      <c r="B562"/>
      <c r="C562" s="55"/>
    </row>
    <row r="563" spans="2:3" x14ac:dyDescent="0.2">
      <c r="B563"/>
      <c r="C563" s="55"/>
    </row>
    <row r="564" spans="2:3" x14ac:dyDescent="0.2">
      <c r="B564"/>
      <c r="C564" s="55"/>
    </row>
    <row r="565" spans="2:3" x14ac:dyDescent="0.2">
      <c r="B565"/>
      <c r="C565" s="55"/>
    </row>
    <row r="566" spans="2:3" x14ac:dyDescent="0.2">
      <c r="B566"/>
      <c r="C566" s="55"/>
    </row>
    <row r="567" spans="2:3" x14ac:dyDescent="0.2">
      <c r="B567"/>
      <c r="C567" s="55"/>
    </row>
    <row r="568" spans="2:3" x14ac:dyDescent="0.2">
      <c r="B568"/>
      <c r="C568" s="55"/>
    </row>
    <row r="569" spans="2:3" x14ac:dyDescent="0.2">
      <c r="B569"/>
      <c r="C569" s="55"/>
    </row>
    <row r="570" spans="2:3" x14ac:dyDescent="0.2">
      <c r="B570"/>
      <c r="C570" s="55"/>
    </row>
    <row r="571" spans="2:3" x14ac:dyDescent="0.2">
      <c r="B571"/>
      <c r="C571" s="55"/>
    </row>
    <row r="572" spans="2:3" x14ac:dyDescent="0.2">
      <c r="B572"/>
      <c r="C572" s="55"/>
    </row>
    <row r="573" spans="2:3" x14ac:dyDescent="0.2">
      <c r="B573"/>
      <c r="C573" s="55"/>
    </row>
    <row r="574" spans="2:3" x14ac:dyDescent="0.2">
      <c r="B574"/>
      <c r="C574" s="55"/>
    </row>
    <row r="575" spans="2:3" x14ac:dyDescent="0.2">
      <c r="B575"/>
      <c r="C575" s="55"/>
    </row>
    <row r="576" spans="2:3" x14ac:dyDescent="0.2">
      <c r="B576"/>
      <c r="C576" s="55"/>
    </row>
    <row r="577" spans="2:3" x14ac:dyDescent="0.2">
      <c r="B577"/>
      <c r="C577" s="55"/>
    </row>
  </sheetData>
  <pageMargins left="0.25" right="0.25" top="0.75" bottom="0.75" header="0.3" footer="0.3"/>
  <pageSetup scale="10" orientation="landscape"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7F2253-64BB-40A1-80E9-A44599718D1B}">
  <dimension ref="B3:D11"/>
  <sheetViews>
    <sheetView showGridLines="0" showRowColHeaders="0" zoomScale="140" zoomScaleNormal="140" workbookViewId="0">
      <selection activeCell="D7" sqref="D7"/>
    </sheetView>
  </sheetViews>
  <sheetFormatPr defaultRowHeight="12.75" x14ac:dyDescent="0.2"/>
  <cols>
    <col min="2" max="3" width="18.7109375" customWidth="1"/>
    <col min="4" max="4" width="14" customWidth="1"/>
  </cols>
  <sheetData>
    <row r="3" spans="2:4" ht="15.75" x14ac:dyDescent="0.25">
      <c r="B3" s="31" t="s">
        <v>69</v>
      </c>
      <c r="C3" s="32" t="s">
        <v>70</v>
      </c>
      <c r="D3" s="33" t="s">
        <v>71</v>
      </c>
    </row>
    <row r="4" spans="2:4" ht="15" x14ac:dyDescent="0.2">
      <c r="B4" s="34" t="s">
        <v>72</v>
      </c>
      <c r="C4" s="34"/>
      <c r="D4" s="35">
        <f>((Statements!I13/Statements!C13)^(1/7))-1</f>
        <v>0.177771329206174</v>
      </c>
    </row>
    <row r="5" spans="2:4" ht="15" x14ac:dyDescent="0.2">
      <c r="B5" s="34" t="s">
        <v>73</v>
      </c>
      <c r="C5" s="34"/>
      <c r="D5" s="35">
        <f>Statements!I29/Statements!I13</f>
        <v>0.3065915642096595</v>
      </c>
    </row>
    <row r="6" spans="2:4" ht="15" x14ac:dyDescent="0.2">
      <c r="B6" s="34" t="s">
        <v>68</v>
      </c>
      <c r="C6" s="34"/>
      <c r="D6" s="35">
        <f>Statements!I36/Statements!U40</f>
        <v>1.4976969696969706</v>
      </c>
    </row>
    <row r="7" spans="2:4" ht="15" x14ac:dyDescent="0.2">
      <c r="B7" s="34" t="s">
        <v>74</v>
      </c>
      <c r="C7" s="34"/>
      <c r="D7" s="35">
        <f>Statements!I45/Statements!U45</f>
        <v>0.61386983463338307</v>
      </c>
    </row>
    <row r="8" spans="2:4" ht="15" x14ac:dyDescent="0.2">
      <c r="B8" s="34" t="s">
        <v>75</v>
      </c>
      <c r="C8" s="34"/>
      <c r="D8" s="36">
        <f>Statements!U42/Statements!I29</f>
        <v>0.47791049071808872</v>
      </c>
    </row>
    <row r="9" spans="2:4" ht="15" x14ac:dyDescent="0.2">
      <c r="B9" s="34" t="s">
        <v>76</v>
      </c>
      <c r="C9" s="34"/>
      <c r="D9" s="37">
        <f>_xlfn.STDEV.S(Statements!C39:I39)</f>
        <v>0.77956318708353722</v>
      </c>
    </row>
    <row r="10" spans="2:4" ht="15" x14ac:dyDescent="0.2">
      <c r="B10" s="34" t="s">
        <v>77</v>
      </c>
      <c r="C10" s="34"/>
      <c r="D10" s="37">
        <f>Statements!U44</f>
        <v>28.562956780352085</v>
      </c>
    </row>
    <row r="11" spans="2:4" ht="15" x14ac:dyDescent="0.2">
      <c r="B11" s="34" t="s">
        <v>78</v>
      </c>
      <c r="C11" s="34"/>
      <c r="D11" s="38" t="s">
        <v>83</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600919C5D1CD245AE9967B74E8175F3" ma:contentTypeVersion="6" ma:contentTypeDescription="Create a new document." ma:contentTypeScope="" ma:versionID="5914cc59b3ac3e0af91e183125dbf667">
  <xsd:schema xmlns:xsd="http://www.w3.org/2001/XMLSchema" xmlns:xs="http://www.w3.org/2001/XMLSchema" xmlns:p="http://schemas.microsoft.com/office/2006/metadata/properties" xmlns:ns3="36567613-e428-4167-ab55-a4f66cede826" targetNamespace="http://schemas.microsoft.com/office/2006/metadata/properties" ma:root="true" ma:fieldsID="3f536e8bcdade1d0b1324d4e87301424" ns3:_="">
    <xsd:import namespace="36567613-e428-4167-ab55-a4f66cede826"/>
    <xsd:element name="properties">
      <xsd:complexType>
        <xsd:sequence>
          <xsd:element name="documentManagement">
            <xsd:complexType>
              <xsd:all>
                <xsd:element ref="ns3:MediaServiceMetadata" minOccurs="0"/>
                <xsd:element ref="ns3:MediaServiceFastMetadata" minOccurs="0"/>
                <xsd:element ref="ns3:_activity" minOccurs="0"/>
                <xsd:element ref="ns3:MediaServiceObjectDetectorVersions" minOccurs="0"/>
                <xsd:element ref="ns3:MediaServiceSearchProperties"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567613-e428-4167-ab55-a4f66cede8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36567613-e428-4167-ab55-a4f66cede826" xsi:nil="true"/>
  </documentManagement>
</p:properties>
</file>

<file path=customXml/itemProps1.xml><?xml version="1.0" encoding="utf-8"?>
<ds:datastoreItem xmlns:ds="http://schemas.openxmlformats.org/officeDocument/2006/customXml" ds:itemID="{CEEBCDD2-CF0D-4DC7-8A5A-F9CF6363093A}">
  <ds:schemaRefs>
    <ds:schemaRef ds:uri="http://schemas.microsoft.com/sharepoint/v3/contenttype/forms"/>
  </ds:schemaRefs>
</ds:datastoreItem>
</file>

<file path=customXml/itemProps2.xml><?xml version="1.0" encoding="utf-8"?>
<ds:datastoreItem xmlns:ds="http://schemas.openxmlformats.org/officeDocument/2006/customXml" ds:itemID="{2DF6783B-FDDB-4AFA-AB24-91E1A23AC31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567613-e428-4167-ab55-a4f66cede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A025FDC-490A-410D-95CE-3AE32D726E67}">
  <ds:schemaRefs>
    <ds:schemaRef ds:uri="http://schemas.microsoft.com/office/2006/metadata/properties"/>
    <ds:schemaRef ds:uri="http://schemas.microsoft.com/office/2006/documentManagement/types"/>
    <ds:schemaRef ds:uri="http://purl.org/dc/elements/1.1/"/>
    <ds:schemaRef ds:uri="http://purl.org/dc/dcmitype/"/>
    <ds:schemaRef ds:uri="36567613-e428-4167-ab55-a4f66cede826"/>
    <ds:schemaRef ds:uri="http://schemas.microsoft.com/office/infopath/2007/PartnerControls"/>
    <ds:schemaRef ds:uri="http://schemas.openxmlformats.org/package/2006/metadata/core-properties"/>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Statements</vt:lpstr>
      <vt:lpstr>Observations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Abraham Gonzalez Herrera</dc:creator>
  <cp:lastModifiedBy>Abraham Gonzalez Herrera</cp:lastModifiedBy>
  <cp:lastPrinted>2026-05-28T05:00:09Z</cp:lastPrinted>
  <dcterms:created xsi:type="dcterms:W3CDTF">2025-02-18T03:00:25Z</dcterms:created>
  <dcterms:modified xsi:type="dcterms:W3CDTF">2026-06-29T22:01:52Z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0x0101004600919C5D1CD245AE9967B74E8175F3</vt:lpwstr>
  </property>
  <property fmtid="{D5CDD505-2E9C-101B-9397-08002B2CF9AE}" pid="3" name="MSIP_Label_bc50c7b0-9e53-455f-9b3f-deab1aa8a41e_Enabled">
    <vt:lpwstr>true</vt:lpwstr>
  </property>
  <property fmtid="{D5CDD505-2E9C-101B-9397-08002B2CF9AE}" pid="4" name="MSIP_Label_bc50c7b0-9e53-455f-9b3f-deab1aa8a41e_SetDate">
    <vt:lpwstr>2025-06-30T00:35:48Z</vt:lpwstr>
  </property>
  <property fmtid="{D5CDD505-2E9C-101B-9397-08002B2CF9AE}" pid="5" name="MSIP_Label_bc50c7b0-9e53-455f-9b3f-deab1aa8a41e_Method">
    <vt:lpwstr>Standard</vt:lpwstr>
  </property>
  <property fmtid="{D5CDD505-2E9C-101B-9397-08002B2CF9AE}" pid="6" name="MSIP_Label_bc50c7b0-9e53-455f-9b3f-deab1aa8a41e_Name">
    <vt:lpwstr>defa4170-0d19-0005-0004-bc88714345d2</vt:lpwstr>
  </property>
  <property fmtid="{D5CDD505-2E9C-101B-9397-08002B2CF9AE}" pid="7" name="MSIP_Label_bc50c7b0-9e53-455f-9b3f-deab1aa8a41e_SiteId">
    <vt:lpwstr>7cc8e357-468d-472c-a6fc-c5600e789b55</vt:lpwstr>
  </property>
  <property fmtid="{D5CDD505-2E9C-101B-9397-08002B2CF9AE}" pid="8" name="MSIP_Label_bc50c7b0-9e53-455f-9b3f-deab1aa8a41e_ActionId">
    <vt:lpwstr>bc02642b-d543-42b8-86a9-1394f64ab921</vt:lpwstr>
  </property>
  <property fmtid="{D5CDD505-2E9C-101B-9397-08002B2CF9AE}" pid="9" name="MSIP_Label_bc50c7b0-9e53-455f-9b3f-deab1aa8a41e_ContentBits">
    <vt:lpwstr>0</vt:lpwstr>
  </property>
  <property fmtid="{D5CDD505-2E9C-101B-9397-08002B2CF9AE}" pid="10" name="MSIP_Label_bc50c7b0-9e53-455f-9b3f-deab1aa8a41e_Tag">
    <vt:lpwstr>10, 3, 0, 1</vt:lpwstr>
  </property>
</Properties>
</file>