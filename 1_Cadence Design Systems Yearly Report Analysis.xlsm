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defaultThemeVersion="202300"/>
  <mc:AlternateContent xmlns:mc="http://schemas.openxmlformats.org/markup-compatibility/2006">
    <mc:Choice Requires="x15">
      <x15ac:absPath xmlns:x15ac="http://schemas.microsoft.com/office/spreadsheetml/2010/11/ac" url="E:\Earnings models (BACKUP)\"/>
    </mc:Choice>
  </mc:AlternateContent>
  <xr:revisionPtr revIDLastSave="0" documentId="8_{0D7CB780-DEC6-41EF-A950-A0C379C71E94}" xr6:coauthVersionLast="47" xr6:coauthVersionMax="47" xr10:uidLastSave="{00000000-0000-0000-0000-000000000000}"/>
  <bookViews>
    <workbookView xWindow="-120" yWindow="-120" windowWidth="29040" windowHeight="15720" xr2:uid="{57DEA323-E204-44E7-AD7B-E92EB4E4853D}"/>
  </bookViews>
  <sheets>
    <sheet name="Statements" sheetId="1" r:id="rId1"/>
    <sheet name="Notes" sheetId="2" r:id="rId2"/>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U40" i="1" l="1"/>
  <c r="T40" i="1"/>
  <c r="S40" i="1"/>
  <c r="R40" i="1"/>
  <c r="Q40" i="1"/>
  <c r="P40" i="1"/>
  <c r="O40" i="1"/>
  <c r="D13" i="2"/>
  <c r="D12" i="2"/>
  <c r="D11" i="2"/>
  <c r="D10" i="2"/>
  <c r="D9" i="2"/>
  <c r="D8" i="2"/>
  <c r="D7" i="2"/>
  <c r="X40" i="1" l="1"/>
  <c r="W40" i="1"/>
  <c r="V40" i="1"/>
  <c r="X39" i="1"/>
  <c r="W39" i="1"/>
  <c r="V39" i="1"/>
  <c r="X38" i="1"/>
  <c r="W38" i="1"/>
  <c r="V38" i="1"/>
  <c r="X37" i="1"/>
  <c r="W37" i="1"/>
  <c r="V37" i="1"/>
  <c r="X36" i="1"/>
  <c r="W36" i="1"/>
  <c r="V36" i="1"/>
  <c r="X35" i="1"/>
  <c r="W35" i="1"/>
  <c r="V35" i="1"/>
  <c r="X34" i="1"/>
  <c r="W34" i="1"/>
  <c r="V34" i="1"/>
  <c r="X32" i="1"/>
  <c r="W32" i="1"/>
  <c r="V32" i="1"/>
  <c r="X31" i="1"/>
  <c r="W31" i="1"/>
  <c r="V31" i="1"/>
  <c r="X30" i="1"/>
  <c r="W30" i="1"/>
  <c r="V30" i="1"/>
  <c r="X29" i="1"/>
  <c r="W29" i="1"/>
  <c r="V29" i="1"/>
  <c r="X28" i="1"/>
  <c r="W28" i="1"/>
  <c r="V28" i="1"/>
  <c r="X27" i="1"/>
  <c r="W27" i="1"/>
  <c r="V27" i="1"/>
  <c r="X26" i="1"/>
  <c r="W26" i="1"/>
  <c r="V26" i="1"/>
  <c r="X25" i="1"/>
  <c r="W25" i="1"/>
  <c r="V25" i="1"/>
  <c r="X21" i="1"/>
  <c r="W21" i="1"/>
  <c r="V21" i="1"/>
  <c r="X20" i="1"/>
  <c r="W20" i="1"/>
  <c r="V20" i="1"/>
  <c r="X19" i="1"/>
  <c r="W19" i="1"/>
  <c r="V19" i="1"/>
  <c r="X18" i="1"/>
  <c r="W18" i="1"/>
  <c r="V18" i="1"/>
  <c r="X17" i="1"/>
  <c r="W17" i="1"/>
  <c r="V17" i="1"/>
  <c r="X16" i="1"/>
  <c r="W16" i="1"/>
  <c r="V16" i="1"/>
  <c r="X15" i="1"/>
  <c r="W15" i="1"/>
  <c r="V15" i="1"/>
  <c r="X14" i="1"/>
  <c r="W14" i="1"/>
  <c r="V14" i="1"/>
  <c r="X13" i="1"/>
  <c r="W13" i="1"/>
  <c r="V13" i="1"/>
  <c r="X12" i="1"/>
  <c r="W12" i="1"/>
  <c r="V12" i="1"/>
  <c r="X11" i="1"/>
  <c r="W11" i="1"/>
  <c r="V11" i="1"/>
  <c r="L48" i="1"/>
  <c r="K48" i="1"/>
  <c r="J48" i="1"/>
  <c r="L47" i="1"/>
  <c r="K47" i="1"/>
  <c r="J47" i="1"/>
  <c r="L46" i="1"/>
  <c r="K46" i="1"/>
  <c r="J46" i="1"/>
  <c r="L45" i="1"/>
  <c r="K45" i="1"/>
  <c r="J45" i="1"/>
  <c r="L44" i="1"/>
  <c r="K44" i="1"/>
  <c r="J44" i="1"/>
  <c r="L43" i="1"/>
  <c r="K43" i="1"/>
  <c r="J43" i="1"/>
  <c r="L42" i="1"/>
  <c r="K42" i="1"/>
  <c r="J42" i="1"/>
  <c r="L41" i="1"/>
  <c r="K41" i="1"/>
  <c r="J41" i="1"/>
  <c r="L40" i="1"/>
  <c r="K40" i="1"/>
  <c r="J40" i="1"/>
  <c r="L39" i="1"/>
  <c r="K39" i="1"/>
  <c r="J39" i="1"/>
  <c r="L38" i="1"/>
  <c r="K38" i="1"/>
  <c r="J38" i="1"/>
  <c r="L37" i="1"/>
  <c r="K37" i="1"/>
  <c r="J37" i="1"/>
  <c r="L36" i="1"/>
  <c r="K36" i="1"/>
  <c r="J36" i="1"/>
  <c r="L34" i="1"/>
  <c r="K34" i="1"/>
  <c r="J34" i="1"/>
  <c r="L33" i="1"/>
  <c r="K33" i="1"/>
  <c r="J33" i="1"/>
  <c r="L32" i="1"/>
  <c r="K32" i="1"/>
  <c r="J32" i="1"/>
  <c r="L31" i="1"/>
  <c r="K31" i="1"/>
  <c r="J31" i="1"/>
  <c r="L30" i="1"/>
  <c r="K30" i="1"/>
  <c r="J30" i="1"/>
  <c r="L29" i="1"/>
  <c r="K29" i="1"/>
  <c r="J29" i="1"/>
  <c r="L27" i="1"/>
  <c r="K27" i="1"/>
  <c r="J27" i="1"/>
  <c r="L26" i="1"/>
  <c r="K26" i="1"/>
  <c r="J26" i="1"/>
  <c r="L25" i="1"/>
  <c r="K25" i="1"/>
  <c r="J25" i="1"/>
  <c r="L24" i="1"/>
  <c r="K24" i="1"/>
  <c r="J24" i="1"/>
  <c r="L23" i="1"/>
  <c r="K23" i="1"/>
  <c r="J23" i="1"/>
  <c r="L22" i="1"/>
  <c r="K22" i="1"/>
  <c r="J22" i="1"/>
  <c r="L19" i="1"/>
  <c r="K19" i="1"/>
  <c r="J19" i="1"/>
  <c r="L17" i="1"/>
  <c r="K17" i="1"/>
  <c r="J17" i="1"/>
  <c r="L16" i="1"/>
  <c r="K16" i="1"/>
  <c r="J16" i="1"/>
  <c r="L15" i="1"/>
  <c r="K15" i="1"/>
  <c r="J15" i="1"/>
  <c r="L12" i="1"/>
  <c r="K12" i="1"/>
  <c r="J12" i="1"/>
  <c r="L11" i="1"/>
  <c r="K11" i="1"/>
  <c r="J11" i="1"/>
  <c r="L10" i="1"/>
  <c r="K10" i="1"/>
  <c r="J10" i="1"/>
  <c r="U39" i="1"/>
  <c r="U36" i="1"/>
  <c r="U35" i="1"/>
  <c r="U37" i="1" s="1"/>
  <c r="U38" i="1" s="1"/>
  <c r="U34" i="1"/>
  <c r="I47" i="1" s="1"/>
  <c r="U32" i="1"/>
  <c r="U28" i="1"/>
  <c r="U21" i="1"/>
  <c r="I46" i="1" s="1"/>
  <c r="U15" i="1"/>
  <c r="I45" i="1"/>
  <c r="I44" i="1"/>
  <c r="I43" i="1"/>
  <c r="I42" i="1"/>
  <c r="I41" i="1"/>
  <c r="I40" i="1"/>
  <c r="I39" i="1"/>
  <c r="I38" i="1"/>
  <c r="I34" i="1"/>
  <c r="I32" i="1"/>
  <c r="I29" i="1"/>
  <c r="I27" i="1"/>
  <c r="I26" i="1"/>
  <c r="I19" i="1"/>
  <c r="I17" i="1"/>
  <c r="I12" i="1"/>
  <c r="P39" i="1"/>
  <c r="Q39" i="1"/>
  <c r="R39" i="1"/>
  <c r="S39" i="1"/>
  <c r="T39" i="1"/>
  <c r="O39" i="1"/>
  <c r="I48" i="1" l="1"/>
  <c r="G38" i="1"/>
  <c r="F38" i="1"/>
  <c r="E38" i="1"/>
  <c r="D38" i="1"/>
  <c r="C38" i="1"/>
  <c r="H38" i="1"/>
  <c r="T36" i="1"/>
  <c r="S36" i="1"/>
  <c r="R36" i="1"/>
  <c r="Q36" i="1"/>
  <c r="P36" i="1"/>
  <c r="T35" i="1"/>
  <c r="S35" i="1"/>
  <c r="R35" i="1"/>
  <c r="Q35" i="1"/>
  <c r="P35" i="1"/>
  <c r="O36" i="1"/>
  <c r="O35" i="1"/>
  <c r="H44" i="1"/>
  <c r="G44" i="1"/>
  <c r="F44" i="1"/>
  <c r="E44" i="1"/>
  <c r="D44" i="1"/>
  <c r="H43" i="1"/>
  <c r="G43" i="1"/>
  <c r="F43" i="1"/>
  <c r="E43" i="1"/>
  <c r="D43" i="1"/>
  <c r="C44" i="1"/>
  <c r="C43" i="1"/>
  <c r="T37" i="1" l="1"/>
  <c r="O37" i="1"/>
  <c r="P37" i="1"/>
  <c r="Q37" i="1"/>
  <c r="S37" i="1"/>
  <c r="R37" i="1"/>
  <c r="S28" i="1"/>
  <c r="R28" i="1"/>
  <c r="R32" i="1" s="1"/>
  <c r="Q28" i="1"/>
  <c r="P28" i="1"/>
  <c r="P32" i="1" s="1"/>
  <c r="O28" i="1"/>
  <c r="O32" i="1" s="1"/>
  <c r="S32" i="1"/>
  <c r="Q32" i="1"/>
  <c r="T28" i="1"/>
  <c r="S15" i="1"/>
  <c r="S21" i="1" s="1"/>
  <c r="R15" i="1"/>
  <c r="R21" i="1" s="1"/>
  <c r="Q15" i="1"/>
  <c r="Q21" i="1" s="1"/>
  <c r="P15" i="1"/>
  <c r="P21" i="1" s="1"/>
  <c r="O15" i="1"/>
  <c r="O21" i="1" s="1"/>
  <c r="T15" i="1"/>
  <c r="G27" i="1"/>
  <c r="F27" i="1"/>
  <c r="E27" i="1"/>
  <c r="D27" i="1"/>
  <c r="C27" i="1"/>
  <c r="H27" i="1"/>
  <c r="G17" i="1"/>
  <c r="G19" i="1" s="1"/>
  <c r="F17" i="1"/>
  <c r="E17" i="1"/>
  <c r="D17" i="1"/>
  <c r="C17" i="1"/>
  <c r="H17" i="1"/>
  <c r="G12" i="1"/>
  <c r="F12" i="1"/>
  <c r="E12" i="1"/>
  <c r="D12" i="1"/>
  <c r="D46" i="1" s="1"/>
  <c r="C12" i="1"/>
  <c r="C46" i="1" s="1"/>
  <c r="H12" i="1"/>
  <c r="C4" i="1" a="1"/>
  <c r="C6" i="1" s="1"/>
  <c r="H19" i="1" l="1"/>
  <c r="S34" i="1"/>
  <c r="F46" i="1"/>
  <c r="G46" i="1"/>
  <c r="E46" i="1"/>
  <c r="C47" i="1"/>
  <c r="F47" i="1"/>
  <c r="G47" i="1"/>
  <c r="F19" i="1"/>
  <c r="F29" i="1" s="1"/>
  <c r="R38" i="1" s="1"/>
  <c r="G40" i="1"/>
  <c r="G29" i="1"/>
  <c r="S38" i="1" s="1"/>
  <c r="H40" i="1"/>
  <c r="E19" i="1"/>
  <c r="E40" i="1" s="1"/>
  <c r="T21" i="1"/>
  <c r="D19" i="1"/>
  <c r="D40" i="1" s="1"/>
  <c r="H29" i="1"/>
  <c r="T38" i="1" s="1"/>
  <c r="T32" i="1"/>
  <c r="O34" i="1"/>
  <c r="P34" i="1"/>
  <c r="D47" i="1" s="1"/>
  <c r="C19" i="1"/>
  <c r="Q34" i="1"/>
  <c r="E47" i="1" s="1"/>
  <c r="R34" i="1"/>
  <c r="E29" i="1"/>
  <c r="Q38" i="1" s="1"/>
  <c r="H46" i="1" l="1"/>
  <c r="F40" i="1"/>
  <c r="C29" i="1"/>
  <c r="O38" i="1" s="1"/>
  <c r="C40" i="1"/>
  <c r="F32" i="1"/>
  <c r="F34" i="1" s="1"/>
  <c r="F45" i="1" s="1"/>
  <c r="F48" i="1" s="1"/>
  <c r="F41" i="1"/>
  <c r="T34" i="1"/>
  <c r="H47" i="1" s="1"/>
  <c r="D29" i="1"/>
  <c r="P38" i="1" s="1"/>
  <c r="G41" i="1"/>
  <c r="G32" i="1"/>
  <c r="G34" i="1" s="1"/>
  <c r="G45" i="1" s="1"/>
  <c r="G48" i="1" s="1"/>
  <c r="H41" i="1"/>
  <c r="H32" i="1"/>
  <c r="E32" i="1"/>
  <c r="E34" i="1" s="1"/>
  <c r="E45" i="1" s="1"/>
  <c r="E48" i="1" s="1"/>
  <c r="E41" i="1"/>
  <c r="F39" i="1" l="1"/>
  <c r="F42" i="1"/>
  <c r="D32" i="1"/>
  <c r="D34" i="1" s="1"/>
  <c r="D45" i="1" s="1"/>
  <c r="D48" i="1" s="1"/>
  <c r="D41" i="1"/>
  <c r="E39" i="1"/>
  <c r="E42" i="1"/>
  <c r="G42" i="1"/>
  <c r="G39" i="1"/>
  <c r="H34" i="1"/>
  <c r="H45" i="1" s="1"/>
  <c r="C32" i="1"/>
  <c r="C34" i="1" s="1"/>
  <c r="C45" i="1" s="1"/>
  <c r="C48" i="1" s="1"/>
  <c r="C41" i="1"/>
  <c r="H48" i="1" l="1"/>
  <c r="D39" i="1"/>
  <c r="D42" i="1"/>
  <c r="C39" i="1"/>
  <c r="C42" i="1"/>
  <c r="H42" i="1"/>
  <c r="H39" i="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2"/>
        </ext>
      </extLst>
    </bk>
  </futureMetadata>
  <cellMetadata count="1">
    <bk>
      <rc t="1" v="0"/>
    </bk>
  </cellMetadata>
  <valueMetadata count="1">
    <bk>
      <rc t="2" v="0"/>
    </bk>
  </valueMetadata>
</metadata>
</file>

<file path=xl/sharedStrings.xml><?xml version="1.0" encoding="utf-8"?>
<sst xmlns="http://schemas.openxmlformats.org/spreadsheetml/2006/main" count="103" uniqueCount="83">
  <si>
    <t>Price</t>
  </si>
  <si>
    <t>Shares outstanding</t>
  </si>
  <si>
    <t>Mkt cap</t>
  </si>
  <si>
    <t>Revenues</t>
  </si>
  <si>
    <t>1Y</t>
  </si>
  <si>
    <t>2Y</t>
  </si>
  <si>
    <t>5Y</t>
  </si>
  <si>
    <t>Product and maintenance</t>
  </si>
  <si>
    <t>Services</t>
  </si>
  <si>
    <t>Total revenue</t>
  </si>
  <si>
    <t>Cost of sales</t>
  </si>
  <si>
    <t>Total cost of sales</t>
  </si>
  <si>
    <t>Gross profit</t>
  </si>
  <si>
    <t>Expenses</t>
  </si>
  <si>
    <t>M&amp;S</t>
  </si>
  <si>
    <t>R&amp;D</t>
  </si>
  <si>
    <t>G&amp;A</t>
  </si>
  <si>
    <t>Amortization of intangibles</t>
  </si>
  <si>
    <t>Total expenses</t>
  </si>
  <si>
    <t>Interest</t>
  </si>
  <si>
    <t>Other income</t>
  </si>
  <si>
    <t>EBT</t>
  </si>
  <si>
    <t>Taxes</t>
  </si>
  <si>
    <t>Net income</t>
  </si>
  <si>
    <t>EPS</t>
  </si>
  <si>
    <t>Assets</t>
  </si>
  <si>
    <t>Current</t>
  </si>
  <si>
    <t>Cash</t>
  </si>
  <si>
    <t>Receivables</t>
  </si>
  <si>
    <t>Prepaids</t>
  </si>
  <si>
    <t>Total current assets</t>
  </si>
  <si>
    <t>PPE</t>
  </si>
  <si>
    <t>Goodwill</t>
  </si>
  <si>
    <t>Acquired intangibles</t>
  </si>
  <si>
    <t>Defer taxes</t>
  </si>
  <si>
    <t>Other</t>
  </si>
  <si>
    <t>Total assets</t>
  </si>
  <si>
    <t>Liabilities</t>
  </si>
  <si>
    <t>Current portion of LT debt</t>
  </si>
  <si>
    <t>AP &amp; accrueds</t>
  </si>
  <si>
    <t>Current portion of defer rev</t>
  </si>
  <si>
    <t>Total current liabilities</t>
  </si>
  <si>
    <t>LT portion of defer rev</t>
  </si>
  <si>
    <t>LT debt</t>
  </si>
  <si>
    <t>Total liabilities</t>
  </si>
  <si>
    <t>Equity</t>
  </si>
  <si>
    <t>Inventories</t>
  </si>
  <si>
    <t>2019</t>
  </si>
  <si>
    <t>2020</t>
  </si>
  <si>
    <t>2021</t>
  </si>
  <si>
    <t>2022</t>
  </si>
  <si>
    <t>2023</t>
  </si>
  <si>
    <t>2024</t>
  </si>
  <si>
    <t>.</t>
  </si>
  <si>
    <t>Gross margin</t>
  </si>
  <si>
    <t>Operating margin</t>
  </si>
  <si>
    <t>Net margin</t>
  </si>
  <si>
    <t>Product margin</t>
  </si>
  <si>
    <t>Services margin</t>
  </si>
  <si>
    <t>Debt</t>
  </si>
  <si>
    <t>Mkt price</t>
  </si>
  <si>
    <t>EV</t>
  </si>
  <si>
    <t>EV/EBITDA</t>
  </si>
  <si>
    <t>Invetory turnover</t>
  </si>
  <si>
    <t>NI</t>
  </si>
  <si>
    <t>REV/TA</t>
  </si>
  <si>
    <t>EM</t>
  </si>
  <si>
    <t>ROE</t>
  </si>
  <si>
    <t>2025</t>
  </si>
  <si>
    <t>IC</t>
  </si>
  <si>
    <t>Restructuring &amp; other</t>
  </si>
  <si>
    <t>EBIT</t>
  </si>
  <si>
    <t>Screening Score</t>
  </si>
  <si>
    <t>Column1</t>
  </si>
  <si>
    <t>Revenue (CAGR)</t>
  </si>
  <si>
    <t>EBITDA Margin</t>
  </si>
  <si>
    <t>ROIC</t>
  </si>
  <si>
    <t>Debt-to-EBITDA</t>
  </si>
  <si>
    <t>EPS σ</t>
  </si>
  <si>
    <t>EV-to-EBITDA</t>
  </si>
  <si>
    <t>Industry</t>
  </si>
  <si>
    <t>Cadence Notes:</t>
  </si>
  <si>
    <t>Software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</si>
</sst>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44" formatCode="_(&quot;$&quot;* #,##0.00_);_(&quot;$&quot;* \(#,##0.00\);_(&quot;$&quot;* &quot;-&quot;??_);_(@_)"/>
    <numFmt numFmtId="43" formatCode="_(* #,##0.00_);_(* \(#,##0.00\);_(* &quot;-&quot;??_);_(@_)"/>
    <numFmt numFmtId="164" formatCode="_([$$-409]* #,##0.00_);_([$$-409]* \(#,##0.00\);_([$$-409]* &quot;-&quot;??_);_(@_)"/>
    <numFmt numFmtId="165" formatCode="_(* #,##0.0_);_(* \(#,##0.0\);_(* &quot;-&quot;??_);_(@_)"/>
    <numFmt numFmtId="166" formatCode="_(* #,##0_);_(* \(#,##0\);_(* &quot;-&quot;??_);_(@_)"/>
    <numFmt numFmtId="167" formatCode="_(* #,##0.000_);_(* \(#,##0.000\);_(* &quot;-&quot;??_);_(@_)"/>
    <numFmt numFmtId="168" formatCode="0.0%"/>
    <numFmt numFmtId="169" formatCode="0.000%"/>
    <numFmt numFmtId="170" formatCode="0.000"/>
  </numFmts>
  <fonts count="15" x14ac:knownFonts="1">
    <font>
      <sz val="11"/>
      <color theme="1"/>
      <name val="Aptos Narrow"/>
      <family val="2"/>
      <scheme val="minor"/>
    </font>
    <font>
      <sz val="10"/>
      <color theme="1"/>
      <name val="Arial"/>
      <family val="2"/>
    </font>
    <font>
      <sz val="10"/>
      <color theme="1"/>
      <name val="Arial"/>
      <family val="2"/>
    </font>
    <font>
      <sz val="10"/>
      <color theme="1"/>
      <name val="Arial"/>
      <family val="2"/>
    </font>
    <font>
      <sz val="11"/>
      <color theme="1"/>
      <name val="Aptos Narrow"/>
      <family val="2"/>
      <scheme val="minor"/>
    </font>
    <font>
      <sz val="10"/>
      <color theme="1"/>
      <name val="Arial"/>
      <family val="2"/>
    </font>
    <font>
      <b/>
      <sz val="10"/>
      <color theme="1"/>
      <name val="Arial"/>
      <family val="2"/>
    </font>
    <font>
      <sz val="10"/>
      <color theme="4"/>
      <name val="Arial"/>
      <family val="2"/>
    </font>
    <font>
      <b/>
      <sz val="10"/>
      <color theme="0"/>
      <name val="Arial"/>
      <family val="2"/>
    </font>
    <font>
      <sz val="10"/>
      <color theme="0"/>
      <name val="Arial"/>
      <family val="2"/>
    </font>
    <font>
      <sz val="12"/>
      <color theme="1"/>
      <name val="Arial"/>
      <family val="2"/>
    </font>
    <font>
      <b/>
      <sz val="16"/>
      <color theme="1"/>
      <name val="Arial"/>
      <family val="2"/>
    </font>
    <font>
      <b/>
      <sz val="12"/>
      <color theme="1"/>
      <name val="Arial"/>
      <family val="2"/>
    </font>
    <font>
      <sz val="12"/>
      <color theme="4"/>
      <name val="Arial"/>
      <family val="2"/>
    </font>
    <font>
      <sz val="12"/>
      <color theme="0"/>
      <name val="Arial"/>
      <family val="2"/>
    </font>
  </fonts>
  <fills count="6">
    <fill>
      <patternFill patternType="none"/>
    </fill>
    <fill>
      <patternFill patternType="gray125"/>
    </fill>
    <fill>
      <patternFill patternType="solid">
        <fgColor rgb="FFFFFF00"/>
        <bgColor indexed="64"/>
      </patternFill>
    </fill>
    <fill>
      <patternFill patternType="solid">
        <fgColor rgb="FF94DCF8"/>
        <bgColor indexed="64"/>
      </patternFill>
    </fill>
    <fill>
      <patternFill patternType="solid">
        <fgColor rgb="FFB5E6A2"/>
        <bgColor indexed="64"/>
      </patternFill>
    </fill>
    <fill>
      <patternFill patternType="solid">
        <fgColor rgb="FFFF0000"/>
        <bgColor indexed="64"/>
      </patternFill>
    </fill>
  </fills>
  <borders count="6">
    <border>
      <left/>
      <right/>
      <top/>
      <bottom/>
      <diagonal/>
    </border>
    <border>
      <left/>
      <right/>
      <top/>
      <bottom style="thin">
        <color indexed="64"/>
      </bottom>
      <diagonal/>
    </border>
    <border>
      <left/>
      <right style="thin">
        <color indexed="64"/>
      </right>
      <top/>
      <bottom/>
      <diagonal/>
    </border>
    <border>
      <left/>
      <right style="thin">
        <color indexed="64"/>
      </right>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s>
  <cellStyleXfs count="4">
    <xf numFmtId="0" fontId="0" fillId="0" borderId="0"/>
    <xf numFmtId="43" fontId="4" fillId="0" borderId="0" applyFont="0" applyFill="0" applyBorder="0" applyAlignment="0" applyProtection="0"/>
    <xf numFmtId="44" fontId="4" fillId="0" borderId="0" applyFont="0" applyFill="0" applyBorder="0" applyAlignment="0" applyProtection="0"/>
    <xf numFmtId="9" fontId="4" fillId="0" borderId="0" applyFont="0" applyFill="0" applyBorder="0" applyAlignment="0" applyProtection="0"/>
  </cellStyleXfs>
  <cellXfs count="60">
    <xf numFmtId="0" fontId="0" fillId="0" borderId="0" xfId="0"/>
    <xf numFmtId="0" fontId="5" fillId="0" borderId="0" xfId="0" applyFont="1"/>
    <xf numFmtId="164" fontId="5" fillId="0" borderId="0" xfId="0" applyNumberFormat="1" applyFont="1"/>
    <xf numFmtId="165" fontId="5" fillId="0" borderId="0" xfId="1" applyNumberFormat="1" applyFont="1"/>
    <xf numFmtId="0" fontId="6" fillId="0" borderId="1" xfId="0" applyFont="1" applyBorder="1"/>
    <xf numFmtId="0" fontId="6" fillId="0" borderId="2" xfId="0" applyFont="1" applyBorder="1"/>
    <xf numFmtId="0" fontId="5" fillId="0" borderId="2" xfId="0" applyFont="1" applyBorder="1"/>
    <xf numFmtId="0" fontId="6" fillId="0" borderId="5" xfId="0" applyFont="1" applyBorder="1"/>
    <xf numFmtId="165" fontId="0" fillId="0" borderId="0" xfId="1" applyNumberFormat="1" applyFont="1"/>
    <xf numFmtId="165" fontId="6" fillId="0" borderId="4" xfId="1" applyNumberFormat="1" applyFont="1" applyBorder="1"/>
    <xf numFmtId="165" fontId="6" fillId="0" borderId="0" xfId="1" applyNumberFormat="1" applyFont="1"/>
    <xf numFmtId="0" fontId="6" fillId="0" borderId="5" xfId="0" applyFont="1" applyBorder="1" applyAlignment="1">
      <alignment horizontal="left" indent="1"/>
    </xf>
    <xf numFmtId="0" fontId="5" fillId="0" borderId="2" xfId="0" applyFont="1" applyBorder="1" applyAlignment="1">
      <alignment horizontal="left" indent="1"/>
    </xf>
    <xf numFmtId="0" fontId="6" fillId="0" borderId="5" xfId="0" applyFont="1" applyBorder="1" applyAlignment="1">
      <alignment horizontal="left" indent="2"/>
    </xf>
    <xf numFmtId="44" fontId="5" fillId="0" borderId="0" xfId="2" applyFont="1"/>
    <xf numFmtId="0" fontId="6" fillId="0" borderId="2" xfId="0" applyFont="1" applyBorder="1" applyAlignment="1">
      <alignment horizontal="left"/>
    </xf>
    <xf numFmtId="0" fontId="6" fillId="0" borderId="0" xfId="0" applyFont="1"/>
    <xf numFmtId="165" fontId="6" fillId="0" borderId="4" xfId="1" applyNumberFormat="1" applyFont="1" applyBorder="1" applyAlignment="1">
      <alignment horizontal="left" indent="1"/>
    </xf>
    <xf numFmtId="0" fontId="6" fillId="2" borderId="1" xfId="0" applyFont="1" applyFill="1" applyBorder="1" applyAlignment="1">
      <alignment horizontal="center"/>
    </xf>
    <xf numFmtId="0" fontId="6" fillId="3" borderId="1" xfId="0" applyFont="1" applyFill="1" applyBorder="1" applyAlignment="1">
      <alignment horizontal="center"/>
    </xf>
    <xf numFmtId="0" fontId="6" fillId="4" borderId="1" xfId="0" applyFont="1" applyFill="1" applyBorder="1" applyAlignment="1">
      <alignment horizontal="center"/>
    </xf>
    <xf numFmtId="0" fontId="5" fillId="2" borderId="0" xfId="0" applyFont="1" applyFill="1"/>
    <xf numFmtId="0" fontId="5" fillId="3" borderId="0" xfId="0" applyFont="1" applyFill="1"/>
    <xf numFmtId="0" fontId="5" fillId="4" borderId="0" xfId="0" applyFont="1" applyFill="1"/>
    <xf numFmtId="9" fontId="5" fillId="2" borderId="0" xfId="3" applyFont="1" applyFill="1"/>
    <xf numFmtId="9" fontId="5" fillId="3" borderId="0" xfId="3" applyFont="1" applyFill="1"/>
    <xf numFmtId="9" fontId="5" fillId="4" borderId="0" xfId="3" applyFont="1" applyFill="1"/>
    <xf numFmtId="0" fontId="7" fillId="0" borderId="0" xfId="0" applyFont="1"/>
    <xf numFmtId="0" fontId="7" fillId="0" borderId="3" xfId="0" applyFont="1" applyBorder="1"/>
    <xf numFmtId="0" fontId="3" fillId="0" borderId="2" xfId="0" applyFont="1" applyBorder="1"/>
    <xf numFmtId="165" fontId="3" fillId="0" borderId="0" xfId="1" applyNumberFormat="1" applyFont="1"/>
    <xf numFmtId="9" fontId="3" fillId="0" borderId="0" xfId="3" applyFont="1"/>
    <xf numFmtId="0" fontId="2" fillId="0" borderId="2" xfId="0" applyFont="1" applyBorder="1"/>
    <xf numFmtId="165" fontId="2" fillId="0" borderId="0" xfId="1" applyNumberFormat="1" applyFont="1"/>
    <xf numFmtId="44" fontId="2" fillId="0" borderId="0" xfId="2" applyFont="1"/>
    <xf numFmtId="166" fontId="2" fillId="0" borderId="0" xfId="1" applyNumberFormat="1" applyFont="1"/>
    <xf numFmtId="167" fontId="2" fillId="0" borderId="0" xfId="1" applyNumberFormat="1" applyFont="1"/>
    <xf numFmtId="165" fontId="1" fillId="0" borderId="0" xfId="1" applyNumberFormat="1" applyFont="1"/>
    <xf numFmtId="0" fontId="1" fillId="0" borderId="2" xfId="0" applyFont="1" applyBorder="1"/>
    <xf numFmtId="168" fontId="5" fillId="2" borderId="0" xfId="3" applyNumberFormat="1" applyFont="1" applyFill="1"/>
    <xf numFmtId="168" fontId="5" fillId="3" borderId="0" xfId="3" applyNumberFormat="1" applyFont="1" applyFill="1"/>
    <xf numFmtId="168" fontId="5" fillId="4" borderId="0" xfId="3" applyNumberFormat="1" applyFont="1" applyFill="1"/>
    <xf numFmtId="168" fontId="6" fillId="3" borderId="0" xfId="3" applyNumberFormat="1" applyFont="1" applyFill="1"/>
    <xf numFmtId="168" fontId="6" fillId="2" borderId="4" xfId="3" applyNumberFormat="1" applyFont="1" applyFill="1" applyBorder="1"/>
    <xf numFmtId="168" fontId="6" fillId="3" borderId="4" xfId="3" applyNumberFormat="1" applyFont="1" applyFill="1" applyBorder="1"/>
    <xf numFmtId="168" fontId="6" fillId="4" borderId="4" xfId="3" applyNumberFormat="1" applyFont="1" applyFill="1" applyBorder="1"/>
    <xf numFmtId="168" fontId="8" fillId="5" borderId="4" xfId="3" applyNumberFormat="1" applyFont="1" applyFill="1" applyBorder="1"/>
    <xf numFmtId="168" fontId="9" fillId="5" borderId="0" xfId="3" applyNumberFormat="1" applyFont="1" applyFill="1"/>
    <xf numFmtId="168" fontId="8" fillId="5" borderId="0" xfId="3" applyNumberFormat="1" applyFont="1" applyFill="1"/>
    <xf numFmtId="169" fontId="2" fillId="0" borderId="0" xfId="3" applyNumberFormat="1" applyFont="1"/>
    <xf numFmtId="10" fontId="3" fillId="0" borderId="0" xfId="3" applyNumberFormat="1" applyFont="1"/>
    <xf numFmtId="0" fontId="10" fillId="0" borderId="0" xfId="0" applyFont="1"/>
    <xf numFmtId="0" fontId="11" fillId="0" borderId="0" xfId="0" applyFont="1"/>
    <xf numFmtId="0" fontId="12" fillId="0" borderId="0" xfId="0" applyFont="1"/>
    <xf numFmtId="0" fontId="13" fillId="0" borderId="0" xfId="0" applyFont="1"/>
    <xf numFmtId="0" fontId="14" fillId="0" borderId="0" xfId="0" applyFont="1" applyAlignment="1">
      <alignment horizontal="right"/>
    </xf>
    <xf numFmtId="10" fontId="10" fillId="0" borderId="0" xfId="3" applyNumberFormat="1" applyFont="1"/>
    <xf numFmtId="170" fontId="10" fillId="0" borderId="0" xfId="0" applyNumberFormat="1" applyFont="1"/>
    <xf numFmtId="2" fontId="10" fillId="0" borderId="0" xfId="0" applyNumberFormat="1" applyFont="1"/>
    <xf numFmtId="0" fontId="10" fillId="0" borderId="0" xfId="0" applyFont="1" applyAlignment="1">
      <alignment horizontal="right"/>
    </xf>
  </cellXfs>
  <cellStyles count="4">
    <cellStyle name="Comma" xfId="1" builtinId="3"/>
    <cellStyle name="Currency" xfId="2" builtinId="4"/>
    <cellStyle name="Normal" xfId="0" builtinId="0"/>
    <cellStyle name="Percent" xfId="3" builtinId="5"/>
  </cellStyles>
  <dxfs count="26">
    <dxf>
      <font>
        <b val="0"/>
        <i val="0"/>
        <strike val="0"/>
        <condense val="0"/>
        <extend val="0"/>
        <outline val="0"/>
        <shadow val="0"/>
        <u val="none"/>
        <vertAlign val="baseline"/>
        <sz val="12"/>
        <color theme="1"/>
        <name val="Arial"/>
        <family val="2"/>
        <scheme val="none"/>
      </font>
    </dxf>
    <dxf>
      <font>
        <b val="0"/>
        <i val="0"/>
        <strike val="0"/>
        <condense val="0"/>
        <extend val="0"/>
        <outline val="0"/>
        <shadow val="0"/>
        <u val="none"/>
        <vertAlign val="baseline"/>
        <sz val="12"/>
        <color theme="1"/>
        <name val="Arial"/>
        <family val="2"/>
        <scheme val="none"/>
      </font>
    </dxf>
    <dxf>
      <font>
        <b val="0"/>
        <i val="0"/>
        <strike val="0"/>
        <condense val="0"/>
        <extend val="0"/>
        <outline val="0"/>
        <shadow val="0"/>
        <u val="none"/>
        <vertAlign val="baseline"/>
        <sz val="12"/>
        <color theme="1"/>
        <name val="Arial"/>
        <family val="2"/>
        <scheme val="none"/>
      </font>
    </dxf>
    <dxf>
      <font>
        <b val="0"/>
        <i val="0"/>
        <strike val="0"/>
        <condense val="0"/>
        <extend val="0"/>
        <outline val="0"/>
        <shadow val="0"/>
        <u val="none"/>
        <vertAlign val="baseline"/>
        <sz val="12"/>
        <color theme="1"/>
        <name val="Arial"/>
        <family val="2"/>
        <scheme val="none"/>
      </font>
    </dxf>
    <dxf>
      <font>
        <b val="0"/>
        <i val="0"/>
        <strike val="0"/>
        <condense val="0"/>
        <extend val="0"/>
        <outline val="0"/>
        <shadow val="0"/>
        <u val="none"/>
        <vertAlign val="baseline"/>
        <sz val="12"/>
        <color theme="1"/>
        <name val="Arial"/>
        <family val="2"/>
        <scheme val="none"/>
      </font>
    </dxf>
    <dxf>
      <font>
        <b val="0"/>
        <i val="0"/>
        <strike val="0"/>
        <condense val="0"/>
        <extend val="0"/>
        <outline val="0"/>
        <shadow val="0"/>
        <u val="none"/>
        <vertAlign val="baseline"/>
        <sz val="10"/>
        <color theme="1"/>
        <name val="Arial"/>
        <family val="2"/>
        <scheme val="none"/>
      </font>
      <numFmt numFmtId="165" formatCode="_(* #,##0.0_);_(* \(#,##0.0\);_(* &quot;-&quot;??_);_(@_)"/>
    </dxf>
    <dxf>
      <font>
        <b val="0"/>
        <i val="0"/>
        <strike val="0"/>
        <condense val="0"/>
        <extend val="0"/>
        <outline val="0"/>
        <shadow val="0"/>
        <u val="none"/>
        <vertAlign val="baseline"/>
        <sz val="10"/>
        <color theme="1"/>
        <name val="Arial"/>
        <family val="2"/>
        <scheme val="none"/>
      </font>
      <numFmt numFmtId="165" formatCode="_(* #,##0.0_);_(* \(#,##0.0\);_(* &quot;-&quot;??_);_(@_)"/>
    </dxf>
    <dxf>
      <font>
        <b val="0"/>
        <i val="0"/>
        <strike val="0"/>
        <condense val="0"/>
        <extend val="0"/>
        <outline val="0"/>
        <shadow val="0"/>
        <u val="none"/>
        <vertAlign val="baseline"/>
        <sz val="10"/>
        <color theme="1"/>
        <name val="Arial"/>
        <family val="2"/>
        <scheme val="none"/>
      </font>
      <numFmt numFmtId="165" formatCode="_(* #,##0.0_);_(* \(#,##0.0\);_(* &quot;-&quot;??_);_(@_)"/>
    </dxf>
    <dxf>
      <font>
        <b val="0"/>
        <i val="0"/>
        <strike val="0"/>
        <condense val="0"/>
        <extend val="0"/>
        <outline val="0"/>
        <shadow val="0"/>
        <u val="none"/>
        <vertAlign val="baseline"/>
        <sz val="10"/>
        <color theme="1"/>
        <name val="Arial"/>
        <family val="2"/>
        <scheme val="none"/>
      </font>
      <numFmt numFmtId="165" formatCode="_(* #,##0.0_);_(* \(#,##0.0\);_(* &quot;-&quot;??_);_(@_)"/>
    </dxf>
    <dxf>
      <font>
        <b val="0"/>
        <i val="0"/>
        <strike val="0"/>
        <condense val="0"/>
        <extend val="0"/>
        <outline val="0"/>
        <shadow val="0"/>
        <u val="none"/>
        <vertAlign val="baseline"/>
        <sz val="10"/>
        <color theme="1"/>
        <name val="Arial"/>
        <family val="2"/>
        <scheme val="none"/>
      </font>
      <numFmt numFmtId="165" formatCode="_(* #,##0.0_);_(* \(#,##0.0\);_(* &quot;-&quot;??_);_(@_)"/>
    </dxf>
    <dxf>
      <font>
        <b val="0"/>
        <i val="0"/>
        <strike val="0"/>
        <condense val="0"/>
        <extend val="0"/>
        <outline val="0"/>
        <shadow val="0"/>
        <u val="none"/>
        <vertAlign val="baseline"/>
        <sz val="10"/>
        <color theme="1"/>
        <name val="Arial"/>
        <family val="2"/>
        <scheme val="none"/>
      </font>
      <numFmt numFmtId="165" formatCode="_(* #,##0.0_);_(* \(#,##0.0\);_(* &quot;-&quot;??_);_(@_)"/>
    </dxf>
    <dxf>
      <font>
        <b val="0"/>
        <i val="0"/>
        <strike val="0"/>
        <condense val="0"/>
        <extend val="0"/>
        <outline val="0"/>
        <shadow val="0"/>
        <u val="none"/>
        <vertAlign val="baseline"/>
        <sz val="10"/>
        <color theme="1"/>
        <name val="Arial"/>
        <family val="2"/>
        <scheme val="none"/>
      </font>
      <numFmt numFmtId="165" formatCode="_(* #,##0.0_);_(* \(#,##0.0\);_(* &quot;-&quot;??_);_(@_)"/>
    </dxf>
    <dxf>
      <font>
        <b val="0"/>
        <i val="0"/>
        <strike val="0"/>
        <condense val="0"/>
        <extend val="0"/>
        <outline val="0"/>
        <shadow val="0"/>
        <u val="none"/>
        <vertAlign val="baseline"/>
        <sz val="10"/>
        <color theme="1"/>
        <name val="Arial"/>
        <family val="2"/>
        <scheme val="none"/>
      </font>
    </dxf>
    <dxf>
      <border outline="0">
        <bottom style="thin">
          <color indexed="64"/>
        </bottom>
      </border>
    </dxf>
    <dxf>
      <font>
        <b/>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numFmt numFmtId="165" formatCode="_(* #,##0.0_);_(* \(#,##0.0\);_(* &quot;-&quot;??_);_(@_)"/>
    </dxf>
    <dxf>
      <font>
        <b val="0"/>
        <i val="0"/>
        <strike val="0"/>
        <condense val="0"/>
        <extend val="0"/>
        <outline val="0"/>
        <shadow val="0"/>
        <u val="none"/>
        <vertAlign val="baseline"/>
        <sz val="10"/>
        <color theme="1"/>
        <name val="Arial"/>
        <family val="2"/>
        <scheme val="none"/>
      </font>
      <numFmt numFmtId="165" formatCode="_(* #,##0.0_);_(* \(#,##0.0\);_(* &quot;-&quot;??_);_(@_)"/>
    </dxf>
    <dxf>
      <font>
        <b val="0"/>
        <i val="0"/>
        <strike val="0"/>
        <condense val="0"/>
        <extend val="0"/>
        <outline val="0"/>
        <shadow val="0"/>
        <u val="none"/>
        <vertAlign val="baseline"/>
        <sz val="10"/>
        <color theme="1"/>
        <name val="Arial"/>
        <family val="2"/>
        <scheme val="none"/>
      </font>
      <numFmt numFmtId="165" formatCode="_(* #,##0.0_);_(* \(#,##0.0\);_(* &quot;-&quot;??_);_(@_)"/>
    </dxf>
    <dxf>
      <font>
        <b val="0"/>
        <i val="0"/>
        <strike val="0"/>
        <condense val="0"/>
        <extend val="0"/>
        <outline val="0"/>
        <shadow val="0"/>
        <u val="none"/>
        <vertAlign val="baseline"/>
        <sz val="10"/>
        <color theme="1"/>
        <name val="Arial"/>
        <family val="2"/>
        <scheme val="none"/>
      </font>
      <numFmt numFmtId="165" formatCode="_(* #,##0.0_);_(* \(#,##0.0\);_(* &quot;-&quot;??_);_(@_)"/>
    </dxf>
    <dxf>
      <font>
        <b val="0"/>
        <i val="0"/>
        <strike val="0"/>
        <condense val="0"/>
        <extend val="0"/>
        <outline val="0"/>
        <shadow val="0"/>
        <u val="none"/>
        <vertAlign val="baseline"/>
        <sz val="10"/>
        <color theme="1"/>
        <name val="Arial"/>
        <family val="2"/>
        <scheme val="none"/>
      </font>
      <numFmt numFmtId="165" formatCode="_(* #,##0.0_);_(* \(#,##0.0\);_(* &quot;-&quot;??_);_(@_)"/>
    </dxf>
    <dxf>
      <font>
        <b val="0"/>
        <i val="0"/>
        <strike val="0"/>
        <condense val="0"/>
        <extend val="0"/>
        <outline val="0"/>
        <shadow val="0"/>
        <u val="none"/>
        <vertAlign val="baseline"/>
        <sz val="10"/>
        <color theme="1"/>
        <name val="Arial"/>
        <family val="2"/>
        <scheme val="none"/>
      </font>
      <numFmt numFmtId="165" formatCode="_(* #,##0.0_);_(* \(#,##0.0\);_(* &quot;-&quot;??_);_(@_)"/>
    </dxf>
    <dxf>
      <font>
        <b val="0"/>
        <i val="0"/>
        <strike val="0"/>
        <condense val="0"/>
        <extend val="0"/>
        <outline val="0"/>
        <shadow val="0"/>
        <u val="none"/>
        <vertAlign val="baseline"/>
        <sz val="10"/>
        <color theme="1"/>
        <name val="Arial"/>
        <family val="2"/>
        <scheme val="none"/>
      </font>
      <numFmt numFmtId="165" formatCode="_(* #,##0.0_);_(* \(#,##0.0\);_(* &quot;-&quot;??_);_(@_)"/>
    </dxf>
    <dxf>
      <font>
        <b val="0"/>
        <i val="0"/>
        <strike val="0"/>
        <condense val="0"/>
        <extend val="0"/>
        <outline val="0"/>
        <shadow val="0"/>
        <u val="none"/>
        <vertAlign val="baseline"/>
        <sz val="10"/>
        <color theme="1"/>
        <name val="Arial"/>
        <family val="2"/>
        <scheme val="none"/>
      </font>
      <border diagonalUp="0" diagonalDown="0">
        <left/>
        <right style="thin">
          <color indexed="64"/>
        </right>
        <top/>
        <bottom/>
        <vertical/>
        <horizontal/>
      </border>
    </dxf>
    <dxf>
      <font>
        <b val="0"/>
        <i val="0"/>
        <strike val="0"/>
        <condense val="0"/>
        <extend val="0"/>
        <outline val="0"/>
        <shadow val="0"/>
        <u val="none"/>
        <vertAlign val="baseline"/>
        <sz val="10"/>
        <color theme="1"/>
        <name val="Arial"/>
        <family val="2"/>
        <scheme val="none"/>
      </font>
    </dxf>
    <dxf>
      <border outline="0">
        <bottom style="thin">
          <color indexed="64"/>
        </bottom>
      </border>
    </dxf>
    <dxf>
      <font>
        <b/>
        <i val="0"/>
        <strike val="0"/>
        <condense val="0"/>
        <extend val="0"/>
        <outline val="0"/>
        <shadow val="0"/>
        <u val="none"/>
        <vertAlign val="baseline"/>
        <sz val="10"/>
        <color theme="1"/>
        <name val="Arial"/>
        <family val="2"/>
        <scheme val="none"/>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06/relationships/rdRichValueStructure" Target="richData/rdrichvaluestructure.xml"/><Relationship Id="rId13" Type="http://schemas.openxmlformats.org/officeDocument/2006/relationships/calcChain" Target="calcChain.xml"/><Relationship Id="rId18" Type="http://schemas.microsoft.com/office/2006/relationships/vbaProject" Target="vbaProject.bin"/><Relationship Id="rId3" Type="http://schemas.openxmlformats.org/officeDocument/2006/relationships/theme" Target="theme/theme1.xml"/><Relationship Id="rId7" Type="http://schemas.microsoft.com/office/2017/06/relationships/rdRichValue" Target="richData/rdrichvalue.xml"/><Relationship Id="rId12" Type="http://schemas.microsoft.com/office/2017/06/relationships/rdRichValueTypes" Target="richData/rdRichValueTypes.xml"/><Relationship Id="rId17" Type="http://schemas.openxmlformats.org/officeDocument/2006/relationships/customXml" Target="../customXml/item4.xml"/><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sheetMetadata" Target="metadata.xml"/><Relationship Id="rId11" Type="http://schemas.microsoft.com/office/2017/06/relationships/rdSupportingPropertyBag" Target="richData/rdsupportingpropertybag.xml"/><Relationship Id="rId5" Type="http://schemas.openxmlformats.org/officeDocument/2006/relationships/sharedStrings" Target="sharedStrings.xml"/><Relationship Id="rId15" Type="http://schemas.openxmlformats.org/officeDocument/2006/relationships/customXml" Target="../customXml/item2.xml"/><Relationship Id="rId10" Type="http://schemas.microsoft.com/office/2017/06/relationships/rdSupportingPropertyBagStructure" Target="richData/rdsupportingpropertybagstructure.xml"/><Relationship Id="rId4" Type="http://schemas.openxmlformats.org/officeDocument/2006/relationships/styles" Target="styles.xml"/><Relationship Id="rId9" Type="http://schemas.microsoft.com/office/2017/06/relationships/richStyles" Target="richData/richStyles.xml"/><Relationship Id="rId14" Type="http://schemas.openxmlformats.org/officeDocument/2006/relationships/customXml" Target="../customXml/item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4</xdr:col>
      <xdr:colOff>61912</xdr:colOff>
      <xdr:row>0</xdr:row>
      <xdr:rowOff>123826</xdr:rowOff>
    </xdr:from>
    <xdr:to>
      <xdr:col>8</xdr:col>
      <xdr:colOff>675173</xdr:colOff>
      <xdr:row>6</xdr:row>
      <xdr:rowOff>63104</xdr:rowOff>
    </xdr:to>
    <xdr:pic>
      <xdr:nvPicPr>
        <xdr:cNvPr id="2" name="Picture 1">
          <a:extLst>
            <a:ext uri="{FF2B5EF4-FFF2-40B4-BE49-F238E27FC236}">
              <a16:creationId xmlns:a16="http://schemas.microsoft.com/office/drawing/2014/main" id="{343FFA23-E7BF-C30C-9CB6-EC92641BD119}"/>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881437" y="123826"/>
          <a:ext cx="3432661" cy="91082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DotNotation"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richvalue.xml><?xml version="1.0" encoding="utf-8"?>
<rvData xmlns="http://schemas.microsoft.com/office/spreadsheetml/2017/richdata" count="3">
  <rv s="0">
    <v>https://www.bing.com/financeapi/forcetrigger?t=a1pejc&amp;q=XNAS%3aCDNS&amp;form=skydnc</v>
    <v>Learn more on Bing</v>
  </rv>
  <rv s="1">
    <v>en-US</v>
    <v>a1pejc</v>
    <v>268435456</v>
    <v>1</v>
    <v>Powered by Refinitiv</v>
    <v>0</v>
    <v>CADENCE DESIGN SYSTEMS, INC. (XNAS:CDNS)</v>
    <v>2</v>
    <v>3</v>
    <v>Finance</v>
    <v>4</v>
    <v>416.69</v>
    <v>262.74900000000002</v>
    <v>1.1386000000000001</v>
    <v>-4.55</v>
    <v>-1.6100000000000001E-4</v>
    <v>-1.206E-2</v>
    <v>-0.06</v>
    <v>USD</v>
    <v>Cadence Design Systems, Inc. is an electronic systems designing company. The Company applies its Intelligent System Design strategy to deliver software, hardware and intellectual property (IP) that turn design concepts into reality. Its product categories include Core Electronic Design Automation (EDA), Semiconductor IP, and System Design and Analysis (SD&amp;A). Core EDA includes software, hardware, and services used to design and verify a wide variety of semiconductors. The semiconductor IP portfolio includes silicon subsystems, software, and services that are used in semiconductor design. The SD&amp;A category provides solutions and services that enable the design and verification of complete electronic systems, from PCBs to complex system assemblies. Its semiconductors are used in various industries, including automotive, aerospace, biotech, hyperscale and cloud computing, data centers, telecommunications, medical technology, industrial Internet of things, and artificial intelligence (AI).</v>
    <v>13800</v>
    <v>Nasdaq Stock Market</v>
    <v>XNAS</v>
    <v>XNAS</v>
    <v>2655 Seely Avenue Bldg 5, SAN JOSE, CA, 95134 US</v>
    <v>387.19</v>
    <v>Software &amp; IT Services</v>
    <v>Stock</v>
    <v>46202.903741909373</v>
    <v>0</v>
    <v>371.37</v>
    <v>102802139520</v>
    <v>CADENCE DESIGN SYSTEMS, INC.</v>
    <v>CADENCE DESIGN SYSTEMS, INC.</v>
    <v>381.48</v>
    <v>87.013000000000005</v>
    <v>377.27</v>
    <v>372.72</v>
    <v>372.66</v>
    <v>275816000</v>
    <v>CDNS</v>
    <v>CADENCE DESIGN SYSTEMS, INC. (XNAS:CDNS)</v>
    <v>2675642</v>
    <v>2683243</v>
    <v>1987</v>
  </rv>
  <rv s="2">
    <v>1</v>
  </rv>
</rvData>
</file>

<file path=xl/richData/rdrichvaluestructure.xml><?xml version="1.0" encoding="utf-8"?>
<rvStructures xmlns="http://schemas.microsoft.com/office/spreadsheetml/2017/richdata" count="3">
  <s t="_hyperlink">
    <k n="Address" t="s"/>
    <k n="Text" t="s"/>
  </s>
  <s t="_linkedentitycore">
    <k n="%EntityCulture" t="s"/>
    <k n="%EntityId" t="s"/>
    <k n="%EntityServiceId"/>
    <k n="%IsRefreshable" t="b"/>
    <k n="%ProviderInfo" t="s"/>
    <k n="_Display" t="spb"/>
    <k n="_DisplayString" t="s"/>
    <k n="_Flags" t="spb"/>
    <k n="_Format" t="spb"/>
    <k n="_Icon" t="s"/>
    <k n="_SubLabel" t="spb"/>
    <k n="52 week high"/>
    <k n="52 week low"/>
    <k n="Beta"/>
    <k n="Change"/>
    <k n="Change % (Extended hours)"/>
    <k n="Change (%)"/>
    <k n="Change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
    <k n="%cvi" t="r"/>
  </s>
</rvStructures>
</file>

<file path=xl/richData/rdsupportingpropertybag.xml><?xml version="1.0" encoding="utf-8"?>
<supportingPropertyBags xmlns="http://schemas.microsoft.com/office/spreadsheetml/2017/richdata2">
  <spbArrays count="1">
    <a count="45">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spbArrays>
  <spbData count="5">
    <spb s="0">
      <v>0</v>
      <v>Name</v>
      <v>LearnMoreOnLink</v>
    </spb>
    <spb s="1">
      <v>0</v>
      <v>0</v>
      <v>0</v>
    </spb>
    <spb s="2">
      <v>1</v>
      <v>1</v>
      <v>1</v>
      <v>1</v>
    </spb>
    <spb s="3">
      <v>1</v>
      <v>2</v>
      <v>2</v>
      <v>1</v>
      <v>3</v>
      <v>1</v>
      <v>1</v>
      <v>1</v>
      <v>4</v>
      <v>4</v>
      <v>5</v>
      <v>6</v>
      <v>1</v>
      <v>1</v>
      <v>1</v>
      <v>4</v>
      <v>7</v>
      <v>8</v>
      <v>9</v>
      <v>4</v>
      <v>1</v>
      <v>1</v>
      <v>5</v>
    </spb>
    <spb s="4">
      <v>at close</v>
      <v>from previous close</v>
      <v>from previous close</v>
      <v>Source: Nasdaq Last Sale</v>
      <v>GMT</v>
      <v>Real-Time Nasdaq Last Sale</v>
      <v>from close</v>
      <v>from close</v>
    </spb>
  </spbData>
</supportingPropertyBags>
</file>

<file path=xl/richData/rdsupportingpropertybagstructure.xml><?xml version="1.0" encoding="utf-8"?>
<spbStructures xmlns="http://schemas.microsoft.com/office/spreadsheetml/2017/richdata2" count="5">
  <s>
    <k n="^Order" t="spba"/>
    <k n="TitleProperty" t="s"/>
    <k n="SubTitleProperty" t="s"/>
  </s>
  <s>
    <k n="ShowInCardView" t="b"/>
    <k n="ShowInDotNotation" t="b"/>
    <k n="ShowInAutoComplete" t="b"/>
  </s>
  <s>
    <k n="ExchangeID" t="spb"/>
    <k n="UniqueName" t="spb"/>
    <k n="`%ProviderInfo" t="spb"/>
    <k n="LearnMoreOnLink" t="spb"/>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Price" t="s"/>
    <k n="Change" t="s"/>
    <k n="Change (%)" t="s"/>
    <k n="ExchangeID" t="s"/>
    <k n="Last trade time" t="s"/>
    <k n="Price (Extended hours)" t="s"/>
    <k n="Change (Extended hours)" t="s"/>
    <k n="Change % (Extended hours)" t="s"/>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7">
    <x:dxf>
      <x:numFmt numFmtId="2" formatCode="0.00"/>
    </x:dxf>
    <x:dxf>
      <x:numFmt numFmtId="0" formatCode="General"/>
    </x:dxf>
    <x:dxf>
      <x:numFmt numFmtId="27" formatCode="m/d/yyyy\ h:mm"/>
    </x:dxf>
    <x:dxf>
      <x:numFmt numFmtId="14" formatCode="0.00%"/>
    </x:dxf>
    <x:dxf>
      <x:numFmt numFmtId="3" formatCode="#,##0"/>
    </x:dxf>
    <x:dxf>
      <x:numFmt numFmtId="4" formatCode="#,##0.00"/>
    </x:dxf>
    <x:dxf>
      <x:numFmt numFmtId="1" formatCode="0"/>
    </x:dxf>
  </dxfs>
  <richProperties>
    <rPr n="NumberFormat" t="s"/>
    <rPr n="IsTitleField" t="b"/>
  </richProperties>
  <richStyles>
    <rSty dxfid="1">
      <rpv i="0">_([$$-en-US]* #,##0.00_);_([$$-en-US]* (#,##0.00);_([$$-en-US]* "-"??_);_(@_)</rpv>
    </rSty>
    <rSty dxfid="5">
      <rpv i="0">#,##0.00</rpv>
    </rSty>
    <rSty>
      <rpv i="1">1</rpv>
    </rSty>
    <rSty dxfid="4">
      <rpv i="0">#,##0</rpv>
    </rSty>
    <rSty dxfid="3"/>
    <rSty dxfid="1">
      <rpv i="0">_([$$-en-US]* #,##0_);_([$$-en-US]* (#,##0);_([$$-en-US]* "-"_);_(@_)</rpv>
    </rSty>
    <rSty dxfid="2"/>
    <rSty dxfid="6">
      <rpv i="0">0</rpv>
    </rSty>
    <rSty dxfid="0">
      <rpv i="0">0.00</rpv>
    </rSty>
  </richStyles>
</richStyleShee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3836D17-CF5B-4D77-8F3B-A3DD174F8D54}" name="Table1" displayName="Table1" ref="B8:I48" totalsRowShown="0" headerRowDxfId="25" dataDxfId="23" headerRowBorderDxfId="24" dataCellStyle="Comma">
  <autoFilter ref="B8:I48" xr:uid="{23836D17-CF5B-4D77-8F3B-A3DD174F8D54}"/>
  <tableColumns count="8">
    <tableColumn id="1" xr3:uid="{C56CB535-0884-4EB6-8247-BC7076E0F9ED}" name="." dataDxfId="22"/>
    <tableColumn id="2" xr3:uid="{5CB05335-81A4-4F9E-91AE-D7275C95F89C}" name="2019" dataDxfId="21" dataCellStyle="Comma"/>
    <tableColumn id="3" xr3:uid="{A67758F4-C8A9-49AB-B402-3C6C6623F38E}" name="2020" dataDxfId="20" dataCellStyle="Comma"/>
    <tableColumn id="4" xr3:uid="{D2EB0291-4E53-45C5-9A55-496776298FCF}" name="2021" dataDxfId="19" dataCellStyle="Comma"/>
    <tableColumn id="5" xr3:uid="{8BBF933F-D97B-42BA-9EF9-C011F65930FC}" name="2022" dataDxfId="18" dataCellStyle="Comma"/>
    <tableColumn id="6" xr3:uid="{5B24A045-0943-4881-8988-3CC50E6754BD}" name="2023" dataDxfId="17" dataCellStyle="Comma"/>
    <tableColumn id="7" xr3:uid="{0F4D0575-18E6-42CA-A6D9-2FCC3DD18D8B}" name="2024" dataDxfId="16" dataCellStyle="Comma"/>
    <tableColumn id="8" xr3:uid="{0B239139-518C-470A-BD28-E177831A39C1}" name="2025" dataDxfId="15" dataCellStyle="Comma"/>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20BF547-D843-4B46-A130-6CFC2B9CD1F8}" name="Table2" displayName="Table2" ref="N8:U40" totalsRowShown="0" headerRowDxfId="14" dataDxfId="12" headerRowBorderDxfId="13" dataCellStyle="Comma">
  <autoFilter ref="N8:U40" xr:uid="{120BF547-D843-4B46-A130-6CFC2B9CD1F8}"/>
  <tableColumns count="8">
    <tableColumn id="1" xr3:uid="{DB29C79D-FAB6-484C-9815-A2E8E1E77194}" name="."/>
    <tableColumn id="2" xr3:uid="{3C41FD2C-CF3B-45B9-83D3-DF70DA3F9D5A}" name="2019" dataDxfId="11" dataCellStyle="Comma"/>
    <tableColumn id="3" xr3:uid="{2DFCE98E-C0C8-42EE-BB58-7255714974F0}" name="2020" dataDxfId="10" dataCellStyle="Comma"/>
    <tableColumn id="4" xr3:uid="{44C5D0A9-3EFA-4FEC-93F4-6F50F976863F}" name="2021" dataDxfId="9" dataCellStyle="Comma"/>
    <tableColumn id="5" xr3:uid="{4743886E-940B-4EE9-A1FC-1D090FB5B393}" name="2022" dataDxfId="8" dataCellStyle="Comma"/>
    <tableColumn id="6" xr3:uid="{64A6DC66-AB43-4E0F-8986-3CD831887B8C}" name="2023" dataDxfId="7" dataCellStyle="Comma"/>
    <tableColumn id="7" xr3:uid="{3B18363B-4162-4DCB-B417-6622816301E4}" name="2024" dataDxfId="6" dataCellStyle="Comma"/>
    <tableColumn id="8" xr3:uid="{17D02606-FA53-436D-AE7B-D857F8810964}" name="2025" dataDxfId="5" dataCellStyle="Comma"/>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B4833A8-7E83-4DF8-97C3-6C730A92113B}" name="Table810" displayName="Table810" ref="B6:D14" totalsRowShown="0" headerRowDxfId="4" dataDxfId="3">
  <autoFilter ref="B6:D14" xr:uid="{5B4833A8-7E83-4DF8-97C3-6C730A92113B}">
    <filterColumn colId="0" hiddenButton="1"/>
    <filterColumn colId="1" hiddenButton="1"/>
    <filterColumn colId="2" hiddenButton="1"/>
  </autoFilter>
  <tableColumns count="3">
    <tableColumn id="1" xr3:uid="{96AFF82D-A705-48A1-8828-6DE0732C1D27}" name="Screening Score" dataDxfId="2"/>
    <tableColumn id="2" xr3:uid="{679D5350-E459-4597-A2AB-C3970C669DFE}" name="Column1" dataDxfId="1"/>
    <tableColumn id="3" xr3:uid="{1F84250D-8073-4821-9BB9-CE33ADD11925}" name="2025"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table" Target="../tables/table2.xml"/></Relationships>
</file>

<file path=xl/worksheets/_rels/sheet2.xml.rels><?xml version="1.0" encoding="UTF-8" standalone="yes"?>
<Relationships xmlns="http://schemas.openxmlformats.org/package/2006/relationships"><Relationship Id="rId1"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332568-5640-4B84-AC29-1C6BDB0C1A0A}">
  <sheetPr>
    <pageSetUpPr fitToPage="1"/>
  </sheetPr>
  <dimension ref="A1:X48"/>
  <sheetViews>
    <sheetView tabSelected="1" topLeftCell="D1" zoomScale="115" zoomScaleNormal="115" workbookViewId="0">
      <selection activeCell="O40" sqref="O40:U40"/>
    </sheetView>
  </sheetViews>
  <sheetFormatPr defaultColWidth="10.5703125" defaultRowHeight="12.75" x14ac:dyDescent="0.2"/>
  <cols>
    <col min="1" max="1" width="10.5703125" style="1"/>
    <col min="2" max="2" width="25.5703125" style="6" customWidth="1"/>
    <col min="3" max="3" width="10.5703125" style="3" customWidth="1"/>
    <col min="4" max="9" width="10.5703125" style="3"/>
    <col min="10" max="12" width="10.5703125" style="1"/>
    <col min="13" max="13" width="5.5703125" style="1" customWidth="1"/>
    <col min="14" max="14" width="25.5703125" style="1" customWidth="1"/>
    <col min="15" max="21" width="10.5703125" style="3"/>
    <col min="22" max="16384" width="10.5703125" style="1"/>
  </cols>
  <sheetData>
    <row r="1" spans="2:24" x14ac:dyDescent="0.2">
      <c r="B1" s="1"/>
      <c r="C1" s="1"/>
      <c r="D1" s="1"/>
      <c r="E1" s="1"/>
      <c r="F1" s="1"/>
      <c r="G1" s="1"/>
      <c r="H1" s="1"/>
      <c r="I1" s="1"/>
      <c r="O1" s="1"/>
      <c r="P1" s="1"/>
      <c r="Q1" s="1"/>
      <c r="R1" s="1"/>
      <c r="S1" s="1"/>
      <c r="T1" s="1"/>
      <c r="U1" s="1"/>
    </row>
    <row r="2" spans="2:24" x14ac:dyDescent="0.2">
      <c r="B2" s="1"/>
      <c r="C2" s="1"/>
      <c r="D2" s="1"/>
      <c r="E2" s="1"/>
      <c r="F2" s="1"/>
      <c r="G2" s="1"/>
      <c r="H2" s="1"/>
      <c r="I2" s="1"/>
      <c r="O2" s="1"/>
      <c r="P2" s="1"/>
      <c r="Q2" s="1"/>
      <c r="R2" s="1"/>
      <c r="S2" s="1"/>
      <c r="T2" s="1"/>
      <c r="U2" s="1"/>
    </row>
    <row r="3" spans="2:24" x14ac:dyDescent="0.2">
      <c r="B3" s="1" t="e" vm="1">
        <v>#VALUE!</v>
      </c>
      <c r="C3" s="1"/>
      <c r="D3" s="1"/>
      <c r="E3" s="1"/>
      <c r="F3" s="1"/>
      <c r="G3" s="1"/>
      <c r="H3" s="1"/>
      <c r="I3" s="1"/>
      <c r="O3" s="1"/>
      <c r="P3" s="1"/>
      <c r="Q3" s="1"/>
      <c r="R3" s="1"/>
      <c r="S3" s="1"/>
      <c r="T3" s="1"/>
      <c r="U3" s="1"/>
    </row>
    <row r="4" spans="2:24" x14ac:dyDescent="0.2">
      <c r="B4" s="1" t="s">
        <v>0</v>
      </c>
      <c r="C4" s="2" cm="1">
        <f t="array" aca="1" ref="C4" ca="1">_FV(B3,"Price")</f>
        <v>372.72</v>
      </c>
      <c r="D4" s="1"/>
      <c r="E4" s="1"/>
      <c r="F4" s="1"/>
      <c r="G4" s="1"/>
      <c r="H4" s="1"/>
      <c r="I4" s="1"/>
      <c r="O4" s="1"/>
      <c r="P4" s="1"/>
      <c r="Q4" s="1"/>
      <c r="R4" s="1"/>
      <c r="S4" s="1"/>
      <c r="T4" s="1"/>
      <c r="U4" s="1"/>
    </row>
    <row r="5" spans="2:24" x14ac:dyDescent="0.2">
      <c r="B5" s="1" t="s">
        <v>1</v>
      </c>
      <c r="C5" s="3">
        <v>274.26</v>
      </c>
      <c r="D5" s="1"/>
      <c r="E5" s="1"/>
      <c r="F5" s="1"/>
      <c r="G5" s="1"/>
      <c r="H5" s="1"/>
      <c r="I5" s="1"/>
      <c r="O5" s="1"/>
      <c r="P5" s="1"/>
      <c r="Q5" s="1"/>
      <c r="R5" s="1"/>
      <c r="S5" s="1"/>
      <c r="T5" s="1"/>
      <c r="U5" s="1"/>
    </row>
    <row r="6" spans="2:24" x14ac:dyDescent="0.2">
      <c r="B6" s="1" t="s">
        <v>2</v>
      </c>
      <c r="C6" s="3">
        <f ca="1">C4*C5</f>
        <v>102222.1872</v>
      </c>
      <c r="D6" s="1"/>
      <c r="E6" s="1"/>
      <c r="F6" s="1"/>
      <c r="G6" s="1"/>
      <c r="H6" s="1"/>
      <c r="I6" s="1"/>
      <c r="O6" s="1"/>
      <c r="P6" s="1"/>
      <c r="Q6" s="1"/>
      <c r="R6" s="1"/>
      <c r="S6" s="1"/>
      <c r="T6" s="1"/>
      <c r="U6" s="1"/>
    </row>
    <row r="7" spans="2:24" x14ac:dyDescent="0.2">
      <c r="C7" s="1"/>
      <c r="D7" s="1"/>
      <c r="E7" s="1"/>
      <c r="F7" s="1"/>
      <c r="G7" s="1"/>
      <c r="H7" s="1"/>
      <c r="I7" s="1"/>
      <c r="O7" s="1"/>
      <c r="P7" s="1"/>
      <c r="Q7" s="1"/>
      <c r="R7" s="1"/>
      <c r="S7" s="1"/>
      <c r="T7" s="1"/>
      <c r="U7" s="1"/>
    </row>
    <row r="8" spans="2:24" x14ac:dyDescent="0.2">
      <c r="B8" s="27" t="s">
        <v>53</v>
      </c>
      <c r="C8" s="4" t="s">
        <v>47</v>
      </c>
      <c r="D8" s="4" t="s">
        <v>48</v>
      </c>
      <c r="E8" s="4" t="s">
        <v>49</v>
      </c>
      <c r="F8" s="4" t="s">
        <v>50</v>
      </c>
      <c r="G8" s="4" t="s">
        <v>51</v>
      </c>
      <c r="H8" s="4" t="s">
        <v>52</v>
      </c>
      <c r="I8" s="4" t="s">
        <v>68</v>
      </c>
      <c r="J8" s="18" t="s">
        <v>4</v>
      </c>
      <c r="K8" s="19" t="s">
        <v>5</v>
      </c>
      <c r="L8" s="20" t="s">
        <v>6</v>
      </c>
      <c r="N8" s="28" t="s">
        <v>53</v>
      </c>
      <c r="O8" s="4" t="s">
        <v>47</v>
      </c>
      <c r="P8" s="4" t="s">
        <v>48</v>
      </c>
      <c r="Q8" s="4" t="s">
        <v>49</v>
      </c>
      <c r="R8" s="4" t="s">
        <v>50</v>
      </c>
      <c r="S8" s="4" t="s">
        <v>51</v>
      </c>
      <c r="T8" s="4" t="s">
        <v>52</v>
      </c>
      <c r="U8" s="4" t="s">
        <v>68</v>
      </c>
      <c r="V8" s="18" t="s">
        <v>4</v>
      </c>
      <c r="W8" s="19" t="s">
        <v>5</v>
      </c>
      <c r="X8" s="20" t="s">
        <v>6</v>
      </c>
    </row>
    <row r="9" spans="2:24" ht="15" x14ac:dyDescent="0.25">
      <c r="B9" s="15" t="s">
        <v>3</v>
      </c>
      <c r="D9" s="8"/>
      <c r="I9" s="37"/>
      <c r="J9" s="21"/>
      <c r="K9" s="22"/>
      <c r="L9" s="23"/>
      <c r="N9" s="15" t="s">
        <v>25</v>
      </c>
      <c r="P9" s="8"/>
      <c r="U9" s="37"/>
      <c r="V9" s="21"/>
      <c r="W9" s="22"/>
      <c r="X9" s="23"/>
    </row>
    <row r="10" spans="2:24" x14ac:dyDescent="0.2">
      <c r="B10" s="6" t="s">
        <v>7</v>
      </c>
      <c r="C10" s="3">
        <v>2204.6</v>
      </c>
      <c r="D10" s="3">
        <v>2536.61</v>
      </c>
      <c r="E10" s="3">
        <v>2812.94</v>
      </c>
      <c r="F10" s="3">
        <v>3340.19</v>
      </c>
      <c r="G10" s="3">
        <v>3834.4</v>
      </c>
      <c r="H10" s="3">
        <v>4213.5</v>
      </c>
      <c r="I10" s="37">
        <v>4821.6000000000004</v>
      </c>
      <c r="J10" s="48">
        <f>LN(Table1[[#This Row],[2025]]/Table1[[#This Row],[2024]])</f>
        <v>0.13481216695642637</v>
      </c>
      <c r="K10" s="40">
        <f>LN(Table1[[#This Row],[2025]]/Table1[[#This Row],[2023]])</f>
        <v>0.22909285432341295</v>
      </c>
      <c r="L10" s="41">
        <f>LN(Table1[[#This Row],[2025]]/Table1[[#This Row],[2019]])</f>
        <v>0.78255973663961953</v>
      </c>
      <c r="N10" s="5" t="s">
        <v>26</v>
      </c>
      <c r="U10" s="37"/>
      <c r="V10" s="24"/>
      <c r="W10" s="25"/>
      <c r="X10" s="26"/>
    </row>
    <row r="11" spans="2:24" x14ac:dyDescent="0.2">
      <c r="B11" s="6" t="s">
        <v>8</v>
      </c>
      <c r="C11" s="3">
        <v>131.69999999999999</v>
      </c>
      <c r="D11" s="3">
        <v>146.27000000000001</v>
      </c>
      <c r="E11" s="3">
        <v>175.29</v>
      </c>
      <c r="F11" s="3">
        <v>221.52</v>
      </c>
      <c r="G11" s="3">
        <v>255.6</v>
      </c>
      <c r="H11" s="3">
        <v>427.8</v>
      </c>
      <c r="I11" s="37">
        <v>475.2</v>
      </c>
      <c r="J11" s="48">
        <f>LN(Table1[[#This Row],[2025]]/Table1[[#This Row],[2024]])</f>
        <v>0.1050799714001299</v>
      </c>
      <c r="K11" s="48">
        <f>LN(Table1[[#This Row],[2025]]/Table1[[#This Row],[2023]])</f>
        <v>0.62012204554505546</v>
      </c>
      <c r="L11" s="48">
        <f>LN(Table1[[#This Row],[2025]]/Table1[[#This Row],[2019]])</f>
        <v>1.2832091592991999</v>
      </c>
      <c r="N11" s="12" t="s">
        <v>27</v>
      </c>
      <c r="O11" s="3">
        <v>705.2</v>
      </c>
      <c r="P11" s="3">
        <v>928.43</v>
      </c>
      <c r="Q11" s="3">
        <v>1088.94</v>
      </c>
      <c r="R11" s="3">
        <v>882.32</v>
      </c>
      <c r="S11" s="3">
        <v>1008.2</v>
      </c>
      <c r="T11" s="3">
        <v>2644</v>
      </c>
      <c r="U11" s="37">
        <v>3001.31</v>
      </c>
      <c r="V11" s="48">
        <f>LN(Table2[[#This Row],[2025]]/Table2[[#This Row],[2024]])</f>
        <v>0.12675593803419277</v>
      </c>
      <c r="W11" s="48">
        <f>LN(Table2[[#This Row],[2025]]/Table2[[#This Row],[2023]])</f>
        <v>1.0908822973572392</v>
      </c>
      <c r="X11" s="41">
        <f>LN(Table2[[#This Row],[2025]]/Table2[[#This Row],[2019]])</f>
        <v>1.4483226884820546</v>
      </c>
    </row>
    <row r="12" spans="2:24" ht="13.5" thickBot="1" x14ac:dyDescent="0.25">
      <c r="B12" s="7" t="s">
        <v>9</v>
      </c>
      <c r="C12" s="9">
        <f t="shared" ref="C12:G12" si="0">SUM(C10:C11)</f>
        <v>2336.2999999999997</v>
      </c>
      <c r="D12" s="9">
        <f t="shared" si="0"/>
        <v>2682.88</v>
      </c>
      <c r="E12" s="9">
        <f t="shared" si="0"/>
        <v>2988.23</v>
      </c>
      <c r="F12" s="9">
        <f t="shared" si="0"/>
        <v>3561.71</v>
      </c>
      <c r="G12" s="9">
        <f t="shared" si="0"/>
        <v>4090</v>
      </c>
      <c r="H12" s="9">
        <f>SUM(H10:H11)</f>
        <v>4641.3</v>
      </c>
      <c r="I12" s="9">
        <f>SUM(I10:I11)</f>
        <v>5296.8</v>
      </c>
      <c r="J12" s="46">
        <f>LN(Table1[[#This Row],[2025]]/Table1[[#This Row],[2024]])</f>
        <v>0.13210836521750371</v>
      </c>
      <c r="K12" s="44">
        <f>LN(Table1[[#This Row],[2025]]/Table1[[#This Row],[2023]])</f>
        <v>0.25855789457378897</v>
      </c>
      <c r="L12" s="45">
        <f>LN(Table1[[#This Row],[2025]]/Table1[[#This Row],[2019]])</f>
        <v>0.81853438325072492</v>
      </c>
      <c r="N12" s="12" t="s">
        <v>28</v>
      </c>
      <c r="O12" s="3">
        <v>304.54000000000002</v>
      </c>
      <c r="P12" s="3">
        <v>338.5</v>
      </c>
      <c r="Q12" s="3">
        <v>337.6</v>
      </c>
      <c r="R12" s="3">
        <v>486.7</v>
      </c>
      <c r="S12" s="3">
        <v>489.22</v>
      </c>
      <c r="T12" s="3">
        <v>680.46</v>
      </c>
      <c r="U12" s="37">
        <v>944.93899999999996</v>
      </c>
      <c r="V12" s="48">
        <f>LN(Table2[[#This Row],[2025]]/Table2[[#This Row],[2024]])</f>
        <v>0.32835133509044034</v>
      </c>
      <c r="W12" s="40">
        <f>LN(Table2[[#This Row],[2025]]/Table2[[#This Row],[2023]])</f>
        <v>0.65830808909400007</v>
      </c>
      <c r="X12" s="48">
        <f>LN(Table2[[#This Row],[2025]]/Table2[[#This Row],[2019]])</f>
        <v>1.1323179337331482</v>
      </c>
    </row>
    <row r="13" spans="2:24" x14ac:dyDescent="0.2">
      <c r="I13" s="37"/>
      <c r="J13" s="21"/>
      <c r="K13" s="22"/>
      <c r="L13" s="23"/>
      <c r="N13" s="12" t="s">
        <v>46</v>
      </c>
      <c r="O13" s="3">
        <v>55.8</v>
      </c>
      <c r="P13" s="3">
        <v>75.956000000000003</v>
      </c>
      <c r="Q13" s="3">
        <v>115.72</v>
      </c>
      <c r="R13" s="3">
        <v>128</v>
      </c>
      <c r="S13" s="3">
        <v>181.66</v>
      </c>
      <c r="T13" s="3">
        <v>257.7</v>
      </c>
      <c r="U13" s="37">
        <v>303.54500000000002</v>
      </c>
      <c r="V13" s="39">
        <f>LN(Table2[[#This Row],[2025]]/Table2[[#This Row],[2024]])</f>
        <v>0.16373375203151588</v>
      </c>
      <c r="W13" s="40">
        <f>LN(Table2[[#This Row],[2025]]/Table2[[#This Row],[2023]])</f>
        <v>0.5133930616157677</v>
      </c>
      <c r="X13" s="41">
        <f>LN(Table2[[#This Row],[2025]]/Table2[[#This Row],[2019]])</f>
        <v>1.69375600030257</v>
      </c>
    </row>
    <row r="14" spans="2:24" x14ac:dyDescent="0.2">
      <c r="B14" s="5" t="s">
        <v>10</v>
      </c>
      <c r="I14" s="37"/>
      <c r="J14" s="21"/>
      <c r="K14" s="22"/>
      <c r="L14" s="23"/>
      <c r="N14" s="12" t="s">
        <v>29</v>
      </c>
      <c r="O14" s="3">
        <v>103.8</v>
      </c>
      <c r="P14" s="3">
        <v>135.69999999999999</v>
      </c>
      <c r="Q14" s="3">
        <v>173.512</v>
      </c>
      <c r="R14" s="3">
        <v>209.7</v>
      </c>
      <c r="S14" s="3">
        <v>297.18</v>
      </c>
      <c r="T14" s="3">
        <v>433.9</v>
      </c>
      <c r="U14" s="37">
        <v>419.87200000000001</v>
      </c>
      <c r="V14" s="39">
        <f>LN(Table2[[#This Row],[2025]]/Table2[[#This Row],[2024]])</f>
        <v>-3.2864189880999678E-2</v>
      </c>
      <c r="W14" s="40">
        <f>LN(Table2[[#This Row],[2025]]/Table2[[#This Row],[2023]])</f>
        <v>0.34561188709510382</v>
      </c>
      <c r="X14" s="41">
        <f>LN(Table2[[#This Row],[2025]]/Table2[[#This Row],[2019]])</f>
        <v>1.3974839321915169</v>
      </c>
    </row>
    <row r="15" spans="2:24" ht="13.5" thickBot="1" x14ac:dyDescent="0.25">
      <c r="B15" s="6" t="s">
        <v>7</v>
      </c>
      <c r="C15" s="3">
        <v>189.14</v>
      </c>
      <c r="D15" s="3">
        <v>231.02</v>
      </c>
      <c r="E15" s="3">
        <v>222.64</v>
      </c>
      <c r="F15" s="3">
        <v>273.56</v>
      </c>
      <c r="G15" s="3">
        <v>331.8</v>
      </c>
      <c r="H15" s="3">
        <v>436.6</v>
      </c>
      <c r="I15" s="37">
        <v>518.70000000000005</v>
      </c>
      <c r="J15" s="48">
        <f>LN(Table1[[#This Row],[2025]]/Table1[[#This Row],[2024]])</f>
        <v>0.17230823724151095</v>
      </c>
      <c r="K15" s="48">
        <f>LN(Table1[[#This Row],[2025]]/Table1[[#This Row],[2023]])</f>
        <v>0.44679330360101044</v>
      </c>
      <c r="L15" s="48">
        <f>LN(Table1[[#This Row],[2025]]/Table1[[#This Row],[2019]])</f>
        <v>1.0088381997699885</v>
      </c>
      <c r="N15" s="13" t="s">
        <v>30</v>
      </c>
      <c r="O15" s="9">
        <f t="shared" ref="O15:S15" si="1">SUM(O11:O14)</f>
        <v>1169.3399999999999</v>
      </c>
      <c r="P15" s="9">
        <f t="shared" si="1"/>
        <v>1478.5859999999998</v>
      </c>
      <c r="Q15" s="9">
        <f t="shared" si="1"/>
        <v>1715.7719999999999</v>
      </c>
      <c r="R15" s="9">
        <f t="shared" si="1"/>
        <v>1706.72</v>
      </c>
      <c r="S15" s="9">
        <f t="shared" si="1"/>
        <v>1976.2600000000002</v>
      </c>
      <c r="T15" s="9">
        <f>SUM(T11:T14)</f>
        <v>4016.06</v>
      </c>
      <c r="U15" s="9">
        <f>SUM(U11:U14)</f>
        <v>4669.6660000000002</v>
      </c>
      <c r="V15" s="46">
        <f>LN(Table2[[#This Row],[2025]]/Table2[[#This Row],[2024]])</f>
        <v>0.15078622626362431</v>
      </c>
      <c r="W15" s="46">
        <f>LN(Table2[[#This Row],[2025]]/Table2[[#This Row],[2023]])</f>
        <v>0.85988137916319773</v>
      </c>
      <c r="X15" s="45">
        <f>LN(Table2[[#This Row],[2025]]/Table2[[#This Row],[2019]])</f>
        <v>1.3846480617006411</v>
      </c>
    </row>
    <row r="16" spans="2:24" x14ac:dyDescent="0.2">
      <c r="B16" s="6" t="s">
        <v>8</v>
      </c>
      <c r="C16" s="3">
        <v>77.2</v>
      </c>
      <c r="D16" s="3">
        <v>74.47</v>
      </c>
      <c r="E16" s="3">
        <v>84.358999999999995</v>
      </c>
      <c r="F16" s="3">
        <v>98.058000000000007</v>
      </c>
      <c r="G16" s="3">
        <v>103.3</v>
      </c>
      <c r="H16" s="3">
        <v>210.9</v>
      </c>
      <c r="I16" s="37">
        <v>203.6</v>
      </c>
      <c r="J16" s="39">
        <f>LN(Table1[[#This Row],[2025]]/Table1[[#This Row],[2024]])</f>
        <v>-3.5226802808361247E-2</v>
      </c>
      <c r="K16" s="40">
        <f>LN(Table1[[#This Row],[2025]]/Table1[[#This Row],[2023]])</f>
        <v>0.67851990855077482</v>
      </c>
      <c r="L16" s="41">
        <f>LN(Table1[[#This Row],[2025]]/Table1[[#This Row],[2019]])</f>
        <v>0.96975782764563723</v>
      </c>
      <c r="N16" s="12" t="s">
        <v>31</v>
      </c>
      <c r="O16" s="3">
        <v>275.85500000000002</v>
      </c>
      <c r="P16" s="3">
        <v>311.10000000000002</v>
      </c>
      <c r="Q16" s="3">
        <v>305.91000000000003</v>
      </c>
      <c r="R16" s="3">
        <v>371.45</v>
      </c>
      <c r="S16" s="3">
        <v>403.21</v>
      </c>
      <c r="T16" s="3">
        <v>458.2</v>
      </c>
      <c r="U16" s="37">
        <v>517</v>
      </c>
      <c r="V16" s="48">
        <f>LN(Table2[[#This Row],[2025]]/Table2[[#This Row],[2024]])</f>
        <v>0.12073710448903395</v>
      </c>
      <c r="W16" s="40">
        <f>LN(Table2[[#This Row],[2025]]/Table2[[#This Row],[2023]])</f>
        <v>0.24858535647152294</v>
      </c>
      <c r="X16" s="41">
        <f>LN(Table2[[#This Row],[2025]]/Table2[[#This Row],[2019]])</f>
        <v>0.62816750916125597</v>
      </c>
    </row>
    <row r="17" spans="1:24" ht="13.5" thickBot="1" x14ac:dyDescent="0.25">
      <c r="B17" s="7" t="s">
        <v>11</v>
      </c>
      <c r="C17" s="9">
        <f t="shared" ref="C17:G17" si="2">SUM(C15:C16)</f>
        <v>266.33999999999997</v>
      </c>
      <c r="D17" s="9">
        <f t="shared" si="2"/>
        <v>305.49</v>
      </c>
      <c r="E17" s="9">
        <f t="shared" si="2"/>
        <v>306.99899999999997</v>
      </c>
      <c r="F17" s="9">
        <f t="shared" si="2"/>
        <v>371.61799999999999</v>
      </c>
      <c r="G17" s="9">
        <f t="shared" si="2"/>
        <v>435.1</v>
      </c>
      <c r="H17" s="9">
        <f>SUM(H15:H16)</f>
        <v>647.5</v>
      </c>
      <c r="I17" s="9">
        <f>SUM(I15:I16)</f>
        <v>722.30000000000007</v>
      </c>
      <c r="J17" s="46">
        <f>LN(Table1[[#This Row],[2025]]/Table1[[#This Row],[2024]])</f>
        <v>0.1093217714831084</v>
      </c>
      <c r="K17" s="44">
        <f>LN(Table1[[#This Row],[2025]]/Table1[[#This Row],[2023]])</f>
        <v>0.50686467533016666</v>
      </c>
      <c r="L17" s="45">
        <f>LN(Table1[[#This Row],[2025]]/Table1[[#This Row],[2019]])</f>
        <v>0.99766687698280254</v>
      </c>
      <c r="N17" s="12" t="s">
        <v>32</v>
      </c>
      <c r="O17" s="3">
        <v>661.85599999999999</v>
      </c>
      <c r="P17" s="3">
        <v>782.1</v>
      </c>
      <c r="Q17" s="3">
        <v>928.4</v>
      </c>
      <c r="R17" s="3">
        <v>1374.268</v>
      </c>
      <c r="S17" s="3">
        <v>1535.84</v>
      </c>
      <c r="T17" s="3">
        <v>2378.6999999999998</v>
      </c>
      <c r="U17" s="37">
        <v>2749.14</v>
      </c>
      <c r="V17" s="48">
        <f>LN(Table2[[#This Row],[2025]]/Table2[[#This Row],[2024]])</f>
        <v>0.14473401553205612</v>
      </c>
      <c r="W17" s="40">
        <f>LN(Table2[[#This Row],[2025]]/Table2[[#This Row],[2023]])</f>
        <v>0.5822106728632922</v>
      </c>
      <c r="X17" s="41">
        <f>LN(Table2[[#This Row],[2025]]/Table2[[#This Row],[2019]])</f>
        <v>1.4239954048616059</v>
      </c>
    </row>
    <row r="18" spans="1:24" x14ac:dyDescent="0.2">
      <c r="I18" s="37"/>
      <c r="J18" s="21"/>
      <c r="K18" s="22"/>
      <c r="L18" s="23"/>
      <c r="N18" s="12" t="s">
        <v>33</v>
      </c>
      <c r="O18" s="3">
        <v>172.37</v>
      </c>
      <c r="P18" s="3">
        <v>210.6</v>
      </c>
      <c r="Q18" s="3">
        <v>233.3</v>
      </c>
      <c r="R18" s="3">
        <v>354.61</v>
      </c>
      <c r="S18" s="3">
        <v>336.84</v>
      </c>
      <c r="T18" s="3">
        <v>594.73</v>
      </c>
      <c r="U18" s="37">
        <v>718.22</v>
      </c>
      <c r="V18" s="48">
        <f>LN(Table2[[#This Row],[2025]]/Table2[[#This Row],[2024]])</f>
        <v>0.18866840775748298</v>
      </c>
      <c r="W18" s="48">
        <f>LN(Table2[[#This Row],[2025]]/Table2[[#This Row],[2023]])</f>
        <v>0.75716788863872797</v>
      </c>
      <c r="X18" s="48">
        <f>LN(Table2[[#This Row],[2025]]/Table2[[#This Row],[2019]])</f>
        <v>1.4271325996342195</v>
      </c>
    </row>
    <row r="19" spans="1:24" ht="13.5" thickBot="1" x14ac:dyDescent="0.25">
      <c r="B19" s="7" t="s">
        <v>12</v>
      </c>
      <c r="C19" s="9">
        <f t="shared" ref="C19:G19" si="3">C12-C17</f>
        <v>2069.9599999999996</v>
      </c>
      <c r="D19" s="9">
        <f t="shared" si="3"/>
        <v>2377.3900000000003</v>
      </c>
      <c r="E19" s="9">
        <f t="shared" si="3"/>
        <v>2681.2310000000002</v>
      </c>
      <c r="F19" s="9">
        <f t="shared" si="3"/>
        <v>3190.0920000000001</v>
      </c>
      <c r="G19" s="9">
        <f t="shared" si="3"/>
        <v>3654.9</v>
      </c>
      <c r="H19" s="9">
        <f>H12-H17</f>
        <v>3993.8</v>
      </c>
      <c r="I19" s="9">
        <f>I12-I17</f>
        <v>4574.5</v>
      </c>
      <c r="J19" s="46">
        <f>LN(Table1[[#This Row],[2025]]/Table1[[#This Row],[2024]])</f>
        <v>0.13575424451029869</v>
      </c>
      <c r="K19" s="44">
        <f>LN(Table1[[#This Row],[2025]]/Table1[[#This Row],[2023]])</f>
        <v>0.22442867009111839</v>
      </c>
      <c r="L19" s="45">
        <f>LN(Table1[[#This Row],[2025]]/Table1[[#This Row],[2019]])</f>
        <v>0.79296811971837755</v>
      </c>
      <c r="N19" s="12" t="s">
        <v>34</v>
      </c>
      <c r="O19" s="3">
        <v>732.36699999999996</v>
      </c>
      <c r="P19" s="3">
        <v>732.3</v>
      </c>
      <c r="Q19" s="3">
        <v>763.77</v>
      </c>
      <c r="R19" s="3">
        <v>853.7</v>
      </c>
      <c r="S19" s="3">
        <v>880</v>
      </c>
      <c r="T19" s="3">
        <v>982.1</v>
      </c>
      <c r="U19" s="37">
        <v>917.73299999999995</v>
      </c>
      <c r="V19" s="39">
        <f>LN(Table2[[#This Row],[2025]]/Table2[[#This Row],[2024]])</f>
        <v>-6.7786637521410162E-2</v>
      </c>
      <c r="W19" s="40">
        <f>LN(Table2[[#This Row],[2025]]/Table2[[#This Row],[2023]])</f>
        <v>4.1984591170066393E-2</v>
      </c>
      <c r="X19" s="41">
        <f>LN(Table2[[#This Row],[2025]]/Table2[[#This Row],[2019]])</f>
        <v>0.22562474420278836</v>
      </c>
    </row>
    <row r="20" spans="1:24" s="16" customFormat="1" x14ac:dyDescent="0.2">
      <c r="A20" s="1"/>
      <c r="B20" s="6"/>
      <c r="C20" s="3"/>
      <c r="D20" s="3"/>
      <c r="E20" s="3"/>
      <c r="F20" s="3"/>
      <c r="G20" s="3"/>
      <c r="H20" s="3"/>
      <c r="I20" s="37"/>
      <c r="J20" s="21"/>
      <c r="K20" s="22"/>
      <c r="L20" s="23"/>
      <c r="M20" s="1"/>
      <c r="N20" s="12" t="s">
        <v>35</v>
      </c>
      <c r="O20" s="3">
        <v>345.42</v>
      </c>
      <c r="P20" s="3">
        <v>436.1</v>
      </c>
      <c r="Q20" s="3">
        <v>439.22</v>
      </c>
      <c r="R20" s="3">
        <v>476.27699999999999</v>
      </c>
      <c r="S20" s="3">
        <v>537.37</v>
      </c>
      <c r="T20" s="3">
        <v>544.74099999999999</v>
      </c>
      <c r="U20" s="37">
        <v>581.37199999999996</v>
      </c>
      <c r="V20" s="39">
        <f>LN(Table2[[#This Row],[2025]]/Table2[[#This Row],[2024]])</f>
        <v>6.5080375002154814E-2</v>
      </c>
      <c r="W20" s="40">
        <f>LN(Table2[[#This Row],[2025]]/Table2[[#This Row],[2023]])</f>
        <v>7.8703957066598468E-2</v>
      </c>
      <c r="X20" s="41">
        <f>LN(Table2[[#This Row],[2025]]/Table2[[#This Row],[2019]])</f>
        <v>0.52062975943456757</v>
      </c>
    </row>
    <row r="21" spans="1:24" ht="13.5" thickBot="1" x14ac:dyDescent="0.25">
      <c r="B21" s="5" t="s">
        <v>13</v>
      </c>
      <c r="I21" s="37"/>
      <c r="J21" s="21"/>
      <c r="K21" s="22"/>
      <c r="L21" s="23"/>
      <c r="N21" s="13" t="s">
        <v>36</v>
      </c>
      <c r="O21" s="17">
        <f t="shared" ref="O21:S21" si="4">SUM(O15:O20)</f>
        <v>3357.2079999999996</v>
      </c>
      <c r="P21" s="17">
        <f t="shared" si="4"/>
        <v>3950.7859999999996</v>
      </c>
      <c r="Q21" s="17">
        <f t="shared" si="4"/>
        <v>4386.3720000000003</v>
      </c>
      <c r="R21" s="17">
        <f t="shared" si="4"/>
        <v>5137.0250000000005</v>
      </c>
      <c r="S21" s="17">
        <f t="shared" si="4"/>
        <v>5669.52</v>
      </c>
      <c r="T21" s="17">
        <f>SUM(T15:T20)</f>
        <v>8974.5310000000009</v>
      </c>
      <c r="U21" s="17">
        <f>SUM(U15:U20)</f>
        <v>10153.130999999999</v>
      </c>
      <c r="V21" s="46">
        <f>LN(Table2[[#This Row],[2025]]/Table2[[#This Row],[2024]])</f>
        <v>0.12339145408468843</v>
      </c>
      <c r="W21" s="46">
        <f>LN(Table2[[#This Row],[2025]]/Table2[[#This Row],[2023]])</f>
        <v>0.58267767275473914</v>
      </c>
      <c r="X21" s="46">
        <f>LN(Table2[[#This Row],[2025]]/Table2[[#This Row],[2019]])</f>
        <v>1.1066724546643565</v>
      </c>
    </row>
    <row r="22" spans="1:24" x14ac:dyDescent="0.2">
      <c r="B22" s="6" t="s">
        <v>14</v>
      </c>
      <c r="C22" s="3">
        <v>481.67</v>
      </c>
      <c r="D22" s="3">
        <v>516.46</v>
      </c>
      <c r="E22" s="3">
        <v>560.26</v>
      </c>
      <c r="F22" s="3">
        <v>604.20000000000005</v>
      </c>
      <c r="G22" s="3">
        <v>690.3</v>
      </c>
      <c r="H22" s="3">
        <v>757.5</v>
      </c>
      <c r="I22" s="37">
        <v>802.6</v>
      </c>
      <c r="J22" s="39">
        <f>LN(Table1[[#This Row],[2025]]/Table1[[#This Row],[2024]])</f>
        <v>5.783292044929212E-2</v>
      </c>
      <c r="K22" s="40">
        <f>LN(Table1[[#This Row],[2025]]/Table1[[#This Row],[2023]])</f>
        <v>0.15073017212338652</v>
      </c>
      <c r="L22" s="41">
        <f>LN(Table1[[#This Row],[2025]]/Table1[[#This Row],[2019]])</f>
        <v>0.51059722556311449</v>
      </c>
      <c r="N22" s="6"/>
      <c r="U22" s="37"/>
      <c r="V22" s="24"/>
      <c r="W22" s="25"/>
      <c r="X22" s="26"/>
    </row>
    <row r="23" spans="1:24" x14ac:dyDescent="0.2">
      <c r="B23" s="6" t="s">
        <v>15</v>
      </c>
      <c r="C23" s="3">
        <v>935.93</v>
      </c>
      <c r="D23" s="3">
        <v>1033.73</v>
      </c>
      <c r="E23" s="3">
        <v>1134.277</v>
      </c>
      <c r="F23" s="3">
        <v>1251.5440000000001</v>
      </c>
      <c r="G23" s="3">
        <v>1441.8</v>
      </c>
      <c r="H23" s="3">
        <v>1549.1</v>
      </c>
      <c r="I23" s="37">
        <v>1768.77</v>
      </c>
      <c r="J23" s="48">
        <f>LN(Table1[[#This Row],[2025]]/Table1[[#This Row],[2024]])</f>
        <v>0.13261027263579683</v>
      </c>
      <c r="K23" s="40">
        <f>LN(Table1[[#This Row],[2025]]/Table1[[#This Row],[2023]])</f>
        <v>0.20439205677763581</v>
      </c>
      <c r="L23" s="41">
        <f>LN(Table1[[#This Row],[2025]]/Table1[[#This Row],[2019]])</f>
        <v>0.63649898139194494</v>
      </c>
      <c r="N23" s="5" t="s">
        <v>37</v>
      </c>
      <c r="U23" s="37"/>
      <c r="V23" s="24"/>
      <c r="W23" s="25"/>
      <c r="X23" s="26"/>
    </row>
    <row r="24" spans="1:24" x14ac:dyDescent="0.2">
      <c r="B24" s="6" t="s">
        <v>16</v>
      </c>
      <c r="C24" s="3">
        <v>139.80000000000001</v>
      </c>
      <c r="D24" s="3">
        <v>154.41999999999999</v>
      </c>
      <c r="E24" s="3">
        <v>189.01</v>
      </c>
      <c r="F24" s="3">
        <v>242.11</v>
      </c>
      <c r="G24" s="3">
        <v>242.43</v>
      </c>
      <c r="H24" s="3">
        <v>282.3</v>
      </c>
      <c r="I24" s="37">
        <v>313.39999999999998</v>
      </c>
      <c r="J24" s="48">
        <f>LN(Table1[[#This Row],[2025]]/Table1[[#This Row],[2024]])</f>
        <v>0.10450999466247661</v>
      </c>
      <c r="K24" s="40">
        <f>LN(Table1[[#This Row],[2025]]/Table1[[#This Row],[2023]])</f>
        <v>0.25676732100845434</v>
      </c>
      <c r="L24" s="41">
        <f>LN(Table1[[#This Row],[2025]]/Table1[[#This Row],[2019]])</f>
        <v>0.80726750012221038</v>
      </c>
      <c r="N24" s="5" t="s">
        <v>26</v>
      </c>
      <c r="U24" s="37"/>
      <c r="V24" s="24"/>
      <c r="W24" s="25"/>
      <c r="X24" s="26"/>
    </row>
    <row r="25" spans="1:24" x14ac:dyDescent="0.2">
      <c r="B25" s="6" t="s">
        <v>17</v>
      </c>
      <c r="C25" s="3">
        <v>12.12</v>
      </c>
      <c r="D25" s="3">
        <v>18</v>
      </c>
      <c r="E25" s="3">
        <v>19.64</v>
      </c>
      <c r="F25" s="3">
        <v>18.47</v>
      </c>
      <c r="G25" s="3">
        <v>18.2</v>
      </c>
      <c r="H25" s="3">
        <v>30.4</v>
      </c>
      <c r="I25" s="37">
        <v>39.93</v>
      </c>
      <c r="J25" s="48">
        <f>LN(Table1[[#This Row],[2025]]/Table1[[#This Row],[2024]])</f>
        <v>0.27268531266295398</v>
      </c>
      <c r="K25" s="40">
        <f>LN(Table1[[#This Row],[2025]]/Table1[[#This Row],[2023]])</f>
        <v>0.78570632699238041</v>
      </c>
      <c r="L25" s="41">
        <f>LN(Table1[[#This Row],[2025]]/Table1[[#This Row],[2019]])</f>
        <v>1.1922709404339615</v>
      </c>
      <c r="N25" s="12" t="s">
        <v>38</v>
      </c>
      <c r="O25" s="3">
        <v>0</v>
      </c>
      <c r="P25" s="3">
        <v>0</v>
      </c>
      <c r="Q25" s="3">
        <v>0</v>
      </c>
      <c r="R25" s="3">
        <v>100</v>
      </c>
      <c r="S25" s="3">
        <v>349.28</v>
      </c>
      <c r="T25" s="3">
        <v>0</v>
      </c>
      <c r="U25" s="37">
        <v>0</v>
      </c>
      <c r="V25" s="39" t="e">
        <f>LN(Table2[[#This Row],[2025]]/Table2[[#This Row],[2024]])</f>
        <v>#DIV/0!</v>
      </c>
      <c r="W25" s="40" t="e">
        <f>LN(Table2[[#This Row],[2025]]/Table2[[#This Row],[2023]])</f>
        <v>#NUM!</v>
      </c>
      <c r="X25" s="41" t="e">
        <f>LN(Table2[[#This Row],[2025]]/Table2[[#This Row],[2019]])</f>
        <v>#DIV/0!</v>
      </c>
    </row>
    <row r="26" spans="1:24" x14ac:dyDescent="0.2">
      <c r="B26" s="38" t="s">
        <v>70</v>
      </c>
      <c r="C26" s="3">
        <v>8.6</v>
      </c>
      <c r="D26" s="3">
        <v>9.2100000000000009</v>
      </c>
      <c r="E26" s="3">
        <v>-1.048</v>
      </c>
      <c r="F26" s="3">
        <v>5.5E-2</v>
      </c>
      <c r="G26" s="3">
        <v>11</v>
      </c>
      <c r="H26" s="3">
        <v>23.8</v>
      </c>
      <c r="I26" s="37">
        <f>128.545+29.194</f>
        <v>157.73899999999998</v>
      </c>
      <c r="J26" s="48">
        <f>LN(Table1[[#This Row],[2025]]/Table1[[#This Row],[2024]])</f>
        <v>1.8912561877262322</v>
      </c>
      <c r="K26" s="40">
        <f>LN(Table1[[#This Row],[2025]]/Table1[[#This Row],[2023]])</f>
        <v>2.6630464956052906</v>
      </c>
      <c r="L26" s="41">
        <f>LN(Table1[[#This Row],[2025]]/Table1[[#This Row],[2019]])</f>
        <v>2.909179565144199</v>
      </c>
      <c r="N26" s="12" t="s">
        <v>39</v>
      </c>
      <c r="O26" s="3">
        <v>316.89999999999998</v>
      </c>
      <c r="P26" s="3">
        <v>349.95</v>
      </c>
      <c r="Q26" s="3">
        <v>417.3</v>
      </c>
      <c r="R26" s="3">
        <v>557.20000000000005</v>
      </c>
      <c r="S26" s="3">
        <v>576.54999999999995</v>
      </c>
      <c r="T26" s="3">
        <v>632.69000000000005</v>
      </c>
      <c r="U26" s="37">
        <v>856.85599999999999</v>
      </c>
      <c r="V26" s="47">
        <f>LN(Table2[[#This Row],[2025]]/Table2[[#This Row],[2024]])</f>
        <v>0.30328930572585477</v>
      </c>
      <c r="W26" s="40">
        <f>LN(Table2[[#This Row],[2025]]/Table2[[#This Row],[2023]])</f>
        <v>0.39620781025770047</v>
      </c>
      <c r="X26" s="41">
        <f>LN(Table2[[#This Row],[2025]]/Table2[[#This Row],[2019]])</f>
        <v>0.99468360977795067</v>
      </c>
    </row>
    <row r="27" spans="1:24" s="16" customFormat="1" ht="13.5" thickBot="1" x14ac:dyDescent="0.25">
      <c r="A27" s="1"/>
      <c r="B27" s="7" t="s">
        <v>18</v>
      </c>
      <c r="C27" s="9">
        <f t="shared" ref="C27:G27" si="5">SUM(C22:C26)</f>
        <v>1578.1199999999997</v>
      </c>
      <c r="D27" s="9">
        <f t="shared" si="5"/>
        <v>1731.8200000000002</v>
      </c>
      <c r="E27" s="9">
        <f t="shared" si="5"/>
        <v>1902.1390000000001</v>
      </c>
      <c r="F27" s="9">
        <f t="shared" si="5"/>
        <v>2116.3789999999999</v>
      </c>
      <c r="G27" s="9">
        <f t="shared" si="5"/>
        <v>2403.7299999999996</v>
      </c>
      <c r="H27" s="9">
        <f>SUM(H22:H26)</f>
        <v>2643.1000000000004</v>
      </c>
      <c r="I27" s="9">
        <f>SUM(I22:I26)</f>
        <v>3082.4389999999999</v>
      </c>
      <c r="J27" s="46">
        <f>LN(Table1[[#This Row],[2025]]/Table1[[#This Row],[2024]])</f>
        <v>0.15376869602930027</v>
      </c>
      <c r="K27" s="44">
        <f>LN(Table1[[#This Row],[2025]]/Table1[[#This Row],[2023]])</f>
        <v>0.24869946917493208</v>
      </c>
      <c r="L27" s="46">
        <f>LN(Table1[[#This Row],[2025]]/Table1[[#This Row],[2019]])</f>
        <v>0.66948690156862034</v>
      </c>
      <c r="M27" s="1"/>
      <c r="N27" s="12" t="s">
        <v>40</v>
      </c>
      <c r="O27" s="3">
        <v>355.48</v>
      </c>
      <c r="P27" s="3">
        <v>446.85700000000003</v>
      </c>
      <c r="Q27" s="3">
        <v>553.94000000000005</v>
      </c>
      <c r="R27" s="3">
        <v>690.5</v>
      </c>
      <c r="S27" s="3">
        <v>665</v>
      </c>
      <c r="T27" s="3">
        <v>737.41</v>
      </c>
      <c r="U27" s="37">
        <v>778.43499999999995</v>
      </c>
      <c r="V27" s="39">
        <f>LN(Table2[[#This Row],[2025]]/Table2[[#This Row],[2024]])</f>
        <v>5.4141447020792863E-2</v>
      </c>
      <c r="W27" s="40">
        <f>LN(Table2[[#This Row],[2025]]/Table2[[#This Row],[2023]])</f>
        <v>0.15749845323386641</v>
      </c>
      <c r="X27" s="41">
        <f>LN(Table2[[#This Row],[2025]]/Table2[[#This Row],[2019]])</f>
        <v>0.783816505019446</v>
      </c>
    </row>
    <row r="28" spans="1:24" ht="13.5" thickBot="1" x14ac:dyDescent="0.25">
      <c r="I28" s="37"/>
      <c r="J28" s="21"/>
      <c r="K28" s="22"/>
      <c r="L28" s="23"/>
      <c r="N28" s="13" t="s">
        <v>41</v>
      </c>
      <c r="O28" s="9">
        <f t="shared" ref="O28:S28" si="6">SUM(O25:O27)</f>
        <v>672.38</v>
      </c>
      <c r="P28" s="9">
        <f t="shared" si="6"/>
        <v>796.80700000000002</v>
      </c>
      <c r="Q28" s="9">
        <f t="shared" si="6"/>
        <v>971.24</v>
      </c>
      <c r="R28" s="9">
        <f t="shared" si="6"/>
        <v>1347.7</v>
      </c>
      <c r="S28" s="9">
        <f t="shared" si="6"/>
        <v>1590.83</v>
      </c>
      <c r="T28" s="9">
        <f>SUM(T25:T27)</f>
        <v>1370.1</v>
      </c>
      <c r="U28" s="9">
        <f>SUM(U25:U27)</f>
        <v>1635.2909999999999</v>
      </c>
      <c r="V28" s="46">
        <f>LN(Table2[[#This Row],[2025]]/Table2[[#This Row],[2024]])</f>
        <v>0.17693704028681187</v>
      </c>
      <c r="W28" s="44">
        <f>LN(Table2[[#This Row],[2025]]/Table2[[#This Row],[2023]])</f>
        <v>2.756487755415039E-2</v>
      </c>
      <c r="X28" s="45">
        <f>LN(Table2[[#This Row],[2025]]/Table2[[#This Row],[2019]])</f>
        <v>0.88875239225366287</v>
      </c>
    </row>
    <row r="29" spans="1:24" x14ac:dyDescent="0.2">
      <c r="B29" s="5" t="s">
        <v>71</v>
      </c>
      <c r="C29" s="10">
        <f t="shared" ref="C29:G29" si="7">C19-C27</f>
        <v>491.83999999999992</v>
      </c>
      <c r="D29" s="10">
        <f t="shared" si="7"/>
        <v>645.57000000000016</v>
      </c>
      <c r="E29" s="10">
        <f t="shared" si="7"/>
        <v>779.0920000000001</v>
      </c>
      <c r="F29" s="10">
        <f t="shared" si="7"/>
        <v>1073.7130000000002</v>
      </c>
      <c r="G29" s="10">
        <f t="shared" si="7"/>
        <v>1251.1700000000005</v>
      </c>
      <c r="H29" s="10">
        <f>H19-H27</f>
        <v>1350.6999999999998</v>
      </c>
      <c r="I29" s="10">
        <f>I19-I27</f>
        <v>1492.0610000000001</v>
      </c>
      <c r="J29" s="48">
        <f>LN(Table1[[#This Row],[2025]]/Table1[[#This Row],[2024]])</f>
        <v>9.953540907972927E-2</v>
      </c>
      <c r="K29" s="42">
        <f>LN(Table1[[#This Row],[2025]]/Table1[[#This Row],[2023]])</f>
        <v>0.17607927212495011</v>
      </c>
      <c r="L29" s="48">
        <f>LN(Table1[[#This Row],[2025]]/Table1[[#This Row],[2019]])</f>
        <v>1.1097602042962167</v>
      </c>
      <c r="N29" s="12" t="s">
        <v>42</v>
      </c>
      <c r="O29" s="3">
        <v>73.400000000000006</v>
      </c>
      <c r="P29" s="3">
        <v>107.06399999999999</v>
      </c>
      <c r="Q29" s="3">
        <v>101.148</v>
      </c>
      <c r="R29" s="3">
        <v>91.5</v>
      </c>
      <c r="S29" s="3">
        <v>98.93</v>
      </c>
      <c r="T29" s="3">
        <v>115.16</v>
      </c>
      <c r="U29" s="37">
        <v>155.99700000000001</v>
      </c>
      <c r="V29" s="47">
        <f>LN(Table2[[#This Row],[2025]]/Table2[[#This Row],[2024]])</f>
        <v>0.3035143105514177</v>
      </c>
      <c r="W29" s="40">
        <f>LN(Table2[[#This Row],[2025]]/Table2[[#This Row],[2023]])</f>
        <v>0.45542424696026146</v>
      </c>
      <c r="X29" s="41">
        <f>LN(Table2[[#This Row],[2025]]/Table2[[#This Row],[2019]])</f>
        <v>0.7539128406749227</v>
      </c>
    </row>
    <row r="30" spans="1:24" x14ac:dyDescent="0.2">
      <c r="B30" s="6" t="s">
        <v>19</v>
      </c>
      <c r="C30" s="3">
        <v>-18.82</v>
      </c>
      <c r="D30" s="3">
        <v>-20.748999999999999</v>
      </c>
      <c r="E30" s="3">
        <v>-16.98</v>
      </c>
      <c r="F30" s="3">
        <v>-22.93</v>
      </c>
      <c r="G30" s="3">
        <v>-36.200000000000003</v>
      </c>
      <c r="H30" s="3">
        <v>-76</v>
      </c>
      <c r="I30" s="37">
        <v>-116.541</v>
      </c>
      <c r="J30" s="39">
        <f>LN(Table1[[#This Row],[2025]]/Table1[[#This Row],[2024]])</f>
        <v>0.42750980213659123</v>
      </c>
      <c r="K30" s="40">
        <f>LN(Table1[[#This Row],[2025]]/Table1[[#This Row],[2023]])</f>
        <v>1.169184023591197</v>
      </c>
      <c r="L30" s="41">
        <f>LN(Table1[[#This Row],[2025]]/Table1[[#This Row],[2019]])</f>
        <v>1.8233230082656888</v>
      </c>
      <c r="N30" s="12" t="s">
        <v>43</v>
      </c>
      <c r="O30" s="3">
        <v>346</v>
      </c>
      <c r="P30" s="3">
        <v>346.8</v>
      </c>
      <c r="Q30" s="3">
        <v>347.58800000000002</v>
      </c>
      <c r="R30" s="3">
        <v>648.07799999999997</v>
      </c>
      <c r="S30" s="3">
        <v>299.77</v>
      </c>
      <c r="T30" s="3">
        <v>2476.1799999999998</v>
      </c>
      <c r="U30" s="37">
        <v>2480.15</v>
      </c>
      <c r="V30" s="39">
        <f>LN(Table2[[#This Row],[2025]]/Table2[[#This Row],[2024]])</f>
        <v>1.6019921389592916E-3</v>
      </c>
      <c r="W30" s="40">
        <f>LN(Table2[[#This Row],[2025]]/Table2[[#This Row],[2023]])</f>
        <v>2.1130588072505709</v>
      </c>
      <c r="X30" s="41">
        <f>LN(Table2[[#This Row],[2025]]/Table2[[#This Row],[2019]])</f>
        <v>1.9696355461431958</v>
      </c>
    </row>
    <row r="31" spans="1:24" x14ac:dyDescent="0.2">
      <c r="B31" s="6" t="s">
        <v>20</v>
      </c>
      <c r="C31" s="3">
        <v>6</v>
      </c>
      <c r="D31" s="3">
        <v>7.94</v>
      </c>
      <c r="E31" s="3">
        <v>6.32</v>
      </c>
      <c r="F31" s="3">
        <v>-5.4</v>
      </c>
      <c r="G31" s="3">
        <v>66.900000000000006</v>
      </c>
      <c r="H31" s="3">
        <v>121.1</v>
      </c>
      <c r="I31" s="37">
        <v>146.52000000000001</v>
      </c>
      <c r="J31" s="39">
        <f>LN(Table1[[#This Row],[2025]]/Table1[[#This Row],[2024]])</f>
        <v>0.19054528735156726</v>
      </c>
      <c r="K31" s="40">
        <f>LN(Table1[[#This Row],[2025]]/Table1[[#This Row],[2023]])</f>
        <v>0.78396297077643073</v>
      </c>
      <c r="L31" s="41">
        <f>LN(Table1[[#This Row],[2025]]/Table1[[#This Row],[2019]])</f>
        <v>3.1954024686825586</v>
      </c>
      <c r="N31" s="12" t="s">
        <v>35</v>
      </c>
      <c r="O31" s="3">
        <v>162.52000000000001</v>
      </c>
      <c r="P31" s="3">
        <v>207.1</v>
      </c>
      <c r="Q31" s="3">
        <v>225.66</v>
      </c>
      <c r="R31" s="3">
        <v>304.66000000000003</v>
      </c>
      <c r="S31" s="3">
        <v>275.64999999999998</v>
      </c>
      <c r="T31" s="3">
        <v>339.44</v>
      </c>
      <c r="U31" s="37">
        <v>407.529</v>
      </c>
      <c r="V31" s="39">
        <f>LN(Table2[[#This Row],[2025]]/Table2[[#This Row],[2024]])</f>
        <v>0.18281489489886546</v>
      </c>
      <c r="W31" s="40">
        <f>LN(Table2[[#This Row],[2025]]/Table2[[#This Row],[2023]])</f>
        <v>0.39098015075724235</v>
      </c>
      <c r="X31" s="41">
        <f>LN(Table2[[#This Row],[2025]]/Table2[[#This Row],[2019]])</f>
        <v>0.91931102467340875</v>
      </c>
    </row>
    <row r="32" spans="1:24" ht="13.5" thickBot="1" x14ac:dyDescent="0.25">
      <c r="B32" s="11" t="s">
        <v>21</v>
      </c>
      <c r="C32" s="9">
        <f t="shared" ref="C32:F32" si="8">SUM(C29:C31)</f>
        <v>479.01999999999992</v>
      </c>
      <c r="D32" s="9">
        <f t="shared" si="8"/>
        <v>632.76100000000019</v>
      </c>
      <c r="E32" s="9">
        <f t="shared" si="8"/>
        <v>768.43200000000013</v>
      </c>
      <c r="F32" s="9">
        <f t="shared" si="8"/>
        <v>1045.383</v>
      </c>
      <c r="G32" s="9">
        <f>SUM(G29:G31)</f>
        <v>1281.8700000000006</v>
      </c>
      <c r="H32" s="9">
        <f>SUM(H29:H31)</f>
        <v>1395.7999999999997</v>
      </c>
      <c r="I32" s="9">
        <f>SUM(I29:I31)</f>
        <v>1522.0400000000002</v>
      </c>
      <c r="J32" s="46">
        <f>LN(Table1[[#This Row],[2025]]/Table1[[#This Row],[2024]])</f>
        <v>8.6583812702170901E-2</v>
      </c>
      <c r="K32" s="44">
        <f>LN(Table1[[#This Row],[2025]]/Table1[[#This Row],[2023]])</f>
        <v>0.17173159100250732</v>
      </c>
      <c r="L32" s="46">
        <f>LN(Table1[[#This Row],[2025]]/Table1[[#This Row],[2019]])</f>
        <v>1.1560644690925217</v>
      </c>
      <c r="N32" s="13" t="s">
        <v>44</v>
      </c>
      <c r="O32" s="9">
        <f t="shared" ref="O32:S32" si="9">SUM(O28:O31)</f>
        <v>1254.3</v>
      </c>
      <c r="P32" s="9">
        <f t="shared" si="9"/>
        <v>1457.771</v>
      </c>
      <c r="Q32" s="9">
        <f t="shared" si="9"/>
        <v>1645.636</v>
      </c>
      <c r="R32" s="9">
        <f t="shared" si="9"/>
        <v>2391.9380000000001</v>
      </c>
      <c r="S32" s="9">
        <f t="shared" si="9"/>
        <v>2265.1799999999998</v>
      </c>
      <c r="T32" s="9">
        <f>SUM(T28:T31)</f>
        <v>4300.8799999999992</v>
      </c>
      <c r="U32" s="9">
        <f>SUM(U28:U31)</f>
        <v>4678.9670000000006</v>
      </c>
      <c r="V32" s="43">
        <f>LN(Table2[[#This Row],[2025]]/Table2[[#This Row],[2024]])</f>
        <v>8.4257706146036102E-2</v>
      </c>
      <c r="W32" s="46">
        <f>LN(Table2[[#This Row],[2025]]/Table2[[#This Row],[2023]])</f>
        <v>0.72542313309406703</v>
      </c>
      <c r="X32" s="45">
        <f>LN(Table2[[#This Row],[2025]]/Table2[[#This Row],[2019]])</f>
        <v>1.316499711021659</v>
      </c>
    </row>
    <row r="33" spans="1:24" s="16" customFormat="1" x14ac:dyDescent="0.2">
      <c r="A33" s="1"/>
      <c r="B33" s="12" t="s">
        <v>22</v>
      </c>
      <c r="C33" s="3">
        <v>-510</v>
      </c>
      <c r="D33" s="3">
        <v>42.1</v>
      </c>
      <c r="E33" s="3">
        <v>72.48</v>
      </c>
      <c r="F33" s="3">
        <v>196.4</v>
      </c>
      <c r="G33" s="3">
        <v>240.78</v>
      </c>
      <c r="H33" s="3">
        <v>340.33</v>
      </c>
      <c r="I33" s="37">
        <v>413.15499999999997</v>
      </c>
      <c r="J33" s="39">
        <f>LN(Table1[[#This Row],[2025]]/Table1[[#This Row],[2024]])</f>
        <v>0.19390709008674578</v>
      </c>
      <c r="K33" s="40">
        <f>LN(Table1[[#This Row],[2025]]/Table1[[#This Row],[2023]])</f>
        <v>0.53993917170916172</v>
      </c>
      <c r="L33" s="41" t="e">
        <f>LN(Table1[[#This Row],[2025]]/Table1[[#This Row],[2019]])</f>
        <v>#NUM!</v>
      </c>
      <c r="M33" s="1"/>
      <c r="N33" s="6"/>
      <c r="O33" s="3"/>
      <c r="P33" s="3"/>
      <c r="Q33" s="3"/>
      <c r="R33" s="3"/>
      <c r="S33" s="3"/>
      <c r="T33" s="3"/>
      <c r="U33" s="37"/>
      <c r="V33" s="24"/>
      <c r="W33" s="25"/>
      <c r="X33" s="26"/>
    </row>
    <row r="34" spans="1:24" ht="13.5" thickBot="1" x14ac:dyDescent="0.25">
      <c r="B34" s="13" t="s">
        <v>23</v>
      </c>
      <c r="C34" s="9">
        <f t="shared" ref="C34:G34" si="10">C32-C33</f>
        <v>989.02</v>
      </c>
      <c r="D34" s="9">
        <f t="shared" si="10"/>
        <v>590.66100000000017</v>
      </c>
      <c r="E34" s="9">
        <f t="shared" si="10"/>
        <v>695.95200000000011</v>
      </c>
      <c r="F34" s="9">
        <f t="shared" si="10"/>
        <v>848.98300000000006</v>
      </c>
      <c r="G34" s="9">
        <f t="shared" si="10"/>
        <v>1041.0900000000006</v>
      </c>
      <c r="H34" s="9">
        <f>H32-H33</f>
        <v>1055.4699999999998</v>
      </c>
      <c r="I34" s="9">
        <f>I32-I33</f>
        <v>1108.8850000000002</v>
      </c>
      <c r="J34" s="43">
        <f>LN(Table1[[#This Row],[2025]]/Table1[[#This Row],[2024]])</f>
        <v>4.93688406132212E-2</v>
      </c>
      <c r="K34" s="44">
        <f>LN(Table1[[#This Row],[2025]]/Table1[[#This Row],[2023]])</f>
        <v>6.308676473977809E-2</v>
      </c>
      <c r="L34" s="45">
        <f>LN(Table1[[#This Row],[2025]]/Table1[[#This Row],[2019]])</f>
        <v>0.1143957310839555</v>
      </c>
      <c r="N34" s="5" t="s">
        <v>45</v>
      </c>
      <c r="O34" s="10">
        <f t="shared" ref="O34:S34" si="11">O21-O32</f>
        <v>2102.9079999999994</v>
      </c>
      <c r="P34" s="10">
        <f t="shared" si="11"/>
        <v>2493.0149999999994</v>
      </c>
      <c r="Q34" s="10">
        <f t="shared" si="11"/>
        <v>2740.7360000000003</v>
      </c>
      <c r="R34" s="10">
        <f t="shared" si="11"/>
        <v>2745.0870000000004</v>
      </c>
      <c r="S34" s="10">
        <f t="shared" si="11"/>
        <v>3404.3400000000006</v>
      </c>
      <c r="T34" s="10">
        <f>T21-T32</f>
        <v>4673.6510000000017</v>
      </c>
      <c r="U34" s="10">
        <f>U21-U32</f>
        <v>5474.1639999999989</v>
      </c>
      <c r="V34" s="48">
        <f>LN(Table2[[#This Row],[2025]]/Table2[[#This Row],[2024]])</f>
        <v>0.15809900502913019</v>
      </c>
      <c r="W34" s="48">
        <f>LN(Table2[[#This Row],[2025]]/Table2[[#This Row],[2023]])</f>
        <v>0.4749884817653211</v>
      </c>
      <c r="X34" s="48">
        <f>LN(Table2[[#This Row],[2025]]/Table2[[#This Row],[2019]])</f>
        <v>0.95671842124413375</v>
      </c>
    </row>
    <row r="35" spans="1:24" x14ac:dyDescent="0.2">
      <c r="I35" s="37"/>
      <c r="J35" s="21"/>
      <c r="K35" s="22"/>
      <c r="L35" s="23"/>
      <c r="N35" s="29" t="s">
        <v>27</v>
      </c>
      <c r="O35" s="30">
        <f>O11</f>
        <v>705.2</v>
      </c>
      <c r="P35" s="30">
        <f t="shared" ref="P35:T35" si="12">P11</f>
        <v>928.43</v>
      </c>
      <c r="Q35" s="30">
        <f t="shared" si="12"/>
        <v>1088.94</v>
      </c>
      <c r="R35" s="30">
        <f t="shared" si="12"/>
        <v>882.32</v>
      </c>
      <c r="S35" s="30">
        <f t="shared" si="12"/>
        <v>1008.2</v>
      </c>
      <c r="T35" s="30">
        <f t="shared" si="12"/>
        <v>2644</v>
      </c>
      <c r="U35" s="30">
        <f t="shared" ref="U35" si="13">U11</f>
        <v>3001.31</v>
      </c>
      <c r="V35" s="39">
        <f>LN(Table2[[#This Row],[2025]]/Table2[[#This Row],[2024]])</f>
        <v>0.12675593803419277</v>
      </c>
      <c r="W35" s="40">
        <f>LN(Table2[[#This Row],[2025]]/Table2[[#This Row],[2023]])</f>
        <v>1.0908822973572392</v>
      </c>
      <c r="X35" s="41">
        <f>LN(Table2[[#This Row],[2025]]/Table2[[#This Row],[2019]])</f>
        <v>1.4483226884820546</v>
      </c>
    </row>
    <row r="36" spans="1:24" x14ac:dyDescent="0.2">
      <c r="B36" s="6" t="s">
        <v>1</v>
      </c>
      <c r="C36" s="3">
        <v>280.5</v>
      </c>
      <c r="D36" s="3">
        <v>279.64</v>
      </c>
      <c r="E36" s="3">
        <v>278.858</v>
      </c>
      <c r="F36" s="3">
        <v>275.01</v>
      </c>
      <c r="G36" s="3">
        <v>272.74</v>
      </c>
      <c r="H36" s="3">
        <v>273.8</v>
      </c>
      <c r="I36" s="37">
        <v>273.31200000000001</v>
      </c>
      <c r="J36" s="39">
        <f>LN(Table1[[#This Row],[2025]]/Table1[[#This Row],[2024]])</f>
        <v>-1.7839130906117889E-3</v>
      </c>
      <c r="K36" s="40">
        <f>LN(Table1[[#This Row],[2025]]/Table1[[#This Row],[2023]])</f>
        <v>2.0950393340489924E-3</v>
      </c>
      <c r="L36" s="41">
        <f>LN(Table1[[#This Row],[2025]]/Table1[[#This Row],[2019]])</f>
        <v>-2.595972519901418E-2</v>
      </c>
      <c r="N36" s="29" t="s">
        <v>59</v>
      </c>
      <c r="O36" s="30">
        <f>O25+O30</f>
        <v>346</v>
      </c>
      <c r="P36" s="30">
        <f t="shared" ref="P36:T36" si="14">P25+P30</f>
        <v>346.8</v>
      </c>
      <c r="Q36" s="30">
        <f t="shared" si="14"/>
        <v>347.58800000000002</v>
      </c>
      <c r="R36" s="30">
        <f t="shared" si="14"/>
        <v>748.07799999999997</v>
      </c>
      <c r="S36" s="30">
        <f t="shared" si="14"/>
        <v>649.04999999999995</v>
      </c>
      <c r="T36" s="30">
        <f t="shared" si="14"/>
        <v>2476.1799999999998</v>
      </c>
      <c r="U36" s="30">
        <f t="shared" ref="U36" si="15">U25+U30</f>
        <v>2480.15</v>
      </c>
      <c r="V36" s="39">
        <f>LN(Table2[[#This Row],[2025]]/Table2[[#This Row],[2024]])</f>
        <v>1.6019921389592916E-3</v>
      </c>
      <c r="W36" s="40">
        <f>LN(Table2[[#This Row],[2025]]/Table2[[#This Row],[2023]])</f>
        <v>1.3405645658619165</v>
      </c>
      <c r="X36" s="41">
        <f>LN(Table2[[#This Row],[2025]]/Table2[[#This Row],[2019]])</f>
        <v>1.9696355461431958</v>
      </c>
    </row>
    <row r="37" spans="1:24" x14ac:dyDescent="0.2">
      <c r="B37" s="32" t="s">
        <v>0</v>
      </c>
      <c r="C37" s="34">
        <v>69.34</v>
      </c>
      <c r="D37" s="34">
        <v>136.32</v>
      </c>
      <c r="E37" s="34">
        <v>186.14</v>
      </c>
      <c r="F37" s="34">
        <v>160.51</v>
      </c>
      <c r="G37" s="34">
        <v>272.19</v>
      </c>
      <c r="H37" s="34">
        <v>300.36</v>
      </c>
      <c r="I37" s="37">
        <v>296.36</v>
      </c>
      <c r="J37" s="39">
        <f>LN(Table1[[#This Row],[2025]]/Table1[[#This Row],[2024]])</f>
        <v>-1.3406823683227001E-2</v>
      </c>
      <c r="K37" s="40">
        <f>LN(Table1[[#This Row],[2025]]/Table1[[#This Row],[2023]])</f>
        <v>8.5074579698808925E-2</v>
      </c>
      <c r="L37" s="41">
        <f>LN(Table1[[#This Row],[2025]]/Table1[[#This Row],[2019]])</f>
        <v>1.4525529912915787</v>
      </c>
      <c r="N37" s="32" t="s">
        <v>61</v>
      </c>
      <c r="O37" s="33">
        <f t="shared" ref="O37:T37" si="16">C38-O35+O36</f>
        <v>19090.670000000002</v>
      </c>
      <c r="P37" s="33">
        <f t="shared" si="16"/>
        <v>37538.894800000002</v>
      </c>
      <c r="Q37" s="33">
        <f t="shared" si="16"/>
        <v>51165.276119999995</v>
      </c>
      <c r="R37" s="33">
        <f t="shared" si="16"/>
        <v>44007.613099999995</v>
      </c>
      <c r="S37" s="33">
        <f t="shared" si="16"/>
        <v>73877.950600000011</v>
      </c>
      <c r="T37" s="33">
        <f t="shared" si="16"/>
        <v>82070.748000000007</v>
      </c>
      <c r="U37" s="33">
        <f t="shared" ref="U37" si="17">I38-U35+U36</f>
        <v>80477.584320000009</v>
      </c>
      <c r="V37" s="39">
        <f>LN(Table2[[#This Row],[2025]]/Table2[[#This Row],[2024]])</f>
        <v>-1.9602965774546052E-2</v>
      </c>
      <c r="W37" s="40">
        <f>LN(Table2[[#This Row],[2025]]/Table2[[#This Row],[2023]])</f>
        <v>8.5564274627773718E-2</v>
      </c>
      <c r="X37" s="41">
        <f>LN(Table2[[#This Row],[2025]]/Table2[[#This Row],[2019]])</f>
        <v>1.4387789559652195</v>
      </c>
    </row>
    <row r="38" spans="1:24" x14ac:dyDescent="0.2">
      <c r="B38" s="32" t="s">
        <v>60</v>
      </c>
      <c r="C38" s="35">
        <f t="shared" ref="C38:G38" si="18">C37*C36</f>
        <v>19449.870000000003</v>
      </c>
      <c r="D38" s="35">
        <f t="shared" si="18"/>
        <v>38120.524799999999</v>
      </c>
      <c r="E38" s="35">
        <f t="shared" si="18"/>
        <v>51906.628119999994</v>
      </c>
      <c r="F38" s="35">
        <f t="shared" si="18"/>
        <v>44141.855099999993</v>
      </c>
      <c r="G38" s="35">
        <f t="shared" si="18"/>
        <v>74237.100600000005</v>
      </c>
      <c r="H38" s="35">
        <f>H37*H36</f>
        <v>82238.568000000014</v>
      </c>
      <c r="I38" s="35">
        <f>I37*I36</f>
        <v>80998.744320000013</v>
      </c>
      <c r="J38" s="39">
        <f>LN(Table1[[#This Row],[2025]]/Table1[[#This Row],[2024]])</f>
        <v>-1.5190736773838729E-2</v>
      </c>
      <c r="K38" s="40">
        <f>LN(Table1[[#This Row],[2025]]/Table1[[#This Row],[2023]])</f>
        <v>8.7169619032857831E-2</v>
      </c>
      <c r="L38" s="41">
        <f>LN(Table1[[#This Row],[2025]]/Table1[[#This Row],[2019]])</f>
        <v>1.4265932660925646</v>
      </c>
      <c r="N38" s="32" t="s">
        <v>62</v>
      </c>
      <c r="O38" s="33">
        <f t="shared" ref="O38:T38" si="19">O37/C29</f>
        <v>38.814797495120374</v>
      </c>
      <c r="P38" s="33">
        <f t="shared" si="19"/>
        <v>58.148449896990243</v>
      </c>
      <c r="Q38" s="33">
        <f t="shared" si="19"/>
        <v>65.672957904843059</v>
      </c>
      <c r="R38" s="33">
        <f t="shared" si="19"/>
        <v>40.986383791571853</v>
      </c>
      <c r="S38" s="33">
        <f t="shared" si="19"/>
        <v>59.047092401512167</v>
      </c>
      <c r="T38" s="33">
        <f t="shared" si="19"/>
        <v>60.761640630784051</v>
      </c>
      <c r="U38" s="33">
        <f t="shared" ref="U38" si="20">U37/I29</f>
        <v>53.937194471271617</v>
      </c>
      <c r="V38" s="39">
        <f>LN(Table2[[#This Row],[2025]]/Table2[[#This Row],[2024]])</f>
        <v>-0.11913837485427528</v>
      </c>
      <c r="W38" s="40">
        <f>LN(Table2[[#This Row],[2025]]/Table2[[#This Row],[2023]])</f>
        <v>-9.0514997497176453E-2</v>
      </c>
      <c r="X38" s="41">
        <f>LN(Table2[[#This Row],[2025]]/Table2[[#This Row],[2019]])</f>
        <v>0.3290187516690028</v>
      </c>
    </row>
    <row r="39" spans="1:24" x14ac:dyDescent="0.2">
      <c r="B39" s="6" t="s">
        <v>24</v>
      </c>
      <c r="C39" s="14">
        <f t="shared" ref="C39:G39" si="21">C34/C36</f>
        <v>3.5259180035650624</v>
      </c>
      <c r="D39" s="14">
        <f t="shared" si="21"/>
        <v>2.1122192819339158</v>
      </c>
      <c r="E39" s="14">
        <f t="shared" si="21"/>
        <v>2.4957218369205836</v>
      </c>
      <c r="F39" s="14">
        <f t="shared" si="21"/>
        <v>3.0870986509581475</v>
      </c>
      <c r="G39" s="14">
        <f t="shared" si="21"/>
        <v>3.817151866246244</v>
      </c>
      <c r="H39" s="14">
        <f>H34/H36</f>
        <v>3.8548940832724607</v>
      </c>
      <c r="I39" s="14">
        <f>I34/I36</f>
        <v>4.0572130019903998</v>
      </c>
      <c r="J39" s="39">
        <f>LN(Table1[[#This Row],[2025]]/Table1[[#This Row],[2024]])</f>
        <v>5.1152753703833036E-2</v>
      </c>
      <c r="K39" s="40">
        <f>LN(Table1[[#This Row],[2025]]/Table1[[#This Row],[2023]])</f>
        <v>6.099172540572919E-2</v>
      </c>
      <c r="L39" s="41">
        <f>LN(Table1[[#This Row],[2025]]/Table1[[#This Row],[2019]])</f>
        <v>0.1403554562829698</v>
      </c>
      <c r="N39" s="32" t="s">
        <v>63</v>
      </c>
      <c r="O39" s="33">
        <f>365/(C15/O13)</f>
        <v>107.6821402135984</v>
      </c>
      <c r="P39" s="33">
        <f t="shared" ref="P39:T39" si="22">365/(D15/P13)</f>
        <v>120.00666608951606</v>
      </c>
      <c r="Q39" s="33">
        <f t="shared" si="22"/>
        <v>189.71343873517787</v>
      </c>
      <c r="R39" s="33">
        <f t="shared" si="22"/>
        <v>170.78520251498756</v>
      </c>
      <c r="S39" s="33">
        <f t="shared" si="22"/>
        <v>199.83694996986137</v>
      </c>
      <c r="T39" s="33">
        <f t="shared" si="22"/>
        <v>215.43861658268435</v>
      </c>
      <c r="U39" s="33">
        <f t="shared" ref="U39" si="23">365/(I15/U13)</f>
        <v>213.59923848081743</v>
      </c>
      <c r="V39" s="39">
        <f>LN(Table2[[#This Row],[2025]]/Table2[[#This Row],[2024]])</f>
        <v>-8.574485209995061E-3</v>
      </c>
      <c r="W39" s="40">
        <f>LN(Table2[[#This Row],[2025]]/Table2[[#This Row],[2023]])</f>
        <v>6.659975801475719E-2</v>
      </c>
      <c r="X39" s="41">
        <f>LN(Table2[[#This Row],[2025]]/Table2[[#This Row],[2019]])</f>
        <v>0.68491780053258144</v>
      </c>
    </row>
    <row r="40" spans="1:24" x14ac:dyDescent="0.2">
      <c r="B40" s="29" t="s">
        <v>54</v>
      </c>
      <c r="C40" s="50">
        <f>C19/C12</f>
        <v>0.88599922955099941</v>
      </c>
      <c r="D40" s="50">
        <f t="shared" ref="D40:H40" si="24">D19/D12</f>
        <v>0.88613355796755733</v>
      </c>
      <c r="E40" s="50">
        <f t="shared" si="24"/>
        <v>0.89726393216050981</v>
      </c>
      <c r="F40" s="50">
        <f t="shared" si="24"/>
        <v>0.89566303825971239</v>
      </c>
      <c r="G40" s="50">
        <f t="shared" si="24"/>
        <v>0.89361858190709054</v>
      </c>
      <c r="H40" s="50">
        <f t="shared" si="24"/>
        <v>0.86049167259173076</v>
      </c>
      <c r="I40" s="50">
        <f t="shared" ref="I40" si="25">I19/I12</f>
        <v>0.86363464733423956</v>
      </c>
      <c r="J40" s="39">
        <f>LN(Table1[[#This Row],[2025]]/Table1[[#This Row],[2024]])</f>
        <v>3.6458792927950619E-3</v>
      </c>
      <c r="K40" s="40">
        <f>LN(Table1[[#This Row],[2025]]/Table1[[#This Row],[2023]])</f>
        <v>-3.4129224482670473E-2</v>
      </c>
      <c r="L40" s="41">
        <f>LN(Table1[[#This Row],[2025]]/Table1[[#This Row],[2019]])</f>
        <v>-2.5566263532347415E-2</v>
      </c>
      <c r="N40" s="38" t="s">
        <v>69</v>
      </c>
      <c r="O40" s="37">
        <f>O15-O28+O16+O17</f>
        <v>1434.6709999999998</v>
      </c>
      <c r="P40" s="37">
        <f t="shared" ref="P40:U40" si="26">P15-P28+P16+P17</f>
        <v>1774.9789999999998</v>
      </c>
      <c r="Q40" s="37">
        <f t="shared" si="26"/>
        <v>1978.8420000000001</v>
      </c>
      <c r="R40" s="37">
        <f t="shared" si="26"/>
        <v>2104.7380000000003</v>
      </c>
      <c r="S40" s="37">
        <f t="shared" si="26"/>
        <v>2324.4800000000005</v>
      </c>
      <c r="T40" s="37">
        <f t="shared" si="26"/>
        <v>5482.86</v>
      </c>
      <c r="U40" s="37">
        <f t="shared" si="26"/>
        <v>6300.5149999999994</v>
      </c>
      <c r="V40" s="48">
        <f>LN(Table2[[#This Row],[2025]]/Table2[[#This Row],[2024]])</f>
        <v>0.13900451345936141</v>
      </c>
      <c r="W40" s="48">
        <f>LN(Table2[[#This Row],[2025]]/Table2[[#This Row],[2023]])</f>
        <v>0.99713501797758064</v>
      </c>
      <c r="X40" s="41">
        <f>LN(Table2[[#This Row],[2025]]/Table2[[#This Row],[2019]])</f>
        <v>1.4796958214552995</v>
      </c>
    </row>
    <row r="41" spans="1:24" x14ac:dyDescent="0.2">
      <c r="B41" s="29" t="s">
        <v>55</v>
      </c>
      <c r="C41" s="50">
        <f>C29/C12</f>
        <v>0.21052090912982063</v>
      </c>
      <c r="D41" s="50">
        <f t="shared" ref="D41:H41" si="27">D29/D12</f>
        <v>0.2406257454675573</v>
      </c>
      <c r="E41" s="50">
        <f t="shared" si="27"/>
        <v>0.26072022568543923</v>
      </c>
      <c r="F41" s="50">
        <f t="shared" si="27"/>
        <v>0.3014599728781962</v>
      </c>
      <c r="G41" s="50">
        <f t="shared" si="27"/>
        <v>0.30590953545232286</v>
      </c>
      <c r="H41" s="50">
        <f t="shared" si="27"/>
        <v>0.29101760282679418</v>
      </c>
      <c r="I41" s="50">
        <f t="shared" ref="I41" si="28">I29/I12</f>
        <v>0.28169102099380761</v>
      </c>
      <c r="J41" s="39">
        <f>LN(Table1[[#This Row],[2025]]/Table1[[#This Row],[2024]])</f>
        <v>-3.257295613777441E-2</v>
      </c>
      <c r="K41" s="40">
        <f>LN(Table1[[#This Row],[2025]]/Table1[[#This Row],[2023]])</f>
        <v>-8.2478622448838704E-2</v>
      </c>
      <c r="L41" s="41">
        <f>LN(Table1[[#This Row],[2025]]/Table1[[#This Row],[2019]])</f>
        <v>0.29122582104549177</v>
      </c>
    </row>
    <row r="42" spans="1:24" x14ac:dyDescent="0.2">
      <c r="B42" s="29" t="s">
        <v>56</v>
      </c>
      <c r="C42" s="50">
        <f>C34/C12</f>
        <v>0.4233274836279588</v>
      </c>
      <c r="D42" s="50">
        <f t="shared" ref="D42:H42" si="29">D34/D12</f>
        <v>0.22015930641698478</v>
      </c>
      <c r="E42" s="50">
        <f t="shared" si="29"/>
        <v>0.23289773544874395</v>
      </c>
      <c r="F42" s="50">
        <f t="shared" si="29"/>
        <v>0.23836387577876919</v>
      </c>
      <c r="G42" s="50">
        <f t="shared" si="29"/>
        <v>0.2545452322738388</v>
      </c>
      <c r="H42" s="50">
        <f t="shared" si="29"/>
        <v>0.22740826923491259</v>
      </c>
      <c r="I42" s="50">
        <f t="shared" ref="I42" si="30">I34/I12</f>
        <v>0.20934998489654133</v>
      </c>
      <c r="J42" s="39">
        <f>LN(Table1[[#This Row],[2025]]/Table1[[#This Row],[2024]])</f>
        <v>-8.2739524604282522E-2</v>
      </c>
      <c r="K42" s="40">
        <f>LN(Table1[[#This Row],[2025]]/Table1[[#This Row],[2023]])</f>
        <v>-0.19547112983401099</v>
      </c>
      <c r="L42" s="41">
        <f>LN(Table1[[#This Row],[2025]]/Table1[[#This Row],[2019]])</f>
        <v>-0.70413865216676941</v>
      </c>
    </row>
    <row r="43" spans="1:24" x14ac:dyDescent="0.2">
      <c r="B43" s="29" t="s">
        <v>57</v>
      </c>
      <c r="C43" s="31">
        <f>(C10-C15)/C10</f>
        <v>0.91420665880431828</v>
      </c>
      <c r="D43" s="31">
        <f t="shared" ref="D43:H43" si="31">(D10-D15)/D10</f>
        <v>0.90892569216395114</v>
      </c>
      <c r="E43" s="31">
        <f t="shared" si="31"/>
        <v>0.9208514934552462</v>
      </c>
      <c r="F43" s="31">
        <f t="shared" si="31"/>
        <v>0.91810046733868433</v>
      </c>
      <c r="G43" s="31">
        <f t="shared" si="31"/>
        <v>0.91346755685374503</v>
      </c>
      <c r="H43" s="31">
        <f t="shared" si="31"/>
        <v>0.89638068114394209</v>
      </c>
      <c r="I43" s="31">
        <f t="shared" ref="I43" si="32">(I10-I15)/I10</f>
        <v>0.89242160278745652</v>
      </c>
      <c r="J43" s="39">
        <f>LN(Table1[[#This Row],[2025]]/Table1[[#This Row],[2024]])</f>
        <v>-4.4265203109250043E-3</v>
      </c>
      <c r="K43" s="40">
        <f>LN(Table1[[#This Row],[2025]]/Table1[[#This Row],[2023]])</f>
        <v>-2.3309190193699692E-2</v>
      </c>
      <c r="L43" s="41">
        <f>LN(Table1[[#This Row],[2025]]/Table1[[#This Row],[2019]])</f>
        <v>-2.4117979839612457E-2</v>
      </c>
    </row>
    <row r="44" spans="1:24" x14ac:dyDescent="0.2">
      <c r="B44" s="29" t="s">
        <v>58</v>
      </c>
      <c r="C44" s="31">
        <f>(C11-C16)/C11</f>
        <v>0.41381928625664383</v>
      </c>
      <c r="D44" s="31">
        <f t="shared" ref="D44:H44" si="33">(D11-D16)/D11</f>
        <v>0.49087304300266632</v>
      </c>
      <c r="E44" s="31">
        <f t="shared" si="33"/>
        <v>0.51874607792800498</v>
      </c>
      <c r="F44" s="31">
        <f t="shared" si="33"/>
        <v>0.55734019501625132</v>
      </c>
      <c r="G44" s="31">
        <f t="shared" si="33"/>
        <v>0.5958528951486699</v>
      </c>
      <c r="H44" s="31">
        <f t="shared" si="33"/>
        <v>0.50701262272089764</v>
      </c>
      <c r="I44" s="31">
        <f t="shared" ref="I44" si="34">(I11-I16)/I11</f>
        <v>0.57154882154882158</v>
      </c>
      <c r="J44" s="48">
        <f>LN(Table1[[#This Row],[2025]]/Table1[[#This Row],[2024]])</f>
        <v>0.1198140064515824</v>
      </c>
      <c r="K44" s="40">
        <f>LN(Table1[[#This Row],[2025]]/Table1[[#This Row],[2023]])</f>
        <v>-4.1643909761630578E-2</v>
      </c>
      <c r="L44" s="41">
        <f>LN(Table1[[#This Row],[2025]]/Table1[[#This Row],[2019]])</f>
        <v>0.32292053471614307</v>
      </c>
    </row>
    <row r="45" spans="1:24" x14ac:dyDescent="0.2">
      <c r="B45" s="32" t="s">
        <v>64</v>
      </c>
      <c r="C45" s="36">
        <f>C34/C12</f>
        <v>0.4233274836279588</v>
      </c>
      <c r="D45" s="36">
        <f t="shared" ref="D45:H45" si="35">D34/D12</f>
        <v>0.22015930641698478</v>
      </c>
      <c r="E45" s="36">
        <f t="shared" si="35"/>
        <v>0.23289773544874395</v>
      </c>
      <c r="F45" s="36">
        <f t="shared" si="35"/>
        <v>0.23836387577876919</v>
      </c>
      <c r="G45" s="36">
        <f t="shared" si="35"/>
        <v>0.2545452322738388</v>
      </c>
      <c r="H45" s="36">
        <f t="shared" si="35"/>
        <v>0.22740826923491259</v>
      </c>
      <c r="I45" s="36">
        <f t="shared" ref="I45" si="36">I34/I12</f>
        <v>0.20934998489654133</v>
      </c>
      <c r="J45" s="39">
        <f>LN(Table1[[#This Row],[2025]]/Table1[[#This Row],[2024]])</f>
        <v>-8.2739524604282522E-2</v>
      </c>
      <c r="K45" s="40">
        <f>LN(Table1[[#This Row],[2025]]/Table1[[#This Row],[2023]])</f>
        <v>-0.19547112983401099</v>
      </c>
      <c r="L45" s="41">
        <f>LN(Table1[[#This Row],[2025]]/Table1[[#This Row],[2019]])</f>
        <v>-0.70413865216676941</v>
      </c>
    </row>
    <row r="46" spans="1:24" x14ac:dyDescent="0.2">
      <c r="B46" s="32" t="s">
        <v>65</v>
      </c>
      <c r="C46" s="36">
        <f t="shared" ref="C46:H46" si="37">C12/O21</f>
        <v>0.69590564540534872</v>
      </c>
      <c r="D46" s="36">
        <f t="shared" si="37"/>
        <v>0.67907499925331327</v>
      </c>
      <c r="E46" s="36">
        <f t="shared" si="37"/>
        <v>0.68125320880217177</v>
      </c>
      <c r="F46" s="36">
        <f t="shared" si="37"/>
        <v>0.69334099016454065</v>
      </c>
      <c r="G46" s="36">
        <f t="shared" si="37"/>
        <v>0.72140145903004127</v>
      </c>
      <c r="H46" s="36">
        <f t="shared" si="37"/>
        <v>0.51716351528564553</v>
      </c>
      <c r="I46" s="36">
        <f t="shared" ref="I46" si="38">I12/U21</f>
        <v>0.52169128912056784</v>
      </c>
      <c r="J46" s="39">
        <f>LN(Table1[[#This Row],[2025]]/Table1[[#This Row],[2024]])</f>
        <v>8.7169111328152128E-3</v>
      </c>
      <c r="K46" s="40">
        <f>LN(Table1[[#This Row],[2025]]/Table1[[#This Row],[2023]])</f>
        <v>-0.32411977818095034</v>
      </c>
      <c r="L46" s="41">
        <f>LN(Table1[[#This Row],[2025]]/Table1[[#This Row],[2019]])</f>
        <v>-0.28813807141363151</v>
      </c>
    </row>
    <row r="47" spans="1:24" x14ac:dyDescent="0.2">
      <c r="B47" s="32" t="s">
        <v>66</v>
      </c>
      <c r="C47" s="36">
        <f>O21/O34</f>
        <v>1.5964597595329899</v>
      </c>
      <c r="D47" s="36">
        <f t="shared" ref="D47:H47" si="39">P21/P34</f>
        <v>1.5847421696219239</v>
      </c>
      <c r="E47" s="36">
        <f t="shared" si="39"/>
        <v>1.6004357953484027</v>
      </c>
      <c r="F47" s="36">
        <f t="shared" si="39"/>
        <v>1.8713523469383666</v>
      </c>
      <c r="G47" s="36">
        <f t="shared" si="39"/>
        <v>1.6653800736706672</v>
      </c>
      <c r="H47" s="36">
        <f t="shared" si="39"/>
        <v>1.9202398724252192</v>
      </c>
      <c r="I47" s="36">
        <f t="shared" ref="I47" si="40">U21/U34</f>
        <v>1.8547363579169351</v>
      </c>
      <c r="J47" s="39">
        <f>LN(Table1[[#This Row],[2025]]/Table1[[#This Row],[2024]])</f>
        <v>-3.4707550944441896E-2</v>
      </c>
      <c r="K47" s="40">
        <f>LN(Table1[[#This Row],[2025]]/Table1[[#This Row],[2023]])</f>
        <v>0.10768919098941801</v>
      </c>
      <c r="L47" s="41">
        <f>LN(Table1[[#This Row],[2025]]/Table1[[#This Row],[2019]])</f>
        <v>0.14995403342022254</v>
      </c>
    </row>
    <row r="48" spans="1:24" x14ac:dyDescent="0.2">
      <c r="B48" s="32" t="s">
        <v>67</v>
      </c>
      <c r="C48" s="49">
        <f>C45*C46*C47</f>
        <v>0.47031063650906285</v>
      </c>
      <c r="D48" s="49">
        <f t="shared" ref="D48:H48" si="41">D45*D46*D47</f>
        <v>0.23692637228416208</v>
      </c>
      <c r="E48" s="49">
        <f t="shared" si="41"/>
        <v>0.25392887166075101</v>
      </c>
      <c r="F48" s="49">
        <f t="shared" si="41"/>
        <v>0.30927362229320959</v>
      </c>
      <c r="G48" s="49">
        <f t="shared" si="41"/>
        <v>0.30581258041206238</v>
      </c>
      <c r="H48" s="49">
        <f t="shared" si="41"/>
        <v>0.22583414978996066</v>
      </c>
      <c r="I48" s="49">
        <f t="shared" ref="I48" si="42">I45*I46*I47</f>
        <v>0.20256700383839435</v>
      </c>
      <c r="J48" s="39">
        <f>LN(Table1[[#This Row],[2025]]/Table1[[#This Row],[2024]])</f>
        <v>-0.10873016441590931</v>
      </c>
      <c r="K48" s="40">
        <f>LN(Table1[[#This Row],[2025]]/Table1[[#This Row],[2023]])</f>
        <v>-0.4119017170255434</v>
      </c>
      <c r="L48" s="41">
        <f>LN(Table1[[#This Row],[2025]]/Table1[[#This Row],[2019]])</f>
        <v>-0.84232269016017858</v>
      </c>
    </row>
  </sheetData>
  <pageMargins left="0.25" right="0.25" top="0.75" bottom="0.75" header="0.3" footer="0.3"/>
  <pageSetup paperSize="9" scale="55" orientation="landscape" r:id="rId1"/>
  <drawing r:id="rId2"/>
  <tableParts count="2">
    <tablePart r:id="rId3"/>
    <tablePart r:id="rId4"/>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E5F282-0466-4506-AC70-0376F7F1DBA9}">
  <dimension ref="A1:E17"/>
  <sheetViews>
    <sheetView showGridLines="0" showRowColHeaders="0" zoomScale="140" zoomScaleNormal="140" workbookViewId="0">
      <selection activeCell="D9" sqref="D9"/>
    </sheetView>
  </sheetViews>
  <sheetFormatPr defaultColWidth="12.7109375" defaultRowHeight="15" x14ac:dyDescent="0.25"/>
  <cols>
    <col min="2" max="2" width="19.5703125" customWidth="1"/>
  </cols>
  <sheetData>
    <row r="1" spans="1:5" ht="15.75" x14ac:dyDescent="0.25">
      <c r="A1" s="51"/>
      <c r="B1" s="51"/>
      <c r="C1" s="51"/>
      <c r="D1" s="51"/>
      <c r="E1" s="51"/>
    </row>
    <row r="2" spans="1:5" ht="15.75" x14ac:dyDescent="0.25">
      <c r="A2" s="51"/>
      <c r="B2" s="51"/>
      <c r="C2" s="51"/>
      <c r="D2" s="51"/>
      <c r="E2" s="51"/>
    </row>
    <row r="3" spans="1:5" ht="15.75" x14ac:dyDescent="0.25">
      <c r="A3" s="51"/>
      <c r="B3" s="51"/>
      <c r="C3" s="51"/>
      <c r="D3" s="51"/>
      <c r="E3" s="51"/>
    </row>
    <row r="4" spans="1:5" ht="20.25" x14ac:dyDescent="0.3">
      <c r="A4" s="51"/>
      <c r="B4" s="52" t="s">
        <v>81</v>
      </c>
      <c r="C4" s="51"/>
      <c r="D4" s="51"/>
      <c r="E4" s="51"/>
    </row>
    <row r="5" spans="1:5" ht="15.75" x14ac:dyDescent="0.25">
      <c r="A5" s="51"/>
      <c r="B5" s="51"/>
      <c r="C5" s="51"/>
      <c r="D5" s="51"/>
      <c r="E5" s="51"/>
    </row>
    <row r="6" spans="1:5" ht="15.75" x14ac:dyDescent="0.25">
      <c r="A6" s="51"/>
      <c r="B6" s="53" t="s">
        <v>72</v>
      </c>
      <c r="C6" s="54" t="s">
        <v>73</v>
      </c>
      <c r="D6" s="55" t="s">
        <v>68</v>
      </c>
      <c r="E6" s="51"/>
    </row>
    <row r="7" spans="1:5" ht="15.75" x14ac:dyDescent="0.25">
      <c r="A7" s="51"/>
      <c r="B7" s="51" t="s">
        <v>74</v>
      </c>
      <c r="C7" s="51"/>
      <c r="D7" s="56">
        <f>((Statements!I12/Statements!C12)^(1/7))-1</f>
        <v>0.1240446594866329</v>
      </c>
      <c r="E7" s="51"/>
    </row>
    <row r="8" spans="1:5" ht="15.75" x14ac:dyDescent="0.25">
      <c r="A8" s="51"/>
      <c r="B8" s="51" t="s">
        <v>75</v>
      </c>
      <c r="C8" s="51"/>
      <c r="D8" s="56">
        <f>(Statements!I29+Statements!I25)/Statements!I12</f>
        <v>0.2892295348134723</v>
      </c>
      <c r="E8" s="51"/>
    </row>
    <row r="9" spans="1:5" ht="15.75" x14ac:dyDescent="0.25">
      <c r="A9" s="51"/>
      <c r="B9" s="51" t="s">
        <v>67</v>
      </c>
      <c r="C9" s="51"/>
      <c r="D9" s="56">
        <f>Statements!I34/Statements!U34</f>
        <v>0.2025670038383944</v>
      </c>
      <c r="E9" s="51"/>
    </row>
    <row r="10" spans="1:5" ht="15.75" x14ac:dyDescent="0.25">
      <c r="A10" s="51"/>
      <c r="B10" s="51" t="s">
        <v>76</v>
      </c>
      <c r="C10" s="51"/>
      <c r="D10" s="56">
        <f>(Statements!I29*(Statements!I33/Statements!I32))/Statements!U40</f>
        <v>6.4283198242238784E-2</v>
      </c>
      <c r="E10" s="51"/>
    </row>
    <row r="11" spans="1:5" ht="15.75" x14ac:dyDescent="0.25">
      <c r="A11" s="51"/>
      <c r="B11" s="51" t="s">
        <v>77</v>
      </c>
      <c r="C11" s="51"/>
      <c r="D11" s="57">
        <f>Statements!U36/(Statements!I29+Statements!I25)</f>
        <v>1.6189063773873344</v>
      </c>
      <c r="E11" s="51"/>
    </row>
    <row r="12" spans="1:5" ht="15.75" x14ac:dyDescent="0.25">
      <c r="A12" s="51"/>
      <c r="B12" s="51" t="s">
        <v>78</v>
      </c>
      <c r="C12" s="51"/>
      <c r="D12" s="58">
        <f>_xlfn.STDEV.S(Statements!C39:I39)</f>
        <v>0.74157179346258728</v>
      </c>
      <c r="E12" s="51"/>
    </row>
    <row r="13" spans="1:5" ht="15.75" x14ac:dyDescent="0.25">
      <c r="A13" s="51"/>
      <c r="B13" s="51" t="s">
        <v>79</v>
      </c>
      <c r="C13" s="51"/>
      <c r="D13" s="58">
        <f>Statements!U38</f>
        <v>53.937194471271617</v>
      </c>
      <c r="E13" s="51"/>
    </row>
    <row r="14" spans="1:5" ht="15.75" x14ac:dyDescent="0.25">
      <c r="A14" s="51"/>
      <c r="B14" s="51" t="s">
        <v>80</v>
      </c>
      <c r="C14" s="51"/>
      <c r="D14" s="59" t="s">
        <v>82</v>
      </c>
      <c r="E14" s="51"/>
    </row>
    <row r="15" spans="1:5" ht="15.75" x14ac:dyDescent="0.25">
      <c r="A15" s="51"/>
      <c r="B15" s="51"/>
      <c r="C15" s="51"/>
      <c r="D15" s="51"/>
      <c r="E15" s="51"/>
    </row>
    <row r="16" spans="1:5" ht="15.75" x14ac:dyDescent="0.25">
      <c r="A16" s="51"/>
      <c r="B16" s="51"/>
      <c r="C16" s="51"/>
      <c r="D16" s="51"/>
      <c r="E16" s="51"/>
    </row>
    <row r="17" spans="1:5" ht="15.75" x14ac:dyDescent="0.25">
      <c r="A17" s="51"/>
      <c r="B17" s="51"/>
      <c r="C17" s="51"/>
      <c r="D17" s="51"/>
      <c r="E17" s="51"/>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scriptIds xmlns="http://schemas.microsoft.com/office/extensibility/maker/v1.0" id="script-ids-node-id">
  <scriptId id="ms-officescript%3A%2F%2Fonedrive_business_itemlink%2F015GZNGIFWWM75CB5U5JDIZ463SE5DI453:ms-officescript%3A%2F%2Fonedrive_business_sharinglink%2Fu!aHR0cHM6Ly9zamVjY2QtbXkuc2hhcmVwb2ludC5jb20vOnU6L2cvcGVyc29uYWwvYWJnbzY0NzZfc3R1X2V2Y19lZHUvRWJhelA5RUh0T3BHalBQYmtUbzBjN3NCcFR0RHZRTGdlNjlZOWVEaWtxVDAydw"/>
</scriptIds>
</file>

<file path=customXml/item2.xml><?xml version="1.0" encoding="utf-8"?>
<p:properties xmlns:p="http://schemas.microsoft.com/office/2006/metadata/properties" xmlns:xsi="http://www.w3.org/2001/XMLSchema-instance" xmlns:pc="http://schemas.microsoft.com/office/infopath/2007/PartnerControls">
  <documentManagement>
    <_activity xmlns="36567613-e428-4167-ab55-a4f66cede826"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ct:contentTypeSchema xmlns:ct="http://schemas.microsoft.com/office/2006/metadata/contentType" xmlns:ma="http://schemas.microsoft.com/office/2006/metadata/properties/metaAttributes" ct:_="" ma:_="" ma:contentTypeName="Document" ma:contentTypeID="0x0101004600919C5D1CD245AE9967B74E8175F3" ma:contentTypeVersion="6" ma:contentTypeDescription="Create a new document." ma:contentTypeScope="" ma:versionID="5914cc59b3ac3e0af91e183125dbf667">
  <xsd:schema xmlns:xsd="http://www.w3.org/2001/XMLSchema" xmlns:xs="http://www.w3.org/2001/XMLSchema" xmlns:p="http://schemas.microsoft.com/office/2006/metadata/properties" xmlns:ns3="36567613-e428-4167-ab55-a4f66cede826" targetNamespace="http://schemas.microsoft.com/office/2006/metadata/properties" ma:root="true" ma:fieldsID="3f536e8bcdade1d0b1324d4e87301424" ns3:_="">
    <xsd:import namespace="36567613-e428-4167-ab55-a4f66cede826"/>
    <xsd:element name="properties">
      <xsd:complexType>
        <xsd:sequence>
          <xsd:element name="documentManagement">
            <xsd:complexType>
              <xsd:all>
                <xsd:element ref="ns3:MediaServiceMetadata" minOccurs="0"/>
                <xsd:element ref="ns3:MediaServiceFastMetadata" minOccurs="0"/>
                <xsd:element ref="ns3:_activity" minOccurs="0"/>
                <xsd:element ref="ns3:MediaServiceObjectDetectorVersions" minOccurs="0"/>
                <xsd:element ref="ns3:MediaServiceSearchProperties" minOccurs="0"/>
                <xsd:element ref="ns3: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6567613-e428-4167-ab55-a4f66cede82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_activity" ma:index="10" nillable="true" ma:displayName="_activity" ma:hidden="true" ma:internalName="_activity">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SearchProperties" ma:index="12" nillable="true" ma:displayName="MediaServiceSearchProperties" ma:hidden="true" ma:internalName="MediaServiceSearchProperties" ma:readOnly="true">
      <xsd:simpleType>
        <xsd:restriction base="dms:Note"/>
      </xsd:simpleType>
    </xsd:element>
    <xsd:element name="MediaServiceDateTaken" ma:index="13" nillable="true" ma:displayName="MediaServiceDateTaken" ma:hidden="true" ma:indexed="true" ma:internalName="MediaServiceDateTake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09CC3DFF-8066-43A7-80F7-D82830EC8647}">
  <ds:schemaRefs>
    <ds:schemaRef ds:uri="http://schemas.microsoft.com/office/extensibility/maker/v1.0"/>
  </ds:schemaRefs>
</ds:datastoreItem>
</file>

<file path=customXml/itemProps2.xml><?xml version="1.0" encoding="utf-8"?>
<ds:datastoreItem xmlns:ds="http://schemas.openxmlformats.org/officeDocument/2006/customXml" ds:itemID="{80F213C5-F071-4E9E-9963-FC20199506E0}">
  <ds:schemaRefs>
    <ds:schemaRef ds:uri="http://purl.org/dc/dcmitype/"/>
    <ds:schemaRef ds:uri="36567613-e428-4167-ab55-a4f66cede826"/>
    <ds:schemaRef ds:uri="http://schemas.microsoft.com/office/infopath/2007/PartnerControls"/>
    <ds:schemaRef ds:uri="http://schemas.microsoft.com/office/2006/documentManagement/types"/>
    <ds:schemaRef ds:uri="http://schemas.openxmlformats.org/package/2006/metadata/core-properties"/>
    <ds:schemaRef ds:uri="http://www.w3.org/XML/1998/namespace"/>
    <ds:schemaRef ds:uri="http://purl.org/dc/elements/1.1/"/>
    <ds:schemaRef ds:uri="http://purl.org/dc/terms/"/>
    <ds:schemaRef ds:uri="http://schemas.microsoft.com/office/2006/metadata/properties"/>
  </ds:schemaRefs>
</ds:datastoreItem>
</file>

<file path=customXml/itemProps3.xml><?xml version="1.0" encoding="utf-8"?>
<ds:datastoreItem xmlns:ds="http://schemas.openxmlformats.org/officeDocument/2006/customXml" ds:itemID="{69CA9D73-4B12-4830-B86F-A2C93BFFF30D}">
  <ds:schemaRefs>
    <ds:schemaRef ds:uri="http://schemas.microsoft.com/sharepoint/v3/contenttype/forms"/>
  </ds:schemaRefs>
</ds:datastoreItem>
</file>

<file path=customXml/itemProps4.xml><?xml version="1.0" encoding="utf-8"?>
<ds:datastoreItem xmlns:ds="http://schemas.openxmlformats.org/officeDocument/2006/customXml" ds:itemID="{F17312E7-BDAF-44C5-9DBF-26FD12E4B89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36567613-e428-4167-ab55-a4f66cede82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Statements</vt:lpstr>
      <vt:lpstr>Notes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Abraham Gonzalez Herrera</dc:creator>
  <cp:lastModifiedBy>Abraham Gonzalez Herrera</cp:lastModifiedBy>
  <cp:lastPrinted>2025-06-20T18:38:11Z</cp:lastPrinted>
  <dcterms:created xsi:type="dcterms:W3CDTF">2025-02-19T20:24:26Z</dcterms:created>
  <dcterms:modified xsi:type="dcterms:W3CDTF">2026-06-29T21:52:26Z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0x0101004600919C5D1CD245AE9967B74E8175F3</vt:lpwstr>
  </property>
  <property fmtid="{D5CDD505-2E9C-101B-9397-08002B2CF9AE}" pid="3" name="MSIP_Label_bc50c7b0-9e53-455f-9b3f-deab1aa8a41e_Enabled">
    <vt:lpwstr>true</vt:lpwstr>
  </property>
  <property fmtid="{D5CDD505-2E9C-101B-9397-08002B2CF9AE}" pid="4" name="MSIP_Label_bc50c7b0-9e53-455f-9b3f-deab1aa8a41e_SetDate">
    <vt:lpwstr>2025-06-20T18:35:59Z</vt:lpwstr>
  </property>
  <property fmtid="{D5CDD505-2E9C-101B-9397-08002B2CF9AE}" pid="5" name="MSIP_Label_bc50c7b0-9e53-455f-9b3f-deab1aa8a41e_Method">
    <vt:lpwstr>Standard</vt:lpwstr>
  </property>
  <property fmtid="{D5CDD505-2E9C-101B-9397-08002B2CF9AE}" pid="6" name="MSIP_Label_bc50c7b0-9e53-455f-9b3f-deab1aa8a41e_Name">
    <vt:lpwstr>defa4170-0d19-0005-0004-bc88714345d2</vt:lpwstr>
  </property>
  <property fmtid="{D5CDD505-2E9C-101B-9397-08002B2CF9AE}" pid="7" name="MSIP_Label_bc50c7b0-9e53-455f-9b3f-deab1aa8a41e_SiteId">
    <vt:lpwstr>7cc8e357-468d-472c-a6fc-c5600e789b55</vt:lpwstr>
  </property>
  <property fmtid="{D5CDD505-2E9C-101B-9397-08002B2CF9AE}" pid="8" name="MSIP_Label_bc50c7b0-9e53-455f-9b3f-deab1aa8a41e_ActionId">
    <vt:lpwstr>ee67d891-9c3e-44d0-a65b-82553e022ac4</vt:lpwstr>
  </property>
  <property fmtid="{D5CDD505-2E9C-101B-9397-08002B2CF9AE}" pid="9" name="MSIP_Label_bc50c7b0-9e53-455f-9b3f-deab1aa8a41e_ContentBits">
    <vt:lpwstr>0</vt:lpwstr>
  </property>
  <property fmtid="{D5CDD505-2E9C-101B-9397-08002B2CF9AE}" pid="10" name="MSIP_Label_bc50c7b0-9e53-455f-9b3f-deab1aa8a41e_Tag">
    <vt:lpwstr>10, 3, 0, 1</vt:lpwstr>
  </property>
</Properties>
</file>