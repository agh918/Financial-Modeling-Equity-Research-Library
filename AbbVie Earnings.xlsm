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Earnings Models/"/>
    </mc:Choice>
  </mc:AlternateContent>
  <xr:revisionPtr revIDLastSave="1548" documentId="8_{3B4B9CCC-6213-496D-8271-30B8684E53F3}" xr6:coauthVersionLast="47" xr6:coauthVersionMax="47" xr10:uidLastSave="{51838FEE-37CB-4326-9180-240AE36FF61A}"/>
  <bookViews>
    <workbookView xWindow="-120" yWindow="-120" windowWidth="27930" windowHeight="16440" xr2:uid="{CD218907-FF69-440B-8102-4E26B44E461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8" i="1" l="1"/>
  <c r="O68" i="1"/>
  <c r="P68" i="1"/>
  <c r="O69" i="1"/>
  <c r="P69" i="1"/>
  <c r="O70" i="1"/>
  <c r="P70" i="1"/>
  <c r="O71" i="1"/>
  <c r="P71" i="1"/>
  <c r="O72" i="1"/>
  <c r="P72" i="1"/>
  <c r="O73" i="1"/>
  <c r="P73" i="1"/>
  <c r="O74" i="1"/>
  <c r="P74" i="1"/>
  <c r="O75" i="1"/>
  <c r="P75" i="1"/>
  <c r="O76" i="1"/>
  <c r="P76" i="1"/>
  <c r="O77" i="1"/>
  <c r="O78" i="1"/>
  <c r="T64" i="1"/>
  <c r="S64" i="1"/>
  <c r="R64" i="1"/>
  <c r="Q64" i="1"/>
  <c r="T62" i="1"/>
  <c r="S62" i="1"/>
  <c r="R62" i="1"/>
  <c r="Q62" i="1"/>
  <c r="T58" i="1"/>
  <c r="S58" i="1"/>
  <c r="R58" i="1"/>
  <c r="Q58" i="1"/>
  <c r="T51" i="1"/>
  <c r="S51" i="1"/>
  <c r="R51" i="1"/>
  <c r="Q51" i="1"/>
  <c r="T45" i="1"/>
  <c r="S45" i="1"/>
  <c r="R45" i="1"/>
  <c r="Q45" i="1"/>
  <c r="T36" i="1"/>
  <c r="S36" i="1"/>
  <c r="R36" i="1"/>
  <c r="T34" i="1"/>
  <c r="S34" i="1"/>
  <c r="R34" i="1"/>
  <c r="R30" i="1"/>
  <c r="S30" i="1"/>
  <c r="T30" i="1"/>
  <c r="Q28" i="1"/>
  <c r="R28" i="1"/>
  <c r="S28" i="1"/>
  <c r="T28" i="1"/>
  <c r="T19" i="1"/>
  <c r="S19" i="1"/>
  <c r="R19" i="1"/>
  <c r="T9" i="1"/>
  <c r="S9" i="1"/>
  <c r="R9" i="1"/>
  <c r="Q9" i="1"/>
  <c r="T8" i="1"/>
  <c r="S8" i="1"/>
  <c r="R8" i="1"/>
  <c r="Q8" i="1"/>
  <c r="T7" i="1"/>
  <c r="S7" i="1"/>
  <c r="R7" i="1"/>
  <c r="Q7" i="1"/>
  <c r="P28" i="1"/>
  <c r="P18" i="1"/>
  <c r="P19" i="1" s="1"/>
  <c r="M78" i="1"/>
  <c r="K78" i="1"/>
  <c r="I78" i="1"/>
  <c r="G78" i="1"/>
  <c r="H78" i="1"/>
  <c r="J78" i="1"/>
  <c r="L78" i="1"/>
  <c r="N78" i="1"/>
  <c r="C78" i="1"/>
  <c r="D78" i="1"/>
  <c r="E78" i="1"/>
  <c r="F78" i="1"/>
  <c r="B78" i="1"/>
  <c r="G77" i="1"/>
  <c r="I77" i="1"/>
  <c r="K77" i="1"/>
  <c r="M77" i="1"/>
  <c r="B77" i="1"/>
  <c r="D77" i="1"/>
  <c r="E77" i="1"/>
  <c r="F77" i="1"/>
  <c r="H77" i="1"/>
  <c r="J77" i="1"/>
  <c r="L77" i="1"/>
  <c r="N77" i="1"/>
  <c r="C77" i="1"/>
  <c r="N67" i="1"/>
  <c r="O67" i="1"/>
  <c r="M67" i="1"/>
  <c r="M68" i="1"/>
  <c r="M69" i="1"/>
  <c r="M70" i="1"/>
  <c r="M71" i="1"/>
  <c r="M72" i="1"/>
  <c r="M73" i="1"/>
  <c r="M74" i="1"/>
  <c r="M75" i="1"/>
  <c r="M76" i="1"/>
  <c r="K67" i="1"/>
  <c r="K68" i="1"/>
  <c r="K69" i="1"/>
  <c r="K70" i="1"/>
  <c r="K71" i="1"/>
  <c r="K72" i="1"/>
  <c r="K73" i="1"/>
  <c r="K74" i="1"/>
  <c r="K75" i="1"/>
  <c r="K76" i="1"/>
  <c r="I67" i="1"/>
  <c r="I68" i="1"/>
  <c r="I69" i="1"/>
  <c r="I70" i="1"/>
  <c r="I71" i="1"/>
  <c r="I72" i="1"/>
  <c r="I73" i="1"/>
  <c r="I74" i="1"/>
  <c r="I75" i="1"/>
  <c r="I76" i="1"/>
  <c r="G67" i="1"/>
  <c r="G68" i="1"/>
  <c r="G69" i="1"/>
  <c r="G70" i="1"/>
  <c r="G71" i="1"/>
  <c r="G72" i="1"/>
  <c r="G73" i="1"/>
  <c r="G74" i="1"/>
  <c r="G75" i="1"/>
  <c r="G76" i="1"/>
  <c r="C76" i="1"/>
  <c r="D76" i="1"/>
  <c r="E76" i="1"/>
  <c r="F76" i="1"/>
  <c r="H76" i="1"/>
  <c r="J76" i="1"/>
  <c r="L76" i="1"/>
  <c r="N76" i="1"/>
  <c r="B76" i="1"/>
  <c r="C75" i="1"/>
  <c r="D75" i="1"/>
  <c r="E75" i="1"/>
  <c r="F75" i="1"/>
  <c r="H75" i="1"/>
  <c r="J75" i="1"/>
  <c r="L75" i="1"/>
  <c r="N75" i="1"/>
  <c r="B75" i="1"/>
  <c r="C74" i="1"/>
  <c r="D74" i="1"/>
  <c r="E74" i="1"/>
  <c r="F74" i="1"/>
  <c r="H74" i="1"/>
  <c r="J74" i="1"/>
  <c r="L74" i="1"/>
  <c r="N74" i="1"/>
  <c r="B74" i="1"/>
  <c r="C73" i="1"/>
  <c r="D73" i="1"/>
  <c r="E73" i="1"/>
  <c r="F73" i="1"/>
  <c r="H73" i="1"/>
  <c r="J73" i="1"/>
  <c r="L73" i="1"/>
  <c r="N73" i="1"/>
  <c r="B73" i="1"/>
  <c r="C72" i="1"/>
  <c r="D72" i="1"/>
  <c r="E72" i="1"/>
  <c r="F72" i="1"/>
  <c r="H72" i="1"/>
  <c r="J72" i="1"/>
  <c r="L72" i="1"/>
  <c r="N72" i="1"/>
  <c r="B72" i="1"/>
  <c r="C71" i="1"/>
  <c r="D71" i="1"/>
  <c r="E71" i="1"/>
  <c r="F71" i="1"/>
  <c r="H71" i="1"/>
  <c r="J71" i="1"/>
  <c r="L71" i="1"/>
  <c r="N71" i="1"/>
  <c r="B71" i="1"/>
  <c r="C70" i="1"/>
  <c r="D70" i="1"/>
  <c r="E70" i="1"/>
  <c r="F70" i="1"/>
  <c r="H70" i="1"/>
  <c r="J70" i="1"/>
  <c r="L70" i="1"/>
  <c r="N70" i="1"/>
  <c r="B70" i="1"/>
  <c r="C69" i="1"/>
  <c r="D69" i="1"/>
  <c r="E69" i="1"/>
  <c r="F69" i="1"/>
  <c r="H69" i="1"/>
  <c r="J69" i="1"/>
  <c r="L69" i="1"/>
  <c r="N69" i="1"/>
  <c r="B69" i="1"/>
  <c r="C68" i="1"/>
  <c r="D68" i="1"/>
  <c r="E68" i="1"/>
  <c r="F68" i="1"/>
  <c r="H68" i="1"/>
  <c r="J68" i="1"/>
  <c r="L68" i="1"/>
  <c r="N68" i="1"/>
  <c r="B68" i="1"/>
  <c r="C67" i="1"/>
  <c r="D67" i="1"/>
  <c r="E67" i="1"/>
  <c r="F67" i="1"/>
  <c r="H67" i="1"/>
  <c r="J67" i="1"/>
  <c r="L67" i="1"/>
  <c r="B67" i="1"/>
  <c r="G6" i="1"/>
  <c r="G7" i="1"/>
  <c r="G8" i="1"/>
  <c r="G9" i="1"/>
  <c r="G12" i="1"/>
  <c r="G13" i="1"/>
  <c r="G14" i="1"/>
  <c r="G15" i="1"/>
  <c r="G16" i="1"/>
  <c r="G17" i="1"/>
  <c r="G18" i="1"/>
  <c r="G19" i="1"/>
  <c r="G21" i="1"/>
  <c r="G24" i="1"/>
  <c r="G25" i="1"/>
  <c r="G26" i="1"/>
  <c r="G27" i="1"/>
  <c r="G28" i="1"/>
  <c r="G30" i="1"/>
  <c r="G31" i="1"/>
  <c r="G32" i="1"/>
  <c r="G33" i="1"/>
  <c r="G34" i="1"/>
  <c r="G35" i="1"/>
  <c r="G36" i="1"/>
  <c r="G40" i="1"/>
  <c r="G41" i="1"/>
  <c r="G42" i="1"/>
  <c r="G43" i="1"/>
  <c r="G44" i="1"/>
  <c r="G45" i="1"/>
  <c r="G46" i="1"/>
  <c r="G47" i="1"/>
  <c r="G48" i="1"/>
  <c r="G49" i="1"/>
  <c r="G50" i="1"/>
  <c r="G51" i="1"/>
  <c r="G55" i="1"/>
  <c r="G56" i="1"/>
  <c r="G57" i="1"/>
  <c r="G58" i="1"/>
  <c r="G59" i="1"/>
  <c r="G60" i="1"/>
  <c r="G61" i="1"/>
  <c r="G62" i="1"/>
  <c r="G64" i="1"/>
  <c r="G65" i="1"/>
  <c r="G66" i="1"/>
  <c r="G5" i="1"/>
  <c r="I6" i="1"/>
  <c r="I18" i="1"/>
  <c r="I21" i="1"/>
  <c r="I24" i="1"/>
  <c r="I25" i="1"/>
  <c r="I26" i="1"/>
  <c r="I27" i="1"/>
  <c r="I31" i="1"/>
  <c r="I32" i="1"/>
  <c r="I33" i="1"/>
  <c r="I35" i="1"/>
  <c r="I40" i="1"/>
  <c r="I41" i="1"/>
  <c r="I42" i="1"/>
  <c r="I43" i="1"/>
  <c r="I44" i="1"/>
  <c r="I45" i="1"/>
  <c r="I46" i="1"/>
  <c r="I47" i="1"/>
  <c r="I48" i="1"/>
  <c r="I49" i="1"/>
  <c r="I50" i="1"/>
  <c r="I55" i="1"/>
  <c r="I56" i="1"/>
  <c r="I57" i="1"/>
  <c r="I59" i="1"/>
  <c r="I60" i="1"/>
  <c r="I61" i="1"/>
  <c r="I62" i="1"/>
  <c r="I5" i="1"/>
  <c r="K6" i="1"/>
  <c r="K21" i="1"/>
  <c r="K24" i="1"/>
  <c r="K25" i="1"/>
  <c r="K26" i="1"/>
  <c r="K27" i="1"/>
  <c r="K31" i="1"/>
  <c r="K32" i="1"/>
  <c r="K33" i="1"/>
  <c r="K35" i="1"/>
  <c r="K40" i="1"/>
  <c r="K41" i="1"/>
  <c r="K42" i="1"/>
  <c r="K43" i="1"/>
  <c r="K44" i="1"/>
  <c r="K46" i="1"/>
  <c r="K47" i="1"/>
  <c r="K48" i="1"/>
  <c r="K49" i="1"/>
  <c r="K50" i="1"/>
  <c r="K55" i="1"/>
  <c r="K56" i="1"/>
  <c r="K57" i="1"/>
  <c r="K59" i="1"/>
  <c r="K60" i="1"/>
  <c r="K61" i="1"/>
  <c r="K5" i="1"/>
  <c r="M6" i="1"/>
  <c r="M40" i="1"/>
  <c r="M41" i="1"/>
  <c r="M42" i="1"/>
  <c r="M43" i="1"/>
  <c r="M44" i="1"/>
  <c r="M46" i="1"/>
  <c r="M47" i="1"/>
  <c r="M48" i="1"/>
  <c r="M49" i="1"/>
  <c r="M50" i="1"/>
  <c r="M55" i="1"/>
  <c r="M56" i="1"/>
  <c r="M57" i="1"/>
  <c r="M59" i="1"/>
  <c r="M60" i="1"/>
  <c r="M61" i="1"/>
  <c r="M5" i="1"/>
  <c r="O5" i="1"/>
  <c r="O6" i="1"/>
  <c r="O18" i="1"/>
  <c r="O21" i="1"/>
  <c r="O24" i="1"/>
  <c r="O25" i="1"/>
  <c r="O26" i="1"/>
  <c r="O27" i="1"/>
  <c r="O31" i="1"/>
  <c r="O32" i="1"/>
  <c r="O33" i="1"/>
  <c r="O35" i="1"/>
  <c r="O40" i="1"/>
  <c r="O41" i="1"/>
  <c r="O42" i="1"/>
  <c r="O43" i="1"/>
  <c r="O44" i="1"/>
  <c r="O46" i="1"/>
  <c r="O47" i="1"/>
  <c r="O48" i="1"/>
  <c r="O49" i="1"/>
  <c r="O50" i="1"/>
  <c r="O55" i="1"/>
  <c r="O56" i="1"/>
  <c r="O57" i="1"/>
  <c r="O59" i="1"/>
  <c r="O60" i="1"/>
  <c r="O61" i="1"/>
  <c r="D18" i="1"/>
  <c r="K18" i="1" s="1"/>
  <c r="C18" i="1"/>
  <c r="B18" i="1"/>
  <c r="N17" i="1"/>
  <c r="N16" i="1"/>
  <c r="N15" i="1"/>
  <c r="N14" i="1"/>
  <c r="N13" i="1"/>
  <c r="N12" i="1"/>
  <c r="L35" i="1"/>
  <c r="L33" i="1"/>
  <c r="M33" i="1" s="1"/>
  <c r="L32" i="1"/>
  <c r="L31" i="1"/>
  <c r="L27" i="1"/>
  <c r="L26" i="1"/>
  <c r="L25" i="1"/>
  <c r="M25" i="1" s="1"/>
  <c r="L24" i="1"/>
  <c r="M24" i="1" s="1"/>
  <c r="L21" i="1"/>
  <c r="L18" i="1"/>
  <c r="J17" i="1"/>
  <c r="J16" i="1"/>
  <c r="K16" i="1" s="1"/>
  <c r="J15" i="1"/>
  <c r="J14" i="1"/>
  <c r="J13" i="1"/>
  <c r="J12" i="1"/>
  <c r="H17" i="1"/>
  <c r="I17" i="1" s="1"/>
  <c r="H16" i="1"/>
  <c r="I16" i="1" s="1"/>
  <c r="H15" i="1"/>
  <c r="I15" i="1" s="1"/>
  <c r="H14" i="1"/>
  <c r="I14" i="1" s="1"/>
  <c r="H13" i="1"/>
  <c r="I13" i="1" s="1"/>
  <c r="H12" i="1"/>
  <c r="I12" i="1" s="1"/>
  <c r="F17" i="1"/>
  <c r="F16" i="1"/>
  <c r="F15" i="1"/>
  <c r="F14" i="1"/>
  <c r="F13" i="1"/>
  <c r="F12" i="1"/>
  <c r="E35" i="1"/>
  <c r="E33" i="1"/>
  <c r="E32" i="1"/>
  <c r="E31" i="1"/>
  <c r="E27" i="1"/>
  <c r="E26" i="1"/>
  <c r="E25" i="1"/>
  <c r="E24" i="1"/>
  <c r="E21" i="1"/>
  <c r="M21" i="1" s="1"/>
  <c r="D17" i="1"/>
  <c r="D16" i="1"/>
  <c r="D15" i="1"/>
  <c r="D14" i="1"/>
  <c r="D13" i="1"/>
  <c r="D12" i="1"/>
  <c r="C17" i="1"/>
  <c r="C16" i="1"/>
  <c r="C15" i="1"/>
  <c r="C14" i="1"/>
  <c r="C13" i="1"/>
  <c r="C12" i="1"/>
  <c r="B17" i="1"/>
  <c r="B15" i="1"/>
  <c r="B16" i="1"/>
  <c r="B14" i="1"/>
  <c r="B13" i="1"/>
  <c r="B12" i="1"/>
  <c r="N28" i="1"/>
  <c r="J28" i="1"/>
  <c r="K28" i="1" s="1"/>
  <c r="H28" i="1"/>
  <c r="I28" i="1" s="1"/>
  <c r="F28" i="1"/>
  <c r="D28" i="1"/>
  <c r="C28" i="1"/>
  <c r="B28" i="1"/>
  <c r="B58" i="1"/>
  <c r="B62" i="1" s="1"/>
  <c r="C58" i="1"/>
  <c r="C62" i="1" s="1"/>
  <c r="D58" i="1"/>
  <c r="D62" i="1" s="1"/>
  <c r="E58" i="1"/>
  <c r="E62" i="1" s="1"/>
  <c r="F58" i="1"/>
  <c r="F62" i="1" s="1"/>
  <c r="H58" i="1"/>
  <c r="H62" i="1" s="1"/>
  <c r="J58" i="1"/>
  <c r="J62" i="1" s="1"/>
  <c r="L58" i="1"/>
  <c r="L62" i="1" s="1"/>
  <c r="M62" i="1" s="1"/>
  <c r="N58" i="1"/>
  <c r="N62" i="1" s="1"/>
  <c r="O62" i="1" s="1"/>
  <c r="P58" i="1"/>
  <c r="P62" i="1" s="1"/>
  <c r="B45" i="1"/>
  <c r="B51" i="1" s="1"/>
  <c r="C45" i="1"/>
  <c r="C51" i="1" s="1"/>
  <c r="D45" i="1"/>
  <c r="D51" i="1" s="1"/>
  <c r="E45" i="1"/>
  <c r="E51" i="1" s="1"/>
  <c r="F45" i="1"/>
  <c r="F51" i="1" s="1"/>
  <c r="H45" i="1"/>
  <c r="H51" i="1" s="1"/>
  <c r="I51" i="1" s="1"/>
  <c r="J45" i="1"/>
  <c r="J51" i="1" s="1"/>
  <c r="L45" i="1"/>
  <c r="L51" i="1" s="1"/>
  <c r="M51" i="1" s="1"/>
  <c r="N45" i="1"/>
  <c r="N51" i="1" s="1"/>
  <c r="P45" i="1"/>
  <c r="P51" i="1" s="1"/>
  <c r="P78" i="1" s="1"/>
  <c r="P9" i="1"/>
  <c r="N9" i="1"/>
  <c r="L9" i="1"/>
  <c r="J9" i="1"/>
  <c r="K9" i="1" s="1"/>
  <c r="H9" i="1"/>
  <c r="I9" i="1" s="1"/>
  <c r="F9" i="1"/>
  <c r="E9" i="1"/>
  <c r="D9" i="1"/>
  <c r="C9" i="1"/>
  <c r="B9" i="1"/>
  <c r="P8" i="1"/>
  <c r="N8" i="1"/>
  <c r="L8" i="1"/>
  <c r="J8" i="1"/>
  <c r="H8" i="1"/>
  <c r="F8" i="1"/>
  <c r="E8" i="1"/>
  <c r="D8" i="1"/>
  <c r="C8" i="1"/>
  <c r="I8" i="1" s="1"/>
  <c r="B8" i="1"/>
  <c r="B7" i="1"/>
  <c r="C7" i="1"/>
  <c r="D7" i="1"/>
  <c r="E7" i="1"/>
  <c r="F7" i="1"/>
  <c r="H7" i="1"/>
  <c r="I7" i="1" s="1"/>
  <c r="J7" i="1"/>
  <c r="K7" i="1" s="1"/>
  <c r="L7" i="1"/>
  <c r="N7" i="1"/>
  <c r="O7" i="1" s="1"/>
  <c r="P7" i="1"/>
  <c r="A4" i="1" a="1"/>
  <c r="A4" i="1" s="1"/>
  <c r="P77" i="1" l="1"/>
  <c r="K62" i="1"/>
  <c r="I58" i="1"/>
  <c r="K8" i="1"/>
  <c r="M8" i="1"/>
  <c r="M35" i="1"/>
  <c r="M7" i="1"/>
  <c r="K51" i="1"/>
  <c r="K12" i="1"/>
  <c r="O12" i="1"/>
  <c r="K13" i="1"/>
  <c r="K14" i="1"/>
  <c r="O14" i="1"/>
  <c r="K15" i="1"/>
  <c r="K45" i="1"/>
  <c r="K17" i="1"/>
  <c r="O28" i="1"/>
  <c r="M45" i="1"/>
  <c r="K58" i="1"/>
  <c r="M9" i="1"/>
  <c r="O9" i="1"/>
  <c r="M26" i="1"/>
  <c r="M27" i="1"/>
  <c r="M31" i="1"/>
  <c r="M32" i="1"/>
  <c r="O51" i="1"/>
  <c r="M58" i="1"/>
  <c r="O8" i="1"/>
  <c r="O13" i="1"/>
  <c r="O15" i="1"/>
  <c r="O16" i="1"/>
  <c r="E16" i="1"/>
  <c r="O17" i="1"/>
  <c r="J19" i="1"/>
  <c r="N19" i="1"/>
  <c r="N30" i="1" s="1"/>
  <c r="O58" i="1"/>
  <c r="E18" i="1"/>
  <c r="M18" i="1" s="1"/>
  <c r="H19" i="1"/>
  <c r="I19" i="1" s="1"/>
  <c r="E28" i="1"/>
  <c r="O45" i="1"/>
  <c r="L13" i="1"/>
  <c r="L14" i="1"/>
  <c r="L15" i="1"/>
  <c r="L16" i="1"/>
  <c r="D19" i="1"/>
  <c r="D30" i="1" s="1"/>
  <c r="D34" i="1" s="1"/>
  <c r="D36" i="1" s="1"/>
  <c r="D66" i="1" s="1"/>
  <c r="L17" i="1"/>
  <c r="E14" i="1"/>
  <c r="L28" i="1"/>
  <c r="E15" i="1"/>
  <c r="L12" i="1"/>
  <c r="E17" i="1"/>
  <c r="C19" i="1"/>
  <c r="C30" i="1" s="1"/>
  <c r="C34" i="1" s="1"/>
  <c r="C36" i="1" s="1"/>
  <c r="C66" i="1" s="1"/>
  <c r="E13" i="1"/>
  <c r="F19" i="1"/>
  <c r="B19" i="1"/>
  <c r="B30" i="1" s="1"/>
  <c r="B34" i="1" s="1"/>
  <c r="B36" i="1" s="1"/>
  <c r="B66" i="1" s="1"/>
  <c r="E12" i="1"/>
  <c r="P30" i="1"/>
  <c r="P34" i="1" s="1"/>
  <c r="P36" i="1" s="1"/>
  <c r="J64" i="1"/>
  <c r="P64" i="1"/>
  <c r="E65" i="1"/>
  <c r="D65" i="1"/>
  <c r="N64" i="1"/>
  <c r="O64" i="1" s="1"/>
  <c r="F65" i="1"/>
  <c r="H64" i="1"/>
  <c r="P65" i="1"/>
  <c r="B64" i="1"/>
  <c r="N65" i="1"/>
  <c r="J65" i="1"/>
  <c r="H65" i="1"/>
  <c r="L65" i="1"/>
  <c r="C65" i="1"/>
  <c r="B65" i="1"/>
  <c r="L64" i="1"/>
  <c r="F64" i="1"/>
  <c r="E64" i="1"/>
  <c r="D64" i="1"/>
  <c r="C64" i="1"/>
  <c r="P66" i="1" l="1"/>
  <c r="P67" i="1"/>
  <c r="I65" i="1"/>
  <c r="F30" i="1"/>
  <c r="I64" i="1"/>
  <c r="H30" i="1"/>
  <c r="I30" i="1" s="1"/>
  <c r="K65" i="1"/>
  <c r="O65" i="1"/>
  <c r="K64" i="1"/>
  <c r="M12" i="1"/>
  <c r="K19" i="1"/>
  <c r="M28" i="1"/>
  <c r="M17" i="1"/>
  <c r="M64" i="1"/>
  <c r="M16" i="1"/>
  <c r="M15" i="1"/>
  <c r="M14" i="1"/>
  <c r="M13" i="1"/>
  <c r="J30" i="1"/>
  <c r="K30" i="1" s="1"/>
  <c r="M65" i="1"/>
  <c r="N34" i="1"/>
  <c r="O30" i="1"/>
  <c r="L19" i="1"/>
  <c r="O19" i="1"/>
  <c r="E19" i="1"/>
  <c r="E30" i="1" s="1"/>
  <c r="E34" i="1" s="1"/>
  <c r="E36" i="1" s="1"/>
  <c r="E66" i="1" s="1"/>
  <c r="F34" i="1" l="1"/>
  <c r="M19" i="1"/>
  <c r="H34" i="1"/>
  <c r="I34" i="1" s="1"/>
  <c r="J34" i="1"/>
  <c r="K34" i="1" s="1"/>
  <c r="L30" i="1"/>
  <c r="M30" i="1" s="1"/>
  <c r="N36" i="1"/>
  <c r="O34" i="1"/>
  <c r="F36" i="1" l="1"/>
  <c r="H36" i="1"/>
  <c r="I36" i="1" s="1"/>
  <c r="J36" i="1"/>
  <c r="K36" i="1" s="1"/>
  <c r="N66" i="1"/>
  <c r="O36" i="1"/>
  <c r="L34" i="1"/>
  <c r="M34" i="1" s="1"/>
  <c r="F66" i="1" l="1"/>
  <c r="H66" i="1"/>
  <c r="I66" i="1" s="1"/>
  <c r="J66" i="1"/>
  <c r="K66" i="1" s="1"/>
  <c r="L36" i="1"/>
  <c r="M36" i="1" s="1"/>
  <c r="O66" i="1" l="1"/>
  <c r="L66" i="1"/>
  <c r="M66" i="1" s="1"/>
  <c r="Q19" i="1"/>
  <c r="Q30" i="1" s="1"/>
  <c r="Q34" i="1" s="1"/>
  <c r="Q36"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<sst xmlns="http://schemas.openxmlformats.org/spreadsheetml/2006/main" count="92" uniqueCount="81">
  <si>
    <t>Quarter &amp; Year</t>
  </si>
  <si>
    <t>Reported Date</t>
  </si>
  <si>
    <t>Q121</t>
  </si>
  <si>
    <t>Q221</t>
  </si>
  <si>
    <t>Q321</t>
  </si>
  <si>
    <t>Q421</t>
  </si>
  <si>
    <t>Q122</t>
  </si>
  <si>
    <t>Q222</t>
  </si>
  <si>
    <t>Q322</t>
  </si>
  <si>
    <t>Q422</t>
  </si>
  <si>
    <t>Q123</t>
  </si>
  <si>
    <t>Q223</t>
  </si>
  <si>
    <t>Price</t>
  </si>
  <si>
    <t>Shares outstanding</t>
  </si>
  <si>
    <t>Market cap</t>
  </si>
  <si>
    <t>Cash</t>
  </si>
  <si>
    <t>Debt</t>
  </si>
  <si>
    <t>Revenues</t>
  </si>
  <si>
    <t>Total revenues</t>
  </si>
  <si>
    <t>All other</t>
  </si>
  <si>
    <t>Cost of products</t>
  </si>
  <si>
    <t>Selling, general &amp; administrative</t>
  </si>
  <si>
    <t>Research &amp; development</t>
  </si>
  <si>
    <t>Acquired in-process research &amp; development</t>
  </si>
  <si>
    <t>Total operating expenses</t>
  </si>
  <si>
    <t>Operating expenses</t>
  </si>
  <si>
    <t>Income (loss) from operations</t>
  </si>
  <si>
    <t>Interest expense</t>
  </si>
  <si>
    <t>Net foreign exchange loss</t>
  </si>
  <si>
    <t>Other (income) expense, net</t>
  </si>
  <si>
    <t>Income before income taxes</t>
  </si>
  <si>
    <t>Income tax expense</t>
  </si>
  <si>
    <t>Net income (loss)</t>
  </si>
  <si>
    <t>Assets</t>
  </si>
  <si>
    <t>Current assets</t>
  </si>
  <si>
    <t>Short-term investments</t>
  </si>
  <si>
    <t>Accounts receivable, net</t>
  </si>
  <si>
    <t>Inventories</t>
  </si>
  <si>
    <t>Prepaid expenses &amp; other</t>
  </si>
  <si>
    <t>Total current assets</t>
  </si>
  <si>
    <t>Investments</t>
  </si>
  <si>
    <t>Property &amp; equipment, net</t>
  </si>
  <si>
    <t>Intangible assets</t>
  </si>
  <si>
    <t>Goodwill</t>
  </si>
  <si>
    <t>Other</t>
  </si>
  <si>
    <t>Total assets</t>
  </si>
  <si>
    <t>Liabilities</t>
  </si>
  <si>
    <t>Current liabilities</t>
  </si>
  <si>
    <t>Short-term borrowings</t>
  </si>
  <si>
    <t>Current portion of long-term debt</t>
  </si>
  <si>
    <t>Accounts payable &amp; accrued liabilities</t>
  </si>
  <si>
    <t>Total current liabilities</t>
  </si>
  <si>
    <t>Long-term debt</t>
  </si>
  <si>
    <t>Deferred income taxes</t>
  </si>
  <si>
    <t>Total liabilities</t>
  </si>
  <si>
    <t>Equity</t>
  </si>
  <si>
    <t>Enterprise value</t>
  </si>
  <si>
    <t>EPS</t>
  </si>
  <si>
    <t>Hematologic Oncology</t>
  </si>
  <si>
    <t>Immunology</t>
  </si>
  <si>
    <t>Aesthetics</t>
  </si>
  <si>
    <t>Neuroscience</t>
  </si>
  <si>
    <t>Eye Care</t>
  </si>
  <si>
    <t>Other Key Products</t>
  </si>
  <si>
    <t>% Change</t>
  </si>
  <si>
    <t>Y/Y</t>
  </si>
  <si>
    <t>Net profit margin</t>
  </si>
  <si>
    <t>Cost of revenue</t>
  </si>
  <si>
    <t>Expenses to revenue</t>
  </si>
  <si>
    <t>Immunology % of revenue</t>
  </si>
  <si>
    <t>Hematologic Oncology % of revenue</t>
  </si>
  <si>
    <t>Aesthetics % of revenue</t>
  </si>
  <si>
    <t>Neuroscience % of revenue</t>
  </si>
  <si>
    <t>Eye Care % of revenue</t>
  </si>
  <si>
    <t>Other key parts % of revenue</t>
  </si>
  <si>
    <t>All other % of revenue</t>
  </si>
  <si>
    <t>Current ratio</t>
  </si>
  <si>
    <t>Q323</t>
  </si>
  <si>
    <t>Q423</t>
  </si>
  <si>
    <t>Q124</t>
  </si>
  <si>
    <t>Q224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</si>
</sst>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_(* #,##0_);_(* \(#,##0\);_(* &quot;-&quot;??_);_(@_)"/>
    <numFmt numFmtId="165" formatCode="_([$$-409]* #,##0.00_);_([$$-409]* \(#,##0.00\);_([$$-409]* &quot;-&quot;??_);_(@_)"/>
    <numFmt numFmtId="166" formatCode="0.0%"/>
    <numFmt numFmtId="167" formatCode="_(* #,##0.000_);_(* \(#,##0.000\);_(* &quot;-&quot;??_);_(@_)"/>
  </numFmts>
  <fonts count="9" x14ac:knownFonts="1">
    <font>
      <sz val="11"/>
      <color theme="1"/>
      <name val="Calibri"/>
      <family val="2"/>
      <scheme val="minor"/>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
      <u/>
      <sz val="10"/>
      <color theme="1"/>
      <name val="Arial"/>
      <family val="2"/>
    </font>
    <font>
      <sz val="10"/>
      <color rgb="FFFF0000"/>
      <name val="Arial"/>
      <family val="2"/>
    </font>
    <font>
      <b/>
      <sz val="10"/>
      <color rgb="FFFF0000"/>
      <name val="Arial"/>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4">
    <xf numFmtId="0" fontId="0"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cellStyleXfs>
  <cellXfs count="26">
    <xf numFmtId="0" fontId="0" fillId="0" borderId="0" xfId="0"/>
    <xf numFmtId="14" fontId="2" fillId="2" borderId="0" xfId="0" applyNumberFormat="1" applyFont="1" applyFill="1" applyAlignment="1">
      <alignment horizontal="center" vertical="center"/>
    </xf>
    <xf numFmtId="0" fontId="3" fillId="0" borderId="0" xfId="0" applyFont="1"/>
    <xf numFmtId="0" fontId="2" fillId="2" borderId="0" xfId="0" applyFont="1" applyFill="1" applyAlignment="1">
      <alignment horizontal="center" vertical="center"/>
    </xf>
    <xf numFmtId="0" fontId="2" fillId="2" borderId="0" xfId="0" applyFont="1" applyFill="1" applyAlignment="1">
      <alignment vertical="center"/>
    </xf>
    <xf numFmtId="164" fontId="3" fillId="0" borderId="0" xfId="1" applyNumberFormat="1" applyFont="1"/>
    <xf numFmtId="0" fontId="1" fillId="0" borderId="0" xfId="0" applyFont="1" applyAlignment="1">
      <alignment horizontal="left"/>
    </xf>
    <xf numFmtId="165" fontId="3" fillId="0" borderId="0" xfId="0" applyNumberFormat="1" applyFont="1"/>
    <xf numFmtId="0" fontId="1" fillId="0" borderId="0" xfId="0" applyFont="1"/>
    <xf numFmtId="0" fontId="5" fillId="0" borderId="0" xfId="0" applyFont="1"/>
    <xf numFmtId="0" fontId="1" fillId="0" borderId="0" xfId="0" applyFont="1" applyAlignment="1">
      <alignment horizontal="left" indent="1"/>
    </xf>
    <xf numFmtId="164" fontId="5" fillId="0" borderId="0" xfId="1" applyNumberFormat="1" applyFont="1"/>
    <xf numFmtId="0" fontId="5" fillId="0" borderId="0" xfId="0" applyFont="1" applyAlignment="1">
      <alignment horizontal="left" indent="1"/>
    </xf>
    <xf numFmtId="0" fontId="5" fillId="0" borderId="0" xfId="0" applyFont="1" applyAlignment="1">
      <alignment horizontal="left" indent="2"/>
    </xf>
    <xf numFmtId="44" fontId="3" fillId="0" borderId="0" xfId="2" applyFont="1"/>
    <xf numFmtId="0" fontId="5" fillId="0" borderId="0" xfId="0" applyFont="1" applyAlignment="1">
      <alignment horizontal="left"/>
    </xf>
    <xf numFmtId="0" fontId="1" fillId="0" borderId="0" xfId="0" applyFont="1" applyAlignment="1">
      <alignment horizontal="left" indent="2"/>
    </xf>
    <xf numFmtId="0" fontId="5" fillId="0" borderId="0" xfId="0" applyFont="1" applyAlignment="1">
      <alignment horizontal="left" indent="3"/>
    </xf>
    <xf numFmtId="43" fontId="3" fillId="0" borderId="0" xfId="1" applyFont="1"/>
    <xf numFmtId="164" fontId="1" fillId="0" borderId="0" xfId="1" applyNumberFormat="1" applyFont="1"/>
    <xf numFmtId="166" fontId="3" fillId="0" borderId="0" xfId="3" applyNumberFormat="1" applyFont="1"/>
    <xf numFmtId="166" fontId="6" fillId="0" borderId="0" xfId="3" applyNumberFormat="1" applyFont="1" applyAlignment="1">
      <alignment horizontal="center"/>
    </xf>
    <xf numFmtId="167" fontId="3" fillId="0" borderId="0" xfId="1" applyNumberFormat="1" applyFont="1"/>
    <xf numFmtId="164" fontId="7" fillId="0" borderId="0" xfId="1" applyNumberFormat="1" applyFont="1"/>
    <xf numFmtId="164" fontId="8" fillId="0" borderId="0" xfId="1" applyNumberFormat="1" applyFont="1"/>
    <xf numFmtId="0" fontId="2" fillId="2" borderId="0" xfId="0" applyFont="1" applyFill="1" applyAlignment="1">
      <alignment horizontal="center"/>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https://www.bing.com/financeapi/forcetrigger?t=a1mpqh&amp;q=XNYS%3aABBV&amp;form=skydnc</v>
    <v>Learn more on Bing</v>
  </rv>
  <rv s="1">
    <v>en-US</v>
    <v>a1mpqh</v>
    <v>268435456</v>
    <v>1</v>
    <v>Powered by Refinitiv</v>
    <v>0</v>
    <v>ABBVIE INC. (XNYS:ABBV)</v>
    <v>2</v>
    <v>3</v>
    <v>Finance</v>
    <v>4</v>
    <v>166.2</v>
    <v>130.96010000000001</v>
    <v>0.53859999999999997</v>
    <v>-1.1100000000000001</v>
    <v>-4.885E-4</v>
    <v>-6.7320000000000001E-3</v>
    <v>-0.08</v>
    <v>USD</v>
    <v>AbbVie Inc. is a diversified research-based biopharmaceutical company. The Company is engaged in the research and development, manufacturing, commercialization and sale of medicines and therapies. It offers products in therapeutic categories, including immunology products, which include Humira, Skyrizi and Rinvoq; oncology products, which include Imbruvica and Venclexta/Venclyxto; aesthetics products that include Botox Cosmetic, The Juvederm Collection of Fillers and others; neuroscience products, such as Botox Therapeutic, Vraylar, Duopa and Duodopa, and Ubrelvy; eye care products, which consists of Lumigan/Ganfort, Alphagan/Combigan and Restasis, and other key products, which include Mavyret/Maviret, Creon, Lupron, Linzess/Constella and Synthroid. Its products are sold to wholesalers, distributors, government agencies, health care facilities, and more. The Company, through Mitokinin, Inc., offers a lead compound, PINK1 activator, designed to address mitochondrial dysfunction.</v>
    <v>50000</v>
    <v>New York Stock Exchange</v>
    <v>XNYS</v>
    <v>XNYS</v>
    <v>1 N Waukegan Rd, NORTH CHICAGO, IL, 60064 US</v>
    <v>165.12</v>
    <v>Pharmaceuticals</v>
    <v>Stock</v>
    <v>45303.008591943748</v>
    <v>0</v>
    <v>163.08600000000001</v>
    <v>291119500000</v>
    <v>ABBVIE INC.</v>
    <v>ABBVIE INC.</v>
    <v>164.25</v>
    <v>45.235599999999998</v>
    <v>164.89</v>
    <v>163.78</v>
    <v>163.69999999999999</v>
    <v>1765537000</v>
    <v>ABBV</v>
    <v>ABBVIE INC. (XNYS:ABBV)</v>
    <v>4591286</v>
    <v>5759713</v>
    <v>2012</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B78"/>
  <sheetViews>
    <sheetView tabSelected="1" topLeftCell="A63" zoomScale="125" zoomScaleNormal="125" workbookViewId="0">
      <pane xSplit="1" topLeftCell="J1" activePane="topRight" state="frozen"/>
      <selection pane="topRight" activeCell="Q40" sqref="Q40"/>
    </sheetView>
  </sheetViews>
  <sheetFormatPr defaultColWidth="8.85546875" defaultRowHeight="12.75" x14ac:dyDescent="0.2"/>
  <cols>
    <col min="1" max="1" width="42.7109375" style="2" customWidth="1"/>
    <col min="2" max="6" width="12.7109375" style="5" customWidth="1"/>
    <col min="7" max="7" width="10.7109375" style="5" hidden="1" customWidth="1"/>
    <col min="8" max="8" width="12.7109375" style="5" customWidth="1"/>
    <col min="9" max="9" width="10.7109375" style="5" hidden="1" customWidth="1"/>
    <col min="10" max="10" width="12.7109375" style="5" customWidth="1"/>
    <col min="11" max="11" width="10.7109375" style="5" hidden="1" customWidth="1"/>
    <col min="12" max="12" width="12.7109375" style="5" customWidth="1"/>
    <col min="13" max="13" width="10.7109375" style="5" hidden="1" customWidth="1"/>
    <col min="14" max="14" width="12.7109375" style="5" customWidth="1"/>
    <col min="15" max="15" width="10.7109375" style="5" hidden="1" customWidth="1"/>
    <col min="16" max="54" width="12.7109375" style="5" customWidth="1"/>
    <col min="55" max="16384" width="8.85546875" style="5"/>
  </cols>
  <sheetData>
    <row r="1" spans="1:28" s="25" customFormat="1" ht="15" customHeight="1" x14ac:dyDescent="0.2">
      <c r="A1" s="4" t="s">
        <v>1</v>
      </c>
      <c r="B1" s="1">
        <v>44286</v>
      </c>
      <c r="C1" s="1">
        <v>44377</v>
      </c>
      <c r="D1" s="1">
        <v>44469</v>
      </c>
      <c r="E1" s="1">
        <v>44561</v>
      </c>
      <c r="F1" s="1">
        <v>44651</v>
      </c>
      <c r="G1" s="1" t="s">
        <v>64</v>
      </c>
      <c r="H1" s="1">
        <v>44742</v>
      </c>
      <c r="I1" s="1" t="s">
        <v>64</v>
      </c>
      <c r="J1" s="1">
        <v>44834</v>
      </c>
      <c r="K1" s="1" t="s">
        <v>64</v>
      </c>
      <c r="L1" s="1">
        <v>44926</v>
      </c>
      <c r="M1" s="1" t="s">
        <v>64</v>
      </c>
      <c r="N1" s="1">
        <v>45016</v>
      </c>
      <c r="O1" s="1" t="s">
        <v>64</v>
      </c>
      <c r="P1" s="1">
        <v>45107</v>
      </c>
      <c r="Q1" s="1">
        <v>45199</v>
      </c>
      <c r="R1" s="1">
        <v>45291</v>
      </c>
      <c r="S1" s="1">
        <v>45382</v>
      </c>
      <c r="T1" s="1">
        <v>45473</v>
      </c>
      <c r="U1" s="3"/>
      <c r="V1" s="3"/>
      <c r="W1" s="3"/>
      <c r="X1" s="3"/>
      <c r="Y1" s="3"/>
      <c r="Z1" s="3"/>
      <c r="AA1" s="3"/>
      <c r="AB1" s="3"/>
    </row>
    <row r="2" spans="1:28" s="25" customFormat="1" ht="15" customHeight="1" x14ac:dyDescent="0.2">
      <c r="A2" s="4" t="s">
        <v>0</v>
      </c>
      <c r="B2" s="3" t="s">
        <v>2</v>
      </c>
      <c r="C2" s="3" t="s">
        <v>3</v>
      </c>
      <c r="D2" s="3" t="s">
        <v>4</v>
      </c>
      <c r="E2" s="3" t="s">
        <v>5</v>
      </c>
      <c r="F2" s="3" t="s">
        <v>6</v>
      </c>
      <c r="G2" s="3" t="s">
        <v>65</v>
      </c>
      <c r="H2" s="3" t="s">
        <v>7</v>
      </c>
      <c r="I2" s="3" t="s">
        <v>65</v>
      </c>
      <c r="J2" s="3" t="s">
        <v>8</v>
      </c>
      <c r="K2" s="3" t="s">
        <v>65</v>
      </c>
      <c r="L2" s="3" t="s">
        <v>9</v>
      </c>
      <c r="M2" s="3" t="s">
        <v>65</v>
      </c>
      <c r="N2" s="3" t="s">
        <v>10</v>
      </c>
      <c r="O2" s="3" t="s">
        <v>65</v>
      </c>
      <c r="P2" s="3" t="s">
        <v>11</v>
      </c>
      <c r="Q2" s="3" t="s">
        <v>77</v>
      </c>
      <c r="R2" s="3" t="s">
        <v>78</v>
      </c>
      <c r="S2" s="3" t="s">
        <v>79</v>
      </c>
      <c r="T2" s="3" t="s">
        <v>80</v>
      </c>
      <c r="U2" s="3"/>
      <c r="V2" s="3"/>
      <c r="W2" s="3"/>
      <c r="X2" s="3"/>
      <c r="Y2" s="3"/>
      <c r="Z2" s="3"/>
      <c r="AA2" s="3"/>
      <c r="AB2" s="3"/>
    </row>
    <row r="3" spans="1:28" x14ac:dyDescent="0.2">
      <c r="A3" s="6" t="e" vm="1">
        <v>#VALUE!</v>
      </c>
      <c r="J3" s="24"/>
    </row>
    <row r="4" spans="1:28" x14ac:dyDescent="0.2">
      <c r="A4" s="7" cm="1">
        <f t="array" ref="A4">_FV(A3,"Price")</f>
        <v>163.78</v>
      </c>
      <c r="K4" s="23"/>
    </row>
    <row r="5" spans="1:28" s="14" customFormat="1" x14ac:dyDescent="0.2">
      <c r="A5" s="8" t="s">
        <v>12</v>
      </c>
      <c r="B5" s="14">
        <v>98.73</v>
      </c>
      <c r="C5" s="14">
        <v>104.01</v>
      </c>
      <c r="D5" s="14">
        <v>100.66</v>
      </c>
      <c r="E5" s="14">
        <v>127.9</v>
      </c>
      <c r="F5" s="14">
        <v>154.76</v>
      </c>
      <c r="G5" s="21">
        <f>(F5-B5)/B5</f>
        <v>0.56750734325939411</v>
      </c>
      <c r="H5" s="14">
        <v>147.47</v>
      </c>
      <c r="I5" s="21">
        <f>(H5-C5)/C5</f>
        <v>0.41784443803480426</v>
      </c>
      <c r="J5" s="14">
        <v>130.41</v>
      </c>
      <c r="K5" s="21">
        <f>(J5-D5)/D5</f>
        <v>0.29554937413073712</v>
      </c>
      <c r="L5" s="14">
        <v>158.65</v>
      </c>
      <c r="M5" s="21">
        <f>(L5-E5)/E5</f>
        <v>0.24042220484753712</v>
      </c>
      <c r="N5" s="14">
        <v>157.97999999999999</v>
      </c>
      <c r="O5" s="21">
        <f>(N5-F5)/F5</f>
        <v>2.0806409925045226E-2</v>
      </c>
      <c r="P5" s="14">
        <v>134.72999999999999</v>
      </c>
      <c r="Q5" s="14">
        <v>149.06</v>
      </c>
    </row>
    <row r="6" spans="1:28" x14ac:dyDescent="0.2">
      <c r="A6" s="6" t="s">
        <v>13</v>
      </c>
      <c r="B6" s="5">
        <v>1775</v>
      </c>
      <c r="C6" s="5">
        <v>1776</v>
      </c>
      <c r="D6" s="19">
        <v>1777</v>
      </c>
      <c r="E6" s="19">
        <v>1777</v>
      </c>
      <c r="F6" s="5">
        <v>1778</v>
      </c>
      <c r="G6" s="21">
        <f t="shared" ref="G6:G69" si="0">(F6-B6)/B6</f>
        <v>1.6901408450704226E-3</v>
      </c>
      <c r="H6" s="5">
        <v>1776</v>
      </c>
      <c r="I6" s="21">
        <f>(H6-C6)/C6</f>
        <v>0</v>
      </c>
      <c r="J6" s="5">
        <v>1776</v>
      </c>
      <c r="K6" s="21">
        <f>(J6-D6)/D6</f>
        <v>-5.6274620146314015E-4</v>
      </c>
      <c r="L6" s="5">
        <v>1778</v>
      </c>
      <c r="M6" s="21">
        <f>(L6-E6)/E6</f>
        <v>5.6274620146314015E-4</v>
      </c>
      <c r="N6" s="5">
        <v>1776</v>
      </c>
      <c r="O6" s="21">
        <f>(N6-F6)/F6</f>
        <v>-1.1248593925759281E-3</v>
      </c>
      <c r="P6" s="5">
        <v>1771</v>
      </c>
      <c r="Q6" s="5">
        <v>1771</v>
      </c>
    </row>
    <row r="7" spans="1:28" x14ac:dyDescent="0.2">
      <c r="A7" s="8" t="s">
        <v>14</v>
      </c>
      <c r="B7" s="5">
        <f t="shared" ref="B7:P7" si="1">B5*B6</f>
        <v>175245.75</v>
      </c>
      <c r="C7" s="5">
        <f t="shared" si="1"/>
        <v>184721.76</v>
      </c>
      <c r="D7" s="5">
        <f t="shared" si="1"/>
        <v>178872.82</v>
      </c>
      <c r="E7" s="5">
        <f t="shared" si="1"/>
        <v>227278.30000000002</v>
      </c>
      <c r="F7" s="5">
        <f>F5*F6</f>
        <v>275163.27999999997</v>
      </c>
      <c r="G7" s="21">
        <f t="shared" si="0"/>
        <v>0.57015665144518468</v>
      </c>
      <c r="H7" s="5">
        <f t="shared" si="1"/>
        <v>261906.72</v>
      </c>
      <c r="I7" s="21">
        <f>(H7-C7)/C7</f>
        <v>0.41784443803480426</v>
      </c>
      <c r="J7" s="5">
        <f t="shared" si="1"/>
        <v>231608.16</v>
      </c>
      <c r="K7" s="21">
        <f>(J7-D7)/D7</f>
        <v>0.29482030864163711</v>
      </c>
      <c r="L7" s="5">
        <f t="shared" si="1"/>
        <v>282079.7</v>
      </c>
      <c r="M7" s="21">
        <f>(L7-E7)/E7</f>
        <v>0.24112024773152557</v>
      </c>
      <c r="N7" s="5">
        <f t="shared" si="1"/>
        <v>280572.48</v>
      </c>
      <c r="O7" s="21">
        <f>(N7-F7)/F7</f>
        <v>1.9658146246839377E-2</v>
      </c>
      <c r="P7" s="5">
        <f t="shared" si="1"/>
        <v>238606.83</v>
      </c>
      <c r="Q7" s="5">
        <f t="shared" ref="Q7:T7" si="2">Q5*Q6</f>
        <v>263985.26</v>
      </c>
      <c r="R7" s="5">
        <f t="shared" si="2"/>
        <v>0</v>
      </c>
      <c r="S7" s="5">
        <f t="shared" si="2"/>
        <v>0</v>
      </c>
      <c r="T7" s="5">
        <f t="shared" si="2"/>
        <v>0</v>
      </c>
    </row>
    <row r="8" spans="1:28" x14ac:dyDescent="0.2">
      <c r="A8" s="8" t="s">
        <v>15</v>
      </c>
      <c r="B8" s="5">
        <f>B40</f>
        <v>9755</v>
      </c>
      <c r="C8" s="5">
        <f>C40</f>
        <v>8546</v>
      </c>
      <c r="D8" s="5">
        <f>D40</f>
        <v>12182</v>
      </c>
      <c r="E8" s="5">
        <f>E40</f>
        <v>9746</v>
      </c>
      <c r="F8" s="5">
        <f>F40</f>
        <v>6098</v>
      </c>
      <c r="G8" s="21">
        <f t="shared" si="0"/>
        <v>-0.37488467452588414</v>
      </c>
      <c r="H8" s="5">
        <f>H40</f>
        <v>8521</v>
      </c>
      <c r="I8" s="21">
        <f>(H8-C8)/C8</f>
        <v>-2.9253451907325064E-3</v>
      </c>
      <c r="J8" s="5">
        <f>J40</f>
        <v>11832</v>
      </c>
      <c r="K8" s="21">
        <f>(J8-D8)/D8</f>
        <v>-2.8730914463963225E-2</v>
      </c>
      <c r="L8" s="5">
        <f>L40</f>
        <v>9201</v>
      </c>
      <c r="M8" s="21">
        <f>(L8-E8)/E8</f>
        <v>-5.5920377590806487E-2</v>
      </c>
      <c r="N8" s="5">
        <f>N40</f>
        <v>6711</v>
      </c>
      <c r="O8" s="21">
        <f>(N8-F8)/F8</f>
        <v>0.10052476221712037</v>
      </c>
      <c r="P8" s="5">
        <f>P40</f>
        <v>8759</v>
      </c>
      <c r="Q8" s="5">
        <f t="shared" ref="Q8:T8" si="3">Q40</f>
        <v>0</v>
      </c>
      <c r="R8" s="5">
        <f t="shared" si="3"/>
        <v>0</v>
      </c>
      <c r="S8" s="5">
        <f t="shared" si="3"/>
        <v>0</v>
      </c>
      <c r="T8" s="5">
        <f t="shared" si="3"/>
        <v>0</v>
      </c>
    </row>
    <row r="9" spans="1:28" x14ac:dyDescent="0.2">
      <c r="A9" s="8" t="s">
        <v>16</v>
      </c>
      <c r="B9" s="5">
        <f>B55+B56+B59</f>
        <v>85530</v>
      </c>
      <c r="C9" s="5">
        <f>C55+C56+C59</f>
        <v>82138</v>
      </c>
      <c r="D9" s="5">
        <f>D55+D56+D59</f>
        <v>80721</v>
      </c>
      <c r="E9" s="5">
        <f>E55+E56+E59</f>
        <v>76684</v>
      </c>
      <c r="F9" s="5">
        <f>F55+F56+F59</f>
        <v>73474</v>
      </c>
      <c r="G9" s="21">
        <f t="shared" si="0"/>
        <v>-0.14095638957091078</v>
      </c>
      <c r="H9" s="5">
        <f>H55+H56+H59</f>
        <v>72932</v>
      </c>
      <c r="I9" s="21">
        <f>(H9-C9)/C9</f>
        <v>-0.11207967079792544</v>
      </c>
      <c r="J9" s="5">
        <f>J55+J56+J59</f>
        <v>69606</v>
      </c>
      <c r="K9" s="21">
        <f>(J9-D9)/D9</f>
        <v>-0.13769651020180623</v>
      </c>
      <c r="L9" s="5">
        <f>L55+L56+L59</f>
        <v>63271</v>
      </c>
      <c r="M9" s="21">
        <f>(L9-E9)/E9</f>
        <v>-0.17491262844922018</v>
      </c>
      <c r="N9" s="5">
        <f>N55+N56+N59</f>
        <v>62093</v>
      </c>
      <c r="O9" s="21">
        <f>(N9-F9)/F9</f>
        <v>-0.15489833138252987</v>
      </c>
      <c r="P9" s="5">
        <f>P55+P56+P59</f>
        <v>61015</v>
      </c>
      <c r="Q9" s="5">
        <f t="shared" ref="Q9:T9" si="4">Q55+Q56+Q59</f>
        <v>0</v>
      </c>
      <c r="R9" s="5">
        <f t="shared" si="4"/>
        <v>0</v>
      </c>
      <c r="S9" s="5">
        <f t="shared" si="4"/>
        <v>0</v>
      </c>
      <c r="T9" s="5">
        <f t="shared" si="4"/>
        <v>0</v>
      </c>
    </row>
    <row r="10" spans="1:28" x14ac:dyDescent="0.2">
      <c r="G10" s="21"/>
      <c r="I10" s="21"/>
      <c r="K10" s="21"/>
      <c r="M10" s="21"/>
      <c r="O10" s="21"/>
    </row>
    <row r="11" spans="1:28" x14ac:dyDescent="0.2">
      <c r="A11" s="9" t="s">
        <v>17</v>
      </c>
      <c r="G11" s="21"/>
      <c r="I11" s="21"/>
      <c r="K11" s="21"/>
      <c r="M11" s="21"/>
      <c r="O11" s="21"/>
    </row>
    <row r="12" spans="1:28" x14ac:dyDescent="0.2">
      <c r="A12" s="10" t="s">
        <v>59</v>
      </c>
      <c r="B12" s="5">
        <f>4867+574+303</f>
        <v>5744</v>
      </c>
      <c r="C12" s="5">
        <f>5068+674+378</f>
        <v>6120</v>
      </c>
      <c r="D12" s="5">
        <f>5425+796+453</f>
        <v>6674</v>
      </c>
      <c r="E12" s="5">
        <f>(20694+2939+1651)-D12-C12-B12</f>
        <v>6746</v>
      </c>
      <c r="F12" s="5">
        <f>4736+940+465</f>
        <v>6141</v>
      </c>
      <c r="G12" s="21">
        <f t="shared" si="0"/>
        <v>6.9115598885793869E-2</v>
      </c>
      <c r="H12" s="5">
        <f>5363+1252+592</f>
        <v>7207</v>
      </c>
      <c r="I12" s="21">
        <f t="shared" ref="I12:I19" si="5">(H12-C12)/C12</f>
        <v>0.17761437908496733</v>
      </c>
      <c r="J12" s="5">
        <f>5559+1397+695</f>
        <v>7651</v>
      </c>
      <c r="K12" s="21">
        <f t="shared" ref="K12:K19" si="6">(J12-D12)/D12</f>
        <v>0.14638897213065627</v>
      </c>
      <c r="L12" s="5">
        <f>(21237+5165+2522)-J12-H12-F12</f>
        <v>7925</v>
      </c>
      <c r="M12" s="21">
        <f t="shared" ref="M12:M19" si="7">(L12-E12)/E12</f>
        <v>0.17477023421286689</v>
      </c>
      <c r="N12" s="5">
        <f>3541+1360+686</f>
        <v>5587</v>
      </c>
      <c r="O12" s="21">
        <f t="shared" ref="O12:O19" si="8">(N12-F12)/F12</f>
        <v>-9.0213320306139072E-2</v>
      </c>
      <c r="P12" s="5">
        <v>6813</v>
      </c>
      <c r="Q12" s="5">
        <v>6783</v>
      </c>
    </row>
    <row r="13" spans="1:28" x14ac:dyDescent="0.2">
      <c r="A13" s="10" t="s">
        <v>58</v>
      </c>
      <c r="B13" s="5">
        <f>1268+405</f>
        <v>1673</v>
      </c>
      <c r="C13" s="5">
        <f>1381+435</f>
        <v>1816</v>
      </c>
      <c r="D13" s="5">
        <f>1374+492</f>
        <v>1866</v>
      </c>
      <c r="E13" s="5">
        <f>(5408+1820)-D13-C13-B13</f>
        <v>1873</v>
      </c>
      <c r="F13" s="5">
        <f>1173+473</f>
        <v>1646</v>
      </c>
      <c r="G13" s="21">
        <f t="shared" si="0"/>
        <v>-1.6138673042438732E-2</v>
      </c>
      <c r="H13" s="5">
        <f>1145+505</f>
        <v>1650</v>
      </c>
      <c r="I13" s="21">
        <f t="shared" si="5"/>
        <v>-9.140969162995595E-2</v>
      </c>
      <c r="J13" s="5">
        <f>1135+515</f>
        <v>1650</v>
      </c>
      <c r="K13" s="21">
        <f t="shared" si="6"/>
        <v>-0.1157556270096463</v>
      </c>
      <c r="L13" s="5">
        <f>(4568+2009)-J13-H13-F13</f>
        <v>1631</v>
      </c>
      <c r="M13" s="21">
        <f t="shared" si="7"/>
        <v>-0.12920448478376936</v>
      </c>
      <c r="N13" s="5">
        <f>878+538</f>
        <v>1416</v>
      </c>
      <c r="O13" s="21">
        <f t="shared" si="8"/>
        <v>-0.13973268529769137</v>
      </c>
      <c r="P13" s="5">
        <v>1478</v>
      </c>
      <c r="Q13" s="5">
        <v>1512</v>
      </c>
    </row>
    <row r="14" spans="1:28" x14ac:dyDescent="0.2">
      <c r="A14" s="10" t="s">
        <v>60</v>
      </c>
      <c r="B14" s="5">
        <f>477+321+343</f>
        <v>1141</v>
      </c>
      <c r="C14" s="5">
        <f>584+428+422</f>
        <v>1434</v>
      </c>
      <c r="D14" s="5">
        <f>545+354+352</f>
        <v>1251</v>
      </c>
      <c r="E14" s="5">
        <f>(2232+1535+1466)-D14-C14-B14</f>
        <v>1407</v>
      </c>
      <c r="F14" s="5">
        <f>641+410+323</f>
        <v>1374</v>
      </c>
      <c r="G14" s="21">
        <f t="shared" si="0"/>
        <v>0.2042068361086766</v>
      </c>
      <c r="H14" s="5">
        <f>695+344+332</f>
        <v>1371</v>
      </c>
      <c r="I14" s="21">
        <f t="shared" si="5"/>
        <v>-4.3933054393305436E-2</v>
      </c>
      <c r="J14" s="5">
        <f>637+352+312</f>
        <v>1301</v>
      </c>
      <c r="K14" s="21">
        <f t="shared" si="6"/>
        <v>3.9968025579536368E-2</v>
      </c>
      <c r="L14" s="5">
        <f>(2615+1428+1290)-J14-H14-F14</f>
        <v>1287</v>
      </c>
      <c r="M14" s="21">
        <f t="shared" si="7"/>
        <v>-8.5287846481876331E-2</v>
      </c>
      <c r="N14" s="5">
        <f>659+355+286</f>
        <v>1300</v>
      </c>
      <c r="O14" s="21">
        <f t="shared" si="8"/>
        <v>-5.3857350800582245E-2</v>
      </c>
      <c r="P14" s="5">
        <v>1384</v>
      </c>
      <c r="Q14" s="5">
        <v>1239</v>
      </c>
    </row>
    <row r="15" spans="1:28" x14ac:dyDescent="0.2">
      <c r="A15" s="10" t="s">
        <v>61</v>
      </c>
      <c r="B15" s="5">
        <f>532+346+129+81+160</f>
        <v>1248</v>
      </c>
      <c r="C15" s="5">
        <f>603+432+127+126+171</f>
        <v>1459</v>
      </c>
      <c r="D15" s="5">
        <f>645+461+127+162+171</f>
        <v>1566</v>
      </c>
      <c r="E15" s="5">
        <f>(2451+1728+511+552+685)-D15-C15-B15</f>
        <v>1654</v>
      </c>
      <c r="F15" s="5">
        <f>614+427+121+138+11+177</f>
        <v>1488</v>
      </c>
      <c r="G15" s="21">
        <f t="shared" si="0"/>
        <v>0.19230769230769232</v>
      </c>
      <c r="H15" s="5">
        <f>678+492+120+185+33+150</f>
        <v>1658</v>
      </c>
      <c r="I15" s="21">
        <f t="shared" si="5"/>
        <v>0.13639479095270735</v>
      </c>
      <c r="J15" s="5">
        <f>699+554+110+160+62+87</f>
        <v>1672</v>
      </c>
      <c r="K15" s="21">
        <f t="shared" si="6"/>
        <v>6.7688378033205626E-2</v>
      </c>
      <c r="L15" s="5">
        <f>(2719+2038+458+680+158+475)-J15-H15-F15</f>
        <v>1710</v>
      </c>
      <c r="M15" s="21">
        <f t="shared" si="7"/>
        <v>3.3857315598548973E-2</v>
      </c>
      <c r="N15" s="5">
        <f>719+561+118+152+66+79</f>
        <v>1695</v>
      </c>
      <c r="O15" s="21">
        <f t="shared" si="8"/>
        <v>0.13911290322580644</v>
      </c>
      <c r="P15" s="5">
        <v>1885</v>
      </c>
      <c r="Q15" s="5">
        <v>2043</v>
      </c>
    </row>
    <row r="16" spans="1:28" x14ac:dyDescent="0.2">
      <c r="A16" s="10" t="s">
        <v>62</v>
      </c>
      <c r="B16" s="5">
        <f>143+118+280+276</f>
        <v>817</v>
      </c>
      <c r="C16" s="5">
        <f>149+142+327+301</f>
        <v>919</v>
      </c>
      <c r="D16" s="5">
        <f>138+128+319+286</f>
        <v>871</v>
      </c>
      <c r="E16" s="5">
        <f>(579+529+1290+1169)-D16-C16-B16</f>
        <v>960</v>
      </c>
      <c r="F16" s="5">
        <f>140+107+246+278</f>
        <v>771</v>
      </c>
      <c r="G16" s="21">
        <f t="shared" si="0"/>
        <v>-5.6303549571603426E-2</v>
      </c>
      <c r="H16" s="5">
        <f>130+92+168+327</f>
        <v>717</v>
      </c>
      <c r="I16" s="21">
        <f t="shared" si="5"/>
        <v>-0.21980413492927095</v>
      </c>
      <c r="J16" s="5">
        <f>121+73+142+287</f>
        <v>623</v>
      </c>
      <c r="K16" s="21">
        <f t="shared" si="6"/>
        <v>-0.28473019517795639</v>
      </c>
      <c r="L16" s="5">
        <f>(514+346+666+1175)-J16-H16-F16</f>
        <v>590</v>
      </c>
      <c r="M16" s="21">
        <f t="shared" si="7"/>
        <v>-0.38541666666666669</v>
      </c>
      <c r="N16" s="5">
        <f>115+130+71+92+200</f>
        <v>608</v>
      </c>
      <c r="O16" s="21">
        <f t="shared" si="8"/>
        <v>-0.21141374837872892</v>
      </c>
      <c r="P16" s="5">
        <v>617</v>
      </c>
      <c r="Q16" s="5">
        <v>605</v>
      </c>
    </row>
    <row r="17" spans="1:20" x14ac:dyDescent="0.2">
      <c r="A17" s="10" t="s">
        <v>63</v>
      </c>
      <c r="B17" s="5">
        <f>415+274+213+222+191</f>
        <v>1315</v>
      </c>
      <c r="C17" s="5">
        <f>442+280+198+268+192</f>
        <v>1380</v>
      </c>
      <c r="D17" s="5">
        <f>426+310+180+261+188</f>
        <v>1365</v>
      </c>
      <c r="E17" s="5">
        <f>(1710+1191+783+1038+767)-D17-C17-B17</f>
        <v>1429</v>
      </c>
      <c r="F17" s="5">
        <f>380+287+240</f>
        <v>907</v>
      </c>
      <c r="G17" s="21">
        <f t="shared" si="0"/>
        <v>-0.3102661596958175</v>
      </c>
      <c r="H17" s="5">
        <f>398+318+255</f>
        <v>971</v>
      </c>
      <c r="I17" s="21">
        <f t="shared" si="5"/>
        <v>-0.29637681159420287</v>
      </c>
      <c r="J17" s="5">
        <f>383+336+271</f>
        <v>990</v>
      </c>
      <c r="K17" s="21">
        <f t="shared" si="6"/>
        <v>-0.27472527472527475</v>
      </c>
      <c r="L17" s="5">
        <f>(1541+1278+1035)-J17-H17-F17</f>
        <v>986</v>
      </c>
      <c r="M17" s="21">
        <f t="shared" si="7"/>
        <v>-0.3100069979006298</v>
      </c>
      <c r="N17" s="5">
        <f>364+305+259</f>
        <v>928</v>
      </c>
      <c r="O17" s="21">
        <f t="shared" si="8"/>
        <v>2.3153252480705624E-2</v>
      </c>
      <c r="P17" s="5">
        <v>947</v>
      </c>
      <c r="Q17" s="5">
        <v>963</v>
      </c>
    </row>
    <row r="18" spans="1:20" x14ac:dyDescent="0.2">
      <c r="A18" s="10" t="s">
        <v>19</v>
      </c>
      <c r="B18" s="5">
        <f>180+892</f>
        <v>1072</v>
      </c>
      <c r="C18" s="5">
        <f>191+640</f>
        <v>831</v>
      </c>
      <c r="D18" s="5">
        <f>202+547</f>
        <v>749</v>
      </c>
      <c r="E18" s="5">
        <f>(2673+223)-D18-C18-B18</f>
        <v>244</v>
      </c>
      <c r="F18" s="5">
        <v>1211</v>
      </c>
      <c r="G18" s="21">
        <f t="shared" si="0"/>
        <v>0.12966417910447761</v>
      </c>
      <c r="H18" s="5">
        <v>1009</v>
      </c>
      <c r="I18" s="21">
        <f t="shared" si="5"/>
        <v>0.21419975932611313</v>
      </c>
      <c r="J18" s="5">
        <v>925</v>
      </c>
      <c r="K18" s="21">
        <f t="shared" si="6"/>
        <v>0.23497997329773029</v>
      </c>
      <c r="L18" s="5">
        <f>4137-J18-H18-F18</f>
        <v>992</v>
      </c>
      <c r="M18" s="21">
        <f t="shared" si="7"/>
        <v>3.0655737704918034</v>
      </c>
      <c r="N18" s="5">
        <v>691</v>
      </c>
      <c r="O18" s="21">
        <f t="shared" si="8"/>
        <v>-0.42939719240297275</v>
      </c>
      <c r="P18" s="5">
        <f>13865-SUM(P12:P17)</f>
        <v>741</v>
      </c>
      <c r="Q18" s="5">
        <f>13927-13145</f>
        <v>782</v>
      </c>
    </row>
    <row r="19" spans="1:20" s="11" customFormat="1" x14ac:dyDescent="0.2">
      <c r="A19" s="13" t="s">
        <v>18</v>
      </c>
      <c r="B19" s="11">
        <f>SUM(B12:B18)</f>
        <v>13010</v>
      </c>
      <c r="C19" s="11">
        <f>SUM(C12:C18)</f>
        <v>13959</v>
      </c>
      <c r="D19" s="11">
        <f>SUM(D12:D18)</f>
        <v>14342</v>
      </c>
      <c r="E19" s="11">
        <f>SUM(E12:E18)</f>
        <v>14313</v>
      </c>
      <c r="F19" s="11">
        <f>SUM(F12:F18)</f>
        <v>13538</v>
      </c>
      <c r="G19" s="21">
        <f t="shared" si="0"/>
        <v>4.0584166026133746E-2</v>
      </c>
      <c r="H19" s="11">
        <f>SUM(H12:H18)</f>
        <v>14583</v>
      </c>
      <c r="I19" s="21">
        <f t="shared" si="5"/>
        <v>4.4702342574683002E-2</v>
      </c>
      <c r="J19" s="11">
        <f>SUM(J12:J18)</f>
        <v>14812</v>
      </c>
      <c r="K19" s="21">
        <f t="shared" si="6"/>
        <v>3.2770882722075026E-2</v>
      </c>
      <c r="L19" s="11">
        <f>SUM(L12:L18)</f>
        <v>15121</v>
      </c>
      <c r="M19" s="21">
        <f t="shared" si="7"/>
        <v>5.6452176343184515E-2</v>
      </c>
      <c r="N19" s="11">
        <f>SUM(N12:N18)</f>
        <v>12225</v>
      </c>
      <c r="O19" s="21">
        <f t="shared" si="8"/>
        <v>-9.6986260895257789E-2</v>
      </c>
      <c r="P19" s="11">
        <f>SUM(P12:P18)</f>
        <v>13865</v>
      </c>
      <c r="Q19" s="11">
        <f t="shared" ref="Q19:T19" si="9">SUM(Q12:Q18)</f>
        <v>13927</v>
      </c>
      <c r="R19" s="11">
        <f t="shared" si="9"/>
        <v>0</v>
      </c>
      <c r="S19" s="11">
        <f t="shared" si="9"/>
        <v>0</v>
      </c>
      <c r="T19" s="11">
        <f t="shared" si="9"/>
        <v>0</v>
      </c>
    </row>
    <row r="20" spans="1:20" x14ac:dyDescent="0.2">
      <c r="G20" s="21"/>
      <c r="I20" s="21"/>
      <c r="K20" s="21"/>
      <c r="M20" s="21"/>
      <c r="O20" s="21"/>
    </row>
    <row r="21" spans="1:20" x14ac:dyDescent="0.2">
      <c r="A21" s="6" t="s">
        <v>20</v>
      </c>
      <c r="B21" s="5">
        <v>4213</v>
      </c>
      <c r="C21" s="5">
        <v>4523</v>
      </c>
      <c r="D21" s="5">
        <v>4390</v>
      </c>
      <c r="E21" s="5">
        <f>17446-D21-C21-B21</f>
        <v>4320</v>
      </c>
      <c r="F21" s="5">
        <v>4052</v>
      </c>
      <c r="G21" s="21">
        <f t="shared" si="0"/>
        <v>-3.8215048658912891E-2</v>
      </c>
      <c r="H21" s="5">
        <v>4170</v>
      </c>
      <c r="I21" s="21">
        <f>(H21-C21)/C21</f>
        <v>-7.8045544992261767E-2</v>
      </c>
      <c r="J21" s="5">
        <v>5022</v>
      </c>
      <c r="K21" s="21">
        <f>(J21-D21)/D21</f>
        <v>0.14396355353075171</v>
      </c>
      <c r="L21" s="5">
        <f>17414-J21-H21-F21</f>
        <v>4170</v>
      </c>
      <c r="M21" s="21">
        <f>(L21-E21)/E21</f>
        <v>-3.4722222222222224E-2</v>
      </c>
      <c r="N21" s="5">
        <v>3986</v>
      </c>
      <c r="O21" s="21">
        <f>(N21-F21)/F21</f>
        <v>-1.6288252714708785E-2</v>
      </c>
      <c r="P21" s="5">
        <v>4240</v>
      </c>
      <c r="Q21" s="5">
        <v>6485</v>
      </c>
    </row>
    <row r="22" spans="1:20" x14ac:dyDescent="0.2">
      <c r="A22" s="10"/>
      <c r="G22" s="21"/>
      <c r="I22" s="21"/>
      <c r="K22" s="21"/>
      <c r="M22" s="21"/>
      <c r="O22" s="21"/>
    </row>
    <row r="23" spans="1:20" x14ac:dyDescent="0.2">
      <c r="A23" s="15" t="s">
        <v>25</v>
      </c>
      <c r="G23" s="21"/>
      <c r="I23" s="21"/>
      <c r="K23" s="21"/>
      <c r="M23" s="21"/>
      <c r="O23" s="21"/>
    </row>
    <row r="24" spans="1:20" x14ac:dyDescent="0.2">
      <c r="A24" s="10" t="s">
        <v>21</v>
      </c>
      <c r="B24" s="5">
        <v>2842</v>
      </c>
      <c r="C24" s="5">
        <v>3164</v>
      </c>
      <c r="D24" s="5">
        <v>3083</v>
      </c>
      <c r="E24" s="5">
        <f>12349-D24-C24-B24</f>
        <v>3260</v>
      </c>
      <c r="F24" s="5">
        <v>3127</v>
      </c>
      <c r="G24" s="21">
        <f t="shared" si="0"/>
        <v>0.10028149190710767</v>
      </c>
      <c r="H24" s="5">
        <v>5412</v>
      </c>
      <c r="I24" s="21">
        <f>(H24-C24)/C24</f>
        <v>0.7104930467762326</v>
      </c>
      <c r="J24" s="5">
        <v>3304</v>
      </c>
      <c r="K24" s="21">
        <f>(J24-D24)/D24</f>
        <v>7.1683425235160553E-2</v>
      </c>
      <c r="L24" s="5">
        <f>15260-J24-H24-F24</f>
        <v>3417</v>
      </c>
      <c r="M24" s="21">
        <f>(L24-E24)/E24</f>
        <v>4.8159509202453987E-2</v>
      </c>
      <c r="N24" s="5">
        <v>3039</v>
      </c>
      <c r="O24" s="21">
        <f>(N24-F24)/F24</f>
        <v>-2.8141989126958745E-2</v>
      </c>
      <c r="P24" s="5">
        <v>3268</v>
      </c>
      <c r="Q24" s="5">
        <v>3372</v>
      </c>
    </row>
    <row r="25" spans="1:20" x14ac:dyDescent="0.2">
      <c r="A25" s="10" t="s">
        <v>22</v>
      </c>
      <c r="B25" s="5">
        <v>1782</v>
      </c>
      <c r="C25" s="5">
        <v>1802</v>
      </c>
      <c r="D25" s="5">
        <v>1673</v>
      </c>
      <c r="E25" s="5">
        <f>7084-D25-C25-B25</f>
        <v>1827</v>
      </c>
      <c r="F25" s="5">
        <v>1497</v>
      </c>
      <c r="G25" s="21">
        <f t="shared" si="0"/>
        <v>-0.15993265993265993</v>
      </c>
      <c r="H25" s="5">
        <v>1609</v>
      </c>
      <c r="I25" s="21">
        <f>(H25-C25)/C25</f>
        <v>-0.10710321864594895</v>
      </c>
      <c r="J25" s="5">
        <v>1614</v>
      </c>
      <c r="K25" s="21">
        <f>(J25-D25)/D25</f>
        <v>-3.5265989240884636E-2</v>
      </c>
      <c r="L25" s="5">
        <f>6510-J25-H25-F25</f>
        <v>1790</v>
      </c>
      <c r="M25" s="21">
        <f>(L25-E25)/E25</f>
        <v>-2.0251778872468526E-2</v>
      </c>
      <c r="N25" s="5">
        <v>2292</v>
      </c>
      <c r="O25" s="21">
        <f>(N25-F25)/F25</f>
        <v>0.53106212424849697</v>
      </c>
      <c r="P25" s="5">
        <v>1733</v>
      </c>
      <c r="Q25" s="5">
        <v>1723</v>
      </c>
    </row>
    <row r="26" spans="1:20" x14ac:dyDescent="0.2">
      <c r="A26" s="10" t="s">
        <v>23</v>
      </c>
      <c r="B26" s="5">
        <v>70</v>
      </c>
      <c r="C26" s="5">
        <v>97</v>
      </c>
      <c r="D26" s="5">
        <v>390</v>
      </c>
      <c r="E26" s="5">
        <f>962-D26-C26-B26</f>
        <v>405</v>
      </c>
      <c r="F26" s="5">
        <v>145</v>
      </c>
      <c r="G26" s="21">
        <f t="shared" si="0"/>
        <v>1.0714285714285714</v>
      </c>
      <c r="H26" s="5">
        <v>269</v>
      </c>
      <c r="I26" s="21">
        <f>(H26-C26)/C26</f>
        <v>1.7731958762886597</v>
      </c>
      <c r="J26" s="5">
        <v>40</v>
      </c>
      <c r="K26" s="21">
        <f>(J26-D26)/D26</f>
        <v>-0.89743589743589747</v>
      </c>
      <c r="L26" s="5">
        <f>697-J26-H26-F26</f>
        <v>243</v>
      </c>
      <c r="M26" s="21">
        <f>(L26-E26)/E26</f>
        <v>-0.4</v>
      </c>
      <c r="N26" s="5">
        <v>150</v>
      </c>
      <c r="O26" s="21">
        <f>(N26-F26)/F26</f>
        <v>3.4482758620689655E-2</v>
      </c>
      <c r="P26" s="5">
        <v>280</v>
      </c>
      <c r="Q26" s="5">
        <v>66</v>
      </c>
    </row>
    <row r="27" spans="1:20" x14ac:dyDescent="0.2">
      <c r="A27" s="10" t="s">
        <v>44</v>
      </c>
      <c r="B27" s="5">
        <v>0</v>
      </c>
      <c r="C27" s="5">
        <v>-68</v>
      </c>
      <c r="D27" s="5">
        <v>500</v>
      </c>
      <c r="E27" s="5">
        <f>432-D27-C27-B27</f>
        <v>0</v>
      </c>
      <c r="F27" s="5">
        <v>0</v>
      </c>
      <c r="G27" s="21" t="e">
        <f t="shared" si="0"/>
        <v>#DIV/0!</v>
      </c>
      <c r="H27" s="5">
        <v>-172</v>
      </c>
      <c r="I27" s="21">
        <f>(H27-C27)/C27</f>
        <v>1.5294117647058822</v>
      </c>
      <c r="J27" s="5">
        <v>229</v>
      </c>
      <c r="K27" s="21">
        <f>(J27-D27)/D27</f>
        <v>-0.54200000000000004</v>
      </c>
      <c r="L27" s="5">
        <f>56-J27-H27-F27</f>
        <v>-1</v>
      </c>
      <c r="M27" s="21" t="e">
        <f>(L27-E27)/E27</f>
        <v>#DIV/0!</v>
      </c>
      <c r="N27" s="5">
        <v>-10</v>
      </c>
      <c r="O27" s="21" t="e">
        <f>(N27-F27)/F27</f>
        <v>#DIV/0!</v>
      </c>
      <c r="P27" s="5">
        <v>-169</v>
      </c>
      <c r="Q27" s="5">
        <v>0</v>
      </c>
    </row>
    <row r="28" spans="1:20" s="11" customFormat="1" x14ac:dyDescent="0.2">
      <c r="A28" s="13" t="s">
        <v>24</v>
      </c>
      <c r="B28" s="11">
        <f t="shared" ref="B28:N28" si="10">SUM(B24:B27)</f>
        <v>4694</v>
      </c>
      <c r="C28" s="11">
        <f t="shared" si="10"/>
        <v>4995</v>
      </c>
      <c r="D28" s="11">
        <f t="shared" si="10"/>
        <v>5646</v>
      </c>
      <c r="E28" s="11">
        <f t="shared" si="10"/>
        <v>5492</v>
      </c>
      <c r="F28" s="11">
        <f t="shared" si="10"/>
        <v>4769</v>
      </c>
      <c r="G28" s="21">
        <f t="shared" si="0"/>
        <v>1.5977844056242013E-2</v>
      </c>
      <c r="H28" s="11">
        <f t="shared" si="10"/>
        <v>7118</v>
      </c>
      <c r="I28" s="21">
        <f>(H28-C28)/C28</f>
        <v>0.42502502502502504</v>
      </c>
      <c r="J28" s="11">
        <f t="shared" si="10"/>
        <v>5187</v>
      </c>
      <c r="K28" s="21">
        <f>(J28-D28)/D28</f>
        <v>-8.1296493092454833E-2</v>
      </c>
      <c r="L28" s="11">
        <f t="shared" si="10"/>
        <v>5449</v>
      </c>
      <c r="M28" s="21">
        <f>(L28-E28)/E28</f>
        <v>-7.8295702840495262E-3</v>
      </c>
      <c r="N28" s="11">
        <f t="shared" si="10"/>
        <v>5471</v>
      </c>
      <c r="O28" s="21">
        <f>(N28-F28)/F28</f>
        <v>0.1472006710002097</v>
      </c>
      <c r="P28" s="11">
        <f>SUM(P24:P27)</f>
        <v>5112</v>
      </c>
      <c r="Q28" s="11">
        <f t="shared" ref="Q28:T28" si="11">SUM(Q24:Q27)</f>
        <v>5161</v>
      </c>
      <c r="R28" s="11">
        <f t="shared" si="11"/>
        <v>0</v>
      </c>
      <c r="S28" s="11">
        <f t="shared" si="11"/>
        <v>0</v>
      </c>
      <c r="T28" s="11">
        <f t="shared" si="11"/>
        <v>0</v>
      </c>
    </row>
    <row r="29" spans="1:20" x14ac:dyDescent="0.2">
      <c r="G29" s="21"/>
      <c r="I29" s="21"/>
      <c r="K29" s="21"/>
      <c r="M29" s="21"/>
      <c r="O29" s="21"/>
    </row>
    <row r="30" spans="1:20" x14ac:dyDescent="0.2">
      <c r="A30" s="8" t="s">
        <v>26</v>
      </c>
      <c r="B30" s="5">
        <f t="shared" ref="B30:T30" si="12">B19-B21-B28</f>
        <v>4103</v>
      </c>
      <c r="C30" s="5">
        <f t="shared" si="12"/>
        <v>4441</v>
      </c>
      <c r="D30" s="5">
        <f t="shared" si="12"/>
        <v>4306</v>
      </c>
      <c r="E30" s="5">
        <f t="shared" si="12"/>
        <v>4501</v>
      </c>
      <c r="F30" s="5">
        <f t="shared" si="12"/>
        <v>4717</v>
      </c>
      <c r="G30" s="21">
        <f t="shared" si="0"/>
        <v>0.14964660004874483</v>
      </c>
      <c r="H30" s="5">
        <f t="shared" si="12"/>
        <v>3295</v>
      </c>
      <c r="I30" s="21">
        <f t="shared" ref="I30:I36" si="13">(H30-C30)/C30</f>
        <v>-0.25804998874127449</v>
      </c>
      <c r="J30" s="5">
        <f t="shared" si="12"/>
        <v>4603</v>
      </c>
      <c r="K30" s="21">
        <f t="shared" ref="K30:K36" si="14">(J30-D30)/D30</f>
        <v>6.8973525313516026E-2</v>
      </c>
      <c r="L30" s="5">
        <f t="shared" si="12"/>
        <v>5502</v>
      </c>
      <c r="M30" s="21">
        <f t="shared" ref="M30:M36" si="15">(L30-E30)/E30</f>
        <v>0.22239502332814931</v>
      </c>
      <c r="N30" s="5">
        <f t="shared" si="12"/>
        <v>2768</v>
      </c>
      <c r="O30" s="21">
        <f t="shared" ref="O30:O36" si="16">(N30-F30)/F30</f>
        <v>-0.41318634725461101</v>
      </c>
      <c r="P30" s="5">
        <f t="shared" si="12"/>
        <v>4513</v>
      </c>
      <c r="Q30" s="5">
        <f t="shared" si="12"/>
        <v>2281</v>
      </c>
      <c r="R30" s="5">
        <f t="shared" si="12"/>
        <v>0</v>
      </c>
      <c r="S30" s="5">
        <f t="shared" si="12"/>
        <v>0</v>
      </c>
      <c r="T30" s="5">
        <f t="shared" si="12"/>
        <v>0</v>
      </c>
    </row>
    <row r="31" spans="1:20" x14ac:dyDescent="0.2">
      <c r="A31" s="8" t="s">
        <v>27</v>
      </c>
      <c r="B31" s="5">
        <v>622</v>
      </c>
      <c r="C31" s="5">
        <v>606</v>
      </c>
      <c r="D31" s="5">
        <v>585</v>
      </c>
      <c r="E31" s="5">
        <f>2384-D31-C31-B31</f>
        <v>571</v>
      </c>
      <c r="F31" s="5">
        <v>539</v>
      </c>
      <c r="G31" s="21">
        <f t="shared" si="0"/>
        <v>-0.13344051446945338</v>
      </c>
      <c r="H31" s="5">
        <v>532</v>
      </c>
      <c r="I31" s="21">
        <f t="shared" si="13"/>
        <v>-0.12211221122112212</v>
      </c>
      <c r="J31" s="5">
        <v>497</v>
      </c>
      <c r="K31" s="21">
        <f t="shared" si="14"/>
        <v>-0.15042735042735042</v>
      </c>
      <c r="L31" s="5">
        <f>2044-J31-H31-F31</f>
        <v>476</v>
      </c>
      <c r="M31" s="21">
        <f t="shared" si="15"/>
        <v>-0.16637478108581435</v>
      </c>
      <c r="N31" s="5">
        <v>454</v>
      </c>
      <c r="O31" s="21">
        <f t="shared" si="16"/>
        <v>-0.15769944341372913</v>
      </c>
      <c r="P31" s="5">
        <v>454</v>
      </c>
      <c r="Q31" s="5">
        <v>398</v>
      </c>
    </row>
    <row r="32" spans="1:20" x14ac:dyDescent="0.2">
      <c r="A32" s="8" t="s">
        <v>28</v>
      </c>
      <c r="B32" s="5">
        <v>9</v>
      </c>
      <c r="C32" s="5">
        <v>14</v>
      </c>
      <c r="D32" s="5">
        <v>12</v>
      </c>
      <c r="E32" s="5">
        <f>51-D32-C32-B32</f>
        <v>16</v>
      </c>
      <c r="F32" s="5">
        <v>25</v>
      </c>
      <c r="G32" s="21">
        <f t="shared" si="0"/>
        <v>1.7777777777777777</v>
      </c>
      <c r="H32" s="5">
        <v>47</v>
      </c>
      <c r="I32" s="21">
        <f t="shared" si="13"/>
        <v>2.3571428571428572</v>
      </c>
      <c r="J32" s="5">
        <v>36</v>
      </c>
      <c r="K32" s="21">
        <f t="shared" si="14"/>
        <v>2</v>
      </c>
      <c r="L32" s="5">
        <f>148-J32-H32-F32</f>
        <v>40</v>
      </c>
      <c r="M32" s="21">
        <f t="shared" si="15"/>
        <v>1.5</v>
      </c>
      <c r="N32" s="5">
        <v>35</v>
      </c>
      <c r="O32" s="21">
        <f t="shared" si="16"/>
        <v>0.4</v>
      </c>
      <c r="P32" s="5">
        <v>37</v>
      </c>
      <c r="Q32" s="5">
        <v>25</v>
      </c>
    </row>
    <row r="33" spans="1:20" x14ac:dyDescent="0.2">
      <c r="A33" s="8" t="s">
        <v>29</v>
      </c>
      <c r="B33" s="5">
        <v>-395</v>
      </c>
      <c r="C33" s="5">
        <v>2658</v>
      </c>
      <c r="D33" s="5">
        <v>21</v>
      </c>
      <c r="E33" s="5">
        <f>2500-D33-C33-B33</f>
        <v>216</v>
      </c>
      <c r="F33" s="5">
        <v>-776</v>
      </c>
      <c r="G33" s="21">
        <f t="shared" si="0"/>
        <v>0.96455696202531649</v>
      </c>
      <c r="H33" s="5">
        <v>1533</v>
      </c>
      <c r="I33" s="21">
        <f t="shared" si="13"/>
        <v>-0.42325056433408575</v>
      </c>
      <c r="J33" s="5">
        <v>-330</v>
      </c>
      <c r="K33" s="21">
        <f t="shared" si="14"/>
        <v>-16.714285714285715</v>
      </c>
      <c r="L33" s="5">
        <f>2448-J33-H33-F33</f>
        <v>2021</v>
      </c>
      <c r="M33" s="21">
        <f t="shared" si="15"/>
        <v>8.356481481481481</v>
      </c>
      <c r="N33" s="5">
        <v>1804</v>
      </c>
      <c r="O33" s="21">
        <f t="shared" si="16"/>
        <v>-3.3247422680412373</v>
      </c>
      <c r="P33" s="5">
        <v>1412</v>
      </c>
      <c r="Q33" s="5">
        <v>-95</v>
      </c>
    </row>
    <row r="34" spans="1:20" x14ac:dyDescent="0.2">
      <c r="A34" s="10" t="s">
        <v>30</v>
      </c>
      <c r="B34" s="5">
        <f t="shared" ref="B34:T34" si="17">B30-SUM(B31:B33)</f>
        <v>3867</v>
      </c>
      <c r="C34" s="5">
        <f t="shared" si="17"/>
        <v>1163</v>
      </c>
      <c r="D34" s="5">
        <f t="shared" si="17"/>
        <v>3688</v>
      </c>
      <c r="E34" s="5">
        <f t="shared" si="17"/>
        <v>3698</v>
      </c>
      <c r="F34" s="5">
        <f t="shared" si="17"/>
        <v>4929</v>
      </c>
      <c r="G34" s="21">
        <f t="shared" si="0"/>
        <v>0.27463149728471681</v>
      </c>
      <c r="H34" s="5">
        <f t="shared" si="17"/>
        <v>1183</v>
      </c>
      <c r="I34" s="21">
        <f t="shared" si="13"/>
        <v>1.7196904557179708E-2</v>
      </c>
      <c r="J34" s="5">
        <f t="shared" si="17"/>
        <v>4400</v>
      </c>
      <c r="K34" s="21">
        <f t="shared" si="14"/>
        <v>0.19305856832971802</v>
      </c>
      <c r="L34" s="5">
        <f t="shared" si="17"/>
        <v>2965</v>
      </c>
      <c r="M34" s="21">
        <f t="shared" si="15"/>
        <v>-0.19821525148729044</v>
      </c>
      <c r="N34" s="5">
        <f t="shared" si="17"/>
        <v>475</v>
      </c>
      <c r="O34" s="21">
        <f t="shared" si="16"/>
        <v>-0.90363156826942581</v>
      </c>
      <c r="P34" s="5">
        <f t="shared" si="17"/>
        <v>2610</v>
      </c>
      <c r="Q34" s="5">
        <f t="shared" si="17"/>
        <v>1953</v>
      </c>
      <c r="R34" s="5">
        <f t="shared" si="17"/>
        <v>0</v>
      </c>
      <c r="S34" s="5">
        <f t="shared" si="17"/>
        <v>0</v>
      </c>
      <c r="T34" s="5">
        <f t="shared" si="17"/>
        <v>0</v>
      </c>
    </row>
    <row r="35" spans="1:20" x14ac:dyDescent="0.2">
      <c r="A35" s="10" t="s">
        <v>31</v>
      </c>
      <c r="B35" s="5">
        <v>312</v>
      </c>
      <c r="C35" s="5">
        <v>394</v>
      </c>
      <c r="D35" s="5">
        <v>508</v>
      </c>
      <c r="E35" s="5">
        <f>1440-D35-C35-B35</f>
        <v>226</v>
      </c>
      <c r="F35" s="5">
        <v>436</v>
      </c>
      <c r="G35" s="21">
        <f t="shared" si="0"/>
        <v>0.39743589743589741</v>
      </c>
      <c r="H35" s="5">
        <v>255</v>
      </c>
      <c r="I35" s="21">
        <f t="shared" si="13"/>
        <v>-0.35279187817258884</v>
      </c>
      <c r="J35" s="5">
        <v>448</v>
      </c>
      <c r="K35" s="21">
        <f t="shared" si="14"/>
        <v>-0.11811023622047244</v>
      </c>
      <c r="L35" s="5">
        <f>1632-J35-H35-F35</f>
        <v>493</v>
      </c>
      <c r="M35" s="21">
        <f t="shared" si="15"/>
        <v>1.1814159292035398</v>
      </c>
      <c r="N35" s="5">
        <v>234</v>
      </c>
      <c r="O35" s="21">
        <f t="shared" si="16"/>
        <v>-0.46330275229357798</v>
      </c>
      <c r="P35" s="5">
        <v>583</v>
      </c>
      <c r="Q35" s="5">
        <v>172</v>
      </c>
    </row>
    <row r="36" spans="1:20" s="11" customFormat="1" x14ac:dyDescent="0.2">
      <c r="A36" s="13" t="s">
        <v>32</v>
      </c>
      <c r="B36" s="11">
        <f t="shared" ref="B36:T36" si="18">B34-B35</f>
        <v>3555</v>
      </c>
      <c r="C36" s="11">
        <f t="shared" si="18"/>
        <v>769</v>
      </c>
      <c r="D36" s="11">
        <f t="shared" si="18"/>
        <v>3180</v>
      </c>
      <c r="E36" s="11">
        <f t="shared" si="18"/>
        <v>3472</v>
      </c>
      <c r="F36" s="11">
        <f t="shared" si="18"/>
        <v>4493</v>
      </c>
      <c r="G36" s="21">
        <f t="shared" si="0"/>
        <v>0.26385372714486638</v>
      </c>
      <c r="H36" s="11">
        <f t="shared" si="18"/>
        <v>928</v>
      </c>
      <c r="I36" s="21">
        <f t="shared" si="13"/>
        <v>0.20676202860858259</v>
      </c>
      <c r="J36" s="11">
        <f t="shared" si="18"/>
        <v>3952</v>
      </c>
      <c r="K36" s="21">
        <f t="shared" si="14"/>
        <v>0.24276729559748428</v>
      </c>
      <c r="L36" s="11">
        <f t="shared" si="18"/>
        <v>2472</v>
      </c>
      <c r="M36" s="21">
        <f t="shared" si="15"/>
        <v>-0.28801843317972348</v>
      </c>
      <c r="N36" s="11">
        <f t="shared" si="18"/>
        <v>241</v>
      </c>
      <c r="O36" s="21">
        <f t="shared" si="16"/>
        <v>-0.94636100600934792</v>
      </c>
      <c r="P36" s="11">
        <f t="shared" si="18"/>
        <v>2027</v>
      </c>
      <c r="Q36" s="11">
        <f t="shared" si="18"/>
        <v>1781</v>
      </c>
      <c r="R36" s="11">
        <f t="shared" si="18"/>
        <v>0</v>
      </c>
      <c r="S36" s="11">
        <f t="shared" si="18"/>
        <v>0</v>
      </c>
      <c r="T36" s="11">
        <f t="shared" si="18"/>
        <v>0</v>
      </c>
    </row>
    <row r="37" spans="1:20" x14ac:dyDescent="0.2">
      <c r="G37" s="21"/>
      <c r="I37" s="21"/>
      <c r="K37" s="21"/>
      <c r="M37" s="21"/>
      <c r="O37" s="21"/>
    </row>
    <row r="38" spans="1:20" x14ac:dyDescent="0.2">
      <c r="A38" s="9" t="s">
        <v>33</v>
      </c>
      <c r="G38" s="21"/>
      <c r="I38" s="21"/>
      <c r="K38" s="21"/>
      <c r="M38" s="21"/>
      <c r="O38" s="21"/>
    </row>
    <row r="39" spans="1:20" x14ac:dyDescent="0.2">
      <c r="A39" s="12" t="s">
        <v>34</v>
      </c>
      <c r="G39" s="21"/>
      <c r="I39" s="21"/>
      <c r="K39" s="21"/>
      <c r="M39" s="21"/>
      <c r="O39" s="21"/>
    </row>
    <row r="40" spans="1:20" x14ac:dyDescent="0.2">
      <c r="A40" s="16" t="s">
        <v>15</v>
      </c>
      <c r="B40" s="5">
        <v>9755</v>
      </c>
      <c r="C40" s="5">
        <v>8546</v>
      </c>
      <c r="D40" s="5">
        <v>12182</v>
      </c>
      <c r="E40" s="5">
        <v>9746</v>
      </c>
      <c r="F40" s="5">
        <v>6098</v>
      </c>
      <c r="G40" s="21">
        <f t="shared" si="0"/>
        <v>-0.37488467452588414</v>
      </c>
      <c r="H40" s="5">
        <v>8521</v>
      </c>
      <c r="I40" s="21">
        <f t="shared" ref="I40:I51" si="19">(H40-C40)/C40</f>
        <v>-2.9253451907325064E-3</v>
      </c>
      <c r="J40" s="5">
        <v>11832</v>
      </c>
      <c r="K40" s="21">
        <f t="shared" ref="K40:K51" si="20">(J40-D40)/D40</f>
        <v>-2.8730914463963225E-2</v>
      </c>
      <c r="L40" s="5">
        <v>9201</v>
      </c>
      <c r="M40" s="21">
        <f t="shared" ref="M40:M51" si="21">(L40-E40)/E40</f>
        <v>-5.5920377590806487E-2</v>
      </c>
      <c r="N40" s="5">
        <v>6711</v>
      </c>
      <c r="O40" s="21">
        <f t="shared" ref="O40:O51" si="22">(N40-F40)/F40</f>
        <v>0.10052476221712037</v>
      </c>
      <c r="P40" s="5">
        <v>8759</v>
      </c>
    </row>
    <row r="41" spans="1:20" x14ac:dyDescent="0.2">
      <c r="A41" s="16" t="s">
        <v>35</v>
      </c>
      <c r="B41" s="5">
        <v>22</v>
      </c>
      <c r="C41" s="5">
        <v>54</v>
      </c>
      <c r="D41" s="5">
        <v>67</v>
      </c>
      <c r="E41" s="5">
        <v>84</v>
      </c>
      <c r="F41" s="5">
        <v>1474</v>
      </c>
      <c r="G41" s="21">
        <f t="shared" si="0"/>
        <v>66</v>
      </c>
      <c r="H41" s="5">
        <v>1440</v>
      </c>
      <c r="I41" s="21">
        <f t="shared" si="19"/>
        <v>25.666666666666668</v>
      </c>
      <c r="J41" s="5">
        <v>47</v>
      </c>
      <c r="K41" s="21">
        <f t="shared" si="20"/>
        <v>-0.29850746268656714</v>
      </c>
      <c r="L41" s="5">
        <v>28</v>
      </c>
      <c r="M41" s="21">
        <f t="shared" si="21"/>
        <v>-0.66666666666666663</v>
      </c>
      <c r="N41" s="5">
        <v>11</v>
      </c>
      <c r="O41" s="21">
        <f t="shared" si="22"/>
        <v>-0.9925373134328358</v>
      </c>
      <c r="P41" s="5">
        <v>7</v>
      </c>
    </row>
    <row r="42" spans="1:20" x14ac:dyDescent="0.2">
      <c r="A42" s="16" t="s">
        <v>36</v>
      </c>
      <c r="B42" s="5">
        <v>9588</v>
      </c>
      <c r="C42" s="5">
        <v>9914</v>
      </c>
      <c r="D42" s="5">
        <v>9281</v>
      </c>
      <c r="E42" s="5">
        <v>9977</v>
      </c>
      <c r="F42" s="5">
        <v>10733</v>
      </c>
      <c r="G42" s="21">
        <f t="shared" si="0"/>
        <v>0.11942010846891948</v>
      </c>
      <c r="H42" s="5">
        <v>11237</v>
      </c>
      <c r="I42" s="21">
        <f t="shared" si="19"/>
        <v>0.13344764978817833</v>
      </c>
      <c r="J42" s="5">
        <v>10743</v>
      </c>
      <c r="K42" s="21">
        <f t="shared" si="20"/>
        <v>0.15752612864992996</v>
      </c>
      <c r="L42" s="5">
        <v>11254</v>
      </c>
      <c r="M42" s="21">
        <f t="shared" si="21"/>
        <v>0.12799438709030772</v>
      </c>
      <c r="N42" s="5">
        <v>11473</v>
      </c>
      <c r="O42" s="21">
        <f t="shared" si="22"/>
        <v>6.8946240566477218E-2</v>
      </c>
      <c r="P42" s="5">
        <v>11491</v>
      </c>
    </row>
    <row r="43" spans="1:20" x14ac:dyDescent="0.2">
      <c r="A43" s="16" t="s">
        <v>37</v>
      </c>
      <c r="B43" s="5">
        <v>3272</v>
      </c>
      <c r="C43" s="5">
        <v>3386</v>
      </c>
      <c r="D43" s="5">
        <v>3094</v>
      </c>
      <c r="E43" s="5">
        <v>3128</v>
      </c>
      <c r="F43" s="5">
        <v>3483</v>
      </c>
      <c r="G43" s="21">
        <f t="shared" si="0"/>
        <v>6.4486552567237163E-2</v>
      </c>
      <c r="H43" s="5">
        <v>3396</v>
      </c>
      <c r="I43" s="21">
        <f t="shared" si="19"/>
        <v>2.9533372711163615E-3</v>
      </c>
      <c r="J43" s="5">
        <v>3172</v>
      </c>
      <c r="K43" s="21">
        <f t="shared" si="20"/>
        <v>2.5210084033613446E-2</v>
      </c>
      <c r="L43" s="5">
        <v>3579</v>
      </c>
      <c r="M43" s="21">
        <f t="shared" si="21"/>
        <v>0.14418158567774936</v>
      </c>
      <c r="N43" s="5">
        <v>3833</v>
      </c>
      <c r="O43" s="21">
        <f t="shared" si="22"/>
        <v>0.10048808498420901</v>
      </c>
      <c r="P43" s="5">
        <v>4055</v>
      </c>
    </row>
    <row r="44" spans="1:20" x14ac:dyDescent="0.2">
      <c r="A44" s="16" t="s">
        <v>38</v>
      </c>
      <c r="B44" s="5">
        <v>3932</v>
      </c>
      <c r="C44" s="5">
        <v>4099</v>
      </c>
      <c r="D44" s="5">
        <v>4333</v>
      </c>
      <c r="E44" s="5">
        <v>4993</v>
      </c>
      <c r="F44" s="5">
        <v>4721</v>
      </c>
      <c r="G44" s="21">
        <f t="shared" si="0"/>
        <v>0.20066124109867753</v>
      </c>
      <c r="H44" s="5">
        <v>4506</v>
      </c>
      <c r="I44" s="21">
        <f t="shared" si="19"/>
        <v>9.9292510368382533E-2</v>
      </c>
      <c r="J44" s="5">
        <v>4570</v>
      </c>
      <c r="K44" s="21">
        <f t="shared" si="20"/>
        <v>5.4696515116547426E-2</v>
      </c>
      <c r="L44" s="5">
        <v>4401</v>
      </c>
      <c r="M44" s="21">
        <f t="shared" si="21"/>
        <v>-0.11856599238934508</v>
      </c>
      <c r="N44" s="5">
        <v>4460</v>
      </c>
      <c r="O44" s="21">
        <f t="shared" si="22"/>
        <v>-5.5284897267528069E-2</v>
      </c>
      <c r="P44" s="5">
        <v>4540</v>
      </c>
    </row>
    <row r="45" spans="1:20" s="11" customFormat="1" x14ac:dyDescent="0.2">
      <c r="A45" s="17" t="s">
        <v>39</v>
      </c>
      <c r="B45" s="11">
        <f t="shared" ref="B45:T45" si="23">SUM(B40:B44)</f>
        <v>26569</v>
      </c>
      <c r="C45" s="11">
        <f t="shared" si="23"/>
        <v>25999</v>
      </c>
      <c r="D45" s="11">
        <f t="shared" si="23"/>
        <v>28957</v>
      </c>
      <c r="E45" s="11">
        <f t="shared" si="23"/>
        <v>27928</v>
      </c>
      <c r="F45" s="11">
        <f t="shared" si="23"/>
        <v>26509</v>
      </c>
      <c r="G45" s="21">
        <f t="shared" si="0"/>
        <v>-2.2582709172343711E-3</v>
      </c>
      <c r="H45" s="11">
        <f t="shared" si="23"/>
        <v>29100</v>
      </c>
      <c r="I45" s="21">
        <f t="shared" si="19"/>
        <v>0.11927381822377783</v>
      </c>
      <c r="J45" s="11">
        <f t="shared" si="23"/>
        <v>30364</v>
      </c>
      <c r="K45" s="21">
        <f t="shared" si="20"/>
        <v>4.858928756431951E-2</v>
      </c>
      <c r="L45" s="11">
        <f t="shared" si="23"/>
        <v>28463</v>
      </c>
      <c r="M45" s="21">
        <f t="shared" si="21"/>
        <v>1.9156402177026639E-2</v>
      </c>
      <c r="N45" s="11">
        <f t="shared" si="23"/>
        <v>26488</v>
      </c>
      <c r="O45" s="21">
        <f t="shared" si="22"/>
        <v>-7.9218378663850012E-4</v>
      </c>
      <c r="P45" s="11">
        <f t="shared" si="23"/>
        <v>28852</v>
      </c>
      <c r="Q45" s="11">
        <f t="shared" si="23"/>
        <v>0</v>
      </c>
      <c r="R45" s="11">
        <f t="shared" si="23"/>
        <v>0</v>
      </c>
      <c r="S45" s="11">
        <f t="shared" si="23"/>
        <v>0</v>
      </c>
      <c r="T45" s="11">
        <f t="shared" si="23"/>
        <v>0</v>
      </c>
    </row>
    <row r="46" spans="1:20" x14ac:dyDescent="0.2">
      <c r="A46" s="10" t="s">
        <v>40</v>
      </c>
      <c r="B46" s="5">
        <v>305</v>
      </c>
      <c r="C46" s="5">
        <v>266</v>
      </c>
      <c r="D46" s="5">
        <v>272</v>
      </c>
      <c r="E46" s="5">
        <v>277</v>
      </c>
      <c r="F46" s="5">
        <v>260</v>
      </c>
      <c r="G46" s="21">
        <f t="shared" si="0"/>
        <v>-0.14754098360655737</v>
      </c>
      <c r="H46" s="5">
        <v>244</v>
      </c>
      <c r="I46" s="21">
        <f t="shared" si="19"/>
        <v>-8.2706766917293228E-2</v>
      </c>
      <c r="J46" s="5">
        <v>235</v>
      </c>
      <c r="K46" s="21">
        <f t="shared" si="20"/>
        <v>-0.13602941176470587</v>
      </c>
      <c r="L46" s="5">
        <v>241</v>
      </c>
      <c r="M46" s="21">
        <f t="shared" si="21"/>
        <v>-0.1299638989169675</v>
      </c>
      <c r="N46" s="5">
        <v>257</v>
      </c>
      <c r="O46" s="21">
        <f t="shared" si="22"/>
        <v>-1.1538461538461539E-2</v>
      </c>
      <c r="P46" s="5">
        <v>288</v>
      </c>
    </row>
    <row r="47" spans="1:20" x14ac:dyDescent="0.2">
      <c r="A47" s="10" t="s">
        <v>41</v>
      </c>
      <c r="B47" s="5">
        <v>5193</v>
      </c>
      <c r="C47" s="5">
        <v>5161</v>
      </c>
      <c r="D47" s="5">
        <v>5130</v>
      </c>
      <c r="E47" s="5">
        <v>5110</v>
      </c>
      <c r="F47" s="5">
        <v>5075</v>
      </c>
      <c r="G47" s="21">
        <f t="shared" si="0"/>
        <v>-2.2722896206431736E-2</v>
      </c>
      <c r="H47" s="5">
        <v>4958</v>
      </c>
      <c r="I47" s="21">
        <f t="shared" si="19"/>
        <v>-3.9333462507266034E-2</v>
      </c>
      <c r="J47" s="5">
        <v>4893</v>
      </c>
      <c r="K47" s="21">
        <f t="shared" si="20"/>
        <v>-4.6198830409356725E-2</v>
      </c>
      <c r="L47" s="5">
        <v>4935</v>
      </c>
      <c r="M47" s="21">
        <f t="shared" si="21"/>
        <v>-3.4246575342465752E-2</v>
      </c>
      <c r="N47" s="5">
        <v>4931</v>
      </c>
      <c r="O47" s="21">
        <f t="shared" si="22"/>
        <v>-2.8374384236453203E-2</v>
      </c>
      <c r="P47" s="5">
        <v>4943</v>
      </c>
    </row>
    <row r="48" spans="1:20" x14ac:dyDescent="0.2">
      <c r="A48" s="10" t="s">
        <v>42</v>
      </c>
      <c r="B48" s="5">
        <v>81293</v>
      </c>
      <c r="C48" s="5">
        <v>79340</v>
      </c>
      <c r="D48" s="5">
        <v>77456</v>
      </c>
      <c r="E48" s="5">
        <v>75951</v>
      </c>
      <c r="F48" s="5">
        <v>73986</v>
      </c>
      <c r="G48" s="21">
        <f t="shared" si="0"/>
        <v>-8.9884737923314431E-2</v>
      </c>
      <c r="H48" s="5">
        <v>71823</v>
      </c>
      <c r="I48" s="21">
        <f t="shared" si="19"/>
        <v>-9.4744139147970766E-2</v>
      </c>
      <c r="J48" s="5">
        <v>68725</v>
      </c>
      <c r="K48" s="21">
        <f t="shared" si="20"/>
        <v>-0.11272206155752944</v>
      </c>
      <c r="L48" s="5">
        <v>67439</v>
      </c>
      <c r="M48" s="21">
        <f t="shared" si="21"/>
        <v>-0.11207225711313873</v>
      </c>
      <c r="N48" s="5">
        <v>64848</v>
      </c>
      <c r="O48" s="21">
        <f t="shared" si="22"/>
        <v>-0.1235098532154732</v>
      </c>
      <c r="P48" s="5">
        <v>62862</v>
      </c>
    </row>
    <row r="49" spans="1:20" x14ac:dyDescent="0.2">
      <c r="A49" s="10" t="s">
        <v>43</v>
      </c>
      <c r="B49" s="5">
        <v>32349</v>
      </c>
      <c r="C49" s="5">
        <v>32398</v>
      </c>
      <c r="D49" s="5">
        <v>32296</v>
      </c>
      <c r="E49" s="5">
        <v>32379</v>
      </c>
      <c r="F49" s="5">
        <v>32298</v>
      </c>
      <c r="G49" s="21">
        <f t="shared" si="0"/>
        <v>-1.5765556895112678E-3</v>
      </c>
      <c r="H49" s="5">
        <v>32028</v>
      </c>
      <c r="I49" s="21">
        <f t="shared" si="19"/>
        <v>-1.1420458052966232E-2</v>
      </c>
      <c r="J49" s="5">
        <v>31726</v>
      </c>
      <c r="K49" s="21">
        <f t="shared" si="20"/>
        <v>-1.7649244488481545E-2</v>
      </c>
      <c r="L49" s="5">
        <v>32156</v>
      </c>
      <c r="M49" s="21">
        <f t="shared" si="21"/>
        <v>-6.8871799623212576E-3</v>
      </c>
      <c r="N49" s="5">
        <v>32220</v>
      </c>
      <c r="O49" s="21">
        <f t="shared" si="22"/>
        <v>-2.4150102173509194E-3</v>
      </c>
      <c r="P49" s="5">
        <v>32224</v>
      </c>
    </row>
    <row r="50" spans="1:20" x14ac:dyDescent="0.2">
      <c r="A50" s="10" t="s">
        <v>44</v>
      </c>
      <c r="B50" s="5">
        <v>4792</v>
      </c>
      <c r="C50" s="5">
        <v>4808</v>
      </c>
      <c r="D50" s="5">
        <v>4747</v>
      </c>
      <c r="E50" s="5">
        <v>4884</v>
      </c>
      <c r="F50" s="5">
        <v>5083</v>
      </c>
      <c r="G50" s="21">
        <f t="shared" si="0"/>
        <v>6.0726210350584307E-2</v>
      </c>
      <c r="H50" s="5">
        <v>5033</v>
      </c>
      <c r="I50" s="21">
        <f t="shared" si="19"/>
        <v>4.6797004991680533E-2</v>
      </c>
      <c r="J50" s="5">
        <v>5382</v>
      </c>
      <c r="K50" s="21">
        <f t="shared" si="20"/>
        <v>0.13376869601853802</v>
      </c>
      <c r="L50" s="5">
        <v>5571</v>
      </c>
      <c r="M50" s="21">
        <f t="shared" si="21"/>
        <v>0.14066339066339067</v>
      </c>
      <c r="N50" s="5">
        <v>5800</v>
      </c>
      <c r="O50" s="21">
        <f t="shared" si="22"/>
        <v>0.14105843006098762</v>
      </c>
      <c r="P50" s="5">
        <v>6198</v>
      </c>
    </row>
    <row r="51" spans="1:20" s="11" customFormat="1" x14ac:dyDescent="0.2">
      <c r="A51" s="17" t="s">
        <v>45</v>
      </c>
      <c r="B51" s="11">
        <f t="shared" ref="B51:T51" si="24">SUM(B45:B50)</f>
        <v>150501</v>
      </c>
      <c r="C51" s="11">
        <f t="shared" si="24"/>
        <v>147972</v>
      </c>
      <c r="D51" s="11">
        <f t="shared" si="24"/>
        <v>148858</v>
      </c>
      <c r="E51" s="11">
        <f t="shared" si="24"/>
        <v>146529</v>
      </c>
      <c r="F51" s="11">
        <f t="shared" si="24"/>
        <v>143211</v>
      </c>
      <c r="G51" s="21">
        <f t="shared" si="0"/>
        <v>-4.84382163573664E-2</v>
      </c>
      <c r="H51" s="11">
        <f t="shared" si="24"/>
        <v>143186</v>
      </c>
      <c r="I51" s="21">
        <f t="shared" si="19"/>
        <v>-3.2343956964831187E-2</v>
      </c>
      <c r="J51" s="11">
        <f t="shared" si="24"/>
        <v>141325</v>
      </c>
      <c r="K51" s="21">
        <f t="shared" si="20"/>
        <v>-5.0605274825672786E-2</v>
      </c>
      <c r="L51" s="11">
        <f t="shared" si="24"/>
        <v>138805</v>
      </c>
      <c r="M51" s="21">
        <f t="shared" si="21"/>
        <v>-5.2713114810037605E-2</v>
      </c>
      <c r="N51" s="11">
        <f t="shared" si="24"/>
        <v>134544</v>
      </c>
      <c r="O51" s="21">
        <f t="shared" si="22"/>
        <v>-6.0519094203657538E-2</v>
      </c>
      <c r="P51" s="11">
        <f t="shared" si="24"/>
        <v>135367</v>
      </c>
      <c r="Q51" s="11">
        <f t="shared" si="24"/>
        <v>0</v>
      </c>
      <c r="R51" s="11">
        <f t="shared" si="24"/>
        <v>0</v>
      </c>
      <c r="S51" s="11">
        <f t="shared" si="24"/>
        <v>0</v>
      </c>
      <c r="T51" s="11">
        <f t="shared" si="24"/>
        <v>0</v>
      </c>
    </row>
    <row r="52" spans="1:20" x14ac:dyDescent="0.2">
      <c r="G52" s="21"/>
      <c r="I52" s="21"/>
      <c r="K52" s="21"/>
      <c r="M52" s="21"/>
      <c r="O52" s="21"/>
    </row>
    <row r="53" spans="1:20" x14ac:dyDescent="0.2">
      <c r="A53" s="9" t="s">
        <v>46</v>
      </c>
      <c r="G53" s="21"/>
      <c r="I53" s="21"/>
      <c r="K53" s="21"/>
      <c r="M53" s="21"/>
      <c r="O53" s="21"/>
    </row>
    <row r="54" spans="1:20" x14ac:dyDescent="0.2">
      <c r="A54" s="12" t="s">
        <v>47</v>
      </c>
      <c r="G54" s="21"/>
      <c r="I54" s="21"/>
      <c r="K54" s="21"/>
      <c r="M54" s="21"/>
      <c r="O54" s="21"/>
    </row>
    <row r="55" spans="1:20" x14ac:dyDescent="0.2">
      <c r="A55" s="16" t="s">
        <v>48</v>
      </c>
      <c r="B55" s="5">
        <v>9</v>
      </c>
      <c r="C55" s="5">
        <v>17</v>
      </c>
      <c r="D55" s="5">
        <v>16</v>
      </c>
      <c r="E55" s="5">
        <v>14</v>
      </c>
      <c r="F55" s="5">
        <v>12</v>
      </c>
      <c r="G55" s="21">
        <f t="shared" si="0"/>
        <v>0.33333333333333331</v>
      </c>
      <c r="H55" s="5">
        <v>17</v>
      </c>
      <c r="I55" s="21">
        <f t="shared" ref="I55:I62" si="25">(H55-C55)/C55</f>
        <v>0</v>
      </c>
      <c r="J55" s="5">
        <v>10</v>
      </c>
      <c r="K55" s="21">
        <f t="shared" ref="K55:K62" si="26">(J55-D55)/D55</f>
        <v>-0.375</v>
      </c>
      <c r="L55" s="5">
        <v>1</v>
      </c>
      <c r="M55" s="21">
        <f t="shared" ref="M55:M62" si="27">(L55-E55)/E55</f>
        <v>-0.9285714285714286</v>
      </c>
      <c r="N55" s="5">
        <v>1</v>
      </c>
      <c r="O55" s="21">
        <f t="shared" ref="O55:O62" si="28">(N55-F55)/F55</f>
        <v>-0.91666666666666663</v>
      </c>
      <c r="P55" s="5">
        <v>0</v>
      </c>
    </row>
    <row r="56" spans="1:20" x14ac:dyDescent="0.2">
      <c r="A56" s="16" t="s">
        <v>49</v>
      </c>
      <c r="B56" s="5">
        <v>11338</v>
      </c>
      <c r="C56" s="5">
        <v>7884</v>
      </c>
      <c r="D56" s="5">
        <v>6656</v>
      </c>
      <c r="E56" s="5">
        <v>12481</v>
      </c>
      <c r="F56" s="5">
        <v>9940</v>
      </c>
      <c r="G56" s="21">
        <f t="shared" si="0"/>
        <v>-0.12330216969483154</v>
      </c>
      <c r="H56" s="5">
        <v>11913</v>
      </c>
      <c r="I56" s="21">
        <f t="shared" si="25"/>
        <v>0.51103500761035003</v>
      </c>
      <c r="J56" s="5">
        <v>9197</v>
      </c>
      <c r="K56" s="21">
        <f t="shared" si="26"/>
        <v>0.38176081730769229</v>
      </c>
      <c r="L56" s="5">
        <v>4135</v>
      </c>
      <c r="M56" s="21">
        <f t="shared" si="27"/>
        <v>-0.66869641855620543</v>
      </c>
      <c r="N56" s="5">
        <v>2800</v>
      </c>
      <c r="O56" s="21">
        <f t="shared" si="28"/>
        <v>-0.71830985915492962</v>
      </c>
      <c r="P56" s="5">
        <v>5203</v>
      </c>
    </row>
    <row r="57" spans="1:20" x14ac:dyDescent="0.2">
      <c r="A57" s="16" t="s">
        <v>50</v>
      </c>
      <c r="B57" s="5">
        <v>20604</v>
      </c>
      <c r="C57" s="5">
        <v>20783</v>
      </c>
      <c r="D57" s="5">
        <v>21861</v>
      </c>
      <c r="E57" s="5">
        <v>22699</v>
      </c>
      <c r="F57" s="5">
        <v>22569</v>
      </c>
      <c r="G57" s="21">
        <f t="shared" si="0"/>
        <v>9.5369831100757141E-2</v>
      </c>
      <c r="H57" s="5">
        <v>22543</v>
      </c>
      <c r="I57" s="21">
        <f t="shared" si="25"/>
        <v>8.4684597988740798E-2</v>
      </c>
      <c r="J57" s="5">
        <v>23505</v>
      </c>
      <c r="K57" s="21">
        <f t="shared" si="26"/>
        <v>7.5202415260052141E-2</v>
      </c>
      <c r="L57" s="5">
        <v>25402</v>
      </c>
      <c r="M57" s="21">
        <f t="shared" si="27"/>
        <v>0.11908013568879686</v>
      </c>
      <c r="N57" s="5">
        <v>24789</v>
      </c>
      <c r="O57" s="21">
        <f t="shared" si="28"/>
        <v>9.8365013957197933E-2</v>
      </c>
      <c r="P57" s="5">
        <v>27036</v>
      </c>
    </row>
    <row r="58" spans="1:20" s="11" customFormat="1" x14ac:dyDescent="0.2">
      <c r="A58" s="17" t="s">
        <v>51</v>
      </c>
      <c r="B58" s="11">
        <f t="shared" ref="B58:T58" si="29">SUM(B55:B57)</f>
        <v>31951</v>
      </c>
      <c r="C58" s="11">
        <f t="shared" si="29"/>
        <v>28684</v>
      </c>
      <c r="D58" s="11">
        <f t="shared" si="29"/>
        <v>28533</v>
      </c>
      <c r="E58" s="11">
        <f t="shared" si="29"/>
        <v>35194</v>
      </c>
      <c r="F58" s="11">
        <f t="shared" si="29"/>
        <v>32521</v>
      </c>
      <c r="G58" s="21">
        <f t="shared" si="0"/>
        <v>1.7839817220118306E-2</v>
      </c>
      <c r="H58" s="11">
        <f t="shared" si="29"/>
        <v>34473</v>
      </c>
      <c r="I58" s="21">
        <f t="shared" si="25"/>
        <v>0.20181982987031097</v>
      </c>
      <c r="J58" s="11">
        <f t="shared" si="29"/>
        <v>32712</v>
      </c>
      <c r="K58" s="21">
        <f t="shared" si="26"/>
        <v>0.14646199137840396</v>
      </c>
      <c r="L58" s="11">
        <f t="shared" si="29"/>
        <v>29538</v>
      </c>
      <c r="M58" s="21">
        <f t="shared" si="27"/>
        <v>-0.16070921179746547</v>
      </c>
      <c r="N58" s="11">
        <f t="shared" si="29"/>
        <v>27590</v>
      </c>
      <c r="O58" s="21">
        <f t="shared" si="28"/>
        <v>-0.15162510377909658</v>
      </c>
      <c r="P58" s="11">
        <f t="shared" si="29"/>
        <v>32239</v>
      </c>
      <c r="Q58" s="11">
        <f t="shared" si="29"/>
        <v>0</v>
      </c>
      <c r="R58" s="11">
        <f t="shared" si="29"/>
        <v>0</v>
      </c>
      <c r="S58" s="11">
        <f t="shared" si="29"/>
        <v>0</v>
      </c>
      <c r="T58" s="11">
        <f t="shared" si="29"/>
        <v>0</v>
      </c>
    </row>
    <row r="59" spans="1:20" x14ac:dyDescent="0.2">
      <c r="A59" s="10" t="s">
        <v>52</v>
      </c>
      <c r="B59" s="5">
        <v>74183</v>
      </c>
      <c r="C59" s="5">
        <v>74237</v>
      </c>
      <c r="D59" s="5">
        <v>74049</v>
      </c>
      <c r="E59" s="5">
        <v>64189</v>
      </c>
      <c r="F59" s="5">
        <v>63522</v>
      </c>
      <c r="G59" s="21">
        <f t="shared" si="0"/>
        <v>-0.14371217125217367</v>
      </c>
      <c r="H59" s="5">
        <v>61002</v>
      </c>
      <c r="I59" s="21">
        <f t="shared" si="25"/>
        <v>-0.17828037232107979</v>
      </c>
      <c r="J59" s="5">
        <v>60399</v>
      </c>
      <c r="K59" s="21">
        <f t="shared" si="26"/>
        <v>-0.18433739820929385</v>
      </c>
      <c r="L59" s="5">
        <v>59135</v>
      </c>
      <c r="M59" s="21">
        <f t="shared" si="27"/>
        <v>-7.8736232064683984E-2</v>
      </c>
      <c r="N59" s="5">
        <v>59292</v>
      </c>
      <c r="O59" s="21">
        <f t="shared" si="28"/>
        <v>-6.6591102295267782E-2</v>
      </c>
      <c r="P59" s="5">
        <v>55812</v>
      </c>
    </row>
    <row r="60" spans="1:20" x14ac:dyDescent="0.2">
      <c r="A60" s="10" t="s">
        <v>53</v>
      </c>
      <c r="B60" s="5">
        <v>3768</v>
      </c>
      <c r="C60" s="5">
        <v>3661</v>
      </c>
      <c r="D60" s="5">
        <v>3602</v>
      </c>
      <c r="E60" s="5">
        <v>3009</v>
      </c>
      <c r="F60" s="5">
        <v>2831</v>
      </c>
      <c r="G60" s="21">
        <f t="shared" si="0"/>
        <v>-0.24867303609341826</v>
      </c>
      <c r="H60" s="5">
        <v>2255</v>
      </c>
      <c r="I60" s="21">
        <f t="shared" si="25"/>
        <v>-0.38404807429664028</v>
      </c>
      <c r="J60" s="5">
        <v>1972</v>
      </c>
      <c r="K60" s="21">
        <f t="shared" si="26"/>
        <v>-0.45252637423653524</v>
      </c>
      <c r="L60" s="5">
        <v>2190</v>
      </c>
      <c r="M60" s="21">
        <f t="shared" si="27"/>
        <v>-0.27218344965104685</v>
      </c>
      <c r="N60" s="5">
        <v>2110</v>
      </c>
      <c r="O60" s="21">
        <f t="shared" si="28"/>
        <v>-0.25468032497350762</v>
      </c>
      <c r="P60" s="5">
        <v>2124</v>
      </c>
    </row>
    <row r="61" spans="1:20" x14ac:dyDescent="0.2">
      <c r="A61" s="10" t="s">
        <v>44</v>
      </c>
      <c r="B61" s="5">
        <v>26866</v>
      </c>
      <c r="C61" s="5">
        <v>28796</v>
      </c>
      <c r="D61" s="5">
        <v>29097</v>
      </c>
      <c r="E61" s="5">
        <v>28701</v>
      </c>
      <c r="F61" s="5">
        <v>28023</v>
      </c>
      <c r="G61" s="21">
        <f t="shared" si="0"/>
        <v>4.3065584753964117E-2</v>
      </c>
      <c r="H61" s="5">
        <v>30768</v>
      </c>
      <c r="I61" s="21">
        <f t="shared" si="25"/>
        <v>6.8481733574107514E-2</v>
      </c>
      <c r="J61" s="5">
        <v>30215</v>
      </c>
      <c r="K61" s="21">
        <f t="shared" si="26"/>
        <v>3.8423205141423514E-2</v>
      </c>
      <c r="L61" s="5">
        <v>30655</v>
      </c>
      <c r="M61" s="21">
        <f t="shared" si="27"/>
        <v>6.8081251524337125E-2</v>
      </c>
      <c r="N61" s="5">
        <v>32249</v>
      </c>
      <c r="O61" s="21">
        <f t="shared" si="28"/>
        <v>0.15080469614245443</v>
      </c>
      <c r="P61" s="5">
        <v>32294</v>
      </c>
    </row>
    <row r="62" spans="1:20" s="11" customFormat="1" x14ac:dyDescent="0.2">
      <c r="A62" s="17" t="s">
        <v>54</v>
      </c>
      <c r="B62" s="11">
        <f t="shared" ref="B62:D62" si="30">SUM(B58:B61)</f>
        <v>136768</v>
      </c>
      <c r="C62" s="11">
        <f t="shared" si="30"/>
        <v>135378</v>
      </c>
      <c r="D62" s="11">
        <f t="shared" si="30"/>
        <v>135281</v>
      </c>
      <c r="E62" s="11">
        <f t="shared" ref="E62" si="31">SUM(E58:E61)</f>
        <v>131093</v>
      </c>
      <c r="F62" s="11">
        <f t="shared" ref="F62" si="32">SUM(F58:F61)</f>
        <v>126897</v>
      </c>
      <c r="G62" s="21">
        <f t="shared" si="0"/>
        <v>-7.2173315395414134E-2</v>
      </c>
      <c r="H62" s="11">
        <f t="shared" ref="H62" si="33">SUM(H58:H61)</f>
        <v>128498</v>
      </c>
      <c r="I62" s="21">
        <f t="shared" si="25"/>
        <v>-5.0820665100681055E-2</v>
      </c>
      <c r="J62" s="11">
        <f t="shared" ref="J62" si="34">SUM(J58:J61)</f>
        <v>125298</v>
      </c>
      <c r="K62" s="21">
        <f t="shared" si="26"/>
        <v>-7.3794546166867481E-2</v>
      </c>
      <c r="L62" s="11">
        <f t="shared" ref="L62" si="35">SUM(L58:L61)</f>
        <v>121518</v>
      </c>
      <c r="M62" s="21">
        <f t="shared" si="27"/>
        <v>-7.3039750406200185E-2</v>
      </c>
      <c r="N62" s="11">
        <f t="shared" ref="N62" si="36">SUM(N58:N61)</f>
        <v>121241</v>
      </c>
      <c r="O62" s="21">
        <f t="shared" si="28"/>
        <v>-4.4571581676477776E-2</v>
      </c>
      <c r="P62" s="11">
        <f t="shared" ref="P62:T62" si="37">SUM(P58:P61)</f>
        <v>122469</v>
      </c>
      <c r="Q62" s="11">
        <f t="shared" si="37"/>
        <v>0</v>
      </c>
      <c r="R62" s="11">
        <f t="shared" si="37"/>
        <v>0</v>
      </c>
      <c r="S62" s="11">
        <f t="shared" si="37"/>
        <v>0</v>
      </c>
      <c r="T62" s="11">
        <f t="shared" si="37"/>
        <v>0</v>
      </c>
    </row>
    <row r="63" spans="1:20" x14ac:dyDescent="0.2">
      <c r="G63" s="21"/>
      <c r="I63" s="21"/>
      <c r="K63" s="21"/>
      <c r="M63" s="21"/>
      <c r="O63" s="21"/>
    </row>
    <row r="64" spans="1:20" s="11" customFormat="1" x14ac:dyDescent="0.2">
      <c r="A64" s="9" t="s">
        <v>55</v>
      </c>
      <c r="B64" s="11">
        <f t="shared" ref="B64:T64" si="38">B51-B62</f>
        <v>13733</v>
      </c>
      <c r="C64" s="11">
        <f t="shared" si="38"/>
        <v>12594</v>
      </c>
      <c r="D64" s="11">
        <f t="shared" si="38"/>
        <v>13577</v>
      </c>
      <c r="E64" s="11">
        <f t="shared" si="38"/>
        <v>15436</v>
      </c>
      <c r="F64" s="11">
        <f t="shared" si="38"/>
        <v>16314</v>
      </c>
      <c r="G64" s="21">
        <f t="shared" si="0"/>
        <v>0.18794145488968178</v>
      </c>
      <c r="H64" s="11">
        <f t="shared" si="38"/>
        <v>14688</v>
      </c>
      <c r="I64" s="21">
        <f>(H64-C64)/C64</f>
        <v>0.16626965221534065</v>
      </c>
      <c r="J64" s="11">
        <f t="shared" si="38"/>
        <v>16027</v>
      </c>
      <c r="K64" s="21">
        <f>(J64-D64)/D64</f>
        <v>0.18045223539809974</v>
      </c>
      <c r="L64" s="11">
        <f t="shared" si="38"/>
        <v>17287</v>
      </c>
      <c r="M64" s="21">
        <f>(L64-E64)/E64</f>
        <v>0.11991448561803576</v>
      </c>
      <c r="N64" s="11">
        <f t="shared" si="38"/>
        <v>13303</v>
      </c>
      <c r="O64" s="21">
        <f>(N64-F64)/F64</f>
        <v>-0.18456540394752974</v>
      </c>
      <c r="P64" s="11">
        <f t="shared" si="38"/>
        <v>12898</v>
      </c>
      <c r="Q64" s="11">
        <f t="shared" si="38"/>
        <v>0</v>
      </c>
      <c r="R64" s="11">
        <f t="shared" si="38"/>
        <v>0</v>
      </c>
      <c r="S64" s="11">
        <f t="shared" si="38"/>
        <v>0</v>
      </c>
      <c r="T64" s="11">
        <f t="shared" si="38"/>
        <v>0</v>
      </c>
    </row>
    <row r="65" spans="1:16" x14ac:dyDescent="0.2">
      <c r="A65" s="8" t="s">
        <v>56</v>
      </c>
      <c r="B65" s="5">
        <f>B7-B8+B9</f>
        <v>251020.75</v>
      </c>
      <c r="C65" s="5">
        <f>C7-C8+C9</f>
        <v>258313.76</v>
      </c>
      <c r="D65" s="5">
        <f>D7-D8+D9</f>
        <v>247411.82</v>
      </c>
      <c r="E65" s="5">
        <f>E7-E8+E9</f>
        <v>294216.30000000005</v>
      </c>
      <c r="F65" s="5">
        <f>F7-F8+F9</f>
        <v>342539.27999999997</v>
      </c>
      <c r="G65" s="21">
        <f t="shared" si="0"/>
        <v>0.36458551733273031</v>
      </c>
      <c r="H65" s="5">
        <f>H7-H8+H9</f>
        <v>326317.71999999997</v>
      </c>
      <c r="I65" s="21">
        <f>(H65-C65)/C65</f>
        <v>0.26326108218160721</v>
      </c>
      <c r="J65" s="5">
        <f>J7-J8+J9</f>
        <v>289382.16000000003</v>
      </c>
      <c r="K65" s="21">
        <f>(J65-D65)/D65</f>
        <v>0.16963757026644896</v>
      </c>
      <c r="L65" s="5">
        <f>L7-L8+L9</f>
        <v>336149.7</v>
      </c>
      <c r="M65" s="21">
        <f>(L65-E65)/E65</f>
        <v>0.14252575401158929</v>
      </c>
      <c r="N65" s="5">
        <f>N7-N8+N9</f>
        <v>335954.48</v>
      </c>
      <c r="O65" s="21">
        <f>(N65-F65)/F65</f>
        <v>-1.9223488763098904E-2</v>
      </c>
      <c r="P65" s="5">
        <f>P7-P8+P9</f>
        <v>290862.82999999996</v>
      </c>
    </row>
    <row r="66" spans="1:16" x14ac:dyDescent="0.2">
      <c r="A66" s="8" t="s">
        <v>57</v>
      </c>
      <c r="B66" s="18">
        <f>B36/B6</f>
        <v>2.0028169014084507</v>
      </c>
      <c r="C66" s="18">
        <f>C36/C6</f>
        <v>0.43299549549549549</v>
      </c>
      <c r="D66" s="18">
        <f>D36/D6</f>
        <v>1.7895329206527857</v>
      </c>
      <c r="E66" s="18">
        <f>E36/E6</f>
        <v>1.9538548114800225</v>
      </c>
      <c r="F66" s="18">
        <f>F36/F6</f>
        <v>2.5269966254218224</v>
      </c>
      <c r="G66" s="21">
        <f t="shared" si="0"/>
        <v>0.26172124054113494</v>
      </c>
      <c r="H66" s="18">
        <f>H36/H6</f>
        <v>0.52252252252252251</v>
      </c>
      <c r="I66" s="21">
        <f>(H66-C66)/C66</f>
        <v>0.20676202860858259</v>
      </c>
      <c r="J66" s="18">
        <f>J36/J6</f>
        <v>2.2252252252252251</v>
      </c>
      <c r="K66" s="21">
        <f>(J66-D66)/D66</f>
        <v>0.24346705195761789</v>
      </c>
      <c r="L66" s="18">
        <f>L36/L6</f>
        <v>1.3903262092238471</v>
      </c>
      <c r="M66" s="21">
        <f>(L66-E66)/E66</f>
        <v>-0.28841887275611283</v>
      </c>
      <c r="N66" s="18">
        <f>N36/N6</f>
        <v>0.1356981981981982</v>
      </c>
      <c r="O66" s="21">
        <f>(N66-F66)/F66</f>
        <v>-0.94630060173683583</v>
      </c>
      <c r="P66" s="18">
        <f>P36/P6</f>
        <v>1.1445511010728402</v>
      </c>
    </row>
    <row r="67" spans="1:16" x14ac:dyDescent="0.2">
      <c r="A67" s="8" t="s">
        <v>66</v>
      </c>
      <c r="B67" s="20">
        <f>B36/B19</f>
        <v>0.27325134511913912</v>
      </c>
      <c r="C67" s="20">
        <f t="shared" ref="C67:P67" si="39">C36/C19</f>
        <v>5.5089906153735942E-2</v>
      </c>
      <c r="D67" s="20">
        <f t="shared" si="39"/>
        <v>0.22172639799191188</v>
      </c>
      <c r="E67" s="20">
        <f t="shared" si="39"/>
        <v>0.24257667854398099</v>
      </c>
      <c r="F67" s="20">
        <f t="shared" si="39"/>
        <v>0.33188063229428277</v>
      </c>
      <c r="G67" s="21">
        <f t="shared" si="0"/>
        <v>0.21456175137795189</v>
      </c>
      <c r="H67" s="20">
        <f t="shared" si="39"/>
        <v>6.3635740245491332E-2</v>
      </c>
      <c r="I67" s="21">
        <f t="shared" ref="I67:I78" si="40">(H67-C67)/C67</f>
        <v>0.15512522508038165</v>
      </c>
      <c r="J67" s="20">
        <f t="shared" si="39"/>
        <v>0.26681069403186608</v>
      </c>
      <c r="K67" s="21">
        <f t="shared" ref="K67:K78" si="41">(J67-D67)/D67</f>
        <v>0.20333301063051043</v>
      </c>
      <c r="L67" s="20">
        <f t="shared" si="39"/>
        <v>0.16348125123999735</v>
      </c>
      <c r="M67" s="21">
        <f t="shared" ref="M67:M78" si="42">(L67-E67)/E67</f>
        <v>-0.32606360915953858</v>
      </c>
      <c r="N67" s="20">
        <f>N36/N19</f>
        <v>1.9713701431492842E-2</v>
      </c>
      <c r="O67" s="21">
        <f t="shared" ref="O67" si="43">(N67-F67)/F67</f>
        <v>-0.9406000244870798</v>
      </c>
      <c r="P67" s="20">
        <f t="shared" si="39"/>
        <v>0.14619545618463758</v>
      </c>
    </row>
    <row r="68" spans="1:16" x14ac:dyDescent="0.2">
      <c r="A68" s="8" t="s">
        <v>67</v>
      </c>
      <c r="B68" s="22">
        <f>B21/B19</f>
        <v>0.32382782475019217</v>
      </c>
      <c r="C68" s="22">
        <f t="shared" ref="C68:N68" si="44">C21/C19</f>
        <v>0.32402034529694101</v>
      </c>
      <c r="D68" s="22">
        <f t="shared" si="44"/>
        <v>0.30609398968065821</v>
      </c>
      <c r="E68" s="22">
        <f t="shared" si="44"/>
        <v>0.30182351708237265</v>
      </c>
      <c r="F68" s="22">
        <f t="shared" si="44"/>
        <v>0.29930565814743687</v>
      </c>
      <c r="G68" s="21">
        <f t="shared" si="0"/>
        <v>-7.5725940541620337E-2</v>
      </c>
      <c r="H68" s="22">
        <f t="shared" si="44"/>
        <v>0.28594939312898582</v>
      </c>
      <c r="I68" s="21">
        <f t="shared" si="40"/>
        <v>-0.117495560758896</v>
      </c>
      <c r="J68" s="22">
        <f t="shared" si="44"/>
        <v>0.33904941938968403</v>
      </c>
      <c r="K68" s="21">
        <f t="shared" si="41"/>
        <v>0.10766441295827979</v>
      </c>
      <c r="L68" s="22">
        <f t="shared" si="44"/>
        <v>0.27577541167912173</v>
      </c>
      <c r="M68" s="21">
        <f t="shared" si="42"/>
        <v>-8.6302438110354276E-2</v>
      </c>
      <c r="N68" s="22">
        <f t="shared" si="44"/>
        <v>0.32605316973415133</v>
      </c>
      <c r="O68" s="22">
        <f t="shared" ref="O68:P68" si="45">O21/O19</f>
        <v>0.16794391869895473</v>
      </c>
      <c r="P68" s="22">
        <f t="shared" si="45"/>
        <v>0.30580598629642985</v>
      </c>
    </row>
    <row r="69" spans="1:16" x14ac:dyDescent="0.2">
      <c r="A69" s="8" t="s">
        <v>68</v>
      </c>
      <c r="B69" s="22">
        <f>(B21+B28)/B19</f>
        <v>0.68462720983858572</v>
      </c>
      <c r="C69" s="22">
        <f t="shared" ref="C69:N69" si="46">(C21+C28)/C19</f>
        <v>0.68185400100293714</v>
      </c>
      <c r="D69" s="22">
        <f t="shared" si="46"/>
        <v>0.69976293403988288</v>
      </c>
      <c r="E69" s="22">
        <f t="shared" si="46"/>
        <v>0.685530636484315</v>
      </c>
      <c r="F69" s="22">
        <f t="shared" si="46"/>
        <v>0.65157334909144626</v>
      </c>
      <c r="G69" s="21">
        <f t="shared" si="0"/>
        <v>-4.8280086260276668E-2</v>
      </c>
      <c r="H69" s="22">
        <f t="shared" si="46"/>
        <v>0.77405197833093331</v>
      </c>
      <c r="I69" s="21">
        <f t="shared" si="40"/>
        <v>0.13521659650362458</v>
      </c>
      <c r="J69" s="22">
        <f t="shared" si="46"/>
        <v>0.68923845530650829</v>
      </c>
      <c r="K69" s="21">
        <f t="shared" si="41"/>
        <v>-1.5040063171986681E-2</v>
      </c>
      <c r="L69" s="22">
        <f t="shared" si="46"/>
        <v>0.6361351762449573</v>
      </c>
      <c r="M69" s="21">
        <f t="shared" si="42"/>
        <v>-7.2054343906025969E-2</v>
      </c>
      <c r="N69" s="22">
        <f t="shared" si="46"/>
        <v>0.77357873210633943</v>
      </c>
      <c r="O69" s="22">
        <f t="shared" ref="O69:P69" si="47">(O21+O28)/O19</f>
        <v>-1.34980374619125</v>
      </c>
      <c r="P69" s="22">
        <f t="shared" si="47"/>
        <v>0.67450414713306883</v>
      </c>
    </row>
    <row r="70" spans="1:16" x14ac:dyDescent="0.2">
      <c r="A70" s="8" t="s">
        <v>69</v>
      </c>
      <c r="B70" s="20">
        <f>B12/B19</f>
        <v>0.44150653343581858</v>
      </c>
      <c r="C70" s="20">
        <f t="shared" ref="C70:N70" si="48">C12/C19</f>
        <v>0.43842682140554479</v>
      </c>
      <c r="D70" s="20">
        <f t="shared" si="48"/>
        <v>0.46534653465346537</v>
      </c>
      <c r="E70" s="20">
        <f t="shared" si="48"/>
        <v>0.47131977922168655</v>
      </c>
      <c r="F70" s="20">
        <f t="shared" si="48"/>
        <v>0.45361205495641899</v>
      </c>
      <c r="G70" s="21">
        <f t="shared" ref="G70:G78" si="49">(F70-B70)/B70</f>
        <v>2.7418669043003354E-2</v>
      </c>
      <c r="H70" s="20">
        <f t="shared" si="48"/>
        <v>0.49420558184187069</v>
      </c>
      <c r="I70" s="21">
        <f t="shared" si="40"/>
        <v>0.12722479034814924</v>
      </c>
      <c r="J70" s="20">
        <f t="shared" si="48"/>
        <v>0.51654064272211719</v>
      </c>
      <c r="K70" s="21">
        <f t="shared" si="41"/>
        <v>0.1100128705305071</v>
      </c>
      <c r="L70" s="20">
        <f t="shared" si="48"/>
        <v>0.52410554857482972</v>
      </c>
      <c r="M70" s="21">
        <f t="shared" si="42"/>
        <v>0.1119956591686241</v>
      </c>
      <c r="N70" s="20">
        <f t="shared" si="48"/>
        <v>0.45701431492842537</v>
      </c>
      <c r="O70" s="20">
        <f t="shared" ref="O70:P70" si="50">O12/O19</f>
        <v>0.93016597890671049</v>
      </c>
      <c r="P70" s="20">
        <f t="shared" si="50"/>
        <v>0.49138117562206995</v>
      </c>
    </row>
    <row r="71" spans="1:16" x14ac:dyDescent="0.2">
      <c r="A71" s="8" t="s">
        <v>70</v>
      </c>
      <c r="B71" s="20">
        <f>B13/B19</f>
        <v>0.1285933897002306</v>
      </c>
      <c r="C71" s="20">
        <f t="shared" ref="C71:N71" si="51">C13/C19</f>
        <v>0.13009527903144924</v>
      </c>
      <c r="D71" s="20">
        <f t="shared" si="51"/>
        <v>0.13010737693487659</v>
      </c>
      <c r="E71" s="20">
        <f t="shared" si="51"/>
        <v>0.13086005729057501</v>
      </c>
      <c r="F71" s="20">
        <f t="shared" si="51"/>
        <v>0.12158369035308021</v>
      </c>
      <c r="G71" s="21">
        <f t="shared" si="49"/>
        <v>-5.4510572926734321E-2</v>
      </c>
      <c r="H71" s="20">
        <f t="shared" si="51"/>
        <v>0.11314544332441884</v>
      </c>
      <c r="I71" s="21">
        <f t="shared" si="40"/>
        <v>-0.13028786158283998</v>
      </c>
      <c r="J71" s="20">
        <f t="shared" si="51"/>
        <v>0.11139616527140157</v>
      </c>
      <c r="K71" s="21">
        <f t="shared" si="41"/>
        <v>-0.14381361075967775</v>
      </c>
      <c r="L71" s="20">
        <f t="shared" si="51"/>
        <v>0.10786323655842868</v>
      </c>
      <c r="M71" s="21">
        <f t="shared" si="42"/>
        <v>-0.17573598245553146</v>
      </c>
      <c r="N71" s="20">
        <f t="shared" si="51"/>
        <v>0.1158282208588957</v>
      </c>
      <c r="O71" s="20">
        <f t="shared" ref="O71:P71" si="52">O13/O19</f>
        <v>1.4407472152019389</v>
      </c>
      <c r="P71" s="20">
        <f t="shared" si="52"/>
        <v>0.10659935088351966</v>
      </c>
    </row>
    <row r="72" spans="1:16" x14ac:dyDescent="0.2">
      <c r="A72" s="8" t="s">
        <v>71</v>
      </c>
      <c r="B72" s="20">
        <f>B14/B19</f>
        <v>8.7701767870868558E-2</v>
      </c>
      <c r="C72" s="20">
        <f t="shared" ref="C72:N72" si="53">C14/C19</f>
        <v>0.10272942187835805</v>
      </c>
      <c r="D72" s="20">
        <f t="shared" si="53"/>
        <v>8.7226328266629474E-2</v>
      </c>
      <c r="E72" s="20">
        <f t="shared" si="53"/>
        <v>9.830224271641165E-2</v>
      </c>
      <c r="F72" s="20">
        <f t="shared" si="53"/>
        <v>0.10149209632146551</v>
      </c>
      <c r="G72" s="21">
        <f t="shared" si="49"/>
        <v>0.15724116839813004</v>
      </c>
      <c r="H72" s="20">
        <f t="shared" si="53"/>
        <v>9.4013577453198924E-2</v>
      </c>
      <c r="I72" s="21">
        <f t="shared" si="40"/>
        <v>-8.4842728264153622E-2</v>
      </c>
      <c r="J72" s="20">
        <f t="shared" si="53"/>
        <v>8.7834188495814203E-2</v>
      </c>
      <c r="K72" s="21">
        <f t="shared" si="41"/>
        <v>6.9687701094863124E-3</v>
      </c>
      <c r="L72" s="20">
        <f t="shared" si="53"/>
        <v>8.5113418424707363E-2</v>
      </c>
      <c r="M72" s="21">
        <f t="shared" si="42"/>
        <v>-0.1341660569205142</v>
      </c>
      <c r="N72" s="20">
        <f t="shared" si="53"/>
        <v>0.10633946830265849</v>
      </c>
      <c r="O72" s="20">
        <f t="shared" ref="O72:P72" si="54">O14/O19</f>
        <v>0.55530907474355096</v>
      </c>
      <c r="P72" s="20">
        <f t="shared" si="54"/>
        <v>9.9819689866570499E-2</v>
      </c>
    </row>
    <row r="73" spans="1:16" x14ac:dyDescent="0.2">
      <c r="A73" s="8" t="s">
        <v>72</v>
      </c>
      <c r="B73" s="20">
        <f>B15/B19</f>
        <v>9.5926210607225212E-2</v>
      </c>
      <c r="C73" s="20">
        <f t="shared" ref="C73:N73" si="55">C15/C19</f>
        <v>0.1045203811161258</v>
      </c>
      <c r="D73" s="20">
        <f t="shared" si="55"/>
        <v>0.10918979221865849</v>
      </c>
      <c r="E73" s="20">
        <f t="shared" si="55"/>
        <v>0.11555928177181583</v>
      </c>
      <c r="F73" s="20">
        <f t="shared" si="55"/>
        <v>0.10991283793765697</v>
      </c>
      <c r="G73" s="21">
        <f t="shared" si="49"/>
        <v>0.14580610702637589</v>
      </c>
      <c r="H73" s="20">
        <f t="shared" si="55"/>
        <v>0.11369402729205239</v>
      </c>
      <c r="I73" s="21">
        <f t="shared" si="40"/>
        <v>8.7768969821630724E-2</v>
      </c>
      <c r="J73" s="20">
        <f t="shared" si="55"/>
        <v>0.11288144747502026</v>
      </c>
      <c r="K73" s="21">
        <f t="shared" si="41"/>
        <v>3.3809527258454958E-2</v>
      </c>
      <c r="L73" s="20">
        <f t="shared" si="55"/>
        <v>0.11308775874611468</v>
      </c>
      <c r="M73" s="21">
        <f t="shared" si="42"/>
        <v>-2.1387490366904835E-2</v>
      </c>
      <c r="N73" s="20">
        <f t="shared" si="55"/>
        <v>0.13865030674846626</v>
      </c>
      <c r="O73" s="20">
        <f t="shared" ref="O73:P73" si="56">O15/O19</f>
        <v>-1.4343568041667689</v>
      </c>
      <c r="P73" s="20">
        <f t="shared" si="56"/>
        <v>0.13595384060584204</v>
      </c>
    </row>
    <row r="74" spans="1:16" x14ac:dyDescent="0.2">
      <c r="A74" s="8" t="s">
        <v>73</v>
      </c>
      <c r="B74" s="20">
        <f>B16/B19</f>
        <v>6.2797847809377402E-2</v>
      </c>
      <c r="C74" s="20">
        <f t="shared" ref="C74:N74" si="57">C16/C19</f>
        <v>6.5835661580342431E-2</v>
      </c>
      <c r="D74" s="20">
        <f t="shared" si="57"/>
        <v>6.0730720959419886E-2</v>
      </c>
      <c r="E74" s="20">
        <f t="shared" si="57"/>
        <v>6.7071892684971698E-2</v>
      </c>
      <c r="F74" s="20">
        <f t="shared" si="57"/>
        <v>5.6950805141084353E-2</v>
      </c>
      <c r="G74" s="21">
        <f t="shared" si="49"/>
        <v>-9.3108965868411969E-2</v>
      </c>
      <c r="H74" s="20">
        <f t="shared" si="57"/>
        <v>4.9166838099156555E-2</v>
      </c>
      <c r="I74" s="21">
        <f t="shared" si="40"/>
        <v>-0.25318836449823029</v>
      </c>
      <c r="J74" s="20">
        <f t="shared" si="57"/>
        <v>4.2060491493383742E-2</v>
      </c>
      <c r="K74" s="21">
        <f t="shared" si="41"/>
        <v>-0.30742644202283625</v>
      </c>
      <c r="L74" s="20">
        <f t="shared" si="57"/>
        <v>3.9018583427022024E-2</v>
      </c>
      <c r="M74" s="21">
        <f t="shared" si="42"/>
        <v>-0.41825730771774344</v>
      </c>
      <c r="N74" s="20">
        <f t="shared" si="57"/>
        <v>4.9734151329243352E-2</v>
      </c>
      <c r="O74" s="20">
        <f t="shared" ref="O74:P74" si="58">O16/O19</f>
        <v>2.1798319311128957</v>
      </c>
      <c r="P74" s="20">
        <f t="shared" si="58"/>
        <v>4.450054093040029E-2</v>
      </c>
    </row>
    <row r="75" spans="1:16" x14ac:dyDescent="0.2">
      <c r="A75" s="8" t="s">
        <v>74</v>
      </c>
      <c r="B75" s="20">
        <f>B17/B19</f>
        <v>0.10107609531129901</v>
      </c>
      <c r="C75" s="20">
        <f t="shared" ref="C75:N75" si="59">C17/C19</f>
        <v>9.8860949924779715E-2</v>
      </c>
      <c r="D75" s="20">
        <f t="shared" si="59"/>
        <v>9.5175010458792356E-2</v>
      </c>
      <c r="E75" s="20">
        <f t="shared" si="59"/>
        <v>9.9839306923775586E-2</v>
      </c>
      <c r="F75" s="20">
        <f t="shared" si="59"/>
        <v>6.699660215689171E-2</v>
      </c>
      <c r="G75" s="21">
        <f t="shared" si="49"/>
        <v>-0.33716669653143644</v>
      </c>
      <c r="H75" s="20">
        <f t="shared" si="59"/>
        <v>6.6584379071521635E-2</v>
      </c>
      <c r="I75" s="21">
        <f t="shared" si="40"/>
        <v>-0.32648453082654311</v>
      </c>
      <c r="J75" s="20">
        <f t="shared" si="59"/>
        <v>6.6837699162840936E-2</v>
      </c>
      <c r="K75" s="21">
        <f t="shared" si="41"/>
        <v>-0.29773898799013576</v>
      </c>
      <c r="L75" s="20">
        <f t="shared" si="59"/>
        <v>6.5207327557701214E-2</v>
      </c>
      <c r="M75" s="21">
        <f t="shared" si="42"/>
        <v>-0.34687720130624389</v>
      </c>
      <c r="N75" s="20">
        <f t="shared" si="59"/>
        <v>7.5910020449897753E-2</v>
      </c>
      <c r="O75" s="20">
        <f t="shared" ref="O75:P75" si="60">O17/O19</f>
        <v>-0.23872713791606454</v>
      </c>
      <c r="P75" s="20">
        <f t="shared" si="60"/>
        <v>6.8301478543094124E-2</v>
      </c>
    </row>
    <row r="76" spans="1:16" x14ac:dyDescent="0.2">
      <c r="A76" s="8" t="s">
        <v>75</v>
      </c>
      <c r="B76" s="20">
        <f>B18/B19</f>
        <v>8.2398155265180628E-2</v>
      </c>
      <c r="C76" s="20">
        <f t="shared" ref="C76:N76" si="61">C18/C19</f>
        <v>5.9531485063399954E-2</v>
      </c>
      <c r="D76" s="20">
        <f t="shared" si="61"/>
        <v>5.2224236508157856E-2</v>
      </c>
      <c r="E76" s="20">
        <f t="shared" si="61"/>
        <v>1.7047439390763641E-2</v>
      </c>
      <c r="F76" s="20">
        <f t="shared" si="61"/>
        <v>8.9451913133402269E-2</v>
      </c>
      <c r="G76" s="21">
        <f t="shared" si="49"/>
        <v>8.5605774128324208E-2</v>
      </c>
      <c r="H76" s="20">
        <f t="shared" si="61"/>
        <v>6.9190152917780981E-2</v>
      </c>
      <c r="I76" s="21">
        <f t="shared" si="40"/>
        <v>0.1622446986513896</v>
      </c>
      <c r="J76" s="20">
        <f t="shared" si="61"/>
        <v>6.2449365379422091E-2</v>
      </c>
      <c r="K76" s="21">
        <f t="shared" si="41"/>
        <v>0.19579278807966843</v>
      </c>
      <c r="L76" s="20">
        <f t="shared" si="61"/>
        <v>6.5604126711196351E-2</v>
      </c>
      <c r="M76" s="21">
        <f t="shared" si="42"/>
        <v>2.8483273181039075</v>
      </c>
      <c r="N76" s="20">
        <f t="shared" si="61"/>
        <v>5.652351738241309E-2</v>
      </c>
      <c r="O76" s="20">
        <f t="shared" ref="O76:P76" si="62">O18/O19</f>
        <v>4.4274022778000344</v>
      </c>
      <c r="P76" s="20">
        <f t="shared" si="62"/>
        <v>5.3443923548503428E-2</v>
      </c>
    </row>
    <row r="77" spans="1:16" x14ac:dyDescent="0.2">
      <c r="A77" s="8" t="s">
        <v>76</v>
      </c>
      <c r="B77" s="22">
        <f>B45/B58</f>
        <v>0.8315545679321461</v>
      </c>
      <c r="C77" s="22">
        <f>C45/C58</f>
        <v>0.90639380839492401</v>
      </c>
      <c r="D77" s="22">
        <f t="shared" ref="D77:N77" si="63">D45/D58</f>
        <v>1.0148599866820873</v>
      </c>
      <c r="E77" s="22">
        <f t="shared" si="63"/>
        <v>0.79354435415127578</v>
      </c>
      <c r="F77" s="22">
        <f t="shared" si="63"/>
        <v>0.81513483595215397</v>
      </c>
      <c r="G77" s="21">
        <f t="shared" si="49"/>
        <v>-1.9745826206960318E-2</v>
      </c>
      <c r="H77" s="22">
        <f t="shared" si="63"/>
        <v>0.84413889130623965</v>
      </c>
      <c r="I77" s="21">
        <f t="shared" si="40"/>
        <v>-6.8684181767445757E-2</v>
      </c>
      <c r="J77" s="22">
        <f t="shared" si="63"/>
        <v>0.92822205918317435</v>
      </c>
      <c r="K77" s="21">
        <f t="shared" si="41"/>
        <v>-8.5369340239889624E-2</v>
      </c>
      <c r="L77" s="22">
        <f t="shared" si="63"/>
        <v>0.9636062021802424</v>
      </c>
      <c r="M77" s="21">
        <f t="shared" si="42"/>
        <v>0.2143066699918165</v>
      </c>
      <c r="N77" s="22">
        <f t="shared" si="63"/>
        <v>0.96005799202609643</v>
      </c>
      <c r="O77" s="22">
        <f t="shared" ref="O77:P77" si="64">O45/O58</f>
        <v>5.2246215626182649E-3</v>
      </c>
      <c r="P77" s="22">
        <f t="shared" si="64"/>
        <v>0.89494091007785603</v>
      </c>
    </row>
    <row r="78" spans="1:16" x14ac:dyDescent="0.2">
      <c r="B78" s="22">
        <f>B40/B51</f>
        <v>6.4816845070796866E-2</v>
      </c>
      <c r="C78" s="22">
        <f t="shared" ref="C78:N78" si="65">C40/C51</f>
        <v>5.7754169707782556E-2</v>
      </c>
      <c r="D78" s="22">
        <f t="shared" si="65"/>
        <v>8.1836380980531781E-2</v>
      </c>
      <c r="E78" s="22">
        <f t="shared" si="65"/>
        <v>6.6512430986357646E-2</v>
      </c>
      <c r="F78" s="22">
        <f t="shared" si="65"/>
        <v>4.2580528032064573E-2</v>
      </c>
      <c r="G78" s="21">
        <f t="shared" si="49"/>
        <v>-0.34306385962544839</v>
      </c>
      <c r="H78" s="22">
        <f t="shared" si="65"/>
        <v>5.9510007961672232E-2</v>
      </c>
      <c r="I78" s="21">
        <f t="shared" si="40"/>
        <v>3.0401930506033594E-2</v>
      </c>
      <c r="J78" s="22">
        <f t="shared" si="65"/>
        <v>8.3721917565894213E-2</v>
      </c>
      <c r="K78" s="21">
        <f t="shared" si="41"/>
        <v>2.3040322198643978E-2</v>
      </c>
      <c r="L78" s="22">
        <f t="shared" si="65"/>
        <v>6.6287237491444828E-2</v>
      </c>
      <c r="M78" s="21">
        <f t="shared" si="42"/>
        <v>-3.3857354418305205E-3</v>
      </c>
      <c r="N78" s="22">
        <f t="shared" si="65"/>
        <v>4.9879593292900461E-2</v>
      </c>
      <c r="O78" s="22">
        <f t="shared" ref="O78:P78" si="66">O40/O51</f>
        <v>-1.6610420816748617</v>
      </c>
      <c r="P78" s="22">
        <f t="shared" si="66"/>
        <v>6.4705578168977665E-2</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3" ma:contentTypeDescription="Create a new document." ma:contentTypeScope="" ma:versionID="7c958296e71377cd1f84353a875d72a5">
  <xsd:schema xmlns:xsd="http://www.w3.org/2001/XMLSchema" xmlns:xs="http://www.w3.org/2001/XMLSchema" xmlns:p="http://schemas.microsoft.com/office/2006/metadata/properties" xmlns:ns3="36567613-e428-4167-ab55-a4f66cede826" targetNamespace="http://schemas.microsoft.com/office/2006/metadata/properties" ma:root="true" ma:fieldsID="bbb9d457094159866f35fe50818106a9"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Props1.xml><?xml version="1.0" encoding="utf-8"?>
<ds:datastoreItem xmlns:ds="http://schemas.openxmlformats.org/officeDocument/2006/customXml" ds:itemID="{1C974B17-DE1B-4009-8DB7-E95764209D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9B4B395-A628-4AF2-9AB1-05807B2F72E8}">
  <ds:schemaRefs>
    <ds:schemaRef ds:uri="http://schemas.microsoft.com/sharepoint/v3/contenttype/forms"/>
  </ds:schemaRefs>
</ds:datastoreItem>
</file>

<file path=customXml/itemProps3.xml><?xml version="1.0" encoding="utf-8"?>
<ds:datastoreItem xmlns:ds="http://schemas.openxmlformats.org/officeDocument/2006/customXml" ds:itemID="{82AF3359-AA7B-4C3F-BB32-4122371AAA35}">
  <ds:schemaRefs>
    <ds:schemaRef ds:uri="http://schemas.microsoft.com/office/2006/metadata/properties"/>
    <ds:schemaRef ds:uri="36567613-e428-4167-ab55-a4f66cede826"/>
    <ds:schemaRef ds:uri="http://www.w3.org/XML/1998/namespace"/>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purl.org/dc/term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dc:creator>
  <cp:lastModifiedBy>Abraham Gonzalez Herrera</cp:lastModifiedBy>
  <dcterms:created xsi:type="dcterms:W3CDTF">2023-02-21T16:55:27Z</dcterms:created>
  <dcterms:modified xsi:type="dcterms:W3CDTF">2024-01-12T00:29:57Z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