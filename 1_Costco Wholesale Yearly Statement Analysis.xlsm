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A3878DEC-857D-4F54-AC83-6F1341F46CA1}" xr6:coauthVersionLast="47" xr6:coauthVersionMax="47" xr10:uidLastSave="{00000000-0000-0000-0000-000000000000}"/>
  <bookViews>
    <workbookView xWindow="-120" yWindow="-120" windowWidth="29040" windowHeight="15720" xr2:uid="{D29696A3-3AF2-46A8-80CE-5350C306236C}"/>
  </bookViews>
  <sheets>
    <sheet name="Financial Statements" sheetId="1" r:id="rId1"/>
    <sheet name="Analysis" sheetId="3" r:id="rId2"/>
    <sheet name="Observations"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7" i="1" l="1"/>
  <c r="E47" i="1"/>
  <c r="F47" i="1"/>
  <c r="G47" i="1"/>
  <c r="H47" i="1"/>
  <c r="I47" i="1"/>
  <c r="C47" i="1"/>
  <c r="U44" i="1"/>
  <c r="T44" i="1"/>
  <c r="S44" i="1"/>
  <c r="R44" i="1"/>
  <c r="Q44" i="1"/>
  <c r="P44" i="1"/>
  <c r="O44" i="1"/>
  <c r="D10" i="2"/>
  <c r="D13" i="2"/>
  <c r="D12" i="2"/>
  <c r="D11" i="2"/>
  <c r="D9" i="2"/>
  <c r="D8" i="2"/>
  <c r="D7" i="2"/>
  <c r="U48" i="1"/>
  <c r="T48" i="1"/>
  <c r="S48" i="1"/>
  <c r="R48" i="1"/>
  <c r="Q48" i="1"/>
  <c r="P48" i="1"/>
  <c r="O48" i="1"/>
  <c r="I16" i="1"/>
  <c r="L46" i="1"/>
  <c r="K46" i="1"/>
  <c r="J46" i="1"/>
  <c r="L45" i="1"/>
  <c r="K45" i="1"/>
  <c r="J45" i="1"/>
  <c r="L44" i="1"/>
  <c r="K44" i="1"/>
  <c r="J44" i="1"/>
  <c r="L43" i="1"/>
  <c r="K43" i="1"/>
  <c r="J43" i="1"/>
  <c r="L42" i="1"/>
  <c r="K42" i="1"/>
  <c r="J42" i="1"/>
  <c r="L41" i="1"/>
  <c r="K41" i="1"/>
  <c r="J41" i="1"/>
  <c r="D41" i="1"/>
  <c r="E41" i="1"/>
  <c r="F41" i="1"/>
  <c r="G41" i="1"/>
  <c r="H41" i="1"/>
  <c r="I41" i="1"/>
  <c r="C41" i="1"/>
  <c r="I46" i="1" l="1"/>
  <c r="H46" i="1"/>
  <c r="G46" i="1"/>
  <c r="F46" i="1"/>
  <c r="E46" i="1"/>
  <c r="D46" i="1"/>
  <c r="C46" i="1"/>
  <c r="I45" i="1"/>
  <c r="H45" i="1"/>
  <c r="G45" i="1"/>
  <c r="F45" i="1"/>
  <c r="E45" i="1"/>
  <c r="D45" i="1"/>
  <c r="C45" i="1"/>
  <c r="I44" i="1"/>
  <c r="H44" i="1"/>
  <c r="G44" i="1"/>
  <c r="F44" i="1"/>
  <c r="E44" i="1"/>
  <c r="D44" i="1"/>
  <c r="C44" i="1"/>
  <c r="I43" i="1"/>
  <c r="H43" i="1"/>
  <c r="G43" i="1"/>
  <c r="F43" i="1"/>
  <c r="E43" i="1"/>
  <c r="D43" i="1"/>
  <c r="C43" i="1"/>
  <c r="D42" i="1"/>
  <c r="E42" i="1"/>
  <c r="F42" i="1"/>
  <c r="G42" i="1"/>
  <c r="H42" i="1"/>
  <c r="I42" i="1"/>
  <c r="C42" i="1"/>
  <c r="X47" i="1"/>
  <c r="W47" i="1"/>
  <c r="V47" i="1"/>
  <c r="X46" i="1"/>
  <c r="W46" i="1"/>
  <c r="V46" i="1"/>
  <c r="U47" i="1"/>
  <c r="T47" i="1"/>
  <c r="S47" i="1"/>
  <c r="R47" i="1"/>
  <c r="Q47" i="1"/>
  <c r="P47" i="1"/>
  <c r="O47" i="1"/>
  <c r="T45" i="1" l="1"/>
  <c r="S45" i="1"/>
  <c r="R45" i="1"/>
  <c r="Q45" i="1"/>
  <c r="P45" i="1"/>
  <c r="O45" i="1"/>
  <c r="X45" i="1" s="1"/>
  <c r="U45" i="1"/>
  <c r="X44" i="1"/>
  <c r="W44" i="1"/>
  <c r="V44" i="1"/>
  <c r="I40" i="1"/>
  <c r="H40" i="1"/>
  <c r="G40" i="1"/>
  <c r="K40" i="1" s="1"/>
  <c r="F40" i="1"/>
  <c r="E40" i="1"/>
  <c r="D40" i="1"/>
  <c r="C40" i="1"/>
  <c r="L40" i="1"/>
  <c r="J40" i="1"/>
  <c r="L39" i="1"/>
  <c r="K39" i="1"/>
  <c r="J39" i="1"/>
  <c r="I39" i="1"/>
  <c r="H39" i="1"/>
  <c r="G39" i="1"/>
  <c r="F39" i="1"/>
  <c r="E39" i="1"/>
  <c r="D39" i="1"/>
  <c r="C39" i="1"/>
  <c r="G59" i="3"/>
  <c r="D57" i="3"/>
  <c r="E57" i="3" s="1"/>
  <c r="F57" i="3" s="1"/>
  <c r="G57" i="3" s="1"/>
  <c r="H57" i="3" s="1"/>
  <c r="H54" i="3"/>
  <c r="H59" i="3" s="1"/>
  <c r="G54" i="3"/>
  <c r="E54" i="3"/>
  <c r="E59" i="3" s="1"/>
  <c r="D54" i="3"/>
  <c r="D59" i="3" s="1"/>
  <c r="C36" i="3"/>
  <c r="D36" i="3"/>
  <c r="E36" i="3"/>
  <c r="F36" i="3"/>
  <c r="G36" i="3"/>
  <c r="G37" i="3" s="1"/>
  <c r="G58" i="3" s="1"/>
  <c r="H36" i="3"/>
  <c r="H37" i="3" s="1"/>
  <c r="H58" i="3" s="1"/>
  <c r="I36" i="3"/>
  <c r="H53" i="3"/>
  <c r="G53" i="3"/>
  <c r="F53" i="3"/>
  <c r="F54" i="3" s="1"/>
  <c r="F59" i="3" s="1"/>
  <c r="E53" i="3"/>
  <c r="D53" i="3"/>
  <c r="C53" i="3"/>
  <c r="C54" i="3" s="1"/>
  <c r="I35" i="3"/>
  <c r="H35" i="3"/>
  <c r="G35" i="3"/>
  <c r="F35" i="3"/>
  <c r="F37" i="3" s="1"/>
  <c r="F58" i="3" s="1"/>
  <c r="E35" i="3"/>
  <c r="E37" i="3" s="1"/>
  <c r="E58" i="3" s="1"/>
  <c r="D35" i="3"/>
  <c r="D37" i="3" s="1"/>
  <c r="D58" i="3" s="1"/>
  <c r="C35" i="3"/>
  <c r="I20" i="3"/>
  <c r="H20" i="3"/>
  <c r="G20" i="3"/>
  <c r="F20" i="3"/>
  <c r="E20" i="3"/>
  <c r="D20" i="3"/>
  <c r="C19" i="3"/>
  <c r="C18" i="3"/>
  <c r="K18" i="3" s="1"/>
  <c r="C17" i="3"/>
  <c r="C16" i="3"/>
  <c r="C15" i="3"/>
  <c r="I19" i="3"/>
  <c r="H19" i="3"/>
  <c r="G19" i="3"/>
  <c r="F19" i="3"/>
  <c r="E19" i="3"/>
  <c r="D19" i="3"/>
  <c r="I18" i="3"/>
  <c r="H18" i="3"/>
  <c r="G18" i="3"/>
  <c r="F18" i="3"/>
  <c r="E18" i="3"/>
  <c r="D18" i="3"/>
  <c r="I17" i="3"/>
  <c r="H17" i="3"/>
  <c r="G17" i="3"/>
  <c r="F17" i="3"/>
  <c r="E17" i="3"/>
  <c r="D17" i="3"/>
  <c r="I16" i="3"/>
  <c r="H16" i="3"/>
  <c r="G16" i="3"/>
  <c r="F16" i="3"/>
  <c r="E16" i="3"/>
  <c r="D16" i="3"/>
  <c r="H15" i="3"/>
  <c r="G15" i="3"/>
  <c r="F15" i="3"/>
  <c r="E15" i="3"/>
  <c r="D15" i="3"/>
  <c r="I15" i="3"/>
  <c r="H51" i="3"/>
  <c r="H50" i="3"/>
  <c r="J51" i="3"/>
  <c r="D52" i="3"/>
  <c r="C51" i="3"/>
  <c r="C50" i="3"/>
  <c r="I50" i="3" s="1"/>
  <c r="D51" i="3"/>
  <c r="E51" i="3"/>
  <c r="F51" i="3"/>
  <c r="G51" i="3"/>
  <c r="I51" i="3" s="1"/>
  <c r="D50" i="3"/>
  <c r="E50" i="3"/>
  <c r="F50" i="3"/>
  <c r="G50" i="3"/>
  <c r="D49" i="3"/>
  <c r="E49" i="3" s="1"/>
  <c r="F49" i="3" s="1"/>
  <c r="G49" i="3" s="1"/>
  <c r="H49" i="3" s="1"/>
  <c r="A45" i="3"/>
  <c r="G45" i="3"/>
  <c r="G52" i="3" s="1"/>
  <c r="F45" i="3"/>
  <c r="F52" i="3" s="1"/>
  <c r="E45" i="3"/>
  <c r="E52" i="3" s="1"/>
  <c r="D45" i="3"/>
  <c r="C45" i="3"/>
  <c r="C52" i="3" s="1"/>
  <c r="H45" i="3"/>
  <c r="D42" i="3"/>
  <c r="E42" i="3" s="1"/>
  <c r="F42" i="3" s="1"/>
  <c r="G42" i="3" s="1"/>
  <c r="H42" i="3" s="1"/>
  <c r="K34" i="3"/>
  <c r="J34" i="3"/>
  <c r="D33" i="3"/>
  <c r="E33" i="3" s="1"/>
  <c r="F33" i="3" s="1"/>
  <c r="G33" i="3" s="1"/>
  <c r="H33" i="3" s="1"/>
  <c r="I33" i="3" s="1"/>
  <c r="I29" i="3"/>
  <c r="H29" i="3"/>
  <c r="G29" i="3"/>
  <c r="F29" i="3"/>
  <c r="E29" i="3"/>
  <c r="I28" i="3"/>
  <c r="H28" i="3"/>
  <c r="G28" i="3"/>
  <c r="F28" i="3"/>
  <c r="E28" i="3"/>
  <c r="I27" i="3"/>
  <c r="H27" i="3"/>
  <c r="G27" i="3"/>
  <c r="F27" i="3"/>
  <c r="E27" i="3"/>
  <c r="I26" i="3"/>
  <c r="H26" i="3"/>
  <c r="G26" i="3"/>
  <c r="F26" i="3"/>
  <c r="E26" i="3"/>
  <c r="I25" i="3"/>
  <c r="H25" i="3"/>
  <c r="G25" i="3"/>
  <c r="F25" i="3"/>
  <c r="E25" i="3"/>
  <c r="D29" i="3"/>
  <c r="D28" i="3"/>
  <c r="D27" i="3"/>
  <c r="D26" i="3"/>
  <c r="D25" i="3"/>
  <c r="C29" i="3"/>
  <c r="C28" i="3"/>
  <c r="C27" i="3"/>
  <c r="C26" i="3"/>
  <c r="C25" i="3"/>
  <c r="D24" i="3"/>
  <c r="E24" i="3" s="1"/>
  <c r="F24" i="3" s="1"/>
  <c r="G24" i="3" s="1"/>
  <c r="H24" i="3" s="1"/>
  <c r="I24" i="3" s="1"/>
  <c r="A11" i="3"/>
  <c r="C20" i="3" s="1"/>
  <c r="D14" i="3"/>
  <c r="E14" i="3" s="1"/>
  <c r="F14" i="3" s="1"/>
  <c r="G14" i="3" s="1"/>
  <c r="D5" i="3"/>
  <c r="E5" i="3" s="1"/>
  <c r="F5" i="3" s="1"/>
  <c r="G5" i="3" s="1"/>
  <c r="H5" i="3" s="1"/>
  <c r="I5" i="3" s="1"/>
  <c r="X43" i="1"/>
  <c r="W43" i="1"/>
  <c r="V43" i="1"/>
  <c r="X42" i="1"/>
  <c r="W42" i="1"/>
  <c r="V42" i="1"/>
  <c r="X41" i="1"/>
  <c r="W41" i="1"/>
  <c r="V41" i="1"/>
  <c r="X40" i="1"/>
  <c r="W40" i="1"/>
  <c r="V40" i="1"/>
  <c r="X39" i="1"/>
  <c r="W39" i="1"/>
  <c r="V39" i="1"/>
  <c r="X38" i="1"/>
  <c r="W38" i="1"/>
  <c r="V38" i="1"/>
  <c r="X37" i="1"/>
  <c r="W37" i="1"/>
  <c r="V37" i="1"/>
  <c r="X36" i="1"/>
  <c r="W36" i="1"/>
  <c r="V36" i="1"/>
  <c r="X34" i="1"/>
  <c r="W34" i="1"/>
  <c r="V34" i="1"/>
  <c r="X33" i="1"/>
  <c r="W33" i="1"/>
  <c r="V33" i="1"/>
  <c r="X32" i="1"/>
  <c r="W32" i="1"/>
  <c r="V32" i="1"/>
  <c r="X31" i="1"/>
  <c r="W31" i="1"/>
  <c r="V31" i="1"/>
  <c r="X30" i="1"/>
  <c r="W30" i="1"/>
  <c r="V30" i="1"/>
  <c r="X29" i="1"/>
  <c r="W29" i="1"/>
  <c r="V29" i="1"/>
  <c r="X28" i="1"/>
  <c r="W28" i="1"/>
  <c r="V28" i="1"/>
  <c r="X27" i="1"/>
  <c r="W27" i="1"/>
  <c r="V27" i="1"/>
  <c r="X26" i="1"/>
  <c r="W26" i="1"/>
  <c r="V26" i="1"/>
  <c r="X25" i="1"/>
  <c r="W25" i="1"/>
  <c r="V25" i="1"/>
  <c r="X24" i="1"/>
  <c r="W24" i="1"/>
  <c r="V24" i="1"/>
  <c r="X20" i="1"/>
  <c r="W20" i="1"/>
  <c r="V20" i="1"/>
  <c r="X19" i="1"/>
  <c r="W19" i="1"/>
  <c r="V19" i="1"/>
  <c r="X18" i="1"/>
  <c r="W18" i="1"/>
  <c r="V18" i="1"/>
  <c r="X17" i="1"/>
  <c r="W17" i="1"/>
  <c r="V17" i="1"/>
  <c r="X16" i="1"/>
  <c r="W16" i="1"/>
  <c r="V16" i="1"/>
  <c r="X15" i="1"/>
  <c r="W15" i="1"/>
  <c r="V15" i="1"/>
  <c r="X14" i="1"/>
  <c r="W14" i="1"/>
  <c r="V14" i="1"/>
  <c r="X13" i="1"/>
  <c r="W13" i="1"/>
  <c r="V13" i="1"/>
  <c r="X12" i="1"/>
  <c r="W12" i="1"/>
  <c r="V12" i="1"/>
  <c r="X11" i="1"/>
  <c r="W11" i="1"/>
  <c r="V11" i="1"/>
  <c r="L38" i="1"/>
  <c r="K38" i="1"/>
  <c r="J38" i="1"/>
  <c r="L37" i="1"/>
  <c r="K37" i="1"/>
  <c r="J37" i="1"/>
  <c r="L36" i="1"/>
  <c r="K36" i="1"/>
  <c r="J36" i="1"/>
  <c r="L35" i="1"/>
  <c r="K35" i="1"/>
  <c r="J35" i="1"/>
  <c r="L34" i="1"/>
  <c r="K34" i="1"/>
  <c r="J34" i="1"/>
  <c r="L33" i="1"/>
  <c r="K33" i="1"/>
  <c r="J33" i="1"/>
  <c r="L32" i="1"/>
  <c r="K32" i="1"/>
  <c r="J32" i="1"/>
  <c r="L31" i="1"/>
  <c r="K31" i="1"/>
  <c r="J31" i="1"/>
  <c r="L30" i="1"/>
  <c r="K30" i="1"/>
  <c r="J30" i="1"/>
  <c r="L29" i="1"/>
  <c r="K29" i="1"/>
  <c r="J29" i="1"/>
  <c r="L27" i="1"/>
  <c r="K27" i="1"/>
  <c r="J27" i="1"/>
  <c r="L26" i="1"/>
  <c r="K26" i="1"/>
  <c r="J26" i="1"/>
  <c r="L25" i="1"/>
  <c r="K25" i="1"/>
  <c r="J25" i="1"/>
  <c r="L24" i="1"/>
  <c r="K24" i="1"/>
  <c r="J24" i="1"/>
  <c r="L23" i="1"/>
  <c r="K23" i="1"/>
  <c r="J23" i="1"/>
  <c r="L22" i="1"/>
  <c r="K22" i="1"/>
  <c r="J22" i="1"/>
  <c r="L20" i="1"/>
  <c r="K20" i="1"/>
  <c r="J20" i="1"/>
  <c r="L19" i="1"/>
  <c r="K19" i="1"/>
  <c r="J19" i="1"/>
  <c r="L18" i="1"/>
  <c r="K18" i="1"/>
  <c r="J18" i="1"/>
  <c r="L15" i="1"/>
  <c r="K15" i="1"/>
  <c r="J15" i="1"/>
  <c r="L14" i="1"/>
  <c r="K14" i="1"/>
  <c r="J14" i="1"/>
  <c r="L13" i="1"/>
  <c r="K13" i="1"/>
  <c r="J13" i="1"/>
  <c r="L12" i="1"/>
  <c r="K12" i="1"/>
  <c r="J12" i="1"/>
  <c r="L11" i="1"/>
  <c r="K11" i="1"/>
  <c r="J11" i="1"/>
  <c r="L10" i="1"/>
  <c r="K10" i="1"/>
  <c r="J10" i="1"/>
  <c r="I38" i="1"/>
  <c r="I37" i="1"/>
  <c r="I35" i="1"/>
  <c r="I36" i="1" s="1"/>
  <c r="I34" i="1"/>
  <c r="U43" i="1"/>
  <c r="U42" i="1"/>
  <c r="U39" i="1"/>
  <c r="U41" i="1" s="1"/>
  <c r="U38" i="1"/>
  <c r="U37" i="1"/>
  <c r="U36" i="1"/>
  <c r="U34" i="1"/>
  <c r="U30" i="1"/>
  <c r="U20" i="1"/>
  <c r="U16" i="1"/>
  <c r="I32" i="1"/>
  <c r="I20" i="1"/>
  <c r="I15" i="1"/>
  <c r="W45" i="1" l="1"/>
  <c r="V45" i="1"/>
  <c r="J52" i="3"/>
  <c r="I52" i="3"/>
  <c r="C59" i="3"/>
  <c r="J54" i="3"/>
  <c r="I54" i="3"/>
  <c r="J50" i="3"/>
  <c r="I53" i="3"/>
  <c r="H52" i="3"/>
  <c r="J53" i="3"/>
  <c r="I37" i="3"/>
  <c r="C37" i="3"/>
  <c r="C58" i="3" s="1"/>
  <c r="J35" i="3"/>
  <c r="J37" i="3" s="1"/>
  <c r="K35" i="3"/>
  <c r="K37" i="3" s="1"/>
  <c r="J17" i="3"/>
  <c r="D30" i="3"/>
  <c r="I30" i="3"/>
  <c r="K15" i="3"/>
  <c r="J18" i="3"/>
  <c r="J16" i="3"/>
  <c r="K19" i="3"/>
  <c r="K16" i="3"/>
  <c r="J15" i="3"/>
  <c r="K17" i="3"/>
  <c r="K20" i="3"/>
  <c r="K36" i="3" s="1"/>
  <c r="J20" i="3"/>
  <c r="J36" i="3" s="1"/>
  <c r="J19" i="3"/>
  <c r="E30" i="3"/>
  <c r="F30" i="3"/>
  <c r="H14" i="3"/>
  <c r="I14" i="3" s="1"/>
  <c r="G30" i="3"/>
  <c r="K26" i="3"/>
  <c r="J29" i="3"/>
  <c r="H30" i="3"/>
  <c r="C30" i="3"/>
  <c r="K27" i="3"/>
  <c r="K28" i="3"/>
  <c r="K25" i="3"/>
  <c r="J25" i="3"/>
  <c r="J27" i="3"/>
  <c r="K29" i="3"/>
  <c r="J28" i="3"/>
  <c r="J26" i="3"/>
  <c r="U40" i="1"/>
  <c r="I22" i="1"/>
  <c r="I25" i="1" s="1"/>
  <c r="I27" i="1" s="1"/>
  <c r="I33" i="1"/>
  <c r="I30" i="1"/>
  <c r="T42" i="1"/>
  <c r="S42" i="1"/>
  <c r="S43" i="1" s="1"/>
  <c r="R42" i="1"/>
  <c r="R43" i="1" s="1"/>
  <c r="Q42" i="1"/>
  <c r="Q43" i="1" s="1"/>
  <c r="P42" i="1"/>
  <c r="P43" i="1" s="1"/>
  <c r="O42" i="1"/>
  <c r="O43" i="1" s="1"/>
  <c r="T38" i="1"/>
  <c r="S38" i="1"/>
  <c r="R38" i="1"/>
  <c r="Q38" i="1"/>
  <c r="P38" i="1"/>
  <c r="T37" i="1"/>
  <c r="S37" i="1"/>
  <c r="R37" i="1"/>
  <c r="Q37" i="1"/>
  <c r="P37" i="1"/>
  <c r="O38" i="1"/>
  <c r="O37" i="1"/>
  <c r="H32" i="1"/>
  <c r="G32" i="1"/>
  <c r="F32" i="1"/>
  <c r="E32" i="1"/>
  <c r="Q39" i="1" s="1"/>
  <c r="D32" i="1"/>
  <c r="C32" i="1"/>
  <c r="C19" i="1"/>
  <c r="C11" i="1"/>
  <c r="S30" i="1"/>
  <c r="S34" i="1" s="1"/>
  <c r="R30" i="1"/>
  <c r="R34" i="1" s="1"/>
  <c r="Q30" i="1"/>
  <c r="Q34" i="1" s="1"/>
  <c r="P30" i="1"/>
  <c r="P34" i="1" s="1"/>
  <c r="O30" i="1"/>
  <c r="O34" i="1" s="1"/>
  <c r="T30" i="1"/>
  <c r="S16" i="1"/>
  <c r="S20" i="1" s="1"/>
  <c r="R16" i="1"/>
  <c r="R20" i="1" s="1"/>
  <c r="Q16" i="1"/>
  <c r="Q20" i="1" s="1"/>
  <c r="P16" i="1"/>
  <c r="P20" i="1" s="1"/>
  <c r="O16" i="1"/>
  <c r="O20" i="1" s="1"/>
  <c r="T16" i="1"/>
  <c r="T20" i="1" s="1"/>
  <c r="K30" i="3" l="1"/>
  <c r="J30" i="3"/>
  <c r="O39" i="1"/>
  <c r="R39" i="1"/>
  <c r="P39" i="1"/>
  <c r="S39" i="1"/>
  <c r="T39" i="1"/>
  <c r="T34" i="1"/>
  <c r="T36" i="1" s="1"/>
  <c r="T43" i="1"/>
  <c r="O36" i="1"/>
  <c r="C35" i="1" s="1"/>
  <c r="P36" i="1"/>
  <c r="D35" i="1" s="1"/>
  <c r="Q36" i="1"/>
  <c r="E35" i="1" s="1"/>
  <c r="R36" i="1"/>
  <c r="F35" i="1" s="1"/>
  <c r="S36" i="1"/>
  <c r="G35" i="1" s="1"/>
  <c r="H35" i="1" l="1"/>
  <c r="G20" i="1"/>
  <c r="F20" i="1"/>
  <c r="E20" i="1"/>
  <c r="D20" i="1"/>
  <c r="C20" i="1"/>
  <c r="H20" i="1"/>
  <c r="H15" i="1"/>
  <c r="G15" i="1"/>
  <c r="G34" i="1" s="1"/>
  <c r="F15" i="1"/>
  <c r="F34" i="1" s="1"/>
  <c r="E15" i="1"/>
  <c r="E34" i="1" s="1"/>
  <c r="D15" i="1"/>
  <c r="D34" i="1" s="1"/>
  <c r="C15" i="1"/>
  <c r="C34" i="1" s="1"/>
  <c r="H34" i="1" l="1"/>
  <c r="F22" i="1"/>
  <c r="G22" i="1"/>
  <c r="H22" i="1"/>
  <c r="C22" i="1"/>
  <c r="D22" i="1"/>
  <c r="E22" i="1"/>
  <c r="C4" i="1" a="1"/>
  <c r="C25" i="1" l="1"/>
  <c r="C27" i="1" s="1"/>
  <c r="O41" i="1"/>
  <c r="C38" i="1"/>
  <c r="O40" i="1"/>
  <c r="G38" i="1"/>
  <c r="S41" i="1"/>
  <c r="S40" i="1"/>
  <c r="G25" i="1"/>
  <c r="G27" i="1" s="1"/>
  <c r="R41" i="1"/>
  <c r="F38" i="1"/>
  <c r="R40" i="1"/>
  <c r="F25" i="1"/>
  <c r="F27" i="1" s="1"/>
  <c r="E25" i="1"/>
  <c r="E27" i="1" s="1"/>
  <c r="Q41" i="1"/>
  <c r="E38" i="1"/>
  <c r="Q40" i="1"/>
  <c r="D25" i="1"/>
  <c r="D27" i="1" s="1"/>
  <c r="P41" i="1"/>
  <c r="D38" i="1"/>
  <c r="P40" i="1"/>
  <c r="H38" i="1"/>
  <c r="T41" i="1"/>
  <c r="T40" i="1"/>
  <c r="H25" i="1"/>
  <c r="C6" i="1"/>
  <c r="H27" i="1" l="1"/>
  <c r="E30" i="1"/>
  <c r="E33" i="1"/>
  <c r="E36" i="1" s="1"/>
  <c r="E37" i="1"/>
  <c r="F33" i="1"/>
  <c r="F36" i="1" s="1"/>
  <c r="F37" i="1"/>
  <c r="F30" i="1"/>
  <c r="D30" i="1"/>
  <c r="D37" i="1"/>
  <c r="D33" i="1"/>
  <c r="D36" i="1" s="1"/>
  <c r="C30" i="1"/>
  <c r="C37" i="1"/>
  <c r="C33" i="1"/>
  <c r="C36" i="1" s="1"/>
  <c r="G33" i="1"/>
  <c r="G36" i="1" s="1"/>
  <c r="G37" i="1"/>
  <c r="G30" i="1"/>
  <c r="H37" i="1" l="1"/>
  <c r="H33" i="1"/>
  <c r="H30" i="1"/>
  <c r="H36"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<sst xmlns="http://schemas.openxmlformats.org/spreadsheetml/2006/main" count="170" uniqueCount="122">
  <si>
    <t>Price</t>
  </si>
  <si>
    <t>Shares outstanding</t>
  </si>
  <si>
    <t>Mkt cap</t>
  </si>
  <si>
    <t>Revenues</t>
  </si>
  <si>
    <t>Foods &amp; sundries</t>
  </si>
  <si>
    <t>Non-foods</t>
  </si>
  <si>
    <t>Warehouse ancillary &amp; other</t>
  </si>
  <si>
    <t>Total revenues</t>
  </si>
  <si>
    <t>Fresh foods</t>
  </si>
  <si>
    <t>Membership fees</t>
  </si>
  <si>
    <t>Operating expenses</t>
  </si>
  <si>
    <t>Merchandise costs</t>
  </si>
  <si>
    <t>SG&amp;A</t>
  </si>
  <si>
    <t>Interest expense</t>
  </si>
  <si>
    <t>Interest income</t>
  </si>
  <si>
    <t>EBT</t>
  </si>
  <si>
    <t>Taxes</t>
  </si>
  <si>
    <t>Net income</t>
  </si>
  <si>
    <t>EPS</t>
  </si>
  <si>
    <t>1Y</t>
  </si>
  <si>
    <t>2Y</t>
  </si>
  <si>
    <t>Assets</t>
  </si>
  <si>
    <t>Current</t>
  </si>
  <si>
    <t>Cash</t>
  </si>
  <si>
    <t>ST investments</t>
  </si>
  <si>
    <t>Receivables</t>
  </si>
  <si>
    <t>Inventories</t>
  </si>
  <si>
    <t>Other</t>
  </si>
  <si>
    <t>Total current assets</t>
  </si>
  <si>
    <t>PPE</t>
  </si>
  <si>
    <t>Operating leases</t>
  </si>
  <si>
    <t>Total assets</t>
  </si>
  <si>
    <t>Liabilities</t>
  </si>
  <si>
    <t>AP</t>
  </si>
  <si>
    <t>Accr member rewards</t>
  </si>
  <si>
    <t>Accr salaries &amp; benefits</t>
  </si>
  <si>
    <t>Defer membership fees</t>
  </si>
  <si>
    <t>LT debt, current</t>
  </si>
  <si>
    <t>Total current liabilities</t>
  </si>
  <si>
    <t>LT debt</t>
  </si>
  <si>
    <t>LT operating leases</t>
  </si>
  <si>
    <t>Total liabilities</t>
  </si>
  <si>
    <t>Equity</t>
  </si>
  <si>
    <t>Reporting date : 9/1</t>
  </si>
  <si>
    <t>`</t>
  </si>
  <si>
    <t>2019</t>
  </si>
  <si>
    <t>2020</t>
  </si>
  <si>
    <t>2021</t>
  </si>
  <si>
    <t>2022</t>
  </si>
  <si>
    <t>2023</t>
  </si>
  <si>
    <t>2024</t>
  </si>
  <si>
    <t>Income Statement</t>
  </si>
  <si>
    <t>Balance Sheet</t>
  </si>
  <si>
    <t>Debt</t>
  </si>
  <si>
    <t>EV</t>
  </si>
  <si>
    <t>EV/EBITDA</t>
  </si>
  <si>
    <t>EBITDA/EV</t>
  </si>
  <si>
    <t>NM</t>
  </si>
  <si>
    <t>Asset turnover</t>
  </si>
  <si>
    <t>EM</t>
  </si>
  <si>
    <t>ROE</t>
  </si>
  <si>
    <t>Inventory turnover</t>
  </si>
  <si>
    <t>ROA</t>
  </si>
  <si>
    <t>Operating margin</t>
  </si>
  <si>
    <t>IC</t>
  </si>
  <si>
    <t>TR, TOE, &amp; merch costs +5% YoY &lt;=&gt; means sales and costs to attain those sales in warehouses are increasing evenly</t>
  </si>
  <si>
    <t>Revenues is continuing to grow, w/ fresh foods seeing a nice surge and all other revenue streams increasing nicely YoY</t>
  </si>
  <si>
    <t>EBITDA +14% YoY and +96% 5Y due the nice growth in revenue streams</t>
  </si>
  <si>
    <t>ROE +24% YoY due to NM +11% surging and EM surging +7%</t>
  </si>
  <si>
    <t>Look at most recent quarterly report, most likely the stock fell on that news since yearly performance is looking solid.</t>
  </si>
  <si>
    <t>2025</t>
  </si>
  <si>
    <t>6Y</t>
  </si>
  <si>
    <t>Yearly inventory turnover</t>
  </si>
  <si>
    <t>Rev YoY Growth</t>
  </si>
  <si>
    <t>Mean, 8yrs</t>
  </si>
  <si>
    <t>Deviation, 8 yrs</t>
  </si>
  <si>
    <t>Rev YoY %s</t>
  </si>
  <si>
    <t>Merch Costs Increases</t>
  </si>
  <si>
    <t>Merchandise Costs</t>
  </si>
  <si>
    <t>Costco is a blackswan hedge; seen in 2020 where it seems consumers still continued to shop at stores even with the lockdown in</t>
  </si>
  <si>
    <t>place. Thus, Costco is similar to Walmart (WMT) as a stock hedge for markets.</t>
  </si>
  <si>
    <t>Since 2023, Costco's Total Rev Growth is outperforming Merch Costs Increases.</t>
  </si>
  <si>
    <t>% YoY Growth, Merch</t>
  </si>
  <si>
    <t>% YoY Growth, Rev</t>
  </si>
  <si>
    <t>Difference between %'s</t>
  </si>
  <si>
    <t>Walmart</t>
  </si>
  <si>
    <t>Net sales</t>
  </si>
  <si>
    <t>Membership</t>
  </si>
  <si>
    <t>Total</t>
  </si>
  <si>
    <t>Cost of Sales</t>
  </si>
  <si>
    <t>Mean, 7yrs</t>
  </si>
  <si>
    <t>Total Rev</t>
  </si>
  <si>
    <t>Rev YoY Growth (WMT)</t>
  </si>
  <si>
    <t>Deviation, 7yrs</t>
  </si>
  <si>
    <t>% Equity of NS to CoS</t>
  </si>
  <si>
    <t>Equity or Deficit of Net Sales to Cost of Sales</t>
  </si>
  <si>
    <t>COST</t>
  </si>
  <si>
    <t>WMT</t>
  </si>
  <si>
    <t>NOPAT</t>
  </si>
  <si>
    <t>EBIT</t>
  </si>
  <si>
    <t>NOPAT margin</t>
  </si>
  <si>
    <t>ROIC</t>
  </si>
  <si>
    <t>Altman Z-Score</t>
  </si>
  <si>
    <t>Retained Earnings</t>
  </si>
  <si>
    <t>Working Capital</t>
  </si>
  <si>
    <t>working capital / total assets</t>
  </si>
  <si>
    <t>retained earnings / total assets</t>
  </si>
  <si>
    <t>ebit / total assets</t>
  </si>
  <si>
    <t>market value / total liabilities</t>
  </si>
  <si>
    <t>sales / total assets</t>
  </si>
  <si>
    <t>Equity Multiplier</t>
  </si>
  <si>
    <t>Screening Score</t>
  </si>
  <si>
    <t>Column1</t>
  </si>
  <si>
    <t>Revenue (CAGR)</t>
  </si>
  <si>
    <t>EBITDA Margin</t>
  </si>
  <si>
    <t>Debt-to-EBITDA</t>
  </si>
  <si>
    <t>EPS σ</t>
  </si>
  <si>
    <t>EV-to-EBITDA</t>
  </si>
  <si>
    <t>Industry</t>
  </si>
  <si>
    <t>Costco Notes:</t>
  </si>
  <si>
    <t>Discount Stores</t>
  </si>
  <si>
    <t>ICR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</si>
</sst>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0.0%"/>
    <numFmt numFmtId="168" formatCode="0.000%"/>
    <numFmt numFmtId="169" formatCode="_(* #,##0.0000_);_(* \(#,##0.0000\);_(* &quot;-&quot;??_);_(@_)"/>
    <numFmt numFmtId="170" formatCode="0.000"/>
  </numFmts>
  <fonts count="24"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b/>
      <sz val="10"/>
      <color theme="0"/>
      <name val="Arial"/>
      <family val="2"/>
    </font>
    <font>
      <sz val="10"/>
      <name val="Arial"/>
      <family val="2"/>
    </font>
    <font>
      <sz val="10"/>
      <color rgb="FF000000"/>
      <name val="Arial"/>
      <family val="2"/>
    </font>
    <font>
      <sz val="10"/>
      <color theme="0"/>
      <name val="Arial"/>
      <family val="2"/>
    </font>
    <font>
      <sz val="8"/>
      <name val="Aptos Narrow"/>
      <family val="2"/>
      <scheme val="minor"/>
    </font>
    <font>
      <b/>
      <i/>
      <sz val="10"/>
      <color theme="1"/>
      <name val="Arial"/>
      <family val="2"/>
    </font>
    <font>
      <sz val="12"/>
      <color theme="1"/>
      <name val="Arial"/>
      <family val="2"/>
    </font>
    <font>
      <b/>
      <sz val="16"/>
      <color theme="1"/>
      <name val="Arial"/>
      <family val="2"/>
    </font>
    <font>
      <b/>
      <sz val="12"/>
      <color theme="1"/>
      <name val="Arial"/>
      <family val="2"/>
    </font>
    <font>
      <sz val="12"/>
      <color theme="4"/>
      <name val="Arial"/>
      <family val="2"/>
    </font>
    <font>
      <sz val="12"/>
      <color theme="0"/>
      <name val="Arial"/>
      <family val="2"/>
    </font>
  </fonts>
  <fills count="7">
    <fill>
      <patternFill patternType="none"/>
    </fill>
    <fill>
      <patternFill patternType="gray125"/>
    </fill>
    <fill>
      <patternFill patternType="solid">
        <fgColor rgb="FFFFFF00"/>
        <bgColor indexed="64"/>
      </patternFill>
    </fill>
    <fill>
      <patternFill patternType="solid">
        <fgColor rgb="FFB5E6A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s>
  <borders count="8">
    <border>
      <left/>
      <right/>
      <top/>
      <bottom/>
      <diagonal/>
    </border>
    <border>
      <left/>
      <right/>
      <top style="thin">
        <color indexed="64"/>
      </top>
      <bottom style="medium">
        <color indexed="64"/>
      </bottom>
      <diagonal/>
    </border>
    <border>
      <left/>
      <right style="thin">
        <color indexed="64"/>
      </right>
      <top/>
      <bottom/>
      <diagonal/>
    </border>
    <border>
      <left/>
      <right style="thin">
        <color indexed="64"/>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style="medium">
        <color indexed="64"/>
      </top>
      <bottom/>
      <diagonal/>
    </border>
  </borders>
  <cellStyleXfs count="4">
    <xf numFmtId="0" fontId="0" fillId="0" borderId="0"/>
    <xf numFmtId="43" fontId="10" fillId="0" borderId="0" applyFont="0" applyFill="0" applyBorder="0" applyAlignment="0" applyProtection="0"/>
    <xf numFmtId="44" fontId="10" fillId="0" borderId="0" applyFont="0" applyFill="0" applyBorder="0" applyAlignment="0" applyProtection="0"/>
    <xf numFmtId="9" fontId="10" fillId="0" borderId="0" applyFont="0" applyFill="0" applyBorder="0" applyAlignment="0" applyProtection="0"/>
  </cellStyleXfs>
  <cellXfs count="100">
    <xf numFmtId="0" fontId="0" fillId="0" borderId="0" xfId="0"/>
    <xf numFmtId="0" fontId="11" fillId="0" borderId="0" xfId="0" applyFont="1"/>
    <xf numFmtId="164" fontId="11" fillId="0" borderId="0" xfId="0" applyNumberFormat="1" applyFont="1"/>
    <xf numFmtId="3" fontId="11" fillId="0" borderId="0" xfId="0" applyNumberFormat="1" applyFont="1"/>
    <xf numFmtId="43" fontId="11" fillId="0" borderId="0" xfId="1" applyFont="1"/>
    <xf numFmtId="165" fontId="11" fillId="0" borderId="0" xfId="1" applyNumberFormat="1" applyFont="1"/>
    <xf numFmtId="166" fontId="11" fillId="0" borderId="0" xfId="1" applyNumberFormat="1" applyFont="1"/>
    <xf numFmtId="0" fontId="12" fillId="0" borderId="0" xfId="0" applyFont="1"/>
    <xf numFmtId="0" fontId="11" fillId="0" borderId="2" xfId="0" applyFont="1" applyBorder="1"/>
    <xf numFmtId="0" fontId="12" fillId="0" borderId="2" xfId="0" applyFont="1" applyBorder="1"/>
    <xf numFmtId="0" fontId="12" fillId="0" borderId="3" xfId="0" applyFont="1" applyBorder="1"/>
    <xf numFmtId="0" fontId="11" fillId="0" borderId="5" xfId="0" applyFont="1" applyBorder="1"/>
    <xf numFmtId="0" fontId="12" fillId="0" borderId="4" xfId="0" applyFont="1" applyBorder="1"/>
    <xf numFmtId="166" fontId="12" fillId="0" borderId="1" xfId="1" applyNumberFormat="1" applyFont="1" applyBorder="1"/>
    <xf numFmtId="166" fontId="11" fillId="0" borderId="0" xfId="1" quotePrefix="1" applyNumberFormat="1" applyFont="1"/>
    <xf numFmtId="0" fontId="11" fillId="0" borderId="2" xfId="0" applyFont="1" applyBorder="1" applyAlignment="1">
      <alignment horizontal="left" indent="1"/>
    </xf>
    <xf numFmtId="0" fontId="11" fillId="0" borderId="2" xfId="0" applyFont="1" applyBorder="1" applyAlignment="1">
      <alignment horizontal="left"/>
    </xf>
    <xf numFmtId="166" fontId="12" fillId="0" borderId="0" xfId="1" applyNumberFormat="1" applyFont="1"/>
    <xf numFmtId="0" fontId="12" fillId="0" borderId="3" xfId="0" applyFont="1" applyBorder="1" applyAlignment="1">
      <alignment horizontal="left" indent="1"/>
    </xf>
    <xf numFmtId="0" fontId="12" fillId="0" borderId="3" xfId="0" applyFont="1" applyBorder="1" applyAlignment="1">
      <alignment horizontal="left" indent="2"/>
    </xf>
    <xf numFmtId="44" fontId="11" fillId="0" borderId="0" xfId="2" applyFont="1"/>
    <xf numFmtId="0" fontId="12" fillId="2" borderId="4" xfId="0" applyFont="1" applyFill="1" applyBorder="1" applyAlignment="1">
      <alignment horizontal="center"/>
    </xf>
    <xf numFmtId="0" fontId="12" fillId="3" borderId="4" xfId="0" applyFont="1" applyFill="1" applyBorder="1" applyAlignment="1">
      <alignment horizontal="center"/>
    </xf>
    <xf numFmtId="0" fontId="12" fillId="0" borderId="6" xfId="0" applyFont="1" applyBorder="1"/>
    <xf numFmtId="0" fontId="14" fillId="3" borderId="0" xfId="0" applyFont="1" applyFill="1"/>
    <xf numFmtId="49" fontId="11" fillId="0" borderId="0" xfId="0" applyNumberFormat="1" applyFont="1"/>
    <xf numFmtId="0" fontId="11" fillId="0" borderId="0" xfId="0" applyFont="1" applyAlignment="1">
      <alignment vertical="center"/>
    </xf>
    <xf numFmtId="0" fontId="15" fillId="0" borderId="0" xfId="0" applyFont="1" applyAlignment="1">
      <alignment horizontal="left" vertical="center" wrapText="1"/>
    </xf>
    <xf numFmtId="0" fontId="11" fillId="0" borderId="0" xfId="0" applyFont="1" applyAlignment="1">
      <alignment vertical="center" wrapText="1"/>
    </xf>
    <xf numFmtId="0" fontId="9" fillId="0" borderId="0" xfId="0" applyFont="1"/>
    <xf numFmtId="0" fontId="9" fillId="0" borderId="2" xfId="0" applyFont="1" applyBorder="1"/>
    <xf numFmtId="166" fontId="9" fillId="0" borderId="0" xfId="1" applyNumberFormat="1" applyFont="1"/>
    <xf numFmtId="167" fontId="13" fillId="4" borderId="0" xfId="3" applyNumberFormat="1" applyFont="1" applyFill="1"/>
    <xf numFmtId="166" fontId="16" fillId="0" borderId="0" xfId="1" applyNumberFormat="1" applyFont="1"/>
    <xf numFmtId="0" fontId="12" fillId="0" borderId="4" xfId="0" applyFont="1" applyBorder="1" applyAlignment="1">
      <alignment horizontal="center"/>
    </xf>
    <xf numFmtId="166" fontId="8" fillId="0" borderId="0" xfId="1" applyNumberFormat="1" applyFont="1"/>
    <xf numFmtId="10" fontId="11" fillId="0" borderId="0" xfId="3" applyNumberFormat="1" applyFont="1"/>
    <xf numFmtId="0" fontId="8" fillId="2" borderId="0" xfId="0" applyFont="1" applyFill="1"/>
    <xf numFmtId="0" fontId="12" fillId="5" borderId="4" xfId="0" applyFont="1" applyFill="1" applyBorder="1" applyAlignment="1">
      <alignment horizontal="center"/>
    </xf>
    <xf numFmtId="0" fontId="14" fillId="5" borderId="0" xfId="0" applyFont="1" applyFill="1"/>
    <xf numFmtId="0" fontId="12" fillId="6" borderId="4" xfId="0" applyFont="1" applyFill="1" applyBorder="1" applyAlignment="1">
      <alignment horizontal="center"/>
    </xf>
    <xf numFmtId="0" fontId="8" fillId="6" borderId="0" xfId="0" applyFont="1" applyFill="1"/>
    <xf numFmtId="0" fontId="8" fillId="5" borderId="0" xfId="0" applyFont="1" applyFill="1"/>
    <xf numFmtId="167" fontId="8" fillId="2" borderId="0" xfId="3" applyNumberFormat="1" applyFont="1" applyFill="1"/>
    <xf numFmtId="167" fontId="8" fillId="5" borderId="0" xfId="3" applyNumberFormat="1" applyFont="1" applyFill="1"/>
    <xf numFmtId="167" fontId="8" fillId="6" borderId="0" xfId="3" applyNumberFormat="1" applyFont="1" applyFill="1"/>
    <xf numFmtId="167" fontId="12" fillId="2" borderId="1" xfId="3" applyNumberFormat="1" applyFont="1" applyFill="1" applyBorder="1"/>
    <xf numFmtId="167" fontId="12" fillId="5" borderId="1" xfId="3" applyNumberFormat="1" applyFont="1" applyFill="1" applyBorder="1"/>
    <xf numFmtId="167" fontId="12" fillId="6" borderId="1" xfId="3" applyNumberFormat="1" applyFont="1" applyFill="1" applyBorder="1"/>
    <xf numFmtId="167" fontId="12" fillId="5" borderId="0" xfId="3" applyNumberFormat="1" applyFont="1" applyFill="1"/>
    <xf numFmtId="167" fontId="13" fillId="4" borderId="1" xfId="3" applyNumberFormat="1" applyFont="1" applyFill="1" applyBorder="1"/>
    <xf numFmtId="0" fontId="8" fillId="0" borderId="2" xfId="0" applyFont="1" applyBorder="1"/>
    <xf numFmtId="0" fontId="9" fillId="0" borderId="0" xfId="0" applyFont="1" applyAlignment="1">
      <alignment horizontal="center"/>
    </xf>
    <xf numFmtId="168" fontId="9" fillId="0" borderId="0" xfId="3" applyNumberFormat="1" applyFont="1"/>
    <xf numFmtId="168" fontId="12" fillId="0" borderId="1" xfId="3" applyNumberFormat="1" applyFont="1" applyBorder="1"/>
    <xf numFmtId="168" fontId="9" fillId="2" borderId="0" xfId="0" applyNumberFormat="1" applyFont="1" applyFill="1"/>
    <xf numFmtId="168" fontId="9" fillId="2" borderId="0" xfId="3" applyNumberFormat="1" applyFont="1" applyFill="1"/>
    <xf numFmtId="168" fontId="12" fillId="2" borderId="1" xfId="3" applyNumberFormat="1" applyFont="1" applyFill="1" applyBorder="1"/>
    <xf numFmtId="0" fontId="18" fillId="0" borderId="5" xfId="0" applyFont="1" applyBorder="1"/>
    <xf numFmtId="168" fontId="12" fillId="0" borderId="0" xfId="3" applyNumberFormat="1" applyFont="1" applyBorder="1"/>
    <xf numFmtId="168" fontId="12" fillId="0" borderId="0" xfId="3" applyNumberFormat="1" applyFont="1" applyFill="1" applyBorder="1"/>
    <xf numFmtId="0" fontId="7" fillId="0" borderId="0" xfId="0" applyFont="1"/>
    <xf numFmtId="0" fontId="7" fillId="0" borderId="2" xfId="0" applyFont="1" applyBorder="1"/>
    <xf numFmtId="0" fontId="7" fillId="0" borderId="2" xfId="0" applyFont="1" applyBorder="1" applyAlignment="1">
      <alignment horizontal="left" indent="2"/>
    </xf>
    <xf numFmtId="166" fontId="9" fillId="2" borderId="0" xfId="0" applyNumberFormat="1" applyFont="1" applyFill="1"/>
    <xf numFmtId="166" fontId="9" fillId="2" borderId="0" xfId="1" applyNumberFormat="1" applyFont="1" applyFill="1"/>
    <xf numFmtId="0" fontId="11" fillId="0" borderId="0" xfId="0" applyFont="1" applyAlignment="1">
      <alignment horizontal="center" vertical="center"/>
    </xf>
    <xf numFmtId="0" fontId="11" fillId="0" borderId="0" xfId="0" applyFont="1" applyAlignment="1">
      <alignment horizontal="center"/>
    </xf>
    <xf numFmtId="168" fontId="9" fillId="0" borderId="0" xfId="0" applyNumberFormat="1" applyFont="1"/>
    <xf numFmtId="0" fontId="12" fillId="0" borderId="5" xfId="0" applyFont="1" applyBorder="1"/>
    <xf numFmtId="168" fontId="7" fillId="0" borderId="0" xfId="3" applyNumberFormat="1" applyFont="1"/>
    <xf numFmtId="0" fontId="16" fillId="0" borderId="0" xfId="0" applyFont="1"/>
    <xf numFmtId="0" fontId="6" fillId="0" borderId="0" xfId="0" applyFont="1"/>
    <xf numFmtId="0" fontId="7" fillId="0" borderId="7" xfId="0" applyFont="1" applyBorder="1"/>
    <xf numFmtId="0" fontId="6" fillId="0" borderId="7" xfId="0" applyFont="1" applyBorder="1"/>
    <xf numFmtId="0" fontId="6" fillId="0" borderId="2" xfId="0" applyFont="1" applyBorder="1"/>
    <xf numFmtId="0" fontId="18" fillId="0" borderId="5" xfId="0" applyFont="1" applyBorder="1" applyAlignment="1">
      <alignment wrapText="1"/>
    </xf>
    <xf numFmtId="0" fontId="6" fillId="0" borderId="2" xfId="0" applyFont="1" applyBorder="1" applyAlignment="1">
      <alignment horizontal="right" indent="2"/>
    </xf>
    <xf numFmtId="0" fontId="5" fillId="0" borderId="2" xfId="0" applyFont="1" applyBorder="1"/>
    <xf numFmtId="166" fontId="5" fillId="0" borderId="0" xfId="1" applyNumberFormat="1" applyFont="1"/>
    <xf numFmtId="168" fontId="11" fillId="0" borderId="0" xfId="3" applyNumberFormat="1" applyFont="1"/>
    <xf numFmtId="168" fontId="5" fillId="0" borderId="0" xfId="3" applyNumberFormat="1" applyFont="1"/>
    <xf numFmtId="0" fontId="4" fillId="0" borderId="2" xfId="0" applyFont="1" applyBorder="1"/>
    <xf numFmtId="166" fontId="4" fillId="0" borderId="0" xfId="1" applyNumberFormat="1" applyFont="1"/>
    <xf numFmtId="169" fontId="4" fillId="0" borderId="0" xfId="1" applyNumberFormat="1" applyFont="1"/>
    <xf numFmtId="43" fontId="5" fillId="0" borderId="0" xfId="1" applyFont="1"/>
    <xf numFmtId="0" fontId="3" fillId="0" borderId="2" xfId="0" applyFont="1" applyBorder="1"/>
    <xf numFmtId="0" fontId="19" fillId="0" borderId="0" xfId="0" applyFont="1"/>
    <xf numFmtId="0" fontId="20" fillId="0" borderId="0" xfId="0" applyFont="1"/>
    <xf numFmtId="0" fontId="21" fillId="0" borderId="0" xfId="0" applyFont="1"/>
    <xf numFmtId="0" fontId="22" fillId="0" borderId="0" xfId="0" applyFont="1"/>
    <xf numFmtId="0" fontId="23" fillId="0" borderId="0" xfId="0" applyFont="1" applyAlignment="1">
      <alignment horizontal="right"/>
    </xf>
    <xf numFmtId="10" fontId="19" fillId="0" borderId="0" xfId="3" applyNumberFormat="1" applyFont="1"/>
    <xf numFmtId="170" fontId="19" fillId="0" borderId="0" xfId="0" applyNumberFormat="1" applyFont="1"/>
    <xf numFmtId="2" fontId="19" fillId="0" borderId="0" xfId="0" applyNumberFormat="1" applyFont="1"/>
    <xf numFmtId="0" fontId="19" fillId="0" borderId="0" xfId="0" applyFont="1" applyAlignment="1">
      <alignment horizontal="right"/>
    </xf>
    <xf numFmtId="165" fontId="3" fillId="0" borderId="0" xfId="1" applyNumberFormat="1" applyFont="1"/>
    <xf numFmtId="167" fontId="2" fillId="2" borderId="0" xfId="3" applyNumberFormat="1" applyFont="1" applyFill="1"/>
    <xf numFmtId="0" fontId="1" fillId="0" borderId="2" xfId="0" applyFont="1" applyBorder="1"/>
    <xf numFmtId="165" fontId="1" fillId="0" borderId="0" xfId="1" applyNumberFormat="1" applyFont="1"/>
  </cellXfs>
  <cellStyles count="4">
    <cellStyle name="Comma" xfId="1" builtinId="3"/>
    <cellStyle name="Currency" xfId="2" builtinId="4"/>
    <cellStyle name="Normal" xfId="0" builtinId="0"/>
    <cellStyle name="Percent" xfId="3" builtinId="5"/>
  </cellStyles>
  <dxfs count="26">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solidFill>
                <a:latin typeface="Arial" panose="020B0604020202020204" pitchFamily="34" charset="0"/>
                <a:ea typeface="+mn-ea"/>
                <a:cs typeface="Arial" panose="020B0604020202020204" pitchFamily="34" charset="0"/>
              </a:defRPr>
            </a:pPr>
            <a:r>
              <a:rPr lang="en-US" sz="1400" b="0">
                <a:solidFill>
                  <a:schemeClr val="tx1"/>
                </a:solidFill>
              </a:rPr>
              <a:t>Rev</a:t>
            </a:r>
            <a:r>
              <a:rPr lang="en-US" sz="1400" b="0" baseline="0">
                <a:solidFill>
                  <a:schemeClr val="tx1"/>
                </a:solidFill>
              </a:rPr>
              <a:t> YoY Growth - Segments (2019-2025)</a:t>
            </a:r>
            <a:endParaRPr lang="en-US" sz="1400" b="0">
              <a:solidFill>
                <a:schemeClr val="tx1"/>
              </a:solidFill>
            </a:endParaRP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1"/>
          <c:order val="0"/>
          <c:tx>
            <c:v>F&amp;S</c:v>
          </c:tx>
          <c:spPr>
            <a:ln w="19050" cap="rnd">
              <a:solidFill>
                <a:schemeClr val="accent2"/>
              </a:solidFill>
              <a:round/>
            </a:ln>
            <a:effectLst/>
          </c:spPr>
          <c:marker>
            <c:symbol val="circle"/>
            <c:size val="5"/>
            <c:spPr>
              <a:noFill/>
              <a:ln w="9525">
                <a:noFill/>
              </a:ln>
              <a:effectLst/>
            </c:spPr>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Analysis!$C$15:$I$15</c:f>
              <c:numCache>
                <c:formatCode>0.000%</c:formatCode>
                <c:ptCount val="7"/>
                <c:pt idx="0">
                  <c:v>2.1743969565411692E-2</c:v>
                </c:pt>
                <c:pt idx="1">
                  <c:v>6.0926879608768351E-2</c:v>
                </c:pt>
                <c:pt idx="2">
                  <c:v>5.1352780069711855E-2</c:v>
                </c:pt>
                <c:pt idx="3">
                  <c:v>4.4570618413631684E-2</c:v>
                </c:pt>
                <c:pt idx="4">
                  <c:v>5.0441322742867917E-2</c:v>
                </c:pt>
                <c:pt idx="5">
                  <c:v>2.3245504163423879E-2</c:v>
                </c:pt>
                <c:pt idx="6">
                  <c:v>3.3360180100622312E-2</c:v>
                </c:pt>
              </c:numCache>
            </c:numRef>
          </c:yVal>
          <c:smooth val="0"/>
          <c:extLst>
            <c:ext xmlns:c16="http://schemas.microsoft.com/office/drawing/2014/chart" uri="{C3380CC4-5D6E-409C-BE32-E72D297353CC}">
              <c16:uniqueId val="{00000001-3AE6-43E8-AA8F-E670E27F8E02}"/>
            </c:ext>
          </c:extLst>
        </c:ser>
        <c:ser>
          <c:idx val="2"/>
          <c:order val="1"/>
          <c:tx>
            <c:v>NF</c:v>
          </c:tx>
          <c:spPr>
            <a:ln w="19050" cap="rnd">
              <a:solidFill>
                <a:schemeClr val="accent3"/>
              </a:solidFill>
              <a:round/>
            </a:ln>
            <a:effectLst/>
          </c:spPr>
          <c:marker>
            <c:symbol val="circle"/>
            <c:size val="5"/>
            <c:spPr>
              <a:noFill/>
              <a:ln w="9525">
                <a:noFill/>
              </a:ln>
              <a:effectLst/>
            </c:spPr>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Analysis!$C$16:$I$16</c:f>
              <c:numCache>
                <c:formatCode>0.000%</c:formatCode>
                <c:ptCount val="7"/>
                <c:pt idx="0">
                  <c:v>4.1868834072681958E-2</c:v>
                </c:pt>
                <c:pt idx="1">
                  <c:v>3.6870501119651913E-2</c:v>
                </c:pt>
                <c:pt idx="2">
                  <c:v>9.6578400925807273E-2</c:v>
                </c:pt>
                <c:pt idx="3">
                  <c:v>3.8116942106699761E-2</c:v>
                </c:pt>
                <c:pt idx="4">
                  <c:v>-1.673583889566131E-3</c:v>
                </c:pt>
                <c:pt idx="5">
                  <c:v>2.1629090987929492E-2</c:v>
                </c:pt>
                <c:pt idx="6">
                  <c:v>4.6422275596083841E-2</c:v>
                </c:pt>
              </c:numCache>
            </c:numRef>
          </c:yVal>
          <c:smooth val="0"/>
          <c:extLst>
            <c:ext xmlns:c16="http://schemas.microsoft.com/office/drawing/2014/chart" uri="{C3380CC4-5D6E-409C-BE32-E72D297353CC}">
              <c16:uniqueId val="{00000002-3AE6-43E8-AA8F-E670E27F8E02}"/>
            </c:ext>
          </c:extLst>
        </c:ser>
        <c:ser>
          <c:idx val="4"/>
          <c:order val="2"/>
          <c:tx>
            <c:v>WA&amp;O</c:v>
          </c:tx>
          <c:spPr>
            <a:ln w="19050" cap="rnd">
              <a:solidFill>
                <a:schemeClr val="accent5"/>
              </a:solidFill>
              <a:round/>
            </a:ln>
            <a:effectLst/>
          </c:spPr>
          <c:marker>
            <c:symbol val="circle"/>
            <c:size val="5"/>
            <c:spPr>
              <a:noFill/>
              <a:ln w="9525">
                <a:noFill/>
              </a:ln>
              <a:effectLst/>
            </c:spPr>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Analysis!$C$18:$I$18</c:f>
              <c:numCache>
                <c:formatCode>0.000%</c:formatCode>
                <c:ptCount val="7"/>
                <c:pt idx="0">
                  <c:v>5.9410168221605053E-2</c:v>
                </c:pt>
                <c:pt idx="1">
                  <c:v>-3.1860915766149307E-2</c:v>
                </c:pt>
                <c:pt idx="2">
                  <c:v>7.5979741181113211E-2</c:v>
                </c:pt>
                <c:pt idx="3">
                  <c:v>0.16716578705449459</c:v>
                </c:pt>
                <c:pt idx="4">
                  <c:v>2.0256478816586643E-2</c:v>
                </c:pt>
                <c:pt idx="5">
                  <c:v>1.1234125781639511E-2</c:v>
                </c:pt>
                <c:pt idx="6">
                  <c:v>1.0314758720795496E-2</c:v>
                </c:pt>
              </c:numCache>
            </c:numRef>
          </c:yVal>
          <c:smooth val="0"/>
          <c:extLst>
            <c:ext xmlns:c16="http://schemas.microsoft.com/office/drawing/2014/chart" uri="{C3380CC4-5D6E-409C-BE32-E72D297353CC}">
              <c16:uniqueId val="{00000004-3AE6-43E8-AA8F-E670E27F8E02}"/>
            </c:ext>
          </c:extLst>
        </c:ser>
        <c:ser>
          <c:idx val="3"/>
          <c:order val="3"/>
          <c:tx>
            <c:v>FF</c:v>
          </c:tx>
          <c:spPr>
            <a:ln w="19050" cap="rnd">
              <a:solidFill>
                <a:schemeClr val="accent4"/>
              </a:solidFill>
              <a:round/>
            </a:ln>
            <a:effectLst/>
          </c:spPr>
          <c:marker>
            <c:symbol val="circle"/>
            <c:size val="5"/>
            <c:spPr>
              <a:noFill/>
              <a:ln w="9525">
                <a:noFill/>
              </a:ln>
              <a:effectLst/>
            </c:spPr>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Analysis!$C$17:$I$17</c:f>
              <c:numCache>
                <c:formatCode>0.000%</c:formatCode>
                <c:ptCount val="7"/>
                <c:pt idx="0">
                  <c:v>1.2528556009361242E-2</c:v>
                </c:pt>
                <c:pt idx="1">
                  <c:v>6.5663497249233982E-2</c:v>
                </c:pt>
                <c:pt idx="2">
                  <c:v>6.8734528328949177E-2</c:v>
                </c:pt>
                <c:pt idx="3">
                  <c:v>3.5921938927220669E-2</c:v>
                </c:pt>
                <c:pt idx="4">
                  <c:v>3.4618392876923559E-2</c:v>
                </c:pt>
                <c:pt idx="5">
                  <c:v>2.9442288276428627E-2</c:v>
                </c:pt>
                <c:pt idx="6">
                  <c:v>4.5366424126732051E-2</c:v>
                </c:pt>
              </c:numCache>
            </c:numRef>
          </c:yVal>
          <c:smooth val="0"/>
          <c:extLst>
            <c:ext xmlns:c16="http://schemas.microsoft.com/office/drawing/2014/chart" uri="{C3380CC4-5D6E-409C-BE32-E72D297353CC}">
              <c16:uniqueId val="{00000003-3AE6-43E8-AA8F-E670E27F8E02}"/>
            </c:ext>
          </c:extLst>
        </c:ser>
        <c:ser>
          <c:idx val="0"/>
          <c:order val="4"/>
          <c:tx>
            <c:v>MF</c:v>
          </c:tx>
          <c:spPr>
            <a:ln w="19050" cap="rnd">
              <a:solidFill>
                <a:schemeClr val="accent1"/>
              </a:solidFill>
              <a:round/>
            </a:ln>
            <a:effectLst/>
          </c:spPr>
          <c:marker>
            <c:symbol val="circle"/>
            <c:size val="5"/>
            <c:spPr>
              <a:noFill/>
              <a:ln w="9525">
                <a:noFill/>
              </a:ln>
              <a:effectLst/>
            </c:spPr>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Analysis!$C$19:$I$19</c:f>
              <c:numCache>
                <c:formatCode>0.000%</c:formatCode>
                <c:ptCount val="7"/>
                <c:pt idx="0">
                  <c:v>2.8097829254284397E-2</c:v>
                </c:pt>
                <c:pt idx="1">
                  <c:v>2.3821916799872164E-2</c:v>
                </c:pt>
                <c:pt idx="2">
                  <c:v>3.9369874249098942E-2</c:v>
                </c:pt>
                <c:pt idx="3">
                  <c:v>3.7228108518545827E-2</c:v>
                </c:pt>
                <c:pt idx="4">
                  <c:v>3.5141568478113325E-2</c:v>
                </c:pt>
                <c:pt idx="5">
                  <c:v>2.2901783421442432E-2</c:v>
                </c:pt>
                <c:pt idx="6">
                  <c:v>4.2389204747443267E-2</c:v>
                </c:pt>
              </c:numCache>
            </c:numRef>
          </c:yVal>
          <c:smooth val="0"/>
          <c:extLst>
            <c:ext xmlns:c16="http://schemas.microsoft.com/office/drawing/2014/chart" uri="{C3380CC4-5D6E-409C-BE32-E72D297353CC}">
              <c16:uniqueId val="{00000000-3AE6-43E8-AA8F-E670E27F8E02}"/>
            </c:ext>
          </c:extLst>
        </c:ser>
        <c:dLbls>
          <c:showLegendKey val="0"/>
          <c:showVal val="0"/>
          <c:showCatName val="0"/>
          <c:showSerName val="0"/>
          <c:showPercent val="0"/>
          <c:showBubbleSize val="0"/>
        </c:dLbls>
        <c:axId val="306355072"/>
        <c:axId val="306357472"/>
      </c:scatterChart>
      <c:valAx>
        <c:axId val="306355072"/>
        <c:scaling>
          <c:orientation val="minMax"/>
          <c:max val="2025"/>
          <c:min val="201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06357472"/>
        <c:crosses val="autoZero"/>
        <c:crossBetween val="midCat"/>
      </c:valAx>
      <c:valAx>
        <c:axId val="30635747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06355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MF</c:v>
          </c:tx>
          <c:spPr>
            <a:ln w="19050" cap="rnd">
              <a:solidFill>
                <a:schemeClr val="accent1"/>
              </a:solidFill>
              <a:round/>
            </a:ln>
            <a:effectLst/>
          </c:spPr>
          <c:marker>
            <c:symbol val="none"/>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Analysis!$C$19:$I$19</c:f>
              <c:numCache>
                <c:formatCode>0.000%</c:formatCode>
                <c:ptCount val="7"/>
                <c:pt idx="0">
                  <c:v>2.8097829254284397E-2</c:v>
                </c:pt>
                <c:pt idx="1">
                  <c:v>2.3821916799872164E-2</c:v>
                </c:pt>
                <c:pt idx="2">
                  <c:v>3.9369874249098942E-2</c:v>
                </c:pt>
                <c:pt idx="3">
                  <c:v>3.7228108518545827E-2</c:v>
                </c:pt>
                <c:pt idx="4">
                  <c:v>3.5141568478113325E-2</c:v>
                </c:pt>
                <c:pt idx="5">
                  <c:v>2.2901783421442432E-2</c:v>
                </c:pt>
                <c:pt idx="6">
                  <c:v>4.2389204747443267E-2</c:v>
                </c:pt>
              </c:numCache>
            </c:numRef>
          </c:yVal>
          <c:smooth val="0"/>
          <c:extLst>
            <c:ext xmlns:c16="http://schemas.microsoft.com/office/drawing/2014/chart" uri="{C3380CC4-5D6E-409C-BE32-E72D297353CC}">
              <c16:uniqueId val="{00000000-645D-42E1-BB6B-33F43CBFF8A5}"/>
            </c:ext>
          </c:extLst>
        </c:ser>
        <c:ser>
          <c:idx val="1"/>
          <c:order val="1"/>
          <c:tx>
            <c:v>F&amp;S</c:v>
          </c:tx>
          <c:spPr>
            <a:ln w="19050" cap="rnd">
              <a:solidFill>
                <a:schemeClr val="accent2"/>
              </a:solidFill>
              <a:round/>
            </a:ln>
            <a:effectLst/>
          </c:spPr>
          <c:marker>
            <c:symbol val="none"/>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Analysis!$C$15:$I$15</c:f>
              <c:numCache>
                <c:formatCode>0.000%</c:formatCode>
                <c:ptCount val="7"/>
                <c:pt idx="0">
                  <c:v>2.1743969565411692E-2</c:v>
                </c:pt>
                <c:pt idx="1">
                  <c:v>6.0926879608768351E-2</c:v>
                </c:pt>
                <c:pt idx="2">
                  <c:v>5.1352780069711855E-2</c:v>
                </c:pt>
                <c:pt idx="3">
                  <c:v>4.4570618413631684E-2</c:v>
                </c:pt>
                <c:pt idx="4">
                  <c:v>5.0441322742867917E-2</c:v>
                </c:pt>
                <c:pt idx="5">
                  <c:v>2.3245504163423879E-2</c:v>
                </c:pt>
                <c:pt idx="6">
                  <c:v>3.3360180100622312E-2</c:v>
                </c:pt>
              </c:numCache>
            </c:numRef>
          </c:yVal>
          <c:smooth val="0"/>
          <c:extLst>
            <c:ext xmlns:c16="http://schemas.microsoft.com/office/drawing/2014/chart" uri="{C3380CC4-5D6E-409C-BE32-E72D297353CC}">
              <c16:uniqueId val="{00000001-645D-42E1-BB6B-33F43CBFF8A5}"/>
            </c:ext>
          </c:extLst>
        </c:ser>
        <c:ser>
          <c:idx val="2"/>
          <c:order val="2"/>
          <c:tx>
            <c:v>NF</c:v>
          </c:tx>
          <c:spPr>
            <a:ln w="19050" cap="rnd">
              <a:solidFill>
                <a:schemeClr val="accent3"/>
              </a:solidFill>
              <a:round/>
            </a:ln>
            <a:effectLst/>
          </c:spPr>
          <c:marker>
            <c:symbol val="none"/>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Analysis!$C$16:$I$16</c:f>
              <c:numCache>
                <c:formatCode>0.000%</c:formatCode>
                <c:ptCount val="7"/>
                <c:pt idx="0">
                  <c:v>4.1868834072681958E-2</c:v>
                </c:pt>
                <c:pt idx="1">
                  <c:v>3.6870501119651913E-2</c:v>
                </c:pt>
                <c:pt idx="2">
                  <c:v>9.6578400925807273E-2</c:v>
                </c:pt>
                <c:pt idx="3">
                  <c:v>3.8116942106699761E-2</c:v>
                </c:pt>
                <c:pt idx="4">
                  <c:v>-1.673583889566131E-3</c:v>
                </c:pt>
                <c:pt idx="5">
                  <c:v>2.1629090987929492E-2</c:v>
                </c:pt>
                <c:pt idx="6">
                  <c:v>4.6422275596083841E-2</c:v>
                </c:pt>
              </c:numCache>
            </c:numRef>
          </c:yVal>
          <c:smooth val="0"/>
          <c:extLst>
            <c:ext xmlns:c16="http://schemas.microsoft.com/office/drawing/2014/chart" uri="{C3380CC4-5D6E-409C-BE32-E72D297353CC}">
              <c16:uniqueId val="{00000002-645D-42E1-BB6B-33F43CBFF8A5}"/>
            </c:ext>
          </c:extLst>
        </c:ser>
        <c:ser>
          <c:idx val="3"/>
          <c:order val="3"/>
          <c:tx>
            <c:v>FF</c:v>
          </c:tx>
          <c:spPr>
            <a:ln w="19050" cap="rnd">
              <a:solidFill>
                <a:schemeClr val="accent4"/>
              </a:solidFill>
              <a:round/>
            </a:ln>
            <a:effectLst/>
          </c:spPr>
          <c:marker>
            <c:symbol val="none"/>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Analysis!$C$17:$I$17</c:f>
              <c:numCache>
                <c:formatCode>0.000%</c:formatCode>
                <c:ptCount val="7"/>
                <c:pt idx="0">
                  <c:v>1.2528556009361242E-2</c:v>
                </c:pt>
                <c:pt idx="1">
                  <c:v>6.5663497249233982E-2</c:v>
                </c:pt>
                <c:pt idx="2">
                  <c:v>6.8734528328949177E-2</c:v>
                </c:pt>
                <c:pt idx="3">
                  <c:v>3.5921938927220669E-2</c:v>
                </c:pt>
                <c:pt idx="4">
                  <c:v>3.4618392876923559E-2</c:v>
                </c:pt>
                <c:pt idx="5">
                  <c:v>2.9442288276428627E-2</c:v>
                </c:pt>
                <c:pt idx="6">
                  <c:v>4.5366424126732051E-2</c:v>
                </c:pt>
              </c:numCache>
            </c:numRef>
          </c:yVal>
          <c:smooth val="0"/>
          <c:extLst>
            <c:ext xmlns:c16="http://schemas.microsoft.com/office/drawing/2014/chart" uri="{C3380CC4-5D6E-409C-BE32-E72D297353CC}">
              <c16:uniqueId val="{00000003-645D-42E1-BB6B-33F43CBFF8A5}"/>
            </c:ext>
          </c:extLst>
        </c:ser>
        <c:ser>
          <c:idx val="4"/>
          <c:order val="4"/>
          <c:tx>
            <c:v>WA&amp;O</c:v>
          </c:tx>
          <c:spPr>
            <a:ln w="19050" cap="rnd">
              <a:solidFill>
                <a:schemeClr val="accent5"/>
              </a:solidFill>
              <a:round/>
            </a:ln>
            <a:effectLst/>
          </c:spPr>
          <c:marker>
            <c:symbol val="none"/>
          </c:marker>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Analysis!$C$18:$I$18</c:f>
              <c:numCache>
                <c:formatCode>0.000%</c:formatCode>
                <c:ptCount val="7"/>
                <c:pt idx="0">
                  <c:v>5.9410168221605053E-2</c:v>
                </c:pt>
                <c:pt idx="1">
                  <c:v>-3.1860915766149307E-2</c:v>
                </c:pt>
                <c:pt idx="2">
                  <c:v>7.5979741181113211E-2</c:v>
                </c:pt>
                <c:pt idx="3">
                  <c:v>0.16716578705449459</c:v>
                </c:pt>
                <c:pt idx="4">
                  <c:v>2.0256478816586643E-2</c:v>
                </c:pt>
                <c:pt idx="5">
                  <c:v>1.1234125781639511E-2</c:v>
                </c:pt>
                <c:pt idx="6">
                  <c:v>1.0314758720795496E-2</c:v>
                </c:pt>
              </c:numCache>
            </c:numRef>
          </c:yVal>
          <c:smooth val="0"/>
          <c:extLst>
            <c:ext xmlns:c16="http://schemas.microsoft.com/office/drawing/2014/chart" uri="{C3380CC4-5D6E-409C-BE32-E72D297353CC}">
              <c16:uniqueId val="{00000004-645D-42E1-BB6B-33F43CBFF8A5}"/>
            </c:ext>
          </c:extLst>
        </c:ser>
        <c:dLbls>
          <c:showLegendKey val="0"/>
          <c:showVal val="0"/>
          <c:showCatName val="0"/>
          <c:showSerName val="0"/>
          <c:showPercent val="0"/>
          <c:showBubbleSize val="0"/>
        </c:dLbls>
        <c:axId val="306355072"/>
        <c:axId val="306357472"/>
      </c:scatterChart>
      <c:valAx>
        <c:axId val="306355072"/>
        <c:scaling>
          <c:orientation val="minMax"/>
          <c:max val="2025"/>
          <c:min val="2023"/>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06357472"/>
        <c:crosses val="autoZero"/>
        <c:crossBetween val="midCat"/>
        <c:majorUnit val="1"/>
      </c:valAx>
      <c:valAx>
        <c:axId val="306357472"/>
        <c:scaling>
          <c:orientation val="minMax"/>
          <c:max val="0.15000000000000002"/>
          <c:min val="-1.0000000000000002E-2"/>
        </c:scaling>
        <c:delete val="0"/>
        <c:axPos val="l"/>
        <c:majorGridlines>
          <c:spPr>
            <a:ln w="9525" cap="flat" cmpd="sng" algn="ctr">
              <a:solidFill>
                <a:schemeClr val="tx1">
                  <a:lumMod val="15000"/>
                  <a:lumOff val="85000"/>
                </a:schemeClr>
              </a:solidFill>
              <a:round/>
            </a:ln>
            <a:effectLst/>
          </c:spPr>
        </c:majorGridlines>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06355072"/>
        <c:crosses val="autoZero"/>
        <c:crossBetween val="midCat"/>
        <c:majorUnit val="2.0000000000000004E-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chemeClr val="tx1"/>
                </a:solidFill>
                <a:latin typeface="Arial" panose="020B0604020202020204" pitchFamily="34" charset="0"/>
                <a:cs typeface="Arial" panose="020B0604020202020204" pitchFamily="34" charset="0"/>
              </a:rPr>
              <a:t>Total</a:t>
            </a:r>
            <a:r>
              <a:rPr lang="en-US" sz="1400" baseline="0">
                <a:solidFill>
                  <a:schemeClr val="tx1"/>
                </a:solidFill>
                <a:latin typeface="Arial" panose="020B0604020202020204" pitchFamily="34" charset="0"/>
                <a:cs typeface="Arial" panose="020B0604020202020204" pitchFamily="34" charset="0"/>
              </a:rPr>
              <a:t> Rev YoY Growth (2019-2025)</a:t>
            </a:r>
            <a:endParaRPr lang="en-US" sz="1400">
              <a:solidFill>
                <a:schemeClr val="tx1"/>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Rev YoY Growth</c:v>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1"/>
              <c:layout>
                <c:manualLayout>
                  <c:x val="-7.7285550276679549E-2"/>
                  <c:y val="-2.71602852218581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CE2-43F0-8E8A-D9D6755E11FD}"/>
                </c:ext>
              </c:extLst>
            </c:dLbl>
            <c:dLbl>
              <c:idx val="4"/>
              <c:layout>
                <c:manualLayout>
                  <c:x val="-4.1491227098722364E-3"/>
                  <c:y val="-3.57439762089825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CE2-43F0-8E8A-D9D6755E11FD}"/>
                </c:ext>
              </c:extLst>
            </c:dLbl>
            <c:dLbl>
              <c:idx val="5"/>
              <c:layout>
                <c:manualLayout>
                  <c:x val="-5.8532620131344339E-2"/>
                  <c:y val="-5.29113581832314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CE2-43F0-8E8A-D9D6755E11F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Analysis!$C$14:$I$14</c:f>
              <c:numCache>
                <c:formatCode>General</c:formatCode>
                <c:ptCount val="7"/>
                <c:pt idx="0">
                  <c:v>2019</c:v>
                </c:pt>
                <c:pt idx="1">
                  <c:v>2020</c:v>
                </c:pt>
                <c:pt idx="2">
                  <c:v>2021</c:v>
                </c:pt>
                <c:pt idx="3">
                  <c:v>2022</c:v>
                </c:pt>
                <c:pt idx="4">
                  <c:v>2023</c:v>
                </c:pt>
                <c:pt idx="5">
                  <c:v>2024</c:v>
                </c:pt>
                <c:pt idx="6">
                  <c:v>2025</c:v>
                </c:pt>
              </c:numCache>
            </c:numRef>
          </c:xVal>
          <c:yVal>
            <c:numRef>
              <c:f>Analysis!$C$20:$I$20</c:f>
              <c:numCache>
                <c:formatCode>0.000%</c:formatCode>
                <c:ptCount val="7"/>
                <c:pt idx="0">
                  <c:v>3.2857931399946569E-2</c:v>
                </c:pt>
                <c:pt idx="1">
                  <c:v>3.8246921474229673E-2</c:v>
                </c:pt>
                <c:pt idx="2">
                  <c:v>7.0004231140024048E-2</c:v>
                </c:pt>
                <c:pt idx="3">
                  <c:v>6.3839119568663408E-2</c:v>
                </c:pt>
                <c:pt idx="4">
                  <c:v>2.8397648470666923E-2</c:v>
                </c:pt>
                <c:pt idx="5">
                  <c:v>2.1272085635670443E-2</c:v>
                </c:pt>
                <c:pt idx="6">
                  <c:v>8.1673236314761463E-2</c:v>
                </c:pt>
              </c:numCache>
            </c:numRef>
          </c:yVal>
          <c:smooth val="0"/>
          <c:extLst>
            <c:ext xmlns:c16="http://schemas.microsoft.com/office/drawing/2014/chart" uri="{C3380CC4-5D6E-409C-BE32-E72D297353CC}">
              <c16:uniqueId val="{00000000-1CE2-43F0-8E8A-D9D6755E11FD}"/>
            </c:ext>
          </c:extLst>
        </c:ser>
        <c:ser>
          <c:idx val="1"/>
          <c:order val="1"/>
          <c:tx>
            <c:v>Mean</c:v>
          </c:tx>
          <c:spPr>
            <a:ln w="19050" cap="rnd">
              <a:solidFill>
                <a:schemeClr val="accent2"/>
              </a:solidFill>
              <a:round/>
            </a:ln>
            <a:effectLst/>
          </c:spPr>
          <c:marker>
            <c:symbol val="circle"/>
            <c:size val="5"/>
            <c:spPr>
              <a:noFill/>
              <a:ln w="9525">
                <a:noFill/>
              </a:ln>
              <a:effectLst/>
            </c:spPr>
          </c:marker>
          <c:errBars>
            <c:errDir val="x"/>
            <c:errBarType val="both"/>
            <c:errValType val="percentage"/>
            <c:noEndCap val="1"/>
            <c:val val="100"/>
            <c:spPr>
              <a:noFill/>
              <a:ln w="9525" cap="flat" cmpd="sng" algn="ctr">
                <a:solidFill>
                  <a:schemeClr val="tx1">
                    <a:lumMod val="65000"/>
                    <a:lumOff val="35000"/>
                  </a:schemeClr>
                </a:solidFill>
                <a:round/>
              </a:ln>
              <a:effectLst/>
            </c:spPr>
          </c:errBars>
          <c:errBars>
            <c:errDir val="y"/>
            <c:errBarType val="both"/>
            <c:errValType val="percentage"/>
            <c:noEndCap val="1"/>
            <c:val val="0"/>
            <c:spPr>
              <a:noFill/>
              <a:ln w="9525" cap="flat" cmpd="sng" algn="ctr">
                <a:solidFill>
                  <a:schemeClr val="tx1">
                    <a:lumMod val="65000"/>
                    <a:lumOff val="35000"/>
                  </a:schemeClr>
                </a:solidFill>
                <a:round/>
              </a:ln>
              <a:effectLst/>
            </c:spPr>
          </c:errBars>
          <c:xVal>
            <c:numRef>
              <c:f>Analysis!$F$14</c:f>
              <c:numCache>
                <c:formatCode>General</c:formatCode>
                <c:ptCount val="1"/>
                <c:pt idx="0">
                  <c:v>2022</c:v>
                </c:pt>
              </c:numCache>
            </c:numRef>
          </c:xVal>
          <c:yVal>
            <c:numRef>
              <c:f>Analysis!$J$20</c:f>
              <c:numCache>
                <c:formatCode>0.000%</c:formatCode>
                <c:ptCount val="1"/>
                <c:pt idx="0">
                  <c:v>4.8041596286280359E-2</c:v>
                </c:pt>
              </c:numCache>
            </c:numRef>
          </c:yVal>
          <c:smooth val="0"/>
          <c:extLst>
            <c:ext xmlns:c16="http://schemas.microsoft.com/office/drawing/2014/chart" uri="{C3380CC4-5D6E-409C-BE32-E72D297353CC}">
              <c16:uniqueId val="{00000001-1CE2-43F0-8E8A-D9D6755E11FD}"/>
            </c:ext>
          </c:extLst>
        </c:ser>
        <c:dLbls>
          <c:showLegendKey val="0"/>
          <c:showVal val="0"/>
          <c:showCatName val="0"/>
          <c:showSerName val="0"/>
          <c:showPercent val="0"/>
          <c:showBubbleSize val="0"/>
        </c:dLbls>
        <c:axId val="1481475664"/>
        <c:axId val="1481472784"/>
      </c:scatterChart>
      <c:valAx>
        <c:axId val="1481475664"/>
        <c:scaling>
          <c:orientation val="minMax"/>
          <c:max val="2025"/>
          <c:min val="201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481472784"/>
        <c:crosses val="autoZero"/>
        <c:crossBetween val="midCat"/>
      </c:valAx>
      <c:valAx>
        <c:axId val="1481472784"/>
        <c:scaling>
          <c:orientation val="minMax"/>
          <c:max val="0.1"/>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4814756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300" b="1"/>
              <a:t>Equity/Deficit of</a:t>
            </a:r>
            <a:r>
              <a:rPr lang="en-US" sz="1300" b="1" baseline="0"/>
              <a:t> </a:t>
            </a:r>
            <a:r>
              <a:rPr lang="en-US" sz="1300" b="1"/>
              <a:t>NS to CoS (2019-2024)</a:t>
            </a: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col"/>
        <c:grouping val="clustered"/>
        <c:varyColors val="0"/>
        <c:ser>
          <c:idx val="0"/>
          <c:order val="0"/>
          <c:tx>
            <c:v>COST</c:v>
          </c:tx>
          <c:spPr>
            <a:solidFill>
              <a:srgbClr val="FF0000"/>
            </a:solidFill>
            <a:ln>
              <a:noFill/>
            </a:ln>
            <a:effectLst/>
          </c:spPr>
          <c:invertIfNegative val="0"/>
          <c:dLbls>
            <c:dLbl>
              <c:idx val="3"/>
              <c:layout>
                <c:manualLayout>
                  <c:x val="-5.90623846437799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D19-438E-BB47-57349594E429}"/>
                </c:ext>
              </c:extLst>
            </c:dLbl>
            <c:dLbl>
              <c:idx val="4"/>
              <c:layout>
                <c:manualLayout>
                  <c:x val="-1.181247692875599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D19-438E-BB47-57349594E4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Analysis!$C$57:$H$57</c:f>
              <c:numCache>
                <c:formatCode>General</c:formatCode>
                <c:ptCount val="6"/>
                <c:pt idx="0">
                  <c:v>2019</c:v>
                </c:pt>
                <c:pt idx="1">
                  <c:v>2020</c:v>
                </c:pt>
                <c:pt idx="2">
                  <c:v>2021</c:v>
                </c:pt>
                <c:pt idx="3">
                  <c:v>2022</c:v>
                </c:pt>
                <c:pt idx="4">
                  <c:v>2023</c:v>
                </c:pt>
                <c:pt idx="5">
                  <c:v>2024</c:v>
                </c:pt>
              </c:numCache>
            </c:numRef>
          </c:cat>
          <c:val>
            <c:numRef>
              <c:f>Analysis!$C$58:$H$58</c:f>
              <c:numCache>
                <c:formatCode>0.000%</c:formatCode>
                <c:ptCount val="6"/>
                <c:pt idx="0">
                  <c:v>-7.2392741529606064E-5</c:v>
                </c:pt>
                <c:pt idx="1">
                  <c:v>8.5920702043507102E-4</c:v>
                </c:pt>
                <c:pt idx="2">
                  <c:v>-3.6209077129821521E-4</c:v>
                </c:pt>
                <c:pt idx="3">
                  <c:v>-3.1332531758828386E-3</c:v>
                </c:pt>
                <c:pt idx="4">
                  <c:v>4.2002270486032542E-4</c:v>
                </c:pt>
                <c:pt idx="5">
                  <c:v>1.7225270783730352E-3</c:v>
                </c:pt>
              </c:numCache>
            </c:numRef>
          </c:val>
          <c:extLst>
            <c:ext xmlns:c16="http://schemas.microsoft.com/office/drawing/2014/chart" uri="{C3380CC4-5D6E-409C-BE32-E72D297353CC}">
              <c16:uniqueId val="{00000002-FD19-438E-BB47-57349594E429}"/>
            </c:ext>
          </c:extLst>
        </c:ser>
        <c:ser>
          <c:idx val="1"/>
          <c:order val="1"/>
          <c:tx>
            <c:v>WMT</c:v>
          </c:tx>
          <c:spPr>
            <a:solidFill>
              <a:srgbClr val="0070C0"/>
            </a:solidFill>
            <a:ln>
              <a:noFill/>
            </a:ln>
            <a:effectLst/>
          </c:spPr>
          <c:invertIfNegative val="0"/>
          <c:dLbls>
            <c:dLbl>
              <c:idx val="3"/>
              <c:layout>
                <c:manualLayout>
                  <c:x val="-1.0827978765624977E-16"/>
                  <c:y val="9.950246157598962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D19-438E-BB47-57349594E4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Analysis!$C$57:$H$57</c:f>
              <c:numCache>
                <c:formatCode>General</c:formatCode>
                <c:ptCount val="6"/>
                <c:pt idx="0">
                  <c:v>2019</c:v>
                </c:pt>
                <c:pt idx="1">
                  <c:v>2020</c:v>
                </c:pt>
                <c:pt idx="2">
                  <c:v>2021</c:v>
                </c:pt>
                <c:pt idx="3">
                  <c:v>2022</c:v>
                </c:pt>
                <c:pt idx="4">
                  <c:v>2023</c:v>
                </c:pt>
                <c:pt idx="5">
                  <c:v>2024</c:v>
                </c:pt>
              </c:numCache>
            </c:numRef>
          </c:cat>
          <c:val>
            <c:numRef>
              <c:f>Analysis!$C$59:$H$59</c:f>
              <c:numCache>
                <c:formatCode>0.000%</c:formatCode>
                <c:ptCount val="6"/>
                <c:pt idx="0">
                  <c:v>-2.2711601796206859E-3</c:v>
                </c:pt>
                <c:pt idx="1">
                  <c:v>1.1214291786828777E-3</c:v>
                </c:pt>
                <c:pt idx="2">
                  <c:v>8.0864876818266367E-4</c:v>
                </c:pt>
                <c:pt idx="3">
                  <c:v>-5.5784600799677377E-3</c:v>
                </c:pt>
                <c:pt idx="4">
                  <c:v>1.5132381885708222E-3</c:v>
                </c:pt>
                <c:pt idx="5">
                  <c:v>2.302215354686804E-3</c:v>
                </c:pt>
              </c:numCache>
            </c:numRef>
          </c:val>
          <c:extLst>
            <c:ext xmlns:c16="http://schemas.microsoft.com/office/drawing/2014/chart" uri="{C3380CC4-5D6E-409C-BE32-E72D297353CC}">
              <c16:uniqueId val="{00000003-FD19-438E-BB47-57349594E429}"/>
            </c:ext>
          </c:extLst>
        </c:ser>
        <c:dLbls>
          <c:dLblPos val="outEnd"/>
          <c:showLegendKey val="0"/>
          <c:showVal val="1"/>
          <c:showCatName val="0"/>
          <c:showSerName val="0"/>
          <c:showPercent val="0"/>
          <c:showBubbleSize val="0"/>
        </c:dLbls>
        <c:gapWidth val="150"/>
        <c:axId val="1950565952"/>
        <c:axId val="1537795648"/>
      </c:barChart>
      <c:catAx>
        <c:axId val="1950565952"/>
        <c:scaling>
          <c:orientation val="minMax"/>
        </c:scaling>
        <c:delete val="0"/>
        <c:axPos val="b"/>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0" spcFirstLastPara="1" vertOverflow="ellipsis" wrap="square" anchor="b" anchorCtr="0"/>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37795648"/>
        <c:crosses val="autoZero"/>
        <c:auto val="0"/>
        <c:lblAlgn val="ctr"/>
        <c:lblOffset val="100"/>
        <c:tickMarkSkip val="1"/>
        <c:noMultiLvlLbl val="0"/>
      </c:catAx>
      <c:valAx>
        <c:axId val="153779564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5056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300" b="1"/>
              <a:t>Equity/Deficit of</a:t>
            </a:r>
            <a:r>
              <a:rPr lang="en-US" sz="1300" b="1" baseline="0"/>
              <a:t> </a:t>
            </a:r>
            <a:r>
              <a:rPr lang="en-US" sz="1300" b="1"/>
              <a:t>NS to CoS (2019-2024)</a:t>
            </a: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col"/>
        <c:grouping val="clustered"/>
        <c:varyColors val="0"/>
        <c:ser>
          <c:idx val="0"/>
          <c:order val="0"/>
          <c:tx>
            <c:v>COST</c:v>
          </c:tx>
          <c:spPr>
            <a:solidFill>
              <a:srgbClr val="FF0000"/>
            </a:solidFill>
            <a:ln>
              <a:noFill/>
            </a:ln>
            <a:effectLst/>
          </c:spPr>
          <c:invertIfNegative val="0"/>
          <c:dLbls>
            <c:dLbl>
              <c:idx val="1"/>
              <c:layout>
                <c:manualLayout>
                  <c:x val="-2.9531192321890268E-3"/>
                  <c:y val="-6.0806357411763293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93A-4B8D-BC17-FA5265590295}"/>
                </c:ext>
              </c:extLst>
            </c:dLbl>
            <c:dLbl>
              <c:idx val="3"/>
              <c:layout>
                <c:manualLayout>
                  <c:x val="-8.8593576965669985E-3"/>
                  <c:y val="-6.0806357411763293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93A-4B8D-BC17-FA5265590295}"/>
                </c:ext>
              </c:extLst>
            </c:dLbl>
            <c:dLbl>
              <c:idx val="4"/>
              <c:layout>
                <c:manualLayout>
                  <c:x val="-7.3827980804724988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93A-4B8D-BC17-FA5265590295}"/>
                </c:ext>
              </c:extLst>
            </c:dLbl>
            <c:dLbl>
              <c:idx val="5"/>
              <c:layout>
                <c:manualLayout>
                  <c:x val="-7.3827980804724988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93A-4B8D-BC17-FA52655902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Analysis!$C$57:$H$57</c:f>
              <c:numCache>
                <c:formatCode>General</c:formatCode>
                <c:ptCount val="6"/>
                <c:pt idx="0">
                  <c:v>2019</c:v>
                </c:pt>
                <c:pt idx="1">
                  <c:v>2020</c:v>
                </c:pt>
                <c:pt idx="2">
                  <c:v>2021</c:v>
                </c:pt>
                <c:pt idx="3">
                  <c:v>2022</c:v>
                </c:pt>
                <c:pt idx="4">
                  <c:v>2023</c:v>
                </c:pt>
                <c:pt idx="5">
                  <c:v>2024</c:v>
                </c:pt>
              </c:numCache>
            </c:numRef>
          </c:cat>
          <c:val>
            <c:numRef>
              <c:f>Analysis!$C$20:$I$20</c:f>
              <c:numCache>
                <c:formatCode>0.000%</c:formatCode>
                <c:ptCount val="7"/>
                <c:pt idx="0">
                  <c:v>3.2857931399946569E-2</c:v>
                </c:pt>
                <c:pt idx="1">
                  <c:v>3.8246921474229673E-2</c:v>
                </c:pt>
                <c:pt idx="2">
                  <c:v>7.0004231140024048E-2</c:v>
                </c:pt>
                <c:pt idx="3">
                  <c:v>6.3839119568663408E-2</c:v>
                </c:pt>
                <c:pt idx="4">
                  <c:v>2.8397648470666923E-2</c:v>
                </c:pt>
                <c:pt idx="5">
                  <c:v>2.1272085635670443E-2</c:v>
                </c:pt>
                <c:pt idx="6">
                  <c:v>8.1673236314761463E-2</c:v>
                </c:pt>
              </c:numCache>
            </c:numRef>
          </c:val>
          <c:extLst>
            <c:ext xmlns:c16="http://schemas.microsoft.com/office/drawing/2014/chart" uri="{C3380CC4-5D6E-409C-BE32-E72D297353CC}">
              <c16:uniqueId val="{00000002-893A-4B8D-BC17-FA5265590295}"/>
            </c:ext>
          </c:extLst>
        </c:ser>
        <c:ser>
          <c:idx val="1"/>
          <c:order val="1"/>
          <c:tx>
            <c:v>WMT</c:v>
          </c:tx>
          <c:spPr>
            <a:solidFill>
              <a:srgbClr val="0070C0"/>
            </a:solidFill>
            <a:ln>
              <a:noFill/>
            </a:ln>
            <a:effectLst/>
          </c:spPr>
          <c:invertIfNegative val="0"/>
          <c:dLbls>
            <c:dLbl>
              <c:idx val="0"/>
              <c:layout>
                <c:manualLayout>
                  <c:x val="4.429678848283486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93A-4B8D-BC17-FA5265590295}"/>
                </c:ext>
              </c:extLst>
            </c:dLbl>
            <c:dLbl>
              <c:idx val="2"/>
              <c:layout>
                <c:manualLayout>
                  <c:x val="4.4296788482834993E-3"/>
                  <c:y val="9.950246157598841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93A-4B8D-BC17-FA5265590295}"/>
                </c:ext>
              </c:extLst>
            </c:dLbl>
            <c:dLbl>
              <c:idx val="5"/>
              <c:layout>
                <c:manualLayout>
                  <c:x val="5.90623846437799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93A-4B8D-BC17-FA52655902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Analysis!$C$57:$H$57</c:f>
              <c:numCache>
                <c:formatCode>General</c:formatCode>
                <c:ptCount val="6"/>
                <c:pt idx="0">
                  <c:v>2019</c:v>
                </c:pt>
                <c:pt idx="1">
                  <c:v>2020</c:v>
                </c:pt>
                <c:pt idx="2">
                  <c:v>2021</c:v>
                </c:pt>
                <c:pt idx="3">
                  <c:v>2022</c:v>
                </c:pt>
                <c:pt idx="4">
                  <c:v>2023</c:v>
                </c:pt>
                <c:pt idx="5">
                  <c:v>2024</c:v>
                </c:pt>
              </c:numCache>
            </c:numRef>
          </c:cat>
          <c:val>
            <c:numRef>
              <c:f>Analysis!$C$52:$H$52</c:f>
              <c:numCache>
                <c:formatCode>0.000%</c:formatCode>
                <c:ptCount val="6"/>
                <c:pt idx="0">
                  <c:v>1.8582634305654107E-2</c:v>
                </c:pt>
                <c:pt idx="1">
                  <c:v>6.7155377086975443E-2</c:v>
                </c:pt>
                <c:pt idx="2">
                  <c:v>2.4327954345069579E-2</c:v>
                </c:pt>
                <c:pt idx="3">
                  <c:v>6.7280193590965751E-2</c:v>
                </c:pt>
                <c:pt idx="4">
                  <c:v>6.0259549901928548E-2</c:v>
                </c:pt>
                <c:pt idx="5">
                  <c:v>2.1478772116564307E-2</c:v>
                </c:pt>
              </c:numCache>
            </c:numRef>
          </c:val>
          <c:extLst>
            <c:ext xmlns:c16="http://schemas.microsoft.com/office/drawing/2014/chart" uri="{C3380CC4-5D6E-409C-BE32-E72D297353CC}">
              <c16:uniqueId val="{00000004-893A-4B8D-BC17-FA5265590295}"/>
            </c:ext>
          </c:extLst>
        </c:ser>
        <c:dLbls>
          <c:dLblPos val="outEnd"/>
          <c:showLegendKey val="0"/>
          <c:showVal val="1"/>
          <c:showCatName val="0"/>
          <c:showSerName val="0"/>
          <c:showPercent val="0"/>
          <c:showBubbleSize val="0"/>
        </c:dLbls>
        <c:gapWidth val="150"/>
        <c:axId val="1950565952"/>
        <c:axId val="1537795648"/>
      </c:barChart>
      <c:catAx>
        <c:axId val="1950565952"/>
        <c:scaling>
          <c:orientation val="minMax"/>
        </c:scaling>
        <c:delete val="0"/>
        <c:axPos val="b"/>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0" spcFirstLastPara="1" vertOverflow="ellipsis" wrap="square" anchor="b" anchorCtr="0"/>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37795648"/>
        <c:crosses val="autoZero"/>
        <c:auto val="0"/>
        <c:lblAlgn val="ctr"/>
        <c:lblOffset val="100"/>
        <c:tickMarkSkip val="1"/>
        <c:noMultiLvlLbl val="0"/>
      </c:catAx>
      <c:valAx>
        <c:axId val="153779564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5056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xdr:col>
      <xdr:colOff>633413</xdr:colOff>
      <xdr:row>0</xdr:row>
      <xdr:rowOff>0</xdr:rowOff>
    </xdr:from>
    <xdr:to>
      <xdr:col>9</xdr:col>
      <xdr:colOff>417970</xdr:colOff>
      <xdr:row>6</xdr:row>
      <xdr:rowOff>124597</xdr:rowOff>
    </xdr:to>
    <xdr:pic>
      <xdr:nvPicPr>
        <xdr:cNvPr id="2" name="Picture 1">
          <a:extLst>
            <a:ext uri="{FF2B5EF4-FFF2-40B4-BE49-F238E27FC236}">
              <a16:creationId xmlns:a16="http://schemas.microsoft.com/office/drawing/2014/main" id="{D71B963E-9100-3FBD-D3FD-0EE4734C9E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48188" y="0"/>
          <a:ext cx="3451682" cy="11247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714374</xdr:colOff>
      <xdr:row>21</xdr:row>
      <xdr:rowOff>0</xdr:rowOff>
    </xdr:from>
    <xdr:to>
      <xdr:col>10</xdr:col>
      <xdr:colOff>981074</xdr:colOff>
      <xdr:row>22</xdr:row>
      <xdr:rowOff>9525</xdr:rowOff>
    </xdr:to>
    <xdr:graphicFrame macro="">
      <xdr:nvGraphicFramePr>
        <xdr:cNvPr id="2" name="Chart 1">
          <a:extLst>
            <a:ext uri="{FF2B5EF4-FFF2-40B4-BE49-F238E27FC236}">
              <a16:creationId xmlns:a16="http://schemas.microsoft.com/office/drawing/2014/main" id="{E400F52F-BFBD-4264-F1F7-D10ED67C30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304800</xdr:colOff>
      <xdr:row>21</xdr:row>
      <xdr:rowOff>447676</xdr:rowOff>
    </xdr:from>
    <xdr:to>
      <xdr:col>16</xdr:col>
      <xdr:colOff>400050</xdr:colOff>
      <xdr:row>21</xdr:row>
      <xdr:rowOff>3390900</xdr:rowOff>
    </xdr:to>
    <xdr:graphicFrame macro="">
      <xdr:nvGraphicFramePr>
        <xdr:cNvPr id="3" name="Chart 2">
          <a:extLst>
            <a:ext uri="{FF2B5EF4-FFF2-40B4-BE49-F238E27FC236}">
              <a16:creationId xmlns:a16="http://schemas.microsoft.com/office/drawing/2014/main" id="{B7D1174A-D6E8-4464-87F8-28C3047AC9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847724</xdr:colOff>
      <xdr:row>20</xdr:row>
      <xdr:rowOff>152400</xdr:rowOff>
    </xdr:from>
    <xdr:to>
      <xdr:col>24</xdr:col>
      <xdr:colOff>838199</xdr:colOff>
      <xdr:row>21</xdr:row>
      <xdr:rowOff>4429125</xdr:rowOff>
    </xdr:to>
    <xdr:graphicFrame macro="">
      <xdr:nvGraphicFramePr>
        <xdr:cNvPr id="4" name="Chart 3">
          <a:extLst>
            <a:ext uri="{FF2B5EF4-FFF2-40B4-BE49-F238E27FC236}">
              <a16:creationId xmlns:a16="http://schemas.microsoft.com/office/drawing/2014/main" id="{40176A2B-0C2D-69AE-3FDC-20A76C3384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714374</xdr:colOff>
      <xdr:row>60</xdr:row>
      <xdr:rowOff>142874</xdr:rowOff>
    </xdr:from>
    <xdr:to>
      <xdr:col>9</xdr:col>
      <xdr:colOff>981074</xdr:colOff>
      <xdr:row>62</xdr:row>
      <xdr:rowOff>0</xdr:rowOff>
    </xdr:to>
    <xdr:graphicFrame macro="">
      <xdr:nvGraphicFramePr>
        <xdr:cNvPr id="5" name="Chart 4">
          <a:extLst>
            <a:ext uri="{FF2B5EF4-FFF2-40B4-BE49-F238E27FC236}">
              <a16:creationId xmlns:a16="http://schemas.microsoft.com/office/drawing/2014/main" id="{C151DFF7-FAE9-C0D3-DC62-01B60F28BF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61</xdr:row>
      <xdr:rowOff>0</xdr:rowOff>
    </xdr:from>
    <xdr:to>
      <xdr:col>21</xdr:col>
      <xdr:colOff>123825</xdr:colOff>
      <xdr:row>62</xdr:row>
      <xdr:rowOff>19051</xdr:rowOff>
    </xdr:to>
    <xdr:graphicFrame macro="">
      <xdr:nvGraphicFramePr>
        <xdr:cNvPr id="8" name="Chart 7">
          <a:extLst>
            <a:ext uri="{FF2B5EF4-FFF2-40B4-BE49-F238E27FC236}">
              <a16:creationId xmlns:a16="http://schemas.microsoft.com/office/drawing/2014/main" id="{8051F212-A3A6-4DD4-9C8E-220B251BD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https://www.bing.com/financeapi/forcetrigger?t=a1q6k2&amp;q=XNAS%3aCOST&amp;form=skydnc</v>
    <v>Learn more on Bing</v>
  </rv>
  <rv s="1">
    <v>en-US</v>
    <v>a1q6k2</v>
    <v>268435456</v>
    <v>1</v>
    <v>Powered by Refinitiv</v>
    <v>0</v>
    <v>COSTCO WHOLESALE CORPORATION (XNAS:COST)</v>
    <v>2</v>
    <v>3</v>
    <v>Finance</v>
    <v>4</v>
    <v>1096.5</v>
    <v>844.06</v>
    <v>0.87080000000000002</v>
    <v>-5.86</v>
    <v>2.0599999999999999E-4</v>
    <v>-6.1519999999999995E-3</v>
    <v>0.19500000000000001</v>
    <v>USD</v>
    <v>Costco Wholesale Corporation (Costco) operates membership warehouses and e-commerce sites that offer a selection of nationally branded and private-label products in a wide range of categories. The Company buys the majority of its merchandise directly from suppliers and route it to cross-docking consolidation points (depots) or directly to its warehouses. It operates 891 warehouses, including 614 in the United States and Puerto Rico, 108 in Canada, 40 in Mexico, 35 in Japan, 29 in the United Kingdom, 19 in Korea, 15 in Australia, 14 in Taiwan, seven in China, five in Spain, two in France, and one each in Iceland, New Zealand and Sweden. It also operates e-commerce sites in the United States, Canada, the United Kingdom, Mexico, Korea, Taiwan, Japan and Australia. The Company provides wide selection of merchandise, plus the convenience of specialty departments and exclusive member services.</v>
    <v>341000</v>
    <v>Nasdaq Stock Market</v>
    <v>XNAS</v>
    <v>XNAS</v>
    <v>999 Lake Dr, ISSAQUAH, WA, 98027- US</v>
    <v>969.86</v>
    <v>Diversified Retail</v>
    <v>Stock</v>
    <v>46202.909430474218</v>
    <v>0</v>
    <v>942.38</v>
    <v>419832510384</v>
    <v>COSTCO WHOLESALE CORPORATION</v>
    <v>COSTCO WHOLESALE CORPORATION</v>
    <v>958.55</v>
    <v>47.614400000000003</v>
    <v>952.54</v>
    <v>946.68</v>
    <v>946.875</v>
    <v>443478800</v>
    <v>COST</v>
    <v>COSTCO WHOLESALE CORPORATION (XNAS:COST)</v>
    <v>2445887</v>
    <v>2713613</v>
    <v>1987</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AF95D4-DE81-40A2-B52B-6704A040811B}" name="Table1" displayName="Table1" ref="N8:U48" totalsRowShown="0" headerRowDxfId="25" dataDxfId="23" headerRowBorderDxfId="24" dataCellStyle="Comma">
  <autoFilter ref="N8:U48" xr:uid="{47AF95D4-DE81-40A2-B52B-6704A040811B}"/>
  <tableColumns count="8">
    <tableColumn id="1" xr3:uid="{6BE8718D-20DF-455E-B682-30F05B4D5C24}" name="Balance Sheet"/>
    <tableColumn id="2" xr3:uid="{360B9311-64A5-44CA-9265-52DE8B4A4CA6}" name="2019" dataDxfId="22" dataCellStyle="Comma"/>
    <tableColumn id="3" xr3:uid="{AEAD3035-02AB-413F-AF3F-82FE80B96983}" name="2020" dataDxfId="21" dataCellStyle="Comma"/>
    <tableColumn id="4" xr3:uid="{22BA9F9B-18B0-46EF-974E-38BD8AF7D2F2}" name="2021" dataDxfId="20" dataCellStyle="Comma"/>
    <tableColumn id="5" xr3:uid="{91730502-8F6F-4D5B-B787-D16CE58646B0}" name="2022" dataDxfId="19" dataCellStyle="Comma"/>
    <tableColumn id="6" xr3:uid="{1157C164-8F3C-44C5-9C49-8044B493BF9C}" name="2023" dataDxfId="18" dataCellStyle="Comma"/>
    <tableColumn id="7" xr3:uid="{5E5406B1-2D47-4694-BFF0-CF0BCA316F57}" name="2024" dataDxfId="17" dataCellStyle="Comma"/>
    <tableColumn id="8" xr3:uid="{E3CA6958-0228-43DD-8544-DE61E503F426}" name="2025" dataDxfId="16"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C0ADDE-C879-40AF-A311-F29D4A399525}" name="Table2" displayName="Table2" ref="B8:I47" totalsRowShown="0" headerRowDxfId="15" dataDxfId="13" headerRowBorderDxfId="14" dataCellStyle="Comma">
  <autoFilter ref="B8:I47" xr:uid="{32C0ADDE-C879-40AF-A311-F29D4A399525}"/>
  <tableColumns count="8">
    <tableColumn id="1" xr3:uid="{0AB2A71E-2106-47DD-BE3A-5330D9813417}" name="Income Statement" dataDxfId="12"/>
    <tableColumn id="2" xr3:uid="{D2987365-4491-4E9B-B7C2-F8983F5B6F7D}" name="2019" dataDxfId="11" dataCellStyle="Comma"/>
    <tableColumn id="3" xr3:uid="{6A3FD8A1-6EC5-43B3-976A-F46C2690BE01}" name="2020" dataDxfId="10" dataCellStyle="Comma"/>
    <tableColumn id="4" xr3:uid="{2F689FD0-3F26-49AE-88FF-C5CF2F7F4013}" name="2021" dataDxfId="9" dataCellStyle="Comma"/>
    <tableColumn id="5" xr3:uid="{F6A67784-A8C1-4E08-94B8-86A3D07F81C5}" name="2022" dataDxfId="8" dataCellStyle="Comma"/>
    <tableColumn id="6" xr3:uid="{B663240F-D125-4AF1-8918-AE221042042D}" name="2023" dataDxfId="7" dataCellStyle="Comma"/>
    <tableColumn id="7" xr3:uid="{1F3DD56A-F39B-4C1F-80DA-7482A73C4912}" name="2024" dataDxfId="6" dataCellStyle="Comma"/>
    <tableColumn id="8" xr3:uid="{B94BBFC4-4C27-43E3-ACB6-A5DD8C3D4C6D}" name="2025" dataDxfId="5"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0B259CD-BDBA-40B7-8F63-F25608BEAF5C}" name="Table810" displayName="Table810" ref="B6:D14" totalsRowShown="0" headerRowDxfId="4" dataDxfId="3">
  <autoFilter ref="B6:D14" xr:uid="{40B259CD-BDBA-40B7-8F63-F25608BEAF5C}">
    <filterColumn colId="0" hiddenButton="1"/>
    <filterColumn colId="1" hiddenButton="1"/>
    <filterColumn colId="2" hiddenButton="1"/>
  </autoFilter>
  <tableColumns count="3">
    <tableColumn id="1" xr3:uid="{E7F38CF0-6737-4E57-B336-920CE34650A8}" name="Screening Score" dataDxfId="2"/>
    <tableColumn id="2" xr3:uid="{15F14F03-45C9-4780-A119-D3D2344232D7}" name="Column1" dataDxfId="1"/>
    <tableColumn id="3" xr3:uid="{8D49AE09-F8AC-485D-9653-1BE2F4D7376C}"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DAFF-9328-4860-ACE9-2834C87824A6}">
  <sheetPr>
    <pageSetUpPr fitToPage="1"/>
  </sheetPr>
  <dimension ref="B1:X48"/>
  <sheetViews>
    <sheetView showRowColHeaders="0" tabSelected="1" topLeftCell="A15" zoomScale="115" zoomScaleNormal="115" workbookViewId="0">
      <selection activeCell="J51" sqref="J51"/>
    </sheetView>
  </sheetViews>
  <sheetFormatPr defaultColWidth="10.5703125" defaultRowHeight="12.75" x14ac:dyDescent="0.2"/>
  <cols>
    <col min="1" max="1" width="10.5703125" style="1"/>
    <col min="2" max="2" width="25.5703125" style="8" customWidth="1"/>
    <col min="3" max="9" width="11" style="6" customWidth="1"/>
    <col min="10" max="12" width="10.5703125" style="1"/>
    <col min="13" max="13" width="5.5703125" style="1" customWidth="1"/>
    <col min="14" max="14" width="25.5703125" style="8" customWidth="1"/>
    <col min="15" max="21" width="11" style="6" customWidth="1"/>
    <col min="22" max="16384" width="10.5703125" style="1"/>
  </cols>
  <sheetData>
    <row r="1" spans="2:24" x14ac:dyDescent="0.2">
      <c r="B1" s="1"/>
      <c r="C1" s="1"/>
      <c r="D1" s="1"/>
      <c r="E1" s="1"/>
      <c r="F1" s="1"/>
      <c r="G1" s="1"/>
      <c r="H1" s="1"/>
      <c r="I1" s="1"/>
      <c r="N1" s="1"/>
      <c r="O1" s="1"/>
      <c r="P1" s="1"/>
      <c r="Q1" s="1"/>
      <c r="R1" s="1"/>
      <c r="S1" s="1"/>
      <c r="T1" s="1"/>
      <c r="U1" s="1"/>
    </row>
    <row r="2" spans="2:24" x14ac:dyDescent="0.2">
      <c r="B2" s="1" t="s">
        <v>43</v>
      </c>
      <c r="C2" s="1"/>
      <c r="D2" s="1"/>
      <c r="E2" s="1"/>
      <c r="F2" s="1"/>
      <c r="G2" s="1"/>
      <c r="H2" s="1"/>
      <c r="I2" s="1"/>
      <c r="N2" s="1"/>
      <c r="O2" s="1"/>
      <c r="P2" s="1"/>
      <c r="Q2" s="1"/>
      <c r="R2" s="1"/>
      <c r="S2" s="1"/>
      <c r="T2" s="1"/>
      <c r="U2" s="1"/>
    </row>
    <row r="3" spans="2:24" ht="15" x14ac:dyDescent="0.25">
      <c r="B3" s="1" t="e" vm="1">
        <v>#VALUE!</v>
      </c>
      <c r="C3" s="1"/>
      <c r="D3" s="1"/>
      <c r="E3" s="1"/>
      <c r="F3" s="1"/>
      <c r="G3" s="1"/>
      <c r="H3" s="1"/>
      <c r="I3" s="1"/>
      <c r="J3"/>
      <c r="N3" s="1"/>
      <c r="O3" s="1"/>
      <c r="P3" s="1"/>
      <c r="Q3" s="1"/>
      <c r="R3" s="1"/>
      <c r="S3" s="1"/>
      <c r="T3" s="1"/>
      <c r="U3" s="1"/>
    </row>
    <row r="4" spans="2:24" x14ac:dyDescent="0.2">
      <c r="B4" s="1" t="s">
        <v>0</v>
      </c>
      <c r="C4" s="2" cm="1">
        <f t="array" aca="1" ref="C4" ca="1">_FV(B3,"Price")</f>
        <v>946.68</v>
      </c>
      <c r="D4" s="1"/>
      <c r="E4" s="1"/>
      <c r="F4" s="1"/>
      <c r="G4" s="1"/>
      <c r="H4" s="1"/>
      <c r="I4" s="1"/>
      <c r="N4" s="1"/>
      <c r="O4" s="1"/>
      <c r="P4" s="1"/>
      <c r="Q4" s="1"/>
      <c r="R4" s="1"/>
      <c r="S4" s="1"/>
      <c r="T4" s="1"/>
      <c r="U4" s="1"/>
    </row>
    <row r="5" spans="2:24" x14ac:dyDescent="0.2">
      <c r="B5" s="1" t="s">
        <v>1</v>
      </c>
      <c r="C5" s="3">
        <v>444</v>
      </c>
      <c r="D5" s="1"/>
      <c r="E5" s="1"/>
      <c r="F5" s="1"/>
      <c r="G5" s="1"/>
      <c r="H5" s="1"/>
      <c r="I5" s="1"/>
      <c r="N5" s="1"/>
      <c r="O5" s="1"/>
      <c r="P5" s="1"/>
      <c r="Q5" s="1"/>
      <c r="R5" s="1"/>
      <c r="S5" s="1"/>
      <c r="T5" s="1"/>
      <c r="U5" s="1"/>
    </row>
    <row r="6" spans="2:24" x14ac:dyDescent="0.2">
      <c r="B6" s="1" t="s">
        <v>2</v>
      </c>
      <c r="C6" s="6">
        <f ca="1">C4*C5</f>
        <v>420325.92</v>
      </c>
      <c r="D6" s="1"/>
      <c r="E6" s="1"/>
      <c r="F6" s="1"/>
      <c r="G6" s="1"/>
      <c r="H6" s="1"/>
      <c r="I6" s="1"/>
      <c r="N6" s="1"/>
      <c r="O6" s="1"/>
      <c r="P6" s="1"/>
      <c r="Q6" s="1"/>
      <c r="R6" s="1"/>
      <c r="S6" s="1"/>
      <c r="T6" s="1"/>
      <c r="U6" s="1"/>
    </row>
    <row r="7" spans="2:24" x14ac:dyDescent="0.2">
      <c r="B7" s="1"/>
      <c r="C7" s="1"/>
      <c r="D7" s="1"/>
      <c r="E7" s="1"/>
      <c r="F7" s="1"/>
      <c r="G7" s="1"/>
      <c r="H7" s="1"/>
      <c r="I7" s="1"/>
      <c r="N7" s="1"/>
      <c r="O7" s="1"/>
      <c r="P7" s="1"/>
      <c r="Q7" s="1"/>
      <c r="R7" s="1"/>
      <c r="S7" s="1"/>
      <c r="T7" s="1"/>
      <c r="U7" s="1"/>
    </row>
    <row r="8" spans="2:24" x14ac:dyDescent="0.2">
      <c r="B8" s="11" t="s">
        <v>51</v>
      </c>
      <c r="C8" s="12" t="s">
        <v>45</v>
      </c>
      <c r="D8" s="12" t="s">
        <v>46</v>
      </c>
      <c r="E8" s="12" t="s">
        <v>47</v>
      </c>
      <c r="F8" s="12" t="s">
        <v>48</v>
      </c>
      <c r="G8" s="12" t="s">
        <v>49</v>
      </c>
      <c r="H8" s="12" t="s">
        <v>50</v>
      </c>
      <c r="I8" s="12" t="s">
        <v>70</v>
      </c>
      <c r="J8" s="21" t="s">
        <v>19</v>
      </c>
      <c r="K8" s="38" t="s">
        <v>20</v>
      </c>
      <c r="L8" s="22" t="s">
        <v>71</v>
      </c>
      <c r="N8" s="11" t="s">
        <v>52</v>
      </c>
      <c r="O8" s="12" t="s">
        <v>45</v>
      </c>
      <c r="P8" s="12" t="s">
        <v>46</v>
      </c>
      <c r="Q8" s="12" t="s">
        <v>47</v>
      </c>
      <c r="R8" s="12" t="s">
        <v>48</v>
      </c>
      <c r="S8" s="12" t="s">
        <v>49</v>
      </c>
      <c r="T8" s="12" t="s">
        <v>50</v>
      </c>
      <c r="U8" s="12" t="s">
        <v>70</v>
      </c>
      <c r="V8" s="21" t="s">
        <v>19</v>
      </c>
      <c r="W8" s="38" t="s">
        <v>20</v>
      </c>
      <c r="X8" s="40" t="s">
        <v>71</v>
      </c>
    </row>
    <row r="9" spans="2:24" x14ac:dyDescent="0.2">
      <c r="B9" s="9" t="s">
        <v>3</v>
      </c>
      <c r="I9" s="35"/>
      <c r="J9" s="37"/>
      <c r="K9" s="39"/>
      <c r="L9" s="24"/>
      <c r="N9" s="23" t="s">
        <v>21</v>
      </c>
      <c r="U9" s="35"/>
      <c r="V9" s="37"/>
      <c r="W9" s="42"/>
      <c r="X9" s="41"/>
    </row>
    <row r="10" spans="2:24" x14ac:dyDescent="0.2">
      <c r="B10" s="8" t="s">
        <v>4</v>
      </c>
      <c r="C10" s="6">
        <v>59672</v>
      </c>
      <c r="D10" s="6">
        <v>68659</v>
      </c>
      <c r="E10" s="6">
        <v>77277</v>
      </c>
      <c r="F10" s="6">
        <v>85629</v>
      </c>
      <c r="G10" s="6">
        <v>96175</v>
      </c>
      <c r="H10" s="6">
        <v>101463</v>
      </c>
      <c r="I10" s="35">
        <v>109564</v>
      </c>
      <c r="J10" s="32">
        <f>(Table2[[#This Row],[2025]]-Table2[[#This Row],[2024]])/Table2[[#This Row],[2024]]</f>
        <v>7.9841912815509106E-2</v>
      </c>
      <c r="K10" s="32">
        <f>(Table2[[#This Row],[2025]]-Table2[[#This Row],[2023]])/Table2[[#This Row],[2023]]</f>
        <v>0.13921497270600469</v>
      </c>
      <c r="L10" s="32">
        <f>(Table2[[#This Row],[2025]]-Table2[[#This Row],[2019]])/Table2[[#This Row],[2019]]</f>
        <v>0.83610403539348443</v>
      </c>
      <c r="N10" s="9" t="s">
        <v>22</v>
      </c>
      <c r="U10" s="35"/>
      <c r="V10" s="43" t="s">
        <v>44</v>
      </c>
      <c r="W10" s="44"/>
      <c r="X10" s="45"/>
    </row>
    <row r="11" spans="2:24" x14ac:dyDescent="0.2">
      <c r="B11" s="8" t="s">
        <v>5</v>
      </c>
      <c r="C11" s="6">
        <f>24570+16590</f>
        <v>41160</v>
      </c>
      <c r="D11" s="6">
        <v>44807</v>
      </c>
      <c r="E11" s="6">
        <v>55966</v>
      </c>
      <c r="F11" s="6">
        <v>61100</v>
      </c>
      <c r="G11" s="6">
        <v>60865</v>
      </c>
      <c r="H11" s="6">
        <v>63973</v>
      </c>
      <c r="I11" s="35">
        <v>71190</v>
      </c>
      <c r="J11" s="32">
        <f>(Table2[[#This Row],[2025]]-Table2[[#This Row],[2024]])/Table2[[#This Row],[2024]]</f>
        <v>0.11281321807637597</v>
      </c>
      <c r="K11" s="32">
        <f>(Table2[[#This Row],[2025]]-Table2[[#This Row],[2023]])/Table2[[#This Row],[2023]]</f>
        <v>0.16963772282921219</v>
      </c>
      <c r="L11" s="32">
        <f>(Table2[[#This Row],[2025]]-Table2[[#This Row],[2019]])/Table2[[#This Row],[2019]]</f>
        <v>0.72959183673469385</v>
      </c>
      <c r="N11" s="15" t="s">
        <v>23</v>
      </c>
      <c r="O11" s="6">
        <v>8384</v>
      </c>
      <c r="P11" s="6">
        <v>12277</v>
      </c>
      <c r="Q11" s="6">
        <v>11258</v>
      </c>
      <c r="R11" s="6">
        <v>10203</v>
      </c>
      <c r="S11" s="6">
        <v>13700</v>
      </c>
      <c r="T11" s="6">
        <v>9906</v>
      </c>
      <c r="U11" s="35">
        <v>14161</v>
      </c>
      <c r="V11" s="32">
        <f>(Table1[[#This Row],[2025]]-Table1[[#This Row],[2024]])/Table1[[#This Row],[2024]]</f>
        <v>0.42953765394710275</v>
      </c>
      <c r="W11" s="44">
        <f>(Table1[[#This Row],[2025]]-Table1[[#This Row],[2023]])/Table1[[#This Row],[2023]]</f>
        <v>3.3649635036496352E-2</v>
      </c>
      <c r="X11" s="45">
        <f>(Table1[[#This Row],[2025]]-Table1[[#This Row],[2019]])/Table1[[#This Row],[2019]]</f>
        <v>0.68905057251908397</v>
      </c>
    </row>
    <row r="12" spans="2:24" x14ac:dyDescent="0.2">
      <c r="B12" s="8" t="s">
        <v>8</v>
      </c>
      <c r="C12" s="6">
        <v>19948</v>
      </c>
      <c r="D12" s="6">
        <v>23204</v>
      </c>
      <c r="E12" s="6">
        <v>27183</v>
      </c>
      <c r="F12" s="6">
        <v>29527</v>
      </c>
      <c r="G12" s="6">
        <v>31977</v>
      </c>
      <c r="H12" s="6">
        <v>34220</v>
      </c>
      <c r="I12" s="35">
        <v>37988</v>
      </c>
      <c r="J12" s="32">
        <f>(Table2[[#This Row],[2025]]-Table2[[#This Row],[2024]])/Table2[[#This Row],[2024]]</f>
        <v>0.11011104617182935</v>
      </c>
      <c r="K12" s="32">
        <f>(Table2[[#This Row],[2025]]-Table2[[#This Row],[2023]])/Table2[[#This Row],[2023]]</f>
        <v>0.1879788598054852</v>
      </c>
      <c r="L12" s="32">
        <f>(Table2[[#This Row],[2025]]-Table2[[#This Row],[2019]])/Table2[[#This Row],[2019]]</f>
        <v>0.90435131341487873</v>
      </c>
      <c r="N12" s="15" t="s">
        <v>24</v>
      </c>
      <c r="O12" s="6">
        <v>1060</v>
      </c>
      <c r="P12" s="6">
        <v>1028</v>
      </c>
      <c r="Q12" s="6">
        <v>917</v>
      </c>
      <c r="R12" s="6">
        <v>846</v>
      </c>
      <c r="S12" s="6">
        <v>1534</v>
      </c>
      <c r="T12" s="6">
        <v>1238</v>
      </c>
      <c r="U12" s="35">
        <v>1123</v>
      </c>
      <c r="V12" s="32">
        <f>(Table1[[#This Row],[2025]]-Table1[[#This Row],[2024]])/Table1[[#This Row],[2024]]</f>
        <v>-9.289176090468497E-2</v>
      </c>
      <c r="W12" s="32">
        <f>(Table1[[#This Row],[2025]]-Table1[[#This Row],[2023]])/Table1[[#This Row],[2023]]</f>
        <v>-0.26792698826597133</v>
      </c>
      <c r="X12" s="45">
        <f>(Table1[[#This Row],[2025]]-Table1[[#This Row],[2019]])/Table1[[#This Row],[2019]]</f>
        <v>5.9433962264150944E-2</v>
      </c>
    </row>
    <row r="13" spans="2:24" x14ac:dyDescent="0.2">
      <c r="B13" s="8" t="s">
        <v>6</v>
      </c>
      <c r="C13" s="6">
        <v>28571</v>
      </c>
      <c r="D13" s="6">
        <v>26550</v>
      </c>
      <c r="E13" s="6">
        <v>31626</v>
      </c>
      <c r="F13" s="6">
        <v>46474</v>
      </c>
      <c r="G13" s="14">
        <v>48693</v>
      </c>
      <c r="H13" s="6">
        <v>49969</v>
      </c>
      <c r="I13" s="35">
        <v>51170</v>
      </c>
      <c r="J13" s="43">
        <f>(Table2[[#This Row],[2025]]-Table2[[#This Row],[2024]])/Table2[[#This Row],[2024]]</f>
        <v>2.4034901639016192E-2</v>
      </c>
      <c r="K13" s="44">
        <f>(Table2[[#This Row],[2025]]-Table2[[#This Row],[2023]])/Table2[[#This Row],[2023]]</f>
        <v>5.0869734869488425E-2</v>
      </c>
      <c r="L13" s="45">
        <f>(Table2[[#This Row],[2025]]-Table2[[#This Row],[2019]])/Table2[[#This Row],[2019]]</f>
        <v>0.79097686465296979</v>
      </c>
      <c r="N13" s="15" t="s">
        <v>25</v>
      </c>
      <c r="O13" s="6">
        <v>1535</v>
      </c>
      <c r="P13" s="6">
        <v>1550</v>
      </c>
      <c r="Q13" s="6">
        <v>1803</v>
      </c>
      <c r="R13" s="6">
        <v>2241</v>
      </c>
      <c r="S13" s="6">
        <v>2285</v>
      </c>
      <c r="T13" s="6">
        <v>2721</v>
      </c>
      <c r="U13" s="35">
        <v>3203</v>
      </c>
      <c r="V13" s="43">
        <f>(Table1[[#This Row],[2025]]-Table1[[#This Row],[2024]])/Table1[[#This Row],[2024]]</f>
        <v>0.17714075707460492</v>
      </c>
      <c r="W13" s="44">
        <f>(Table1[[#This Row],[2025]]-Table1[[#This Row],[2023]])/Table1[[#This Row],[2023]]</f>
        <v>0.40175054704595187</v>
      </c>
      <c r="X13" s="32">
        <f>(Table1[[#This Row],[2025]]-Table1[[#This Row],[2019]])/Table1[[#This Row],[2019]]</f>
        <v>1.0866449511400651</v>
      </c>
    </row>
    <row r="14" spans="2:24" x14ac:dyDescent="0.2">
      <c r="B14" s="16" t="s">
        <v>9</v>
      </c>
      <c r="C14" s="6">
        <v>3352</v>
      </c>
      <c r="D14" s="6">
        <v>3541</v>
      </c>
      <c r="E14" s="6">
        <v>3877</v>
      </c>
      <c r="F14" s="6">
        <v>4224</v>
      </c>
      <c r="G14" s="14">
        <v>4580</v>
      </c>
      <c r="H14" s="6">
        <v>4828</v>
      </c>
      <c r="I14" s="35">
        <v>5323</v>
      </c>
      <c r="J14" s="32">
        <f>(Table2[[#This Row],[2025]]-Table2[[#This Row],[2024]])/Table2[[#This Row],[2024]]</f>
        <v>0.10252692626346313</v>
      </c>
      <c r="K14" s="32">
        <f>(Table2[[#This Row],[2025]]-Table2[[#This Row],[2023]])/Table2[[#This Row],[2023]]</f>
        <v>0.16222707423580787</v>
      </c>
      <c r="L14" s="45">
        <f>(Table2[[#This Row],[2025]]-Table2[[#This Row],[2019]])/Table2[[#This Row],[2019]]</f>
        <v>0.58800715990453456</v>
      </c>
      <c r="N14" s="15" t="s">
        <v>26</v>
      </c>
      <c r="O14" s="6">
        <v>11395</v>
      </c>
      <c r="P14" s="6">
        <v>12242</v>
      </c>
      <c r="Q14" s="6">
        <v>14215</v>
      </c>
      <c r="R14" s="6">
        <v>17907</v>
      </c>
      <c r="S14" s="6">
        <v>16651</v>
      </c>
      <c r="T14" s="6">
        <v>18647</v>
      </c>
      <c r="U14" s="35">
        <v>18116</v>
      </c>
      <c r="V14" s="32">
        <f>(Table1[[#This Row],[2025]]-Table1[[#This Row],[2024]])/Table1[[#This Row],[2024]]</f>
        <v>-2.8476430525017429E-2</v>
      </c>
      <c r="W14" s="44">
        <f>(Table1[[#This Row],[2025]]-Table1[[#This Row],[2023]])/Table1[[#This Row],[2023]]</f>
        <v>8.7982703741517024E-2</v>
      </c>
      <c r="X14" s="45">
        <f>(Table1[[#This Row],[2025]]-Table1[[#This Row],[2019]])/Table1[[#This Row],[2019]]</f>
        <v>0.58982009653356737</v>
      </c>
    </row>
    <row r="15" spans="2:24" ht="13.5" thickBot="1" x14ac:dyDescent="0.25">
      <c r="B15" s="10" t="s">
        <v>7</v>
      </c>
      <c r="C15" s="13">
        <f t="shared" ref="C15:G15" si="0">SUM(C10:C14)</f>
        <v>152703</v>
      </c>
      <c r="D15" s="13">
        <f t="shared" si="0"/>
        <v>166761</v>
      </c>
      <c r="E15" s="13">
        <f t="shared" si="0"/>
        <v>195929</v>
      </c>
      <c r="F15" s="13">
        <f t="shared" si="0"/>
        <v>226954</v>
      </c>
      <c r="G15" s="13">
        <f t="shared" si="0"/>
        <v>242290</v>
      </c>
      <c r="H15" s="13">
        <f>SUM(H10:H14)</f>
        <v>254453</v>
      </c>
      <c r="I15" s="13">
        <f>SUM(I10:I14)</f>
        <v>275235</v>
      </c>
      <c r="J15" s="50">
        <f>(Table2[[#This Row],[2025]]-Table2[[#This Row],[2024]])/Table2[[#This Row],[2024]]</f>
        <v>8.1673236314761463E-2</v>
      </c>
      <c r="K15" s="47">
        <f>(Table2[[#This Row],[2025]]-Table2[[#This Row],[2023]])/Table2[[#This Row],[2023]]</f>
        <v>0.13597342028148088</v>
      </c>
      <c r="L15" s="48">
        <f>(Table2[[#This Row],[2025]]-Table2[[#This Row],[2019]])/Table2[[#This Row],[2019]]</f>
        <v>0.80242038466827759</v>
      </c>
      <c r="N15" s="15" t="s">
        <v>27</v>
      </c>
      <c r="O15" s="6">
        <v>1111</v>
      </c>
      <c r="P15" s="6">
        <v>1023</v>
      </c>
      <c r="Q15" s="6">
        <v>1312</v>
      </c>
      <c r="R15" s="6">
        <v>1499</v>
      </c>
      <c r="S15" s="6">
        <v>1709</v>
      </c>
      <c r="T15" s="6">
        <v>1734</v>
      </c>
      <c r="U15" s="35">
        <v>1777</v>
      </c>
      <c r="V15" s="43">
        <f>(Table1[[#This Row],[2025]]-Table1[[#This Row],[2024]])/Table1[[#This Row],[2024]]</f>
        <v>2.4798154555940023E-2</v>
      </c>
      <c r="W15" s="44">
        <f>(Table1[[#This Row],[2025]]-Table1[[#This Row],[2023]])/Table1[[#This Row],[2023]]</f>
        <v>3.9789350497366878E-2</v>
      </c>
      <c r="X15" s="45">
        <f>(Table1[[#This Row],[2025]]-Table1[[#This Row],[2019]])/Table1[[#This Row],[2019]]</f>
        <v>0.59945994599459951</v>
      </c>
    </row>
    <row r="16" spans="2:24" ht="13.5" thickBot="1" x14ac:dyDescent="0.25">
      <c r="I16" s="35">
        <f>I15-H15</f>
        <v>20782</v>
      </c>
      <c r="J16" s="43"/>
      <c r="K16" s="44"/>
      <c r="L16" s="45"/>
      <c r="N16" s="19" t="s">
        <v>28</v>
      </c>
      <c r="O16" s="13">
        <f t="shared" ref="O16:S16" si="1">SUM(O11:O15)</f>
        <v>23485</v>
      </c>
      <c r="P16" s="13">
        <f t="shared" si="1"/>
        <v>28120</v>
      </c>
      <c r="Q16" s="13">
        <f t="shared" si="1"/>
        <v>29505</v>
      </c>
      <c r="R16" s="13">
        <f t="shared" si="1"/>
        <v>32696</v>
      </c>
      <c r="S16" s="13">
        <f t="shared" si="1"/>
        <v>35879</v>
      </c>
      <c r="T16" s="13">
        <f>SUM(T11:T15)</f>
        <v>34246</v>
      </c>
      <c r="U16" s="13">
        <f>SUM(U11:U15)</f>
        <v>38380</v>
      </c>
      <c r="V16" s="50">
        <f>(Table1[[#This Row],[2025]]-Table1[[#This Row],[2024]])/Table1[[#This Row],[2024]]</f>
        <v>0.12071482800911056</v>
      </c>
      <c r="W16" s="47">
        <f>(Table1[[#This Row],[2025]]-Table1[[#This Row],[2023]])/Table1[[#This Row],[2023]]</f>
        <v>6.9706513559463751E-2</v>
      </c>
      <c r="X16" s="50">
        <f>(Table1[[#This Row],[2025]]-Table1[[#This Row],[2019]])/Table1[[#This Row],[2019]]</f>
        <v>0.63423461784117519</v>
      </c>
    </row>
    <row r="17" spans="2:24" x14ac:dyDescent="0.2">
      <c r="B17" s="9" t="s">
        <v>10</v>
      </c>
      <c r="I17" s="35"/>
      <c r="J17" s="43"/>
      <c r="K17" s="44"/>
      <c r="L17" s="45"/>
      <c r="N17" s="15" t="s">
        <v>29</v>
      </c>
      <c r="O17" s="6">
        <v>20890</v>
      </c>
      <c r="P17" s="6">
        <v>21807</v>
      </c>
      <c r="Q17" s="6">
        <v>23492</v>
      </c>
      <c r="R17" s="6">
        <v>24646</v>
      </c>
      <c r="S17" s="6">
        <v>26684</v>
      </c>
      <c r="T17" s="6">
        <v>29032</v>
      </c>
      <c r="U17" s="35">
        <v>31909</v>
      </c>
      <c r="V17" s="43">
        <f>(Table1[[#This Row],[2025]]-Table1[[#This Row],[2024]])/Table1[[#This Row],[2024]]</f>
        <v>9.9097547533755853E-2</v>
      </c>
      <c r="W17" s="44">
        <f>(Table1[[#This Row],[2025]]-Table1[[#This Row],[2023]])/Table1[[#This Row],[2023]]</f>
        <v>0.19581022335481937</v>
      </c>
      <c r="X17" s="45">
        <f>(Table1[[#This Row],[2025]]-Table1[[#This Row],[2019]])/Table1[[#This Row],[2019]]</f>
        <v>0.5274772618477741</v>
      </c>
    </row>
    <row r="18" spans="2:24" x14ac:dyDescent="0.2">
      <c r="B18" s="8" t="s">
        <v>11</v>
      </c>
      <c r="C18" s="6">
        <v>132886</v>
      </c>
      <c r="D18" s="6">
        <v>144939</v>
      </c>
      <c r="E18" s="6">
        <v>170684</v>
      </c>
      <c r="F18" s="6">
        <v>199382</v>
      </c>
      <c r="G18" s="6">
        <v>212586</v>
      </c>
      <c r="H18" s="6">
        <v>222358</v>
      </c>
      <c r="I18" s="35">
        <v>239886</v>
      </c>
      <c r="J18" s="32">
        <f>(Table2[[#This Row],[2025]]-Table2[[#This Row],[2024]])/Table2[[#This Row],[2024]]</f>
        <v>7.8827836192086637E-2</v>
      </c>
      <c r="K18" s="44">
        <f>(Table2[[#This Row],[2025]]-Table2[[#This Row],[2023]])/Table2[[#This Row],[2023]]</f>
        <v>0.12841861646580677</v>
      </c>
      <c r="L18" s="32">
        <f>(Table2[[#This Row],[2025]]-Table2[[#This Row],[2019]])/Table2[[#This Row],[2019]]</f>
        <v>0.80520145086766104</v>
      </c>
      <c r="N18" s="15" t="s">
        <v>30</v>
      </c>
      <c r="O18" s="6">
        <v>0</v>
      </c>
      <c r="P18" s="6">
        <v>2788</v>
      </c>
      <c r="Q18" s="6">
        <v>2890</v>
      </c>
      <c r="R18" s="6">
        <v>2774</v>
      </c>
      <c r="S18" s="6">
        <v>2713</v>
      </c>
      <c r="T18" s="6">
        <v>2617</v>
      </c>
      <c r="U18" s="35">
        <v>2725</v>
      </c>
      <c r="V18" s="43">
        <f>(Table1[[#This Row],[2025]]-Table1[[#This Row],[2024]])/Table1[[#This Row],[2024]]</f>
        <v>4.1268628200229272E-2</v>
      </c>
      <c r="W18" s="44">
        <f>(Table1[[#This Row],[2025]]-Table1[[#This Row],[2023]])/Table1[[#This Row],[2023]]</f>
        <v>4.4231478068558795E-3</v>
      </c>
      <c r="X18" s="45" t="e">
        <f>(Table1[[#This Row],[2025]]-Table1[[#This Row],[2019]])/Table1[[#This Row],[2019]]</f>
        <v>#DIV/0!</v>
      </c>
    </row>
    <row r="19" spans="2:24" x14ac:dyDescent="0.2">
      <c r="B19" s="8" t="s">
        <v>12</v>
      </c>
      <c r="C19" s="6">
        <f>14994+86</f>
        <v>15080</v>
      </c>
      <c r="D19" s="6">
        <v>16387</v>
      </c>
      <c r="E19" s="6">
        <v>18537</v>
      </c>
      <c r="F19" s="6">
        <v>19779</v>
      </c>
      <c r="G19" s="6">
        <v>21590</v>
      </c>
      <c r="H19" s="6">
        <v>22810</v>
      </c>
      <c r="I19" s="35">
        <v>24966</v>
      </c>
      <c r="J19" s="32">
        <f>(Table2[[#This Row],[2025]]-Table2[[#This Row],[2024]])/Table2[[#This Row],[2024]]</f>
        <v>9.4519947391494955E-2</v>
      </c>
      <c r="K19" s="44">
        <f>(Table2[[#This Row],[2025]]-Table2[[#This Row],[2023]])/Table2[[#This Row],[2023]]</f>
        <v>0.15636868920796665</v>
      </c>
      <c r="L19" s="45">
        <f>(Table2[[#This Row],[2025]]-Table2[[#This Row],[2019]])/Table2[[#This Row],[2019]]</f>
        <v>0.65557029177718829</v>
      </c>
      <c r="N19" s="15" t="s">
        <v>27</v>
      </c>
      <c r="O19" s="6">
        <v>1025</v>
      </c>
      <c r="P19" s="6">
        <v>2841</v>
      </c>
      <c r="Q19" s="6">
        <v>3381</v>
      </c>
      <c r="R19" s="6">
        <v>4050</v>
      </c>
      <c r="S19" s="6">
        <v>3718</v>
      </c>
      <c r="T19" s="6">
        <v>3936</v>
      </c>
      <c r="U19" s="35">
        <v>4085</v>
      </c>
      <c r="V19" s="43">
        <f>(Table1[[#This Row],[2025]]-Table1[[#This Row],[2024]])/Table1[[#This Row],[2024]]</f>
        <v>3.785569105691057E-2</v>
      </c>
      <c r="W19" s="44">
        <f>(Table1[[#This Row],[2025]]-Table1[[#This Row],[2023]])/Table1[[#This Row],[2023]]</f>
        <v>9.8708983324367935E-2</v>
      </c>
      <c r="X19" s="45">
        <f>(Table1[[#This Row],[2025]]-Table1[[#This Row],[2019]])/Table1[[#This Row],[2019]]</f>
        <v>2.9853658536585366</v>
      </c>
    </row>
    <row r="20" spans="2:24" ht="13.5" thickBot="1" x14ac:dyDescent="0.25">
      <c r="B20" s="10" t="s">
        <v>10</v>
      </c>
      <c r="C20" s="13">
        <f t="shared" ref="C20:G20" si="2">SUM(C18:C19)</f>
        <v>147966</v>
      </c>
      <c r="D20" s="13">
        <f t="shared" si="2"/>
        <v>161326</v>
      </c>
      <c r="E20" s="13">
        <f t="shared" si="2"/>
        <v>189221</v>
      </c>
      <c r="F20" s="13">
        <f t="shared" si="2"/>
        <v>219161</v>
      </c>
      <c r="G20" s="13">
        <f t="shared" si="2"/>
        <v>234176</v>
      </c>
      <c r="H20" s="13">
        <f>SUM(H18:H19)</f>
        <v>245168</v>
      </c>
      <c r="I20" s="13">
        <f>SUM(I18:I19)</f>
        <v>264852</v>
      </c>
      <c r="J20" s="46">
        <f>(Table2[[#This Row],[2025]]-Table2[[#This Row],[2024]])/Table2[[#This Row],[2024]]</f>
        <v>8.0287802649611689E-2</v>
      </c>
      <c r="K20" s="50">
        <f>(Table2[[#This Row],[2025]]-Table2[[#This Row],[2023]])/Table2[[#This Row],[2023]]</f>
        <v>0.13099549057119431</v>
      </c>
      <c r="L20" s="48">
        <f>(Table2[[#This Row],[2025]]-Table2[[#This Row],[2019]])/Table2[[#This Row],[2019]]</f>
        <v>0.78995174567130289</v>
      </c>
      <c r="N20" s="19" t="s">
        <v>31</v>
      </c>
      <c r="O20" s="13">
        <f t="shared" ref="O20:S20" si="3">SUM(O16:O19)</f>
        <v>45400</v>
      </c>
      <c r="P20" s="13">
        <f t="shared" si="3"/>
        <v>55556</v>
      </c>
      <c r="Q20" s="13">
        <f t="shared" si="3"/>
        <v>59268</v>
      </c>
      <c r="R20" s="13">
        <f t="shared" si="3"/>
        <v>64166</v>
      </c>
      <c r="S20" s="13">
        <f t="shared" si="3"/>
        <v>68994</v>
      </c>
      <c r="T20" s="13">
        <f>SUM(T16:T19)</f>
        <v>69831</v>
      </c>
      <c r="U20" s="13">
        <f>SUM(U16:U19)</f>
        <v>77099</v>
      </c>
      <c r="V20" s="50">
        <f>(Table1[[#This Row],[2025]]-Table1[[#This Row],[2024]])/Table1[[#This Row],[2024]]</f>
        <v>0.10407984992338647</v>
      </c>
      <c r="W20" s="47">
        <f>(Table1[[#This Row],[2025]]-Table1[[#This Row],[2023]])/Table1[[#This Row],[2023]]</f>
        <v>0.11747398324491985</v>
      </c>
      <c r="X20" s="48">
        <f>(Table1[[#This Row],[2025]]-Table1[[#This Row],[2019]])/Table1[[#This Row],[2019]]</f>
        <v>0.69821585903083705</v>
      </c>
    </row>
    <row r="21" spans="2:24" x14ac:dyDescent="0.2">
      <c r="I21" s="35"/>
      <c r="J21" s="43"/>
      <c r="K21" s="44"/>
      <c r="L21" s="45"/>
      <c r="U21" s="35"/>
      <c r="V21" s="43"/>
      <c r="W21" s="44"/>
      <c r="X21" s="45"/>
    </row>
    <row r="22" spans="2:24" x14ac:dyDescent="0.2">
      <c r="B22" s="9" t="s">
        <v>99</v>
      </c>
      <c r="C22" s="17">
        <f t="shared" ref="C22:G22" si="4">C15-C20</f>
        <v>4737</v>
      </c>
      <c r="D22" s="17">
        <f t="shared" si="4"/>
        <v>5435</v>
      </c>
      <c r="E22" s="17">
        <f t="shared" si="4"/>
        <v>6708</v>
      </c>
      <c r="F22" s="17">
        <f t="shared" si="4"/>
        <v>7793</v>
      </c>
      <c r="G22" s="17">
        <f t="shared" si="4"/>
        <v>8114</v>
      </c>
      <c r="H22" s="17">
        <f>H15-H20</f>
        <v>9285</v>
      </c>
      <c r="I22" s="17">
        <f>I15-I20</f>
        <v>10383</v>
      </c>
      <c r="J22" s="32">
        <f>(Table2[[#This Row],[2025]]-Table2[[#This Row],[2024]])/Table2[[#This Row],[2024]]</f>
        <v>0.11825525040387722</v>
      </c>
      <c r="K22" s="32">
        <f>(Table2[[#This Row],[2025]]-Table2[[#This Row],[2023]])/Table2[[#This Row],[2023]]</f>
        <v>0.27964012817352724</v>
      </c>
      <c r="L22" s="32">
        <f>(Table2[[#This Row],[2025]]-Table2[[#This Row],[2019]])/Table2[[#This Row],[2019]]</f>
        <v>1.1918936035465484</v>
      </c>
      <c r="N22" s="9" t="s">
        <v>32</v>
      </c>
      <c r="U22" s="35"/>
      <c r="V22" s="43"/>
      <c r="W22" s="44"/>
      <c r="X22" s="45"/>
    </row>
    <row r="23" spans="2:24" x14ac:dyDescent="0.2">
      <c r="B23" s="8" t="s">
        <v>13</v>
      </c>
      <c r="C23" s="6">
        <v>-150</v>
      </c>
      <c r="D23" s="6">
        <v>-160</v>
      </c>
      <c r="E23" s="6">
        <v>-171</v>
      </c>
      <c r="F23" s="6">
        <v>-158</v>
      </c>
      <c r="G23" s="6">
        <v>-160</v>
      </c>
      <c r="H23" s="6">
        <v>-169</v>
      </c>
      <c r="I23" s="35">
        <v>-154</v>
      </c>
      <c r="J23" s="43">
        <f>(Table2[[#This Row],[2025]]-Table2[[#This Row],[2024]])/Table2[[#This Row],[2024]]</f>
        <v>-8.8757396449704137E-2</v>
      </c>
      <c r="K23" s="44">
        <f>(Table2[[#This Row],[2025]]-Table2[[#This Row],[2023]])/Table2[[#This Row],[2023]]</f>
        <v>-3.7499999999999999E-2</v>
      </c>
      <c r="L23" s="45">
        <f>(Table2[[#This Row],[2025]]-Table2[[#This Row],[2019]])/Table2[[#This Row],[2019]]</f>
        <v>2.6666666666666668E-2</v>
      </c>
      <c r="N23" s="9" t="s">
        <v>22</v>
      </c>
      <c r="U23" s="35"/>
      <c r="V23" s="43"/>
      <c r="W23" s="44"/>
      <c r="X23" s="45"/>
    </row>
    <row r="24" spans="2:24" x14ac:dyDescent="0.2">
      <c r="B24" s="8" t="s">
        <v>14</v>
      </c>
      <c r="C24" s="6">
        <v>178</v>
      </c>
      <c r="D24" s="6">
        <v>92</v>
      </c>
      <c r="E24" s="6">
        <v>143</v>
      </c>
      <c r="F24" s="6">
        <v>205</v>
      </c>
      <c r="G24" s="6">
        <v>533</v>
      </c>
      <c r="H24" s="6">
        <v>624</v>
      </c>
      <c r="I24" s="35">
        <v>589</v>
      </c>
      <c r="J24" s="43">
        <f>(Table2[[#This Row],[2025]]-Table2[[#This Row],[2024]])/Table2[[#This Row],[2024]]</f>
        <v>-5.6089743589743592E-2</v>
      </c>
      <c r="K24" s="44">
        <f>(Table2[[#This Row],[2025]]-Table2[[#This Row],[2023]])/Table2[[#This Row],[2023]]</f>
        <v>0.1050656660412758</v>
      </c>
      <c r="L24" s="45">
        <f>(Table2[[#This Row],[2025]]-Table2[[#This Row],[2019]])/Table2[[#This Row],[2019]]</f>
        <v>2.308988764044944</v>
      </c>
      <c r="N24" s="15" t="s">
        <v>33</v>
      </c>
      <c r="O24" s="6">
        <v>11679</v>
      </c>
      <c r="P24" s="6">
        <v>14172</v>
      </c>
      <c r="Q24" s="6">
        <v>16278</v>
      </c>
      <c r="R24" s="6">
        <v>17848</v>
      </c>
      <c r="S24" s="6">
        <v>17483</v>
      </c>
      <c r="T24" s="6">
        <v>19421</v>
      </c>
      <c r="U24" s="35">
        <v>19783</v>
      </c>
      <c r="V24" s="43">
        <f>(Table1[[#This Row],[2025]]-Table1[[#This Row],[2024]])/Table1[[#This Row],[2024]]</f>
        <v>1.8639616909530921E-2</v>
      </c>
      <c r="W24" s="44">
        <f>(Table1[[#This Row],[2025]]-Table1[[#This Row],[2023]])/Table1[[#This Row],[2023]]</f>
        <v>0.13155636904421439</v>
      </c>
      <c r="X24" s="32">
        <f>(Table1[[#This Row],[2025]]-Table1[[#This Row],[2019]])/Table1[[#This Row],[2019]]</f>
        <v>0.69389502525901192</v>
      </c>
    </row>
    <row r="25" spans="2:24" ht="13.5" thickBot="1" x14ac:dyDescent="0.25">
      <c r="B25" s="18" t="s">
        <v>15</v>
      </c>
      <c r="C25" s="13">
        <f t="shared" ref="C25:G25" si="5">SUM(C22:C24)</f>
        <v>4765</v>
      </c>
      <c r="D25" s="13">
        <f t="shared" si="5"/>
        <v>5367</v>
      </c>
      <c r="E25" s="13">
        <f t="shared" si="5"/>
        <v>6680</v>
      </c>
      <c r="F25" s="13">
        <f t="shared" si="5"/>
        <v>7840</v>
      </c>
      <c r="G25" s="13">
        <f t="shared" si="5"/>
        <v>8487</v>
      </c>
      <c r="H25" s="13">
        <f>SUM(H22:H24)</f>
        <v>9740</v>
      </c>
      <c r="I25" s="13">
        <f>SUM(I22:I24)</f>
        <v>10818</v>
      </c>
      <c r="J25" s="46">
        <f>(Table2[[#This Row],[2025]]-Table2[[#This Row],[2024]])/Table2[[#This Row],[2024]]</f>
        <v>0.1106776180698152</v>
      </c>
      <c r="K25" s="47">
        <f>(Table2[[#This Row],[2025]]-Table2[[#This Row],[2023]])/Table2[[#This Row],[2023]]</f>
        <v>0.27465535524920465</v>
      </c>
      <c r="L25" s="48">
        <f>(Table2[[#This Row],[2025]]-Table2[[#This Row],[2019]])/Table2[[#This Row],[2019]]</f>
        <v>1.2703043022035676</v>
      </c>
      <c r="N25" s="15" t="s">
        <v>35</v>
      </c>
      <c r="O25" s="6">
        <v>3176</v>
      </c>
      <c r="P25" s="6">
        <v>3605</v>
      </c>
      <c r="Q25" s="6">
        <v>4090</v>
      </c>
      <c r="R25" s="6">
        <v>4381</v>
      </c>
      <c r="S25" s="6">
        <v>4278</v>
      </c>
      <c r="T25" s="6">
        <v>4794</v>
      </c>
      <c r="U25" s="35">
        <v>5205</v>
      </c>
      <c r="V25" s="32">
        <f>(Table1[[#This Row],[2025]]-Table1[[#This Row],[2024]])/Table1[[#This Row],[2024]]</f>
        <v>8.5732165206508129E-2</v>
      </c>
      <c r="W25" s="32">
        <f>(Table1[[#This Row],[2025]]-Table1[[#This Row],[2023]])/Table1[[#This Row],[2023]]</f>
        <v>0.21669004207573633</v>
      </c>
      <c r="X25" s="45">
        <f>(Table1[[#This Row],[2025]]-Table1[[#This Row],[2019]])/Table1[[#This Row],[2019]]</f>
        <v>0.63885390428211586</v>
      </c>
    </row>
    <row r="26" spans="2:24" x14ac:dyDescent="0.2">
      <c r="B26" s="15" t="s">
        <v>16</v>
      </c>
      <c r="C26" s="6">
        <v>1061</v>
      </c>
      <c r="D26" s="6">
        <v>1308</v>
      </c>
      <c r="E26" s="6">
        <v>1601</v>
      </c>
      <c r="F26" s="6">
        <v>1925</v>
      </c>
      <c r="G26" s="6">
        <v>2195</v>
      </c>
      <c r="H26" s="6">
        <v>2373</v>
      </c>
      <c r="I26" s="35">
        <v>2719</v>
      </c>
      <c r="J26" s="43">
        <f>(Table2[[#This Row],[2025]]-Table2[[#This Row],[2024]])/Table2[[#This Row],[2024]]</f>
        <v>0.14580699536451749</v>
      </c>
      <c r="K26" s="44">
        <f>(Table2[[#This Row],[2025]]-Table2[[#This Row],[2023]])/Table2[[#This Row],[2023]]</f>
        <v>0.2387243735763098</v>
      </c>
      <c r="L26" s="45">
        <f>(Table2[[#This Row],[2025]]-Table2[[#This Row],[2019]])/Table2[[#This Row],[2019]]</f>
        <v>1.5626767200754006</v>
      </c>
      <c r="N26" s="15" t="s">
        <v>34</v>
      </c>
      <c r="O26" s="6">
        <v>1180</v>
      </c>
      <c r="P26" s="6">
        <v>1393</v>
      </c>
      <c r="Q26" s="6">
        <v>1671</v>
      </c>
      <c r="R26" s="6">
        <v>1911</v>
      </c>
      <c r="S26" s="6">
        <v>2150</v>
      </c>
      <c r="T26" s="6">
        <v>2435</v>
      </c>
      <c r="U26" s="35">
        <v>2677</v>
      </c>
      <c r="V26" s="32">
        <f>(Table1[[#This Row],[2025]]-Table1[[#This Row],[2024]])/Table1[[#This Row],[2024]]</f>
        <v>9.9383983572895282E-2</v>
      </c>
      <c r="W26" s="32">
        <f>(Table1[[#This Row],[2025]]-Table1[[#This Row],[2023]])/Table1[[#This Row],[2023]]</f>
        <v>0.24511627906976743</v>
      </c>
      <c r="X26" s="45">
        <f>(Table1[[#This Row],[2025]]-Table1[[#This Row],[2019]])/Table1[[#This Row],[2019]]</f>
        <v>1.2686440677966102</v>
      </c>
    </row>
    <row r="27" spans="2:24" ht="13.5" thickBot="1" x14ac:dyDescent="0.25">
      <c r="B27" s="19" t="s">
        <v>17</v>
      </c>
      <c r="C27" s="13">
        <f t="shared" ref="C27:G27" si="6">C25-C26</f>
        <v>3704</v>
      </c>
      <c r="D27" s="13">
        <f t="shared" si="6"/>
        <v>4059</v>
      </c>
      <c r="E27" s="13">
        <f t="shared" si="6"/>
        <v>5079</v>
      </c>
      <c r="F27" s="13">
        <f t="shared" si="6"/>
        <v>5915</v>
      </c>
      <c r="G27" s="13">
        <f t="shared" si="6"/>
        <v>6292</v>
      </c>
      <c r="H27" s="13">
        <f>H25-H26</f>
        <v>7367</v>
      </c>
      <c r="I27" s="13">
        <f>I25-I26</f>
        <v>8099</v>
      </c>
      <c r="J27" s="50">
        <f>(Table2[[#This Row],[2025]]-Table2[[#This Row],[2024]])/Table2[[#This Row],[2024]]</f>
        <v>9.9362019818107772E-2</v>
      </c>
      <c r="K27" s="50">
        <f>(Table2[[#This Row],[2025]]-Table2[[#This Row],[2023]])/Table2[[#This Row],[2023]]</f>
        <v>0.28719008264462809</v>
      </c>
      <c r="L27" s="50">
        <f>(Table2[[#This Row],[2025]]-Table2[[#This Row],[2019]])/Table2[[#This Row],[2019]]</f>
        <v>1.1865550755939525</v>
      </c>
      <c r="N27" s="15" t="s">
        <v>36</v>
      </c>
      <c r="O27" s="6">
        <v>1711</v>
      </c>
      <c r="P27" s="6">
        <v>1851</v>
      </c>
      <c r="Q27" s="6">
        <v>2042</v>
      </c>
      <c r="R27" s="6">
        <v>2174</v>
      </c>
      <c r="S27" s="6">
        <v>2337</v>
      </c>
      <c r="T27" s="6">
        <v>2501</v>
      </c>
      <c r="U27" s="35">
        <v>2854</v>
      </c>
      <c r="V27" s="43">
        <f>(Table1[[#This Row],[2025]]-Table1[[#This Row],[2024]])/Table1[[#This Row],[2024]]</f>
        <v>0.14114354258296682</v>
      </c>
      <c r="W27" s="44">
        <f>(Table1[[#This Row],[2025]]-Table1[[#This Row],[2023]])/Table1[[#This Row],[2023]]</f>
        <v>0.22122379118528027</v>
      </c>
      <c r="X27" s="45">
        <f>(Table1[[#This Row],[2025]]-Table1[[#This Row],[2019]])/Table1[[#This Row],[2019]]</f>
        <v>0.66803039158386912</v>
      </c>
    </row>
    <row r="28" spans="2:24" x14ac:dyDescent="0.2">
      <c r="I28" s="35"/>
      <c r="J28" s="43"/>
      <c r="K28" s="44"/>
      <c r="L28" s="45"/>
      <c r="N28" s="15" t="s">
        <v>37</v>
      </c>
      <c r="O28" s="6">
        <v>1699</v>
      </c>
      <c r="P28" s="6">
        <v>95</v>
      </c>
      <c r="Q28" s="6">
        <v>799</v>
      </c>
      <c r="R28" s="6">
        <v>73</v>
      </c>
      <c r="S28" s="6">
        <v>1081</v>
      </c>
      <c r="T28" s="6">
        <v>103</v>
      </c>
      <c r="U28" s="35">
        <v>0</v>
      </c>
      <c r="V28" s="43">
        <f>(Table1[[#This Row],[2025]]-Table1[[#This Row],[2024]])/Table1[[#This Row],[2024]]</f>
        <v>-1</v>
      </c>
      <c r="W28" s="44">
        <f>(Table1[[#This Row],[2025]]-Table1[[#This Row],[2023]])/Table1[[#This Row],[2023]]</f>
        <v>-1</v>
      </c>
      <c r="X28" s="45">
        <f>(Table1[[#This Row],[2025]]-Table1[[#This Row],[2019]])/Table1[[#This Row],[2019]]</f>
        <v>-1</v>
      </c>
    </row>
    <row r="29" spans="2:24" x14ac:dyDescent="0.2">
      <c r="B29" s="8" t="s">
        <v>1</v>
      </c>
      <c r="C29" s="6">
        <v>442.923</v>
      </c>
      <c r="D29" s="6">
        <v>443.90100000000001</v>
      </c>
      <c r="E29" s="6">
        <v>444.346</v>
      </c>
      <c r="F29" s="6">
        <v>444.75700000000001</v>
      </c>
      <c r="G29" s="6">
        <v>444.452</v>
      </c>
      <c r="H29" s="6">
        <v>444.75900000000001</v>
      </c>
      <c r="I29" s="35">
        <v>444.803</v>
      </c>
      <c r="J29" s="43">
        <f>(Table2[[#This Row],[2025]]-Table2[[#This Row],[2024]])/Table2[[#This Row],[2024]]</f>
        <v>9.8929982304984764E-5</v>
      </c>
      <c r="K29" s="44">
        <f>(Table2[[#This Row],[2025]]-Table2[[#This Row],[2023]])/Table2[[#This Row],[2023]]</f>
        <v>7.8973657447823178E-4</v>
      </c>
      <c r="L29" s="45">
        <f>(Table2[[#This Row],[2025]]-Table2[[#This Row],[2019]])/Table2[[#This Row],[2019]]</f>
        <v>4.244530087622443E-3</v>
      </c>
      <c r="N29" s="15" t="s">
        <v>27</v>
      </c>
      <c r="O29" s="6">
        <v>3792</v>
      </c>
      <c r="P29" s="6">
        <v>3728</v>
      </c>
      <c r="Q29" s="6">
        <v>4561</v>
      </c>
      <c r="R29" s="6">
        <v>5611</v>
      </c>
      <c r="S29" s="6">
        <v>6254</v>
      </c>
      <c r="T29" s="6">
        <v>6210</v>
      </c>
      <c r="U29" s="35">
        <v>6589</v>
      </c>
      <c r="V29" s="43">
        <f>(Table1[[#This Row],[2025]]-Table1[[#This Row],[2024]])/Table1[[#This Row],[2024]]</f>
        <v>6.1030595813204511E-2</v>
      </c>
      <c r="W29" s="44">
        <f>(Table1[[#This Row],[2025]]-Table1[[#This Row],[2023]])/Table1[[#This Row],[2023]]</f>
        <v>5.3565717940518065E-2</v>
      </c>
      <c r="X29" s="45">
        <f>(Table1[[#This Row],[2025]]-Table1[[#This Row],[2019]])/Table1[[#This Row],[2019]]</f>
        <v>0.73760548523206748</v>
      </c>
    </row>
    <row r="30" spans="2:24" ht="13.5" thickBot="1" x14ac:dyDescent="0.25">
      <c r="B30" s="8" t="s">
        <v>18</v>
      </c>
      <c r="C30" s="20">
        <f t="shared" ref="C30:G30" si="7">C27/C29</f>
        <v>8.3626273641242381</v>
      </c>
      <c r="D30" s="20">
        <f t="shared" si="7"/>
        <v>9.143930741313941</v>
      </c>
      <c r="E30" s="20">
        <f t="shared" si="7"/>
        <v>11.430281807420343</v>
      </c>
      <c r="F30" s="20">
        <f t="shared" si="7"/>
        <v>13.299397198919859</v>
      </c>
      <c r="G30" s="20">
        <f t="shared" si="7"/>
        <v>14.156759335091303</v>
      </c>
      <c r="H30" s="20">
        <f>H27/H29</f>
        <v>16.564026810025204</v>
      </c>
      <c r="I30" s="20">
        <f>I27/I29</f>
        <v>18.208060647072973</v>
      </c>
      <c r="J30" s="43">
        <f>(Table2[[#This Row],[2025]]-Table2[[#This Row],[2024]])/Table2[[#This Row],[2024]]</f>
        <v>9.9253270711487498E-2</v>
      </c>
      <c r="K30" s="44">
        <f>(Table2[[#This Row],[2025]]-Table2[[#This Row],[2023]])/Table2[[#This Row],[2023]]</f>
        <v>0.28617434372423345</v>
      </c>
      <c r="L30" s="45">
        <f>(Table2[[#This Row],[2025]]-Table2[[#This Row],[2019]])/Table2[[#This Row],[2019]]</f>
        <v>1.1773134033432782</v>
      </c>
      <c r="N30" s="19" t="s">
        <v>38</v>
      </c>
      <c r="O30" s="13">
        <f t="shared" ref="O30:S30" si="8">SUM(O24:O29)</f>
        <v>23237</v>
      </c>
      <c r="P30" s="13">
        <f t="shared" si="8"/>
        <v>24844</v>
      </c>
      <c r="Q30" s="13">
        <f t="shared" si="8"/>
        <v>29441</v>
      </c>
      <c r="R30" s="13">
        <f t="shared" si="8"/>
        <v>31998</v>
      </c>
      <c r="S30" s="13">
        <f t="shared" si="8"/>
        <v>33583</v>
      </c>
      <c r="T30" s="13">
        <f>SUM(T24:T29)</f>
        <v>35464</v>
      </c>
      <c r="U30" s="13">
        <f>SUM(U24:U29)</f>
        <v>37108</v>
      </c>
      <c r="V30" s="50">
        <f>(Table1[[#This Row],[2025]]-Table1[[#This Row],[2024]])/Table1[[#This Row],[2024]]</f>
        <v>4.6356868937514097E-2</v>
      </c>
      <c r="W30" s="50">
        <f>(Table1[[#This Row],[2025]]-Table1[[#This Row],[2023]])/Table1[[#This Row],[2023]]</f>
        <v>0.10496382098085341</v>
      </c>
      <c r="X30" s="48">
        <f>(Table1[[#This Row],[2025]]-Table1[[#This Row],[2019]])/Table1[[#This Row],[2019]]</f>
        <v>0.59693592116021865</v>
      </c>
    </row>
    <row r="31" spans="2:24" x14ac:dyDescent="0.2">
      <c r="B31" s="8" t="s">
        <v>0</v>
      </c>
      <c r="C31" s="20">
        <v>294.63</v>
      </c>
      <c r="D31" s="20">
        <v>351.34</v>
      </c>
      <c r="E31" s="20">
        <v>456.21</v>
      </c>
      <c r="F31" s="20">
        <v>528.85</v>
      </c>
      <c r="G31" s="20">
        <v>544.14</v>
      </c>
      <c r="H31" s="20">
        <v>877.95</v>
      </c>
      <c r="I31" s="35">
        <v>943.26</v>
      </c>
      <c r="J31" s="43">
        <f>(Table2[[#This Row],[2025]]-Table2[[#This Row],[2024]])/Table2[[#This Row],[2024]]</f>
        <v>7.4389202118571612E-2</v>
      </c>
      <c r="K31" s="44">
        <f>(Table2[[#This Row],[2025]]-Table2[[#This Row],[2023]])/Table2[[#This Row],[2023]]</f>
        <v>0.73348770536994157</v>
      </c>
      <c r="L31" s="45">
        <f>(Table2[[#This Row],[2025]]-Table2[[#This Row],[2019]])/Table2[[#This Row],[2019]]</f>
        <v>2.2015069748498117</v>
      </c>
      <c r="N31" s="15" t="s">
        <v>39</v>
      </c>
      <c r="O31" s="6">
        <v>5124</v>
      </c>
      <c r="P31" s="6">
        <v>7514</v>
      </c>
      <c r="Q31" s="6">
        <v>6692</v>
      </c>
      <c r="R31" s="6">
        <v>6484</v>
      </c>
      <c r="S31" s="6">
        <v>5377</v>
      </c>
      <c r="T31" s="6">
        <v>5794</v>
      </c>
      <c r="U31" s="35">
        <v>5713</v>
      </c>
      <c r="V31" s="43">
        <f>(Table1[[#This Row],[2025]]-Table1[[#This Row],[2024]])/Table1[[#This Row],[2024]]</f>
        <v>-1.3979979288919572E-2</v>
      </c>
      <c r="W31" s="44">
        <f>(Table1[[#This Row],[2025]]-Table1[[#This Row],[2023]])/Table1[[#This Row],[2023]]</f>
        <v>6.2488376418076995E-2</v>
      </c>
      <c r="X31" s="45">
        <f>(Table1[[#This Row],[2025]]-Table1[[#This Row],[2019]])/Table1[[#This Row],[2019]]</f>
        <v>0.11494925839188135</v>
      </c>
    </row>
    <row r="32" spans="2:24" x14ac:dyDescent="0.2">
      <c r="B32" s="8" t="s">
        <v>2</v>
      </c>
      <c r="C32" s="6">
        <f>C29*C31</f>
        <v>130498.40349</v>
      </c>
      <c r="D32" s="6">
        <f t="shared" ref="D32:I32" si="9">D29*D31</f>
        <v>155960.17733999999</v>
      </c>
      <c r="E32" s="6">
        <f t="shared" si="9"/>
        <v>202715.08865999998</v>
      </c>
      <c r="F32" s="6">
        <f t="shared" si="9"/>
        <v>235209.73945000002</v>
      </c>
      <c r="G32" s="6">
        <f t="shared" si="9"/>
        <v>241844.11127999998</v>
      </c>
      <c r="H32" s="6">
        <f t="shared" si="9"/>
        <v>390476.16405000002</v>
      </c>
      <c r="I32" s="6">
        <f t="shared" si="9"/>
        <v>419564.87777999998</v>
      </c>
      <c r="J32" s="43">
        <f>(Table2[[#This Row],[2025]]-Table2[[#This Row],[2024]])/Table2[[#This Row],[2024]]</f>
        <v>7.4495491423325857E-2</v>
      </c>
      <c r="K32" s="44">
        <f>(Table2[[#This Row],[2025]]-Table2[[#This Row],[2023]])/Table2[[#This Row],[2023]]</f>
        <v>0.73485670401228065</v>
      </c>
      <c r="L32" s="45">
        <f>(Table2[[#This Row],[2025]]-Table2[[#This Row],[2019]])/Table2[[#This Row],[2019]]</f>
        <v>2.2150958675302945</v>
      </c>
      <c r="N32" s="15" t="s">
        <v>40</v>
      </c>
      <c r="O32" s="6">
        <v>0</v>
      </c>
      <c r="P32" s="6">
        <v>2558</v>
      </c>
      <c r="Q32" s="6">
        <v>2642</v>
      </c>
      <c r="R32" s="6">
        <v>2482</v>
      </c>
      <c r="S32" s="6">
        <v>2426</v>
      </c>
      <c r="T32" s="6">
        <v>2375</v>
      </c>
      <c r="U32" s="35">
        <v>2460</v>
      </c>
      <c r="V32" s="43">
        <f>(Table1[[#This Row],[2025]]-Table1[[#This Row],[2024]])/Table1[[#This Row],[2024]]</f>
        <v>3.5789473684210524E-2</v>
      </c>
      <c r="W32" s="44">
        <f>(Table1[[#This Row],[2025]]-Table1[[#This Row],[2023]])/Table1[[#This Row],[2023]]</f>
        <v>1.4014839241549877E-2</v>
      </c>
      <c r="X32" s="45" t="e">
        <f>(Table1[[#This Row],[2025]]-Table1[[#This Row],[2019]])/Table1[[#This Row],[2019]]</f>
        <v>#DIV/0!</v>
      </c>
    </row>
    <row r="33" spans="2:24" x14ac:dyDescent="0.2">
      <c r="B33" s="8" t="s">
        <v>57</v>
      </c>
      <c r="C33" s="36">
        <f>C27/C15</f>
        <v>2.4256235961310518E-2</v>
      </c>
      <c r="D33" s="36">
        <f t="shared" ref="D33:I33" si="10">D27/D15</f>
        <v>2.4340223433536617E-2</v>
      </c>
      <c r="E33" s="36">
        <f t="shared" si="10"/>
        <v>2.5922655655875343E-2</v>
      </c>
      <c r="F33" s="36">
        <f t="shared" si="10"/>
        <v>2.6062550120288693E-2</v>
      </c>
      <c r="G33" s="36">
        <f t="shared" si="10"/>
        <v>2.5968880267448098E-2</v>
      </c>
      <c r="H33" s="36">
        <f t="shared" si="10"/>
        <v>2.8952301603832536E-2</v>
      </c>
      <c r="I33" s="36">
        <f t="shared" si="10"/>
        <v>2.9425763438516175E-2</v>
      </c>
      <c r="J33" s="43">
        <f>(Table2[[#This Row],[2025]]-Table2[[#This Row],[2024]])/Table2[[#This Row],[2024]]</f>
        <v>1.6353167397957939E-2</v>
      </c>
      <c r="K33" s="32">
        <f>(Table2[[#This Row],[2025]]-Table2[[#This Row],[2023]])/Table2[[#This Row],[2023]]</f>
        <v>0.13311637373141838</v>
      </c>
      <c r="L33" s="32">
        <f>(Table2[[#This Row],[2025]]-Table2[[#This Row],[2019]])/Table2[[#This Row],[2019]]</f>
        <v>0.21312158594809272</v>
      </c>
      <c r="N33" s="15" t="s">
        <v>27</v>
      </c>
      <c r="O33" s="6">
        <v>1455</v>
      </c>
      <c r="P33" s="6">
        <v>1935</v>
      </c>
      <c r="Q33" s="6">
        <v>2415</v>
      </c>
      <c r="R33" s="6">
        <v>2555</v>
      </c>
      <c r="S33" s="6">
        <v>2550</v>
      </c>
      <c r="T33" s="6">
        <v>2576</v>
      </c>
      <c r="U33" s="35">
        <v>2654</v>
      </c>
      <c r="V33" s="43">
        <f>(Table1[[#This Row],[2025]]-Table1[[#This Row],[2024]])/Table1[[#This Row],[2024]]</f>
        <v>3.0279503105590064E-2</v>
      </c>
      <c r="W33" s="44">
        <f>(Table1[[#This Row],[2025]]-Table1[[#This Row],[2023]])/Table1[[#This Row],[2023]]</f>
        <v>4.0784313725490198E-2</v>
      </c>
      <c r="X33" s="45">
        <f>(Table1[[#This Row],[2025]]-Table1[[#This Row],[2019]])/Table1[[#This Row],[2019]]</f>
        <v>0.82405498281786937</v>
      </c>
    </row>
    <row r="34" spans="2:24" ht="13.5" thickBot="1" x14ac:dyDescent="0.25">
      <c r="B34" s="8" t="s">
        <v>58</v>
      </c>
      <c r="C34" s="4">
        <f t="shared" ref="C34:H34" si="11">C15/O20</f>
        <v>3.363502202643172</v>
      </c>
      <c r="D34" s="4">
        <f t="shared" si="11"/>
        <v>3.001673986608107</v>
      </c>
      <c r="E34" s="4">
        <f t="shared" si="11"/>
        <v>3.3058142673955593</v>
      </c>
      <c r="F34" s="4">
        <f t="shared" si="11"/>
        <v>3.5369822024124926</v>
      </c>
      <c r="G34" s="4">
        <f t="shared" si="11"/>
        <v>3.5117546453314783</v>
      </c>
      <c r="H34" s="4">
        <f t="shared" si="11"/>
        <v>3.6438401283097765</v>
      </c>
      <c r="I34" s="4">
        <f t="shared" ref="I34" si="12">I15/U20</f>
        <v>3.5698906600604419</v>
      </c>
      <c r="J34" s="43">
        <f>(Table2[[#This Row],[2025]]-Table2[[#This Row],[2024]])/Table2[[#This Row],[2024]]</f>
        <v>-2.0294377811695245E-2</v>
      </c>
      <c r="K34" s="44">
        <f>(Table2[[#This Row],[2025]]-Table2[[#This Row],[2023]])/Table2[[#This Row],[2023]]</f>
        <v>1.6554691486277241E-2</v>
      </c>
      <c r="L34" s="45">
        <f>(Table2[[#This Row],[2025]]-Table2[[#This Row],[2019]])/Table2[[#This Row],[2019]]</f>
        <v>6.1361178017092337E-2</v>
      </c>
      <c r="N34" s="19" t="s">
        <v>41</v>
      </c>
      <c r="O34" s="13">
        <f t="shared" ref="O34:S34" si="13">SUM(O30:O33)</f>
        <v>29816</v>
      </c>
      <c r="P34" s="13">
        <f t="shared" si="13"/>
        <v>36851</v>
      </c>
      <c r="Q34" s="13">
        <f t="shared" si="13"/>
        <v>41190</v>
      </c>
      <c r="R34" s="13">
        <f t="shared" si="13"/>
        <v>43519</v>
      </c>
      <c r="S34" s="13">
        <f t="shared" si="13"/>
        <v>43936</v>
      </c>
      <c r="T34" s="13">
        <f>SUM(T30:T33)</f>
        <v>46209</v>
      </c>
      <c r="U34" s="13">
        <f>SUM(U30:U33)</f>
        <v>47935</v>
      </c>
      <c r="V34" s="46">
        <f>(Table1[[#This Row],[2025]]-Table1[[#This Row],[2024]])/Table1[[#This Row],[2024]]</f>
        <v>3.7352030989634057E-2</v>
      </c>
      <c r="W34" s="47">
        <f>(Table1[[#This Row],[2025]]-Table1[[#This Row],[2023]])/Table1[[#This Row],[2023]]</f>
        <v>9.101875455207574E-2</v>
      </c>
      <c r="X34" s="48">
        <f>(Table1[[#This Row],[2025]]-Table1[[#This Row],[2019]])/Table1[[#This Row],[2019]]</f>
        <v>0.60769385564797429</v>
      </c>
    </row>
    <row r="35" spans="2:24" x14ac:dyDescent="0.2">
      <c r="B35" s="8" t="s">
        <v>59</v>
      </c>
      <c r="C35" s="4">
        <f>O20/O36</f>
        <v>2.9132443531827517</v>
      </c>
      <c r="D35" s="4">
        <f t="shared" ref="D35:H35" si="14">P20/P36</f>
        <v>2.9701149425287356</v>
      </c>
      <c r="E35" s="4">
        <f t="shared" si="14"/>
        <v>3.2784600066379026</v>
      </c>
      <c r="F35" s="4">
        <f t="shared" si="14"/>
        <v>3.1077638397830194</v>
      </c>
      <c r="G35" s="4">
        <f t="shared" si="14"/>
        <v>2.7533721765504029</v>
      </c>
      <c r="H35" s="4">
        <f t="shared" si="14"/>
        <v>2.9561849123698249</v>
      </c>
      <c r="I35" s="4">
        <f t="shared" ref="I35" si="15">U20/U36</f>
        <v>2.6436359895761896</v>
      </c>
      <c r="J35" s="32">
        <f>(Table2[[#This Row],[2025]]-Table2[[#This Row],[2024]])/Table2[[#This Row],[2024]]</f>
        <v>-0.10572712196920069</v>
      </c>
      <c r="K35" s="44">
        <f>(Table2[[#This Row],[2025]]-Table2[[#This Row],[2023]])/Table2[[#This Row],[2023]]</f>
        <v>-3.9855195715567102E-2</v>
      </c>
      <c r="L35" s="45">
        <f>(Table2[[#This Row],[2025]]-Table2[[#This Row],[2019]])/Table2[[#This Row],[2019]]</f>
        <v>-9.254574313754764E-2</v>
      </c>
      <c r="U35" s="35"/>
      <c r="V35" s="43"/>
      <c r="W35" s="44"/>
      <c r="X35" s="45"/>
    </row>
    <row r="36" spans="2:24" x14ac:dyDescent="0.2">
      <c r="B36" s="8" t="s">
        <v>60</v>
      </c>
      <c r="C36" s="80">
        <f>C33*C34*C35</f>
        <v>0.23767967145790558</v>
      </c>
      <c r="D36" s="80">
        <f t="shared" ref="D36:H36" si="16">D33*D34*D35</f>
        <v>0.21700080192461907</v>
      </c>
      <c r="E36" s="80">
        <f t="shared" si="16"/>
        <v>0.28094922004646533</v>
      </c>
      <c r="F36" s="80">
        <f t="shared" si="16"/>
        <v>0.28648229767036371</v>
      </c>
      <c r="G36" s="80">
        <f t="shared" si="16"/>
        <v>0.25109745390693589</v>
      </c>
      <c r="H36" s="80">
        <f t="shared" si="16"/>
        <v>0.31187029040724751</v>
      </c>
      <c r="I36" s="80">
        <f t="shared" ref="I36" si="17">I33*I34*I35</f>
        <v>0.27770539020710461</v>
      </c>
      <c r="J36" s="32">
        <f>(Table2[[#This Row],[2025]]-Table2[[#This Row],[2024]])/Table2[[#This Row],[2024]]</f>
        <v>-0.10954842846854561</v>
      </c>
      <c r="K36" s="44">
        <f>(Table2[[#This Row],[2025]]-Table2[[#This Row],[2023]])/Table2[[#This Row],[2023]]</f>
        <v>0.10596657148913348</v>
      </c>
      <c r="L36" s="45">
        <f>(Table2[[#This Row],[2025]]-Table2[[#This Row],[2019]])/Table2[[#This Row],[2019]]</f>
        <v>0.16840194411110082</v>
      </c>
      <c r="N36" s="9" t="s">
        <v>42</v>
      </c>
      <c r="O36" s="17">
        <f t="shared" ref="O36:S36" si="18">O20-O34</f>
        <v>15584</v>
      </c>
      <c r="P36" s="17">
        <f t="shared" si="18"/>
        <v>18705</v>
      </c>
      <c r="Q36" s="17">
        <f t="shared" si="18"/>
        <v>18078</v>
      </c>
      <c r="R36" s="17">
        <f t="shared" si="18"/>
        <v>20647</v>
      </c>
      <c r="S36" s="17">
        <f t="shared" si="18"/>
        <v>25058</v>
      </c>
      <c r="T36" s="17">
        <f>T20-T34</f>
        <v>23622</v>
      </c>
      <c r="U36" s="17">
        <f>U20-U34</f>
        <v>29164</v>
      </c>
      <c r="V36" s="32">
        <f>(Table1[[#This Row],[2025]]-Table1[[#This Row],[2024]])/Table1[[#This Row],[2024]]</f>
        <v>0.23461180255693845</v>
      </c>
      <c r="W36" s="49">
        <f>(Table1[[#This Row],[2025]]-Table1[[#This Row],[2023]])/Table1[[#This Row],[2023]]</f>
        <v>0.16385984515923058</v>
      </c>
      <c r="X36" s="32">
        <f>(Table1[[#This Row],[2025]]-Table1[[#This Row],[2019]])/Table1[[#This Row],[2019]]</f>
        <v>0.87140657084188911</v>
      </c>
    </row>
    <row r="37" spans="2:24" x14ac:dyDescent="0.2">
      <c r="B37" s="8" t="s">
        <v>62</v>
      </c>
      <c r="C37" s="80">
        <f t="shared" ref="C37:H37" si="19">C27/O20</f>
        <v>8.1585903083700437E-2</v>
      </c>
      <c r="D37" s="80">
        <f t="shared" si="19"/>
        <v>7.3061415508675925E-2</v>
      </c>
      <c r="E37" s="80">
        <f t="shared" si="19"/>
        <v>8.5695484915974895E-2</v>
      </c>
      <c r="F37" s="80">
        <f t="shared" si="19"/>
        <v>9.2182775924944671E-2</v>
      </c>
      <c r="G37" s="80">
        <f t="shared" si="19"/>
        <v>9.1196335913267826E-2</v>
      </c>
      <c r="H37" s="80">
        <f t="shared" si="19"/>
        <v>0.1054975583909725</v>
      </c>
      <c r="I37" s="80">
        <f t="shared" ref="I37" si="20">I27/U20</f>
        <v>0.10504675806430692</v>
      </c>
      <c r="J37" s="43">
        <f>(Table2[[#This Row],[2025]]-Table2[[#This Row],[2024]])/Table2[[#This Row],[2024]]</f>
        <v>-4.2730877713293702E-3</v>
      </c>
      <c r="K37" s="44">
        <f>(Table2[[#This Row],[2025]]-Table2[[#This Row],[2023]])/Table2[[#This Row],[2023]]</f>
        <v>0.15187476571659114</v>
      </c>
      <c r="L37" s="45">
        <f>(Table2[[#This Row],[2025]]-Table2[[#This Row],[2019]])/Table2[[#This Row],[2019]]</f>
        <v>0.28756015553983116</v>
      </c>
      <c r="N37" s="8" t="s">
        <v>23</v>
      </c>
      <c r="O37" s="6">
        <f>O11+O12</f>
        <v>9444</v>
      </c>
      <c r="P37" s="6">
        <f t="shared" ref="P37:T37" si="21">P11+P12</f>
        <v>13305</v>
      </c>
      <c r="Q37" s="6">
        <f t="shared" si="21"/>
        <v>12175</v>
      </c>
      <c r="R37" s="6">
        <f t="shared" si="21"/>
        <v>11049</v>
      </c>
      <c r="S37" s="6">
        <f t="shared" si="21"/>
        <v>15234</v>
      </c>
      <c r="T37" s="6">
        <f t="shared" si="21"/>
        <v>11144</v>
      </c>
      <c r="U37" s="6">
        <f t="shared" ref="U37" si="22">U11+U12</f>
        <v>15284</v>
      </c>
      <c r="V37" s="43">
        <f>(Table1[[#This Row],[2025]]-Table1[[#This Row],[2024]])/Table1[[#This Row],[2024]]</f>
        <v>0.37150035893754485</v>
      </c>
      <c r="W37" s="44">
        <f>(Table1[[#This Row],[2025]]-Table1[[#This Row],[2023]])/Table1[[#This Row],[2023]]</f>
        <v>3.2821320729946174E-3</v>
      </c>
      <c r="X37" s="45">
        <f>(Table1[[#This Row],[2025]]-Table1[[#This Row],[2019]])/Table1[[#This Row],[2019]]</f>
        <v>0.61838204150783571</v>
      </c>
    </row>
    <row r="38" spans="2:24" x14ac:dyDescent="0.2">
      <c r="B38" s="8" t="s">
        <v>63</v>
      </c>
      <c r="C38" s="80">
        <f>C22/C15</f>
        <v>3.1021001552032378E-2</v>
      </c>
      <c r="D38" s="80">
        <f t="shared" ref="D38:H38" si="23">D22/D15</f>
        <v>3.259155318089961E-2</v>
      </c>
      <c r="E38" s="80">
        <f t="shared" si="23"/>
        <v>3.4236891935343926E-2</v>
      </c>
      <c r="F38" s="80">
        <f t="shared" si="23"/>
        <v>3.4337354706240032E-2</v>
      </c>
      <c r="G38" s="80">
        <f t="shared" si="23"/>
        <v>3.3488794419910026E-2</v>
      </c>
      <c r="H38" s="80">
        <f t="shared" si="23"/>
        <v>3.6490039417888566E-2</v>
      </c>
      <c r="I38" s="80">
        <f t="shared" ref="I38" si="24">I22/I15</f>
        <v>3.7724126655403561E-2</v>
      </c>
      <c r="J38" s="32">
        <f>(Table2[[#This Row],[2025]]-Table2[[#This Row],[2024]])/Table2[[#This Row],[2024]]</f>
        <v>3.3819838432676705E-2</v>
      </c>
      <c r="K38" s="44">
        <f>(Table2[[#This Row],[2025]]-Table2[[#This Row],[2023]])/Table2[[#This Row],[2023]]</f>
        <v>0.12647013154273215</v>
      </c>
      <c r="L38" s="32">
        <f>(Table2[[#This Row],[2025]]-Table2[[#This Row],[2019]])/Table2[[#This Row],[2019]]</f>
        <v>0.21608345211317076</v>
      </c>
      <c r="N38" s="8" t="s">
        <v>53</v>
      </c>
      <c r="O38" s="6">
        <f>O28+O31</f>
        <v>6823</v>
      </c>
      <c r="P38" s="6">
        <f t="shared" ref="P38:T38" si="25">P28+P31</f>
        <v>7609</v>
      </c>
      <c r="Q38" s="6">
        <f t="shared" si="25"/>
        <v>7491</v>
      </c>
      <c r="R38" s="6">
        <f t="shared" si="25"/>
        <v>6557</v>
      </c>
      <c r="S38" s="6">
        <f t="shared" si="25"/>
        <v>6458</v>
      </c>
      <c r="T38" s="6">
        <f t="shared" si="25"/>
        <v>5897</v>
      </c>
      <c r="U38" s="6">
        <f t="shared" ref="U38" si="26">U28+U31</f>
        <v>5713</v>
      </c>
      <c r="V38" s="43">
        <f>(Table1[[#This Row],[2025]]-Table1[[#This Row],[2024]])/Table1[[#This Row],[2024]]</f>
        <v>-3.1202306257419026E-2</v>
      </c>
      <c r="W38" s="44">
        <f>(Table1[[#This Row],[2025]]-Table1[[#This Row],[2023]])/Table1[[#This Row],[2023]]</f>
        <v>-0.11536079281511304</v>
      </c>
      <c r="X38" s="45">
        <f>(Table1[[#This Row],[2025]]-Table1[[#This Row],[2019]])/Table1[[#This Row],[2019]]</f>
        <v>-0.16268503590795838</v>
      </c>
    </row>
    <row r="39" spans="2:24" x14ac:dyDescent="0.2">
      <c r="B39" s="78" t="s">
        <v>98</v>
      </c>
      <c r="C39" s="79">
        <f>C27-C23-C24</f>
        <v>3676</v>
      </c>
      <c r="D39" s="79">
        <f t="shared" ref="D39:I39" si="27">D27-D23-D24</f>
        <v>4127</v>
      </c>
      <c r="E39" s="79">
        <f t="shared" si="27"/>
        <v>5107</v>
      </c>
      <c r="F39" s="79">
        <f t="shared" si="27"/>
        <v>5868</v>
      </c>
      <c r="G39" s="79">
        <f t="shared" si="27"/>
        <v>5919</v>
      </c>
      <c r="H39" s="79">
        <f t="shared" si="27"/>
        <v>6912</v>
      </c>
      <c r="I39" s="79">
        <f t="shared" si="27"/>
        <v>7664</v>
      </c>
      <c r="J39" s="43">
        <f>(Table2[[#This Row],[2025]]-Table2[[#This Row],[2024]])/Table2[[#This Row],[2024]]</f>
        <v>0.10879629629629629</v>
      </c>
      <c r="K39" s="44">
        <f>(Table2[[#This Row],[2025]]-Table2[[#This Row],[2023]])/Table2[[#This Row],[2023]]</f>
        <v>0.29481331305963843</v>
      </c>
      <c r="L39" s="45">
        <f>(Table2[[#This Row],[2025]]-Table2[[#This Row],[2019]])/Table2[[#This Row],[2019]]</f>
        <v>1.0848748639825898</v>
      </c>
      <c r="N39" s="8" t="s">
        <v>54</v>
      </c>
      <c r="O39" s="6">
        <f t="shared" ref="O39:T39" si="28">C32-O37+O38</f>
        <v>127877.40349</v>
      </c>
      <c r="P39" s="6">
        <f t="shared" si="28"/>
        <v>150264.17733999999</v>
      </c>
      <c r="Q39" s="6">
        <f t="shared" si="28"/>
        <v>198031.08865999998</v>
      </c>
      <c r="R39" s="6">
        <f t="shared" si="28"/>
        <v>230717.73945000002</v>
      </c>
      <c r="S39" s="6">
        <f t="shared" si="28"/>
        <v>233068.11127999998</v>
      </c>
      <c r="T39" s="6">
        <f t="shared" si="28"/>
        <v>385229.16405000002</v>
      </c>
      <c r="U39" s="6">
        <f t="shared" ref="U39" si="29">I32-U37+U38</f>
        <v>409993.87777999998</v>
      </c>
      <c r="V39" s="32">
        <f>(Table1[[#This Row],[2025]]-Table1[[#This Row],[2024]])/Table1[[#This Row],[2024]]</f>
        <v>6.4285666925221877E-2</v>
      </c>
      <c r="W39" s="32">
        <f>(Table1[[#This Row],[2025]]-Table1[[#This Row],[2023]])/Table1[[#This Row],[2023]]</f>
        <v>0.75911614647036585</v>
      </c>
      <c r="X39" s="32">
        <f>(Table1[[#This Row],[2025]]-Table1[[#This Row],[2019]])/Table1[[#This Row],[2019]]</f>
        <v>2.206147971342423</v>
      </c>
    </row>
    <row r="40" spans="2:24" x14ac:dyDescent="0.2">
      <c r="B40" s="78" t="s">
        <v>100</v>
      </c>
      <c r="C40" s="81">
        <f>C39/C15</f>
        <v>2.4072873486441E-2</v>
      </c>
      <c r="D40" s="81">
        <f t="shared" ref="D40:I40" si="30">D39/D15</f>
        <v>2.4747992636167927E-2</v>
      </c>
      <c r="E40" s="81">
        <f t="shared" si="30"/>
        <v>2.6065564566756325E-2</v>
      </c>
      <c r="F40" s="81">
        <f t="shared" si="30"/>
        <v>2.5855459696678622E-2</v>
      </c>
      <c r="G40" s="81">
        <f t="shared" si="30"/>
        <v>2.4429402781790416E-2</v>
      </c>
      <c r="H40" s="81">
        <f t="shared" si="30"/>
        <v>2.7164152122395886E-2</v>
      </c>
      <c r="I40" s="81">
        <f t="shared" si="30"/>
        <v>2.7845295838101986E-2</v>
      </c>
      <c r="J40" s="43">
        <f>(Table2[[#This Row],[2025]]-Table2[[#This Row],[2024]])/Table2[[#This Row],[2024]]</f>
        <v>2.5075095759919622E-2</v>
      </c>
      <c r="K40" s="44">
        <f>(Table2[[#This Row],[2025]]-Table2[[#This Row],[2023]])/Table2[[#This Row],[2023]]</f>
        <v>0.13982712090112015</v>
      </c>
      <c r="L40" s="45">
        <f>(Table2[[#This Row],[2025]]-Table2[[#This Row],[2019]])/Table2[[#This Row],[2019]]</f>
        <v>0.15670843589926212</v>
      </c>
      <c r="N40" s="8" t="s">
        <v>55</v>
      </c>
      <c r="O40" s="5">
        <f t="shared" ref="O40:T40" si="31">O39/C22</f>
        <v>26.995440888748153</v>
      </c>
      <c r="P40" s="5">
        <f t="shared" si="31"/>
        <v>27.647502730450782</v>
      </c>
      <c r="Q40" s="5">
        <f t="shared" si="31"/>
        <v>29.521629197972565</v>
      </c>
      <c r="R40" s="5">
        <f t="shared" si="31"/>
        <v>29.605766643141283</v>
      </c>
      <c r="S40" s="5">
        <f t="shared" si="31"/>
        <v>28.724194143455755</v>
      </c>
      <c r="T40" s="5">
        <f t="shared" si="31"/>
        <v>41.489409159935384</v>
      </c>
      <c r="U40" s="5">
        <f t="shared" ref="U40" si="32">U39/I22</f>
        <v>39.487034361937781</v>
      </c>
      <c r="V40" s="32">
        <f>(Table1[[#This Row],[2025]]-Table1[[#This Row],[2024]])/Table1[[#This Row],[2024]]</f>
        <v>-4.8262311721016617E-2</v>
      </c>
      <c r="W40" s="44">
        <f>(Table1[[#This Row],[2025]]-Table1[[#This Row],[2023]])/Table1[[#This Row],[2023]]</f>
        <v>0.37469598501979656</v>
      </c>
      <c r="X40" s="45">
        <f>(Table1[[#This Row],[2025]]-Table1[[#This Row],[2019]])/Table1[[#This Row],[2019]]</f>
        <v>0.46272974479910023</v>
      </c>
    </row>
    <row r="41" spans="2:24" x14ac:dyDescent="0.2">
      <c r="B41" s="78" t="s">
        <v>102</v>
      </c>
      <c r="C41" s="85">
        <f>(1.2*C42)+(1.4*C43)+(3.3*C44)+(0.6*C45)+(1*C46)</f>
        <v>6.6567773042262743</v>
      </c>
      <c r="D41" s="85">
        <f t="shared" ref="D41:I41" si="33">(1.2*D42)+(1.4*D43)+(3.3*D44)+(0.6*D45)+(1*D46)</f>
        <v>6.2591294676076945</v>
      </c>
      <c r="E41" s="85">
        <f t="shared" si="33"/>
        <v>6.9090535424878041</v>
      </c>
      <c r="F41" s="85">
        <f t="shared" si="33"/>
        <v>7.5337186106904905</v>
      </c>
      <c r="G41" s="85">
        <f t="shared" si="33"/>
        <v>7.6385740152075563</v>
      </c>
      <c r="H41" s="85">
        <f t="shared" si="33"/>
        <v>9.4850544973730564</v>
      </c>
      <c r="I41" s="85">
        <f t="shared" si="33"/>
        <v>9.6970649000834648</v>
      </c>
      <c r="J41" s="43">
        <f>(Table2[[#This Row],[2025]]-Table2[[#This Row],[2024]])/Table2[[#This Row],[2024]]</f>
        <v>2.2352048980754508E-2</v>
      </c>
      <c r="K41" s="44">
        <f>(Table2[[#This Row],[2025]]-Table2[[#This Row],[2023]])/Table2[[#This Row],[2023]]</f>
        <v>0.26948627856163737</v>
      </c>
      <c r="L41" s="45">
        <f>(Table2[[#This Row],[2025]]-Table2[[#This Row],[2019]])/Table2[[#This Row],[2019]]</f>
        <v>0.4567206407711677</v>
      </c>
      <c r="N41" s="8" t="s">
        <v>56</v>
      </c>
      <c r="O41" s="36">
        <f t="shared" ref="O41:T41" si="34">C22/O39</f>
        <v>3.7043292018127602E-2</v>
      </c>
      <c r="P41" s="36">
        <f t="shared" si="34"/>
        <v>3.616963201882991E-2</v>
      </c>
      <c r="Q41" s="36">
        <f t="shared" si="34"/>
        <v>3.3873469289041683E-2</v>
      </c>
      <c r="R41" s="36">
        <f t="shared" si="34"/>
        <v>3.3777203341960015E-2</v>
      </c>
      <c r="S41" s="36">
        <f t="shared" si="34"/>
        <v>3.4813857440377675E-2</v>
      </c>
      <c r="T41" s="36">
        <f t="shared" si="34"/>
        <v>2.4102536532760725E-2</v>
      </c>
      <c r="U41" s="36">
        <f t="shared" ref="U41" si="35">I22/U39</f>
        <v>2.5324768399520955E-2</v>
      </c>
      <c r="V41" s="43">
        <f>(Table1[[#This Row],[2025]]-Table1[[#This Row],[2024]])/Table1[[#This Row],[2024]]</f>
        <v>5.0709678008326819E-2</v>
      </c>
      <c r="W41" s="44">
        <f>(Table1[[#This Row],[2025]]-Table1[[#This Row],[2023]])/Table1[[#This Row],[2023]]</f>
        <v>-0.27256643585410678</v>
      </c>
      <c r="X41" s="45">
        <f>(Table1[[#This Row],[2025]]-Table1[[#This Row],[2019]])/Table1[[#This Row],[2019]]</f>
        <v>-0.31634671164949485</v>
      </c>
    </row>
    <row r="42" spans="2:24" x14ac:dyDescent="0.2">
      <c r="B42" s="82" t="s">
        <v>105</v>
      </c>
      <c r="C42" s="84">
        <f>O47/O20</f>
        <v>5.4625550660792948E-3</v>
      </c>
      <c r="D42" s="84">
        <f t="shared" ref="D42:I42" si="36">P47/P20</f>
        <v>5.8967528259773923E-2</v>
      </c>
      <c r="E42" s="84">
        <f t="shared" si="36"/>
        <v>1.0798407234932847E-3</v>
      </c>
      <c r="F42" s="84">
        <f t="shared" si="36"/>
        <v>1.0878035096468534E-2</v>
      </c>
      <c r="G42" s="84">
        <f t="shared" si="36"/>
        <v>3.3278256080238863E-2</v>
      </c>
      <c r="H42" s="84">
        <f t="shared" si="36"/>
        <v>-1.7442110237573572E-2</v>
      </c>
      <c r="I42" s="84">
        <f t="shared" si="36"/>
        <v>1.6498268460031908E-2</v>
      </c>
      <c r="J42" s="97">
        <f>(Table2[[#This Row],[2025]]-Table2[[#This Row],[2024]])/Table2[[#This Row],[2024]]</f>
        <v>-1.9458871796654253</v>
      </c>
      <c r="K42" s="44">
        <f>(Table2[[#This Row],[2025]]-Table2[[#This Row],[2023]])/Table2[[#This Row],[2023]]</f>
        <v>-0.50423278130163707</v>
      </c>
      <c r="L42" s="45">
        <f>(Table2[[#This Row],[2025]]-Table2[[#This Row],[2019]])/Table2[[#This Row],[2019]]</f>
        <v>2.0202475326026157</v>
      </c>
      <c r="N42" s="8" t="s">
        <v>61</v>
      </c>
      <c r="O42" s="5">
        <f t="shared" ref="O42:T42" si="37">C18/O14</f>
        <v>11.661781483106626</v>
      </c>
      <c r="P42" s="5">
        <f t="shared" si="37"/>
        <v>11.839487011926156</v>
      </c>
      <c r="Q42" s="5">
        <f t="shared" si="37"/>
        <v>12.007316215265565</v>
      </c>
      <c r="R42" s="5">
        <f t="shared" si="37"/>
        <v>11.13430502038309</v>
      </c>
      <c r="S42" s="5">
        <f t="shared" si="37"/>
        <v>12.767161131463576</v>
      </c>
      <c r="T42" s="5">
        <f t="shared" si="37"/>
        <v>11.924599131227543</v>
      </c>
      <c r="U42" s="5">
        <f t="shared" ref="U42" si="38">I18/U14</f>
        <v>13.241664826672555</v>
      </c>
      <c r="V42" s="43">
        <f>(Table1[[#This Row],[2025]]-Table1[[#This Row],[2024]])/Table1[[#This Row],[2024]]</f>
        <v>0.11044947347504082</v>
      </c>
      <c r="W42" s="44">
        <f>(Table1[[#This Row],[2025]]-Table1[[#This Row],[2023]])/Table1[[#This Row],[2023]]</f>
        <v>3.716595179797684E-2</v>
      </c>
      <c r="X42" s="45">
        <f>(Table1[[#This Row],[2025]]-Table1[[#This Row],[2019]])/Table1[[#This Row],[2019]]</f>
        <v>0.13547529988060256</v>
      </c>
    </row>
    <row r="43" spans="2:24" x14ac:dyDescent="0.2">
      <c r="B43" s="82" t="s">
        <v>106</v>
      </c>
      <c r="C43" s="84">
        <f>O46/O20</f>
        <v>0.22594713656387666</v>
      </c>
      <c r="D43" s="84">
        <f t="shared" ref="D43:I43" si="39">P46/P20</f>
        <v>0.2318201454388365</v>
      </c>
      <c r="E43" s="84">
        <f t="shared" si="39"/>
        <v>0.1968347168792603</v>
      </c>
      <c r="F43" s="84">
        <f t="shared" si="39"/>
        <v>0.24288564037028956</v>
      </c>
      <c r="G43" s="84">
        <f t="shared" si="39"/>
        <v>0.28293764675189148</v>
      </c>
      <c r="H43" s="84">
        <f t="shared" si="39"/>
        <v>0.25230914636765905</v>
      </c>
      <c r="I43" s="84">
        <f t="shared" si="39"/>
        <v>0.29377812941802101</v>
      </c>
      <c r="J43" s="43">
        <f>(Table2[[#This Row],[2025]]-Table2[[#This Row],[2024]])/Table2[[#This Row],[2024]]</f>
        <v>0.16435782708382005</v>
      </c>
      <c r="K43" s="44">
        <f>(Table2[[#This Row],[2025]]-Table2[[#This Row],[2023]])/Table2[[#This Row],[2023]]</f>
        <v>3.8314034171760693E-2</v>
      </c>
      <c r="L43" s="45">
        <f>(Table2[[#This Row],[2025]]-Table2[[#This Row],[2019]])/Table2[[#This Row],[2019]]</f>
        <v>0.30020735772842205</v>
      </c>
      <c r="N43" s="51" t="s">
        <v>72</v>
      </c>
      <c r="O43" s="6">
        <f>365/O42</f>
        <v>31.298820041238354</v>
      </c>
      <c r="P43" s="6">
        <f t="shared" ref="P43:T43" si="40">365/P42</f>
        <v>30.829038423060734</v>
      </c>
      <c r="Q43" s="6">
        <f t="shared" si="40"/>
        <v>30.398133392702302</v>
      </c>
      <c r="R43" s="6">
        <f t="shared" si="40"/>
        <v>32.781570051459006</v>
      </c>
      <c r="S43" s="6">
        <f t="shared" si="40"/>
        <v>28.588971051715539</v>
      </c>
      <c r="T43" s="5">
        <f t="shared" si="40"/>
        <v>30.608995403808272</v>
      </c>
      <c r="U43" s="5">
        <f t="shared" ref="U43" si="41">365/U42</f>
        <v>27.564509808825861</v>
      </c>
      <c r="V43" s="32">
        <f>(Table1[[#This Row],[2025]]-Table1[[#This Row],[2024]])/Table1[[#This Row],[2024]]</f>
        <v>-9.946375419441654E-2</v>
      </c>
      <c r="W43" s="44">
        <f>(Table1[[#This Row],[2025]]-Table1[[#This Row],[2023]])/Table1[[#This Row],[2023]]</f>
        <v>-3.5834141810717729E-2</v>
      </c>
      <c r="X43" s="45">
        <f>(Table1[[#This Row],[2025]]-Table1[[#This Row],[2019]])/Table1[[#This Row],[2019]]</f>
        <v>-0.11931153402883182</v>
      </c>
    </row>
    <row r="44" spans="2:24" x14ac:dyDescent="0.2">
      <c r="B44" s="82" t="s">
        <v>107</v>
      </c>
      <c r="C44" s="84">
        <f>C22/O20</f>
        <v>0.10433920704845814</v>
      </c>
      <c r="D44" s="84">
        <f t="shared" ref="D44:I44" si="42">D22/P20</f>
        <v>9.7829217366261073E-2</v>
      </c>
      <c r="E44" s="84">
        <f t="shared" si="42"/>
        <v>0.1131808058311399</v>
      </c>
      <c r="F44" s="84">
        <f t="shared" si="42"/>
        <v>0.12145061247389584</v>
      </c>
      <c r="G44" s="84">
        <f t="shared" si="42"/>
        <v>0.11760442937066991</v>
      </c>
      <c r="H44" s="84">
        <f t="shared" si="42"/>
        <v>0.13296386991450787</v>
      </c>
      <c r="I44" s="84">
        <f t="shared" si="42"/>
        <v>0.13467100740606233</v>
      </c>
      <c r="J44" s="43">
        <f>(Table2[[#This Row],[2025]]-Table2[[#This Row],[2024]])/Table2[[#This Row],[2024]]</f>
        <v>1.2839108042298287E-2</v>
      </c>
      <c r="K44" s="44">
        <f>(Table2[[#This Row],[2025]]-Table2[[#This Row],[2023]])/Table2[[#This Row],[2023]]</f>
        <v>0.1451184970389284</v>
      </c>
      <c r="L44" s="45">
        <f>(Table2[[#This Row],[2025]]-Table2[[#This Row],[2019]])/Table2[[#This Row],[2019]]</f>
        <v>0.29070376530192743</v>
      </c>
      <c r="N44" s="8" t="s">
        <v>64</v>
      </c>
      <c r="O44" s="6">
        <f>O16-O30+O17</f>
        <v>21138</v>
      </c>
      <c r="P44" s="6">
        <f t="shared" ref="P44:U44" si="43">P16-P30+P17</f>
        <v>25083</v>
      </c>
      <c r="Q44" s="6">
        <f t="shared" si="43"/>
        <v>23556</v>
      </c>
      <c r="R44" s="6">
        <f t="shared" si="43"/>
        <v>25344</v>
      </c>
      <c r="S44" s="6">
        <f t="shared" si="43"/>
        <v>28980</v>
      </c>
      <c r="T44" s="6">
        <f t="shared" si="43"/>
        <v>27814</v>
      </c>
      <c r="U44" s="6">
        <f t="shared" si="43"/>
        <v>33181</v>
      </c>
      <c r="V44" s="43">
        <f>(Table1[[#This Row],[2025]]-Table1[[#This Row],[2024]])/Table1[[#This Row],[2024]]</f>
        <v>0.19296037966491694</v>
      </c>
      <c r="W44" s="44">
        <f>(Table1[[#This Row],[2025]]-Table1[[#This Row],[2023]])/Table1[[#This Row],[2023]]</f>
        <v>0.14496204278812974</v>
      </c>
      <c r="X44" s="45">
        <f>(Table1[[#This Row],[2025]]-Table1[[#This Row],[2019]])/Table1[[#This Row],[2019]]</f>
        <v>0.56973223578389631</v>
      </c>
    </row>
    <row r="45" spans="2:24" x14ac:dyDescent="0.2">
      <c r="B45" s="82" t="s">
        <v>108</v>
      </c>
      <c r="C45" s="84">
        <f>C32/O34</f>
        <v>4.3767911017574459</v>
      </c>
      <c r="D45" s="84">
        <f t="shared" ref="D45:I45" si="44">D32/P34</f>
        <v>4.2321830436080434</v>
      </c>
      <c r="E45" s="84">
        <f t="shared" si="44"/>
        <v>4.921463672250546</v>
      </c>
      <c r="F45" s="84">
        <f t="shared" si="44"/>
        <v>5.404759747466624</v>
      </c>
      <c r="G45" s="84">
        <f t="shared" si="44"/>
        <v>5.5044635670065549</v>
      </c>
      <c r="H45" s="84">
        <f t="shared" si="44"/>
        <v>8.4502188761929506</v>
      </c>
      <c r="I45" s="84">
        <f t="shared" si="44"/>
        <v>8.752787687076248</v>
      </c>
      <c r="J45" s="43">
        <f>(Table2[[#This Row],[2025]]-Table2[[#This Row],[2024]])/Table2[[#This Row],[2024]]</f>
        <v>3.580603240180362E-2</v>
      </c>
      <c r="K45" s="44">
        <f>(Table2[[#This Row],[2025]]-Table2[[#This Row],[2023]])/Table2[[#This Row],[2023]]</f>
        <v>0.59012546463927296</v>
      </c>
      <c r="L45" s="45">
        <f>(Table2[[#This Row],[2025]]-Table2[[#This Row],[2019]])/Table2[[#This Row],[2019]]</f>
        <v>0.99981847055978412</v>
      </c>
      <c r="N45" s="78" t="s">
        <v>101</v>
      </c>
      <c r="O45" s="81">
        <f t="shared" ref="O45:T45" si="45">C39/O44</f>
        <v>0.17390481597123664</v>
      </c>
      <c r="P45" s="81">
        <f t="shared" si="45"/>
        <v>0.16453374795678347</v>
      </c>
      <c r="Q45" s="81">
        <f t="shared" si="45"/>
        <v>0.21680251316012905</v>
      </c>
      <c r="R45" s="81">
        <f t="shared" si="45"/>
        <v>0.23153409090909091</v>
      </c>
      <c r="S45" s="81">
        <f t="shared" si="45"/>
        <v>0.20424430641821947</v>
      </c>
      <c r="T45" s="81">
        <f t="shared" si="45"/>
        <v>0.2485079456388869</v>
      </c>
      <c r="U45" s="81">
        <f>I39/U44</f>
        <v>0.23097555830143757</v>
      </c>
      <c r="V45" s="43">
        <f>(Table1[[#This Row],[2025]]-Table1[[#This Row],[2024]])/Table1[[#This Row],[2024]]</f>
        <v>-7.0550610735505739E-2</v>
      </c>
      <c r="W45" s="44">
        <f>(Table1[[#This Row],[2025]]-Table1[[#This Row],[2023]])/Table1[[#This Row],[2023]]</f>
        <v>0.13087881053820921</v>
      </c>
      <c r="X45" s="45">
        <f>(Table1[[#This Row],[2025]]-Table1[[#This Row],[2019]])/Table1[[#This Row],[2019]]</f>
        <v>0.32817229362779848</v>
      </c>
    </row>
    <row r="46" spans="2:24" x14ac:dyDescent="0.2">
      <c r="B46" s="82" t="s">
        <v>109</v>
      </c>
      <c r="C46" s="84">
        <f>C15/O20</f>
        <v>3.363502202643172</v>
      </c>
      <c r="D46" s="84">
        <f t="shared" ref="D46:I46" si="46">D15/P20</f>
        <v>3.001673986608107</v>
      </c>
      <c r="E46" s="84">
        <f t="shared" si="46"/>
        <v>3.3058142673955593</v>
      </c>
      <c r="F46" s="84">
        <f t="shared" si="46"/>
        <v>3.5369822024124926</v>
      </c>
      <c r="G46" s="84">
        <f t="shared" si="46"/>
        <v>3.5117546453314783</v>
      </c>
      <c r="H46" s="84">
        <f t="shared" si="46"/>
        <v>3.6438401283097765</v>
      </c>
      <c r="I46" s="84">
        <f t="shared" si="46"/>
        <v>3.5698906600604419</v>
      </c>
      <c r="J46" s="43">
        <f>(Table2[[#This Row],[2025]]-Table2[[#This Row],[2024]])/Table2[[#This Row],[2024]]</f>
        <v>-2.0294377811695245E-2</v>
      </c>
      <c r="K46" s="44">
        <f>(Table2[[#This Row],[2025]]-Table2[[#This Row],[2023]])/Table2[[#This Row],[2023]]</f>
        <v>1.6554691486277241E-2</v>
      </c>
      <c r="L46" s="45">
        <f>(Table2[[#This Row],[2025]]-Table2[[#This Row],[2019]])/Table2[[#This Row],[2019]]</f>
        <v>6.1361178017092337E-2</v>
      </c>
      <c r="N46" s="82" t="s">
        <v>103</v>
      </c>
      <c r="O46" s="83">
        <v>10258</v>
      </c>
      <c r="P46" s="83">
        <v>12879</v>
      </c>
      <c r="Q46" s="83">
        <v>11666</v>
      </c>
      <c r="R46" s="83">
        <v>15585</v>
      </c>
      <c r="S46" s="83">
        <v>19521</v>
      </c>
      <c r="T46" s="83">
        <v>17619</v>
      </c>
      <c r="U46" s="83">
        <v>22650</v>
      </c>
      <c r="V46" s="43">
        <f>(Table1[[#This Row],[2025]]-Table1[[#This Row],[2024]])/Table1[[#This Row],[2024]]</f>
        <v>0.28554401498382426</v>
      </c>
      <c r="W46" s="44">
        <f>(Table1[[#This Row],[2025]]-Table1[[#This Row],[2023]])/Table1[[#This Row],[2023]]</f>
        <v>0.1602889196250192</v>
      </c>
      <c r="X46" s="45">
        <f>(Table1[[#This Row],[2025]]-Table1[[#This Row],[2019]])/Table1[[#This Row],[2019]]</f>
        <v>1.208032754922987</v>
      </c>
    </row>
    <row r="47" spans="2:24" x14ac:dyDescent="0.2">
      <c r="B47" s="98" t="s">
        <v>121</v>
      </c>
      <c r="C47" s="99">
        <f>C22/-C23</f>
        <v>31.58</v>
      </c>
      <c r="D47" s="99">
        <f t="shared" ref="D47:I47" si="47">D22/-D23</f>
        <v>33.96875</v>
      </c>
      <c r="E47" s="99">
        <f t="shared" si="47"/>
        <v>39.228070175438596</v>
      </c>
      <c r="F47" s="99">
        <f t="shared" si="47"/>
        <v>49.322784810126585</v>
      </c>
      <c r="G47" s="99">
        <f t="shared" si="47"/>
        <v>50.712499999999999</v>
      </c>
      <c r="H47" s="99">
        <f t="shared" si="47"/>
        <v>54.940828402366861</v>
      </c>
      <c r="I47" s="99">
        <f t="shared" si="47"/>
        <v>67.422077922077918</v>
      </c>
      <c r="N47" s="82" t="s">
        <v>104</v>
      </c>
      <c r="O47" s="83">
        <f>O16-O30</f>
        <v>248</v>
      </c>
      <c r="P47" s="83">
        <f t="shared" ref="P47:U47" si="48">P16-P30</f>
        <v>3276</v>
      </c>
      <c r="Q47" s="83">
        <f t="shared" si="48"/>
        <v>64</v>
      </c>
      <c r="R47" s="83">
        <f t="shared" si="48"/>
        <v>698</v>
      </c>
      <c r="S47" s="83">
        <f t="shared" si="48"/>
        <v>2296</v>
      </c>
      <c r="T47" s="83">
        <f t="shared" si="48"/>
        <v>-1218</v>
      </c>
      <c r="U47" s="83">
        <f t="shared" si="48"/>
        <v>1272</v>
      </c>
      <c r="V47" s="43">
        <f>(Table1[[#This Row],[2025]]-Table1[[#This Row],[2024]])/Table1[[#This Row],[2024]]</f>
        <v>-2.0443349753694582</v>
      </c>
      <c r="W47" s="44">
        <f>(Table1[[#This Row],[2025]]-Table1[[#This Row],[2023]])/Table1[[#This Row],[2023]]</f>
        <v>-0.44599303135888502</v>
      </c>
      <c r="X47" s="45">
        <f>(Table1[[#This Row],[2025]]-Table1[[#This Row],[2019]])/Table1[[#This Row],[2019]]</f>
        <v>4.129032258064516</v>
      </c>
    </row>
    <row r="48" spans="2:24" x14ac:dyDescent="0.2">
      <c r="N48" s="86" t="s">
        <v>110</v>
      </c>
      <c r="O48" s="96">
        <f>O20/O36</f>
        <v>2.9132443531827517</v>
      </c>
      <c r="P48" s="96">
        <f t="shared" ref="P48:U48" si="49">P20/P36</f>
        <v>2.9701149425287356</v>
      </c>
      <c r="Q48" s="96">
        <f t="shared" si="49"/>
        <v>3.2784600066379026</v>
      </c>
      <c r="R48" s="96">
        <f t="shared" si="49"/>
        <v>3.1077638397830194</v>
      </c>
      <c r="S48" s="96">
        <f t="shared" si="49"/>
        <v>2.7533721765504029</v>
      </c>
      <c r="T48" s="96">
        <f t="shared" si="49"/>
        <v>2.9561849123698249</v>
      </c>
      <c r="U48" s="96">
        <f t="shared" si="49"/>
        <v>2.6436359895761896</v>
      </c>
    </row>
  </sheetData>
  <phoneticPr fontId="17" type="noConversion"/>
  <pageMargins left="0.7" right="0.7" top="0.75" bottom="0.75" header="0.3" footer="0.3"/>
  <pageSetup scale="42"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4B354-3CEA-46AD-A879-C766C2E398BF}">
  <dimension ref="A4:M62"/>
  <sheetViews>
    <sheetView topLeftCell="A62" zoomScaleNormal="100" workbookViewId="0">
      <selection activeCell="L2" sqref="L2"/>
    </sheetView>
  </sheetViews>
  <sheetFormatPr defaultColWidth="12.7109375" defaultRowHeight="12.75" x14ac:dyDescent="0.2"/>
  <cols>
    <col min="1" max="1" width="10.7109375" style="29" customWidth="1"/>
    <col min="2" max="2" width="25.28515625" style="29" customWidth="1"/>
    <col min="3" max="9" width="12.7109375" style="29"/>
    <col min="10" max="11" width="14.7109375" style="29" customWidth="1"/>
    <col min="12" max="16384" width="12.7109375" style="29"/>
  </cols>
  <sheetData>
    <row r="4" spans="1:11" x14ac:dyDescent="0.2">
      <c r="B4" s="7"/>
      <c r="C4" s="52"/>
      <c r="D4" s="52"/>
      <c r="E4" s="52"/>
      <c r="F4" s="52"/>
      <c r="G4" s="52"/>
      <c r="H4" s="52"/>
      <c r="I4" s="52"/>
    </row>
    <row r="5" spans="1:11" x14ac:dyDescent="0.2">
      <c r="A5" s="33"/>
      <c r="B5" s="58" t="s">
        <v>3</v>
      </c>
      <c r="C5" s="34">
        <v>2019</v>
      </c>
      <c r="D5" s="34">
        <f>C5+1</f>
        <v>2020</v>
      </c>
      <c r="E5" s="34">
        <f t="shared" ref="E5:I5" si="0">D5+1</f>
        <v>2021</v>
      </c>
      <c r="F5" s="34">
        <f t="shared" si="0"/>
        <v>2022</v>
      </c>
      <c r="G5" s="34">
        <f t="shared" si="0"/>
        <v>2023</v>
      </c>
      <c r="H5" s="34">
        <f t="shared" si="0"/>
        <v>2024</v>
      </c>
      <c r="I5" s="34">
        <f t="shared" si="0"/>
        <v>2025</v>
      </c>
    </row>
    <row r="6" spans="1:11" x14ac:dyDescent="0.2">
      <c r="A6" s="33">
        <v>56757.939999999995</v>
      </c>
      <c r="B6" s="30" t="s">
        <v>4</v>
      </c>
      <c r="C6" s="31">
        <v>59672</v>
      </c>
      <c r="D6" s="31">
        <v>68659</v>
      </c>
      <c r="E6" s="31">
        <v>77277</v>
      </c>
      <c r="F6" s="31">
        <v>85629</v>
      </c>
      <c r="G6" s="31">
        <v>96175</v>
      </c>
      <c r="H6" s="31">
        <v>101463</v>
      </c>
      <c r="I6" s="31">
        <v>109564</v>
      </c>
    </row>
    <row r="7" spans="1:11" x14ac:dyDescent="0.2">
      <c r="A7" s="33">
        <v>37377.18</v>
      </c>
      <c r="B7" s="30" t="s">
        <v>5</v>
      </c>
      <c r="C7" s="31">
        <v>41160</v>
      </c>
      <c r="D7" s="31">
        <v>44807</v>
      </c>
      <c r="E7" s="31">
        <v>55966</v>
      </c>
      <c r="F7" s="31">
        <v>61100</v>
      </c>
      <c r="G7" s="31">
        <v>60865</v>
      </c>
      <c r="H7" s="31">
        <v>63973</v>
      </c>
      <c r="I7" s="31">
        <v>71190</v>
      </c>
    </row>
    <row r="8" spans="1:11" x14ac:dyDescent="0.2">
      <c r="A8" s="33">
        <v>19380.760000000002</v>
      </c>
      <c r="B8" s="30" t="s">
        <v>8</v>
      </c>
      <c r="C8" s="31">
        <v>19948</v>
      </c>
      <c r="D8" s="31">
        <v>23204</v>
      </c>
      <c r="E8" s="31">
        <v>27183</v>
      </c>
      <c r="F8" s="31">
        <v>29527</v>
      </c>
      <c r="G8" s="31">
        <v>31977</v>
      </c>
      <c r="H8" s="31">
        <v>34220</v>
      </c>
      <c r="I8" s="31">
        <v>37988</v>
      </c>
    </row>
    <row r="9" spans="1:11" x14ac:dyDescent="0.2">
      <c r="A9" s="33">
        <v>24918.12</v>
      </c>
      <c r="B9" s="30" t="s">
        <v>6</v>
      </c>
      <c r="C9" s="31">
        <v>28571</v>
      </c>
      <c r="D9" s="31">
        <v>26550</v>
      </c>
      <c r="E9" s="31">
        <v>31626</v>
      </c>
      <c r="F9" s="31">
        <v>46474</v>
      </c>
      <c r="G9" s="31">
        <v>48693</v>
      </c>
      <c r="H9" s="31">
        <v>49969</v>
      </c>
      <c r="I9" s="31">
        <v>51170</v>
      </c>
    </row>
    <row r="10" spans="1:11" x14ac:dyDescent="0.2">
      <c r="A10" s="33">
        <v>3142</v>
      </c>
      <c r="B10" s="30" t="s">
        <v>9</v>
      </c>
      <c r="C10" s="31">
        <v>3352</v>
      </c>
      <c r="D10" s="31">
        <v>3541</v>
      </c>
      <c r="E10" s="31">
        <v>3877</v>
      </c>
      <c r="F10" s="31">
        <v>4224</v>
      </c>
      <c r="G10" s="31">
        <v>4580</v>
      </c>
      <c r="H10" s="31">
        <v>4828</v>
      </c>
      <c r="I10" s="31">
        <v>5323</v>
      </c>
    </row>
    <row r="11" spans="1:11" ht="13.5" thickBot="1" x14ac:dyDescent="0.25">
      <c r="A11" s="33">
        <f>SUM(A6:A10)</f>
        <v>141576</v>
      </c>
      <c r="B11" s="10" t="s">
        <v>7</v>
      </c>
      <c r="C11" s="13">
        <v>152703</v>
      </c>
      <c r="D11" s="13">
        <v>166761</v>
      </c>
      <c r="E11" s="13">
        <v>195929</v>
      </c>
      <c r="F11" s="13">
        <v>226954</v>
      </c>
      <c r="G11" s="13">
        <v>242290</v>
      </c>
      <c r="H11" s="13">
        <v>254453</v>
      </c>
      <c r="I11" s="13">
        <v>275235</v>
      </c>
    </row>
    <row r="12" spans="1:11" x14ac:dyDescent="0.2">
      <c r="A12" s="31"/>
    </row>
    <row r="14" spans="1:11" x14ac:dyDescent="0.2">
      <c r="B14" s="58" t="s">
        <v>73</v>
      </c>
      <c r="C14" s="34">
        <v>2019</v>
      </c>
      <c r="D14" s="34">
        <f>C14+1</f>
        <v>2020</v>
      </c>
      <c r="E14" s="34">
        <f t="shared" ref="E14:I14" si="1">D14+1</f>
        <v>2021</v>
      </c>
      <c r="F14" s="34">
        <f t="shared" si="1"/>
        <v>2022</v>
      </c>
      <c r="G14" s="34">
        <f t="shared" si="1"/>
        <v>2023</v>
      </c>
      <c r="H14" s="34">
        <f>G14+1</f>
        <v>2024</v>
      </c>
      <c r="I14" s="34">
        <f t="shared" si="1"/>
        <v>2025</v>
      </c>
      <c r="J14" s="21" t="s">
        <v>74</v>
      </c>
      <c r="K14" s="21" t="s">
        <v>75</v>
      </c>
    </row>
    <row r="15" spans="1:11" x14ac:dyDescent="0.2">
      <c r="B15" s="30" t="s">
        <v>4</v>
      </c>
      <c r="C15" s="53">
        <f>LOG(C6/A6)</f>
        <v>2.1743969565411692E-2</v>
      </c>
      <c r="D15" s="53">
        <f t="shared" ref="D15:H15" si="2">LOG(D6/C6)</f>
        <v>6.0926879608768351E-2</v>
      </c>
      <c r="E15" s="53">
        <f t="shared" si="2"/>
        <v>5.1352780069711855E-2</v>
      </c>
      <c r="F15" s="53">
        <f t="shared" si="2"/>
        <v>4.4570618413631684E-2</v>
      </c>
      <c r="G15" s="53">
        <f t="shared" si="2"/>
        <v>5.0441322742867917E-2</v>
      </c>
      <c r="H15" s="53">
        <f t="shared" si="2"/>
        <v>2.3245504163423879E-2</v>
      </c>
      <c r="I15" s="53">
        <f>LOG(I6/H6)</f>
        <v>3.3360180100622312E-2</v>
      </c>
      <c r="J15" s="55">
        <f>AVERAGE(C15:I15)</f>
        <v>4.08058935234911E-2</v>
      </c>
      <c r="K15" s="56">
        <f>_xlfn.STDEV.S(C15:I15)</f>
        <v>1.500149111721392E-2</v>
      </c>
    </row>
    <row r="16" spans="1:11" x14ac:dyDescent="0.2">
      <c r="B16" s="30" t="s">
        <v>5</v>
      </c>
      <c r="C16" s="53">
        <f t="shared" ref="C16:C19" si="3">LOG(C7/A7)</f>
        <v>4.1868834072681958E-2</v>
      </c>
      <c r="D16" s="53">
        <f t="shared" ref="D16:I16" si="4">LOG(D7/C7)</f>
        <v>3.6870501119651913E-2</v>
      </c>
      <c r="E16" s="53">
        <f t="shared" si="4"/>
        <v>9.6578400925807273E-2</v>
      </c>
      <c r="F16" s="53">
        <f t="shared" si="4"/>
        <v>3.8116942106699761E-2</v>
      </c>
      <c r="G16" s="53">
        <f t="shared" si="4"/>
        <v>-1.673583889566131E-3</v>
      </c>
      <c r="H16" s="53">
        <f t="shared" si="4"/>
        <v>2.1629090987929492E-2</v>
      </c>
      <c r="I16" s="53">
        <f t="shared" si="4"/>
        <v>4.6422275596083841E-2</v>
      </c>
      <c r="J16" s="56">
        <f t="shared" ref="J16:J20" si="5">AVERAGE(C16:I16)</f>
        <v>3.9973208702755447E-2</v>
      </c>
      <c r="K16" s="56">
        <f t="shared" ref="K16:K20" si="6">_xlfn.STDEV.S(C16:I16)</f>
        <v>2.9814331436216767E-2</v>
      </c>
    </row>
    <row r="17" spans="2:13" x14ac:dyDescent="0.2">
      <c r="B17" s="30" t="s">
        <v>8</v>
      </c>
      <c r="C17" s="53">
        <f t="shared" si="3"/>
        <v>1.2528556009361242E-2</v>
      </c>
      <c r="D17" s="53">
        <f t="shared" ref="D17:I17" si="7">LOG(D8/C8)</f>
        <v>6.5663497249233982E-2</v>
      </c>
      <c r="E17" s="53">
        <f t="shared" si="7"/>
        <v>6.8734528328949177E-2</v>
      </c>
      <c r="F17" s="53">
        <f t="shared" si="7"/>
        <v>3.5921938927220669E-2</v>
      </c>
      <c r="G17" s="53">
        <f t="shared" si="7"/>
        <v>3.4618392876923559E-2</v>
      </c>
      <c r="H17" s="53">
        <f t="shared" si="7"/>
        <v>2.9442288276428627E-2</v>
      </c>
      <c r="I17" s="53">
        <f t="shared" si="7"/>
        <v>4.5366424126732051E-2</v>
      </c>
      <c r="J17" s="56">
        <f t="shared" si="5"/>
        <v>4.1753660827835611E-2</v>
      </c>
      <c r="K17" s="56">
        <f t="shared" si="6"/>
        <v>2.0013733710764314E-2</v>
      </c>
    </row>
    <row r="18" spans="2:13" x14ac:dyDescent="0.2">
      <c r="B18" s="30" t="s">
        <v>6</v>
      </c>
      <c r="C18" s="53">
        <f t="shared" si="3"/>
        <v>5.9410168221605053E-2</v>
      </c>
      <c r="D18" s="53">
        <f t="shared" ref="D18:I18" si="8">LOG(D9/C9)</f>
        <v>-3.1860915766149307E-2</v>
      </c>
      <c r="E18" s="53">
        <f t="shared" si="8"/>
        <v>7.5979741181113211E-2</v>
      </c>
      <c r="F18" s="53">
        <f t="shared" si="8"/>
        <v>0.16716578705449459</v>
      </c>
      <c r="G18" s="53">
        <f t="shared" si="8"/>
        <v>2.0256478816586643E-2</v>
      </c>
      <c r="H18" s="53">
        <f t="shared" si="8"/>
        <v>1.1234125781639511E-2</v>
      </c>
      <c r="I18" s="53">
        <f t="shared" si="8"/>
        <v>1.0314758720795496E-2</v>
      </c>
      <c r="J18" s="56">
        <f t="shared" si="5"/>
        <v>4.4642877715726462E-2</v>
      </c>
      <c r="K18" s="56">
        <f t="shared" si="6"/>
        <v>6.4490343620160498E-2</v>
      </c>
    </row>
    <row r="19" spans="2:13" x14ac:dyDescent="0.2">
      <c r="B19" s="30" t="s">
        <v>9</v>
      </c>
      <c r="C19" s="53">
        <f t="shared" si="3"/>
        <v>2.8097829254284397E-2</v>
      </c>
      <c r="D19" s="53">
        <f t="shared" ref="D19:I19" si="9">LOG(D10/C10)</f>
        <v>2.3821916799872164E-2</v>
      </c>
      <c r="E19" s="53">
        <f t="shared" si="9"/>
        <v>3.9369874249098942E-2</v>
      </c>
      <c r="F19" s="53">
        <f t="shared" si="9"/>
        <v>3.7228108518545827E-2</v>
      </c>
      <c r="G19" s="53">
        <f t="shared" si="9"/>
        <v>3.5141568478113325E-2</v>
      </c>
      <c r="H19" s="53">
        <f t="shared" si="9"/>
        <v>2.2901783421442432E-2</v>
      </c>
      <c r="I19" s="53">
        <f t="shared" si="9"/>
        <v>4.2389204747443267E-2</v>
      </c>
      <c r="J19" s="56">
        <f t="shared" si="5"/>
        <v>3.2707183638400049E-2</v>
      </c>
      <c r="K19" s="56">
        <f t="shared" si="6"/>
        <v>7.7549764484332222E-3</v>
      </c>
    </row>
    <row r="20" spans="2:13" ht="13.5" thickBot="1" x14ac:dyDescent="0.25">
      <c r="B20" s="10" t="s">
        <v>7</v>
      </c>
      <c r="C20" s="54">
        <f>LOG(C11/A11)</f>
        <v>3.2857931399946569E-2</v>
      </c>
      <c r="D20" s="54">
        <f>LOG(D11/C11)</f>
        <v>3.8246921474229673E-2</v>
      </c>
      <c r="E20" s="54">
        <f>LOG(E11/D11)</f>
        <v>7.0004231140024048E-2</v>
      </c>
      <c r="F20" s="54">
        <f>LOG(F11/E11)</f>
        <v>6.3839119568663408E-2</v>
      </c>
      <c r="G20" s="54">
        <f>LOG(G11/F11)</f>
        <v>2.8397648470666923E-2</v>
      </c>
      <c r="H20" s="54">
        <f>LOG(H11/G11)</f>
        <v>2.1272085635670443E-2</v>
      </c>
      <c r="I20" s="54">
        <f t="shared" ref="I20" si="10">(I11-H11)/H11</f>
        <v>8.1673236314761463E-2</v>
      </c>
      <c r="J20" s="57">
        <f t="shared" si="5"/>
        <v>4.8041596286280359E-2</v>
      </c>
      <c r="K20" s="57">
        <f t="shared" si="6"/>
        <v>2.3423552971640921E-2</v>
      </c>
      <c r="M20" s="61"/>
    </row>
    <row r="21" spans="2:13" x14ac:dyDescent="0.2">
      <c r="B21" s="7"/>
      <c r="C21" s="59"/>
      <c r="D21" s="59"/>
      <c r="E21" s="59"/>
      <c r="F21" s="59"/>
      <c r="G21" s="59"/>
      <c r="H21" s="59"/>
      <c r="I21" s="59"/>
      <c r="J21" s="60"/>
      <c r="K21" s="60"/>
    </row>
    <row r="22" spans="2:13" ht="350.1" customHeight="1" x14ac:dyDescent="0.2">
      <c r="B22" s="7"/>
      <c r="C22" s="59"/>
      <c r="D22" s="59"/>
      <c r="E22" s="59"/>
      <c r="F22" s="59"/>
      <c r="G22" s="59"/>
      <c r="H22" s="59"/>
      <c r="I22" s="59"/>
      <c r="J22" s="60"/>
      <c r="K22" s="60"/>
    </row>
    <row r="24" spans="2:13" x14ac:dyDescent="0.2">
      <c r="B24" s="58" t="s">
        <v>76</v>
      </c>
      <c r="C24" s="34">
        <v>2019</v>
      </c>
      <c r="D24" s="34">
        <f>C24+1</f>
        <v>2020</v>
      </c>
      <c r="E24" s="34">
        <f t="shared" ref="E24:G24" si="11">D24+1</f>
        <v>2021</v>
      </c>
      <c r="F24" s="34">
        <f t="shared" si="11"/>
        <v>2022</v>
      </c>
      <c r="G24" s="34">
        <f t="shared" si="11"/>
        <v>2023</v>
      </c>
      <c r="H24" s="34">
        <f>G24+1</f>
        <v>2024</v>
      </c>
      <c r="I24" s="34">
        <f t="shared" ref="I24" si="12">H24+1</f>
        <v>2025</v>
      </c>
      <c r="J24" s="21" t="s">
        <v>74</v>
      </c>
      <c r="K24" s="21" t="s">
        <v>75</v>
      </c>
    </row>
    <row r="25" spans="2:13" x14ac:dyDescent="0.2">
      <c r="B25" s="30" t="s">
        <v>4</v>
      </c>
      <c r="C25" s="53">
        <f t="shared" ref="C25:I29" si="13">C6/C$11</f>
        <v>0.39077162858620984</v>
      </c>
      <c r="D25" s="53">
        <f t="shared" si="13"/>
        <v>0.41172096593328178</v>
      </c>
      <c r="E25" s="53">
        <f t="shared" si="13"/>
        <v>0.39441328236248846</v>
      </c>
      <c r="F25" s="53">
        <f t="shared" si="13"/>
        <v>0.37729672092142019</v>
      </c>
      <c r="G25" s="53">
        <f t="shared" si="13"/>
        <v>0.39694168145610631</v>
      </c>
      <c r="H25" s="53">
        <f t="shared" si="13"/>
        <v>0.39874947436265246</v>
      </c>
      <c r="I25" s="53">
        <f t="shared" si="13"/>
        <v>0.39807437280869074</v>
      </c>
      <c r="J25" s="55">
        <f>AVERAGE(C25:I25)</f>
        <v>0.39542401806154992</v>
      </c>
      <c r="K25" s="56">
        <f>_xlfn.STDEV.S(C25:I25)</f>
        <v>1.0305678597255044E-2</v>
      </c>
    </row>
    <row r="26" spans="2:13" x14ac:dyDescent="0.2">
      <c r="B26" s="30" t="s">
        <v>5</v>
      </c>
      <c r="C26" s="53">
        <f t="shared" si="13"/>
        <v>0.2695428380581914</v>
      </c>
      <c r="D26" s="53">
        <f t="shared" si="13"/>
        <v>0.2686899215044285</v>
      </c>
      <c r="E26" s="53">
        <f t="shared" si="13"/>
        <v>0.28564428951303789</v>
      </c>
      <c r="F26" s="53">
        <f t="shared" si="13"/>
        <v>0.269217550693092</v>
      </c>
      <c r="G26" s="53">
        <f t="shared" si="13"/>
        <v>0.25120723100416859</v>
      </c>
      <c r="H26" s="53">
        <f t="shared" si="13"/>
        <v>0.25141381708999305</v>
      </c>
      <c r="I26" s="53">
        <f t="shared" si="13"/>
        <v>0.25865169764019835</v>
      </c>
      <c r="J26" s="56">
        <f t="shared" ref="J26:J30" si="14">AVERAGE(C26:I26)</f>
        <v>0.26490962078615859</v>
      </c>
      <c r="K26" s="56">
        <f t="shared" ref="K26:K30" si="15">_xlfn.STDEV.S(C26:I26)</f>
        <v>1.2201748019243371E-2</v>
      </c>
    </row>
    <row r="27" spans="2:13" x14ac:dyDescent="0.2">
      <c r="B27" s="30" t="s">
        <v>8</v>
      </c>
      <c r="C27" s="53">
        <f t="shared" si="13"/>
        <v>0.13063266602489801</v>
      </c>
      <c r="D27" s="53">
        <f t="shared" si="13"/>
        <v>0.13914524379201371</v>
      </c>
      <c r="E27" s="53">
        <f t="shared" si="13"/>
        <v>0.13873903301706231</v>
      </c>
      <c r="F27" s="53">
        <f t="shared" si="13"/>
        <v>0.13010125399860764</v>
      </c>
      <c r="G27" s="53">
        <f t="shared" si="13"/>
        <v>0.1319782079326427</v>
      </c>
      <c r="H27" s="53">
        <f t="shared" si="13"/>
        <v>0.13448456099947731</v>
      </c>
      <c r="I27" s="53">
        <f t="shared" si="13"/>
        <v>0.13802023725180301</v>
      </c>
      <c r="J27" s="56">
        <f t="shared" si="14"/>
        <v>0.13472874328807211</v>
      </c>
      <c r="K27" s="56">
        <f t="shared" si="15"/>
        <v>3.9208504334002263E-3</v>
      </c>
    </row>
    <row r="28" spans="2:13" x14ac:dyDescent="0.2">
      <c r="B28" s="30" t="s">
        <v>6</v>
      </c>
      <c r="C28" s="53">
        <f t="shared" si="13"/>
        <v>0.18710175962489276</v>
      </c>
      <c r="D28" s="53">
        <f t="shared" si="13"/>
        <v>0.15920988720384263</v>
      </c>
      <c r="E28" s="53">
        <f t="shared" si="13"/>
        <v>0.16141561484006961</v>
      </c>
      <c r="F28" s="53">
        <f t="shared" si="13"/>
        <v>0.20477277333732827</v>
      </c>
      <c r="G28" s="53">
        <f t="shared" si="13"/>
        <v>0.20096991208881917</v>
      </c>
      <c r="H28" s="53">
        <f t="shared" si="13"/>
        <v>0.19637811305034722</v>
      </c>
      <c r="I28" s="53">
        <f t="shared" si="13"/>
        <v>0.18591385543263031</v>
      </c>
      <c r="J28" s="56">
        <f t="shared" si="14"/>
        <v>0.1851088450825614</v>
      </c>
      <c r="K28" s="56">
        <f t="shared" si="15"/>
        <v>1.8266475896568518E-2</v>
      </c>
    </row>
    <row r="29" spans="2:13" x14ac:dyDescent="0.2">
      <c r="B29" s="30" t="s">
        <v>9</v>
      </c>
      <c r="C29" s="53">
        <f t="shared" si="13"/>
        <v>2.1951107705808007E-2</v>
      </c>
      <c r="D29" s="53">
        <f t="shared" si="13"/>
        <v>2.1233981566433399E-2</v>
      </c>
      <c r="E29" s="53">
        <f t="shared" si="13"/>
        <v>1.978778026734174E-2</v>
      </c>
      <c r="F29" s="53">
        <f t="shared" si="13"/>
        <v>1.8611701049551892E-2</v>
      </c>
      <c r="G29" s="53">
        <f t="shared" si="13"/>
        <v>1.8902967518263238E-2</v>
      </c>
      <c r="H29" s="53">
        <f t="shared" si="13"/>
        <v>1.8974034497529997E-2</v>
      </c>
      <c r="I29" s="53">
        <f t="shared" si="13"/>
        <v>1.9339836866677566E-2</v>
      </c>
      <c r="J29" s="56">
        <f t="shared" si="14"/>
        <v>1.9828772781657976E-2</v>
      </c>
      <c r="K29" s="56">
        <f t="shared" si="15"/>
        <v>1.2772765620282203E-3</v>
      </c>
    </row>
    <row r="30" spans="2:13" ht="13.5" thickBot="1" x14ac:dyDescent="0.25">
      <c r="B30" s="10" t="s">
        <v>7</v>
      </c>
      <c r="C30" s="54">
        <f>SUM(C25:C29)</f>
        <v>0.99999999999999989</v>
      </c>
      <c r="D30" s="54">
        <f t="shared" ref="D30:I30" si="16">SUM(D25:D29)</f>
        <v>1</v>
      </c>
      <c r="E30" s="54">
        <f t="shared" si="16"/>
        <v>1.0000000000000002</v>
      </c>
      <c r="F30" s="54">
        <f t="shared" si="16"/>
        <v>1</v>
      </c>
      <c r="G30" s="54">
        <f t="shared" si="16"/>
        <v>1</v>
      </c>
      <c r="H30" s="54">
        <f t="shared" si="16"/>
        <v>1</v>
      </c>
      <c r="I30" s="54">
        <f t="shared" si="16"/>
        <v>1</v>
      </c>
      <c r="J30" s="57">
        <f t="shared" si="14"/>
        <v>1</v>
      </c>
      <c r="K30" s="57">
        <f t="shared" si="15"/>
        <v>1.013490324081353E-16</v>
      </c>
    </row>
    <row r="33" spans="1:11" x14ac:dyDescent="0.2">
      <c r="B33" s="58" t="s">
        <v>77</v>
      </c>
      <c r="C33" s="34">
        <v>2019</v>
      </c>
      <c r="D33" s="34">
        <f>C33+1</f>
        <v>2020</v>
      </c>
      <c r="E33" s="34">
        <f t="shared" ref="E33" si="17">D33+1</f>
        <v>2021</v>
      </c>
      <c r="F33" s="34">
        <f t="shared" ref="F33" si="18">E33+1</f>
        <v>2022</v>
      </c>
      <c r="G33" s="34">
        <f t="shared" ref="G33" si="19">F33+1</f>
        <v>2023</v>
      </c>
      <c r="H33" s="34">
        <f>G33+1</f>
        <v>2024</v>
      </c>
      <c r="I33" s="34">
        <f t="shared" ref="I33" si="20">H33+1</f>
        <v>2025</v>
      </c>
      <c r="J33" s="21" t="s">
        <v>74</v>
      </c>
      <c r="K33" s="21" t="s">
        <v>75</v>
      </c>
    </row>
    <row r="34" spans="1:11" x14ac:dyDescent="0.2">
      <c r="B34" s="62" t="s">
        <v>78</v>
      </c>
      <c r="C34" s="31">
        <v>132886</v>
      </c>
      <c r="D34" s="31">
        <v>144939</v>
      </c>
      <c r="E34" s="31">
        <v>170684</v>
      </c>
      <c r="F34" s="31">
        <v>199382</v>
      </c>
      <c r="G34" s="31">
        <v>212586</v>
      </c>
      <c r="H34" s="31">
        <v>222358</v>
      </c>
      <c r="I34" s="31">
        <v>239886</v>
      </c>
      <c r="J34" s="64">
        <f>AVERAGE(C34:I34)</f>
        <v>188960.14285714287</v>
      </c>
      <c r="K34" s="65">
        <f>_xlfn.STDEV.S(C34:I34)</f>
        <v>40397.69781571129</v>
      </c>
    </row>
    <row r="35" spans="1:11" x14ac:dyDescent="0.2">
      <c r="A35" s="71">
        <v>123152</v>
      </c>
      <c r="B35" s="63" t="s">
        <v>82</v>
      </c>
      <c r="C35" s="53">
        <f>LOG(C34/A35)</f>
        <v>3.3037759710650393E-2</v>
      </c>
      <c r="D35" s="53">
        <f t="shared" ref="D35:I35" si="21">LOG(D34/C34)</f>
        <v>3.7706031671630919E-2</v>
      </c>
      <c r="E35" s="53">
        <f t="shared" si="21"/>
        <v>7.1007551452091394E-2</v>
      </c>
      <c r="F35" s="53">
        <f t="shared" si="21"/>
        <v>6.7493136040541052E-2</v>
      </c>
      <c r="G35" s="53">
        <f t="shared" si="21"/>
        <v>2.784871227124178E-2</v>
      </c>
      <c r="H35" s="53">
        <f t="shared" si="21"/>
        <v>1.9518098758919619E-2</v>
      </c>
      <c r="I35" s="53">
        <f t="shared" si="21"/>
        <v>3.2952143702855825E-2</v>
      </c>
      <c r="J35" s="55">
        <f>AVERAGE(C35:I35)</f>
        <v>4.1366204801132997E-2</v>
      </c>
      <c r="K35" s="56">
        <f>_xlfn.STDEV.S(C35:I35)</f>
        <v>1.9894909727227381E-2</v>
      </c>
    </row>
    <row r="36" spans="1:11" x14ac:dyDescent="0.2">
      <c r="B36" s="63" t="s">
        <v>83</v>
      </c>
      <c r="C36" s="53">
        <f>LOG(SUM(C6:C9)/SUM(A6:A9))</f>
        <v>3.2965366969120787E-2</v>
      </c>
      <c r="D36" s="53">
        <f t="shared" ref="D36:I36" si="22">LOG(SUM(D6:D9)/SUM(C6:C9))</f>
        <v>3.856523869206599E-2</v>
      </c>
      <c r="E36" s="53">
        <f t="shared" si="22"/>
        <v>7.0645460680793179E-2</v>
      </c>
      <c r="F36" s="53">
        <f t="shared" si="22"/>
        <v>6.4359882864658213E-2</v>
      </c>
      <c r="G36" s="53">
        <f t="shared" si="22"/>
        <v>2.8268734976102106E-2</v>
      </c>
      <c r="H36" s="53">
        <f t="shared" si="22"/>
        <v>2.1240625837292654E-2</v>
      </c>
      <c r="I36" s="53">
        <f t="shared" si="22"/>
        <v>3.3934115377022241E-2</v>
      </c>
      <c r="J36" s="56">
        <f t="shared" ref="J36:K36" si="23">J20</f>
        <v>4.8041596286280359E-2</v>
      </c>
      <c r="K36" s="56">
        <f t="shared" si="23"/>
        <v>2.3423552971640921E-2</v>
      </c>
    </row>
    <row r="37" spans="1:11" ht="12.75" customHeight="1" x14ac:dyDescent="0.2">
      <c r="B37" s="63" t="s">
        <v>84</v>
      </c>
      <c r="C37" s="68">
        <f>C36-C35</f>
        <v>-7.2392741529606064E-5</v>
      </c>
      <c r="D37" s="68">
        <f t="shared" ref="D37:K37" si="24">D36-D35</f>
        <v>8.5920702043507102E-4</v>
      </c>
      <c r="E37" s="68">
        <f t="shared" si="24"/>
        <v>-3.6209077129821521E-4</v>
      </c>
      <c r="F37" s="68">
        <f t="shared" si="24"/>
        <v>-3.1332531758828386E-3</v>
      </c>
      <c r="G37" s="68">
        <f t="shared" si="24"/>
        <v>4.2002270486032542E-4</v>
      </c>
      <c r="H37" s="68">
        <f t="shared" si="24"/>
        <v>1.7225270783730352E-3</v>
      </c>
      <c r="I37" s="68">
        <f t="shared" si="24"/>
        <v>9.8197167416641529E-4</v>
      </c>
      <c r="J37" s="55">
        <f t="shared" si="24"/>
        <v>6.6753914851473625E-3</v>
      </c>
      <c r="K37" s="55">
        <f t="shared" si="24"/>
        <v>3.5286432444135395E-3</v>
      </c>
    </row>
    <row r="42" spans="1:11" x14ac:dyDescent="0.2">
      <c r="B42" s="69" t="s">
        <v>85</v>
      </c>
      <c r="C42" s="34">
        <v>2019</v>
      </c>
      <c r="D42" s="34">
        <f>C42+1</f>
        <v>2020</v>
      </c>
      <c r="E42" s="34">
        <f t="shared" ref="E42" si="25">D42+1</f>
        <v>2021</v>
      </c>
      <c r="F42" s="34">
        <f t="shared" ref="F42" si="26">E42+1</f>
        <v>2022</v>
      </c>
      <c r="G42" s="34">
        <f t="shared" ref="G42" si="27">F42+1</f>
        <v>2023</v>
      </c>
      <c r="H42" s="34">
        <f t="shared" ref="H42" si="28">G42+1</f>
        <v>2024</v>
      </c>
      <c r="I42" s="61"/>
    </row>
    <row r="43" spans="1:11" x14ac:dyDescent="0.2">
      <c r="A43" s="71">
        <v>510329</v>
      </c>
      <c r="B43" s="62" t="s">
        <v>86</v>
      </c>
      <c r="C43" s="31">
        <v>519926</v>
      </c>
      <c r="D43" s="31">
        <v>555233</v>
      </c>
      <c r="E43" s="31">
        <v>567762</v>
      </c>
      <c r="F43" s="31">
        <v>605881</v>
      </c>
      <c r="G43" s="31">
        <v>642637</v>
      </c>
      <c r="H43" s="31">
        <v>674538</v>
      </c>
    </row>
    <row r="44" spans="1:11" x14ac:dyDescent="0.2">
      <c r="A44" s="71">
        <v>4076</v>
      </c>
      <c r="B44" s="62" t="s">
        <v>87</v>
      </c>
      <c r="C44" s="31">
        <v>4038</v>
      </c>
      <c r="D44" s="31">
        <v>3918</v>
      </c>
      <c r="E44" s="31">
        <v>4992</v>
      </c>
      <c r="F44" s="31">
        <v>5408</v>
      </c>
      <c r="G44" s="31">
        <v>5488</v>
      </c>
      <c r="H44" s="31">
        <v>6447</v>
      </c>
    </row>
    <row r="45" spans="1:11" ht="13.5" thickBot="1" x14ac:dyDescent="0.25">
      <c r="A45" s="71">
        <f>SUM(A43:A44)</f>
        <v>514405</v>
      </c>
      <c r="B45" s="19" t="s">
        <v>88</v>
      </c>
      <c r="C45" s="13">
        <f t="shared" ref="C45:G45" si="29">SUM(C43:C44)</f>
        <v>523964</v>
      </c>
      <c r="D45" s="13">
        <f t="shared" si="29"/>
        <v>559151</v>
      </c>
      <c r="E45" s="13">
        <f t="shared" si="29"/>
        <v>572754</v>
      </c>
      <c r="F45" s="13">
        <f t="shared" si="29"/>
        <v>611289</v>
      </c>
      <c r="G45" s="13">
        <f t="shared" si="29"/>
        <v>648125</v>
      </c>
      <c r="H45" s="13">
        <f>SUM(H43:H44)</f>
        <v>680985</v>
      </c>
    </row>
    <row r="46" spans="1:11" x14ac:dyDescent="0.2">
      <c r="A46" s="71">
        <v>385301</v>
      </c>
      <c r="B46" s="73" t="s">
        <v>89</v>
      </c>
      <c r="C46" s="31">
        <v>394605</v>
      </c>
      <c r="D46" s="31">
        <v>420315</v>
      </c>
      <c r="E46" s="31">
        <v>429000</v>
      </c>
      <c r="F46" s="31">
        <v>463721</v>
      </c>
      <c r="G46" s="31">
        <v>490142</v>
      </c>
      <c r="H46" s="31">
        <v>511753</v>
      </c>
    </row>
    <row r="49" spans="2:10" x14ac:dyDescent="0.2">
      <c r="B49" s="58" t="s">
        <v>92</v>
      </c>
      <c r="C49" s="34">
        <v>2019</v>
      </c>
      <c r="D49" s="34">
        <f>C49+1</f>
        <v>2020</v>
      </c>
      <c r="E49" s="34">
        <f t="shared" ref="E49" si="30">D49+1</f>
        <v>2021</v>
      </c>
      <c r="F49" s="34">
        <f t="shared" ref="F49" si="31">E49+1</f>
        <v>2022</v>
      </c>
      <c r="G49" s="34">
        <f t="shared" ref="G49" si="32">F49+1</f>
        <v>2023</v>
      </c>
      <c r="H49" s="34">
        <f>G49+1</f>
        <v>2024</v>
      </c>
      <c r="I49" s="21" t="s">
        <v>90</v>
      </c>
      <c r="J49" s="21" t="s">
        <v>93</v>
      </c>
    </row>
    <row r="50" spans="2:10" x14ac:dyDescent="0.2">
      <c r="B50" s="62" t="s">
        <v>86</v>
      </c>
      <c r="C50" s="53">
        <f>(C43-A43)/A43</f>
        <v>1.8805515657546408E-2</v>
      </c>
      <c r="D50" s="53">
        <f t="shared" ref="D50:G51" si="33">(D43-C43)/C43</f>
        <v>6.7907740716948176E-2</v>
      </c>
      <c r="E50" s="53">
        <f t="shared" si="33"/>
        <v>2.2565301414000968E-2</v>
      </c>
      <c r="F50" s="53">
        <f t="shared" si="33"/>
        <v>6.7139047699564247E-2</v>
      </c>
      <c r="G50" s="53">
        <f t="shared" si="33"/>
        <v>6.0665378184825071E-2</v>
      </c>
      <c r="H50" s="70">
        <f>LOG(H43/G43)</f>
        <v>2.104069405525873E-2</v>
      </c>
      <c r="I50" s="55">
        <f>AVERAGE(C50:H50)</f>
        <v>4.3020612954690597E-2</v>
      </c>
      <c r="J50" s="56">
        <f>_xlfn.STDEV.S(C50:H50)</f>
        <v>2.4496176456690773E-2</v>
      </c>
    </row>
    <row r="51" spans="2:10" x14ac:dyDescent="0.2">
      <c r="B51" s="62" t="s">
        <v>87</v>
      </c>
      <c r="C51" s="53">
        <f>(C44-A44)/A44</f>
        <v>-9.3228655544651626E-3</v>
      </c>
      <c r="D51" s="53">
        <f t="shared" si="33"/>
        <v>-2.9717682020802376E-2</v>
      </c>
      <c r="E51" s="53">
        <f t="shared" si="33"/>
        <v>0.27411944869831545</v>
      </c>
      <c r="F51" s="53">
        <f t="shared" si="33"/>
        <v>8.3333333333333329E-2</v>
      </c>
      <c r="G51" s="53">
        <f t="shared" si="33"/>
        <v>1.4792899408284023E-2</v>
      </c>
      <c r="H51" s="70">
        <f>LOG(H44/G44)</f>
        <v>6.9943567512410487E-2</v>
      </c>
      <c r="I51" s="55">
        <f>AVERAGE(C51:H51)</f>
        <v>6.7191450229512631E-2</v>
      </c>
      <c r="J51" s="56">
        <f t="shared" ref="J51:J52" si="34">_xlfn.STDEV.S(C51:H51)</f>
        <v>0.11052489280840339</v>
      </c>
    </row>
    <row r="52" spans="2:10" ht="13.5" thickBot="1" x14ac:dyDescent="0.25">
      <c r="B52" s="10" t="s">
        <v>91</v>
      </c>
      <c r="C52" s="54">
        <f>(C45-A45)/A45</f>
        <v>1.8582634305654107E-2</v>
      </c>
      <c r="D52" s="54">
        <f t="shared" ref="D52:G52" si="35">(D45-C45)/C45</f>
        <v>6.7155377086975443E-2</v>
      </c>
      <c r="E52" s="54">
        <f t="shared" si="35"/>
        <v>2.4327954345069579E-2</v>
      </c>
      <c r="F52" s="54">
        <f t="shared" si="35"/>
        <v>6.7280193590965751E-2</v>
      </c>
      <c r="G52" s="54">
        <f t="shared" si="35"/>
        <v>6.0259549901928548E-2</v>
      </c>
      <c r="H52" s="54">
        <f>LOG(H45/G45)</f>
        <v>2.1478772116564307E-2</v>
      </c>
      <c r="I52" s="57">
        <f>AVERAGE(C52:H52)</f>
        <v>4.3180746891192952E-2</v>
      </c>
      <c r="J52" s="57">
        <f t="shared" si="34"/>
        <v>2.3994675972873039E-2</v>
      </c>
    </row>
    <row r="53" spans="2:10" x14ac:dyDescent="0.2">
      <c r="B53" s="74" t="s">
        <v>89</v>
      </c>
      <c r="C53" s="53">
        <f>LOG(C46/A46)</f>
        <v>1.0362447681594967E-2</v>
      </c>
      <c r="D53" s="53">
        <f>LOG(D46/C46)</f>
        <v>2.7412305322600618E-2</v>
      </c>
      <c r="E53" s="53">
        <f t="shared" ref="E53:H53" si="36">LOG(E46/D46)</f>
        <v>8.8824030096810482E-3</v>
      </c>
      <c r="F53" s="53">
        <f t="shared" si="36"/>
        <v>3.3799471551514117E-2</v>
      </c>
      <c r="G53" s="53">
        <f t="shared" si="36"/>
        <v>2.4065154827633894E-2</v>
      </c>
      <c r="H53" s="53">
        <f t="shared" si="36"/>
        <v>1.8738478700571926E-2</v>
      </c>
      <c r="I53" s="55">
        <f>AVERAGE(C53:H53)</f>
        <v>2.054337684893276E-2</v>
      </c>
      <c r="J53" s="56">
        <f t="shared" ref="J53" si="37">_xlfn.STDEV.S(C53:H53)</f>
        <v>9.779534060347185E-3</v>
      </c>
    </row>
    <row r="54" spans="2:10" x14ac:dyDescent="0.2">
      <c r="B54" s="75" t="s">
        <v>94</v>
      </c>
      <c r="C54" s="68">
        <f>LOG(C43/A43)-C53</f>
        <v>-2.2711601796206859E-3</v>
      </c>
      <c r="D54" s="68">
        <f>LOG(D43/C43)-D53</f>
        <v>1.1214291786828777E-3</v>
      </c>
      <c r="E54" s="68">
        <f>LOG(E43/D43)-E53</f>
        <v>8.0864876818266367E-4</v>
      </c>
      <c r="F54" s="68">
        <f>LOG(F43/E43)-F53</f>
        <v>-5.5784600799677377E-3</v>
      </c>
      <c r="G54" s="68">
        <f>LOG(G43/F43)-G53</f>
        <v>1.5132381885708222E-3</v>
      </c>
      <c r="H54" s="68">
        <f>LOG(H43/G43)-H53</f>
        <v>2.302215354686804E-3</v>
      </c>
      <c r="I54" s="55">
        <f>AVERAGE(C54:H54)</f>
        <v>-3.5068146157754267E-4</v>
      </c>
      <c r="J54" s="56">
        <f t="shared" ref="J54" si="38">_xlfn.STDEV.S(C54:H54)</f>
        <v>3.0013704232604421E-3</v>
      </c>
    </row>
    <row r="55" spans="2:10" x14ac:dyDescent="0.2">
      <c r="C55" s="53"/>
    </row>
    <row r="57" spans="2:10" ht="25.5" x14ac:dyDescent="0.2">
      <c r="B57" s="76" t="s">
        <v>95</v>
      </c>
      <c r="C57" s="34">
        <v>2019</v>
      </c>
      <c r="D57" s="34">
        <f>C57+1</f>
        <v>2020</v>
      </c>
      <c r="E57" s="34">
        <f t="shared" ref="E57" si="39">D57+1</f>
        <v>2021</v>
      </c>
      <c r="F57" s="34">
        <f t="shared" ref="F57" si="40">E57+1</f>
        <v>2022</v>
      </c>
      <c r="G57" s="34">
        <f t="shared" ref="G57" si="41">F57+1</f>
        <v>2023</v>
      </c>
      <c r="H57" s="34">
        <f t="shared" ref="H57" si="42">G57+1</f>
        <v>2024</v>
      </c>
      <c r="I57" s="72"/>
    </row>
    <row r="58" spans="2:10" x14ac:dyDescent="0.2">
      <c r="B58" s="77" t="s">
        <v>96</v>
      </c>
      <c r="C58" s="68">
        <f t="shared" ref="C58:H58" si="43">C37</f>
        <v>-7.2392741529606064E-5</v>
      </c>
      <c r="D58" s="68">
        <f t="shared" si="43"/>
        <v>8.5920702043507102E-4</v>
      </c>
      <c r="E58" s="68">
        <f t="shared" si="43"/>
        <v>-3.6209077129821521E-4</v>
      </c>
      <c r="F58" s="68">
        <f t="shared" si="43"/>
        <v>-3.1332531758828386E-3</v>
      </c>
      <c r="G58" s="68">
        <f t="shared" si="43"/>
        <v>4.2002270486032542E-4</v>
      </c>
      <c r="H58" s="68">
        <f t="shared" si="43"/>
        <v>1.7225270783730352E-3</v>
      </c>
    </row>
    <row r="59" spans="2:10" x14ac:dyDescent="0.2">
      <c r="B59" s="77" t="s">
        <v>97</v>
      </c>
      <c r="C59" s="68">
        <f t="shared" ref="C59:H59" si="44">C54</f>
        <v>-2.2711601796206859E-3</v>
      </c>
      <c r="D59" s="68">
        <f t="shared" si="44"/>
        <v>1.1214291786828777E-3</v>
      </c>
      <c r="E59" s="68">
        <f t="shared" si="44"/>
        <v>8.0864876818266367E-4</v>
      </c>
      <c r="F59" s="68">
        <f t="shared" si="44"/>
        <v>-5.5784600799677377E-3</v>
      </c>
      <c r="G59" s="68">
        <f t="shared" si="44"/>
        <v>1.5132381885708222E-3</v>
      </c>
      <c r="H59" s="68">
        <f t="shared" si="44"/>
        <v>2.302215354686804E-3</v>
      </c>
    </row>
    <row r="62" spans="2:10" ht="300" customHeight="1" x14ac:dyDescent="0.2"/>
  </sheetData>
  <conditionalFormatting sqref="C50:H54">
    <cfRule type="colorScale" priority="2">
      <colorScale>
        <cfvo type="min"/>
        <cfvo type="percentile" val="50"/>
        <cfvo type="max"/>
        <color rgb="FFF8696B"/>
        <color rgb="FFFCFCFF"/>
        <color rgb="FF63BE7B"/>
      </colorScale>
    </cfRule>
  </conditionalFormatting>
  <conditionalFormatting sqref="C58:H59">
    <cfRule type="colorScale" priority="1">
      <colorScale>
        <cfvo type="min"/>
        <cfvo type="percentile" val="50"/>
        <cfvo type="max"/>
        <color rgb="FFF8696B"/>
        <color rgb="FFFCFCFF"/>
        <color rgb="FF63BE7B"/>
      </colorScale>
    </cfRule>
  </conditionalFormatting>
  <conditionalFormatting sqref="C15:I22">
    <cfRule type="colorScale" priority="6">
      <colorScale>
        <cfvo type="min"/>
        <cfvo type="percentile" val="50"/>
        <cfvo type="max"/>
        <color rgb="FFF8696B"/>
        <color rgb="FFFCFCFF"/>
        <color rgb="FF63BE7B"/>
      </colorScale>
    </cfRule>
  </conditionalFormatting>
  <conditionalFormatting sqref="C25:I29">
    <cfRule type="colorScale" priority="3">
      <colorScale>
        <cfvo type="min"/>
        <cfvo type="max"/>
        <color rgb="FFFCFCFF"/>
        <color rgb="FF63BE7B"/>
      </colorScale>
    </cfRule>
  </conditionalFormatting>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D1B7D-B581-4E03-B034-0098B12E26B5}">
  <dimension ref="A1:F30"/>
  <sheetViews>
    <sheetView showGridLines="0" zoomScale="150" zoomScaleNormal="150" workbookViewId="0">
      <selection activeCell="E17" sqref="E17"/>
    </sheetView>
  </sheetViews>
  <sheetFormatPr defaultColWidth="10.5703125" defaultRowHeight="12.95" customHeight="1" x14ac:dyDescent="0.2"/>
  <cols>
    <col min="1" max="1" width="5.28515625" style="1" customWidth="1"/>
    <col min="2" max="2" width="20.7109375" style="1" customWidth="1"/>
    <col min="3" max="3" width="6.28515625" style="1" customWidth="1"/>
    <col min="4" max="4" width="16.28515625" style="1" customWidth="1"/>
    <col min="5" max="5" width="23" style="67" customWidth="1"/>
    <col min="6" max="6" width="105.7109375" style="1" customWidth="1"/>
    <col min="7" max="16384" width="10.5703125" style="1"/>
  </cols>
  <sheetData>
    <row r="1" spans="1:6" ht="15" x14ac:dyDescent="0.2">
      <c r="A1" s="87"/>
      <c r="B1" s="87"/>
      <c r="C1" s="87"/>
      <c r="D1" s="87"/>
      <c r="E1" s="87"/>
    </row>
    <row r="2" spans="1:6" ht="15" x14ac:dyDescent="0.2">
      <c r="A2" s="87"/>
      <c r="B2" s="87"/>
      <c r="C2" s="87"/>
      <c r="D2" s="87"/>
      <c r="E2" s="87"/>
    </row>
    <row r="3" spans="1:6" ht="15" x14ac:dyDescent="0.2">
      <c r="A3" s="87"/>
      <c r="B3" s="87"/>
      <c r="C3" s="87"/>
      <c r="D3" s="87"/>
      <c r="E3" s="87"/>
    </row>
    <row r="4" spans="1:6" ht="20.25" x14ac:dyDescent="0.3">
      <c r="A4" s="87"/>
      <c r="B4" s="88" t="s">
        <v>119</v>
      </c>
      <c r="C4" s="87"/>
      <c r="D4" s="87"/>
      <c r="E4" s="87"/>
      <c r="F4" s="1" t="s">
        <v>66</v>
      </c>
    </row>
    <row r="5" spans="1:6" ht="15" x14ac:dyDescent="0.2">
      <c r="A5" s="87"/>
      <c r="B5" s="87"/>
      <c r="C5" s="87"/>
      <c r="D5" s="87"/>
      <c r="E5" s="87"/>
      <c r="F5" s="1" t="s">
        <v>65</v>
      </c>
    </row>
    <row r="6" spans="1:6" ht="15.75" x14ac:dyDescent="0.25">
      <c r="A6" s="87"/>
      <c r="B6" s="89" t="s">
        <v>111</v>
      </c>
      <c r="C6" s="90" t="s">
        <v>112</v>
      </c>
      <c r="D6" s="91" t="s">
        <v>70</v>
      </c>
      <c r="E6" s="87"/>
      <c r="F6" s="1" t="s">
        <v>67</v>
      </c>
    </row>
    <row r="7" spans="1:6" ht="15" x14ac:dyDescent="0.2">
      <c r="A7" s="87"/>
      <c r="B7" s="87" t="s">
        <v>113</v>
      </c>
      <c r="C7" s="87"/>
      <c r="D7" s="92">
        <f>(('Financial Statements'!I15/'Financial Statements'!C15)^(1/7))-1</f>
        <v>8.7804547597956084E-2</v>
      </c>
      <c r="E7" s="87"/>
      <c r="F7" s="1" t="s">
        <v>68</v>
      </c>
    </row>
    <row r="8" spans="1:6" ht="15" x14ac:dyDescent="0.2">
      <c r="A8" s="87"/>
      <c r="B8" s="87" t="s">
        <v>114</v>
      </c>
      <c r="C8" s="87"/>
      <c r="D8" s="92">
        <f>'Financial Statements'!I22/'Financial Statements'!I15</f>
        <v>3.7724126655403561E-2</v>
      </c>
      <c r="E8" s="87"/>
      <c r="F8" s="25" t="s">
        <v>69</v>
      </c>
    </row>
    <row r="9" spans="1:6" ht="15" x14ac:dyDescent="0.2">
      <c r="A9" s="87"/>
      <c r="B9" s="87" t="s">
        <v>60</v>
      </c>
      <c r="C9" s="87"/>
      <c r="D9" s="92">
        <f>'Financial Statements'!I36</f>
        <v>0.27770539020710461</v>
      </c>
      <c r="E9" s="87"/>
      <c r="F9" s="61" t="s">
        <v>79</v>
      </c>
    </row>
    <row r="10" spans="1:6" ht="15" x14ac:dyDescent="0.2">
      <c r="A10" s="87"/>
      <c r="B10" s="87" t="s">
        <v>101</v>
      </c>
      <c r="C10" s="87"/>
      <c r="D10" s="92">
        <f>('Financial Statements'!I22*(1-('Financial Statements'!I26/'Financial Statements'!I25)))/('Financial Statements'!U16-'Financial Statements'!U30+'Financial Statements'!U17)</f>
        <v>0.23427060836074101</v>
      </c>
      <c r="E10" s="87"/>
      <c r="F10" s="61" t="s">
        <v>80</v>
      </c>
    </row>
    <row r="11" spans="1:6" ht="12.95" customHeight="1" x14ac:dyDescent="0.2">
      <c r="A11" s="87"/>
      <c r="B11" s="87" t="s">
        <v>115</v>
      </c>
      <c r="C11" s="87"/>
      <c r="D11" s="93">
        <f>'Financial Statements'!U38/'Financial Statements'!I22</f>
        <v>0.55022633150341904</v>
      </c>
      <c r="E11" s="87"/>
      <c r="F11" s="27" t="s">
        <v>81</v>
      </c>
    </row>
    <row r="12" spans="1:6" ht="12.95" customHeight="1" x14ac:dyDescent="0.2">
      <c r="A12" s="87"/>
      <c r="B12" s="87" t="s">
        <v>116</v>
      </c>
      <c r="C12" s="87"/>
      <c r="D12" s="94">
        <f>_xlfn.STDEV.S('Financial Statements'!C30:I30)</f>
        <v>3.6535035856441138</v>
      </c>
      <c r="E12" s="87"/>
      <c r="F12" s="27"/>
    </row>
    <row r="13" spans="1:6" ht="12.95" customHeight="1" x14ac:dyDescent="0.2">
      <c r="A13" s="87"/>
      <c r="B13" s="87" t="s">
        <v>117</v>
      </c>
      <c r="C13" s="87"/>
      <c r="D13" s="94">
        <f>'Financial Statements'!U39/'Financial Statements'!I22</f>
        <v>39.487034361937781</v>
      </c>
      <c r="E13" s="87"/>
      <c r="F13" s="28"/>
    </row>
    <row r="14" spans="1:6" ht="12.95" customHeight="1" x14ac:dyDescent="0.2">
      <c r="A14" s="87"/>
      <c r="B14" s="87" t="s">
        <v>118</v>
      </c>
      <c r="C14" s="87"/>
      <c r="D14" s="95" t="s">
        <v>120</v>
      </c>
      <c r="E14" s="87"/>
      <c r="F14" s="28"/>
    </row>
    <row r="15" spans="1:6" ht="12.95" customHeight="1" x14ac:dyDescent="0.2">
      <c r="A15" s="87"/>
      <c r="B15" s="87"/>
      <c r="C15" s="87"/>
      <c r="D15" s="87"/>
      <c r="E15" s="87"/>
      <c r="F15" s="26"/>
    </row>
    <row r="16" spans="1:6" ht="12.95" customHeight="1" x14ac:dyDescent="0.2">
      <c r="A16" s="87"/>
      <c r="B16" s="87"/>
      <c r="C16" s="87"/>
      <c r="D16" s="87"/>
      <c r="E16" s="87"/>
      <c r="F16" s="26"/>
    </row>
    <row r="17" spans="5:6" ht="12.95" customHeight="1" x14ac:dyDescent="0.2">
      <c r="E17" s="66"/>
      <c r="F17" s="26"/>
    </row>
    <row r="18" spans="5:6" ht="12.95" customHeight="1" x14ac:dyDescent="0.2">
      <c r="E18" s="66"/>
      <c r="F18" s="26"/>
    </row>
    <row r="19" spans="5:6" ht="12.95" customHeight="1" x14ac:dyDescent="0.2">
      <c r="E19" s="66"/>
      <c r="F19" s="26"/>
    </row>
    <row r="20" spans="5:6" ht="12.95" customHeight="1" x14ac:dyDescent="0.2">
      <c r="E20" s="66"/>
      <c r="F20" s="26"/>
    </row>
    <row r="21" spans="5:6" ht="12.95" customHeight="1" x14ac:dyDescent="0.2">
      <c r="E21" s="66"/>
      <c r="F21" s="26"/>
    </row>
    <row r="22" spans="5:6" ht="12.95" customHeight="1" x14ac:dyDescent="0.2">
      <c r="E22" s="66"/>
      <c r="F22" s="26"/>
    </row>
    <row r="23" spans="5:6" ht="12.95" customHeight="1" x14ac:dyDescent="0.2">
      <c r="E23" s="66"/>
      <c r="F23" s="26"/>
    </row>
    <row r="24" spans="5:6" ht="12.95" customHeight="1" x14ac:dyDescent="0.2">
      <c r="E24" s="66"/>
      <c r="F24" s="26"/>
    </row>
    <row r="25" spans="5:6" ht="12.95" customHeight="1" x14ac:dyDescent="0.2">
      <c r="E25" s="66"/>
      <c r="F25" s="26"/>
    </row>
    <row r="26" spans="5:6" ht="12.95" customHeight="1" x14ac:dyDescent="0.2">
      <c r="E26" s="66"/>
      <c r="F26" s="26"/>
    </row>
    <row r="27" spans="5:6" ht="12.95" customHeight="1" x14ac:dyDescent="0.2">
      <c r="E27" s="66"/>
      <c r="F27" s="26"/>
    </row>
    <row r="28" spans="5:6" ht="12.95" customHeight="1" x14ac:dyDescent="0.2">
      <c r="E28" s="66"/>
      <c r="F28" s="26"/>
    </row>
    <row r="29" spans="5:6" ht="12.95" customHeight="1" x14ac:dyDescent="0.2">
      <c r="E29" s="66"/>
      <c r="F29" s="26"/>
    </row>
    <row r="30" spans="5:6" ht="12.95" customHeight="1" x14ac:dyDescent="0.2">
      <c r="E30" s="66"/>
      <c r="F30" s="26"/>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574CEBD-927E-4CC6-88EF-634C9658C423}">
  <ds:schemaRefs>
    <ds:schemaRef ds:uri="http://schemas.microsoft.com/sharepoint/v3/contenttype/forms"/>
  </ds:schemaRefs>
</ds:datastoreItem>
</file>

<file path=customXml/itemProps2.xml><?xml version="1.0" encoding="utf-8"?>
<ds:datastoreItem xmlns:ds="http://schemas.openxmlformats.org/officeDocument/2006/customXml" ds:itemID="{6A9550C0-A346-462C-ADBD-CFA384774B54}">
  <ds:schemaRefs>
    <ds:schemaRef ds:uri="http://schemas.microsoft.com/office/infopath/2007/PartnerControls"/>
    <ds:schemaRef ds:uri="http://purl.org/dc/elements/1.1/"/>
    <ds:schemaRef ds:uri="http://schemas.openxmlformats.org/package/2006/metadata/core-properties"/>
    <ds:schemaRef ds:uri="36567613-e428-4167-ab55-a4f66cede826"/>
    <ds:schemaRef ds:uri="http://schemas.microsoft.com/office/2006/metadata/properties"/>
    <ds:schemaRef ds:uri="http://purl.org/dc/term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78AA7227-0D45-460D-9755-119F04C91B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Financial Statements</vt:lpstr>
      <vt:lpstr>Analysis</vt:lpstr>
      <vt:lpstr>Observations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2026-05-28T04:33:30Z</cp:lastPrinted>
  <dcterms:created xsi:type="dcterms:W3CDTF">2025-03-10T18:58:37Z</dcterms:created>
  <dcterms:modified xsi:type="dcterms:W3CDTF">2026-06-29T21:53:16Z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c50c7b0-9e53-455f-9b3f-deab1aa8a41e_Enabled">
    <vt:lpwstr>true</vt:lpwstr>
  </property>
  <property fmtid="{D5CDD505-2E9C-101B-9397-08002B2CF9AE}" pid="3" name="MSIP_Label_bc50c7b0-9e53-455f-9b3f-deab1aa8a41e_SetDate">
    <vt:lpwstr>2025-03-10T19:39:34Z</vt:lpwstr>
  </property>
  <property fmtid="{D5CDD505-2E9C-101B-9397-08002B2CF9AE}" pid="4" name="MSIP_Label_bc50c7b0-9e53-455f-9b3f-deab1aa8a41e_Method">
    <vt:lpwstr>Standard</vt:lpwstr>
  </property>
  <property fmtid="{D5CDD505-2E9C-101B-9397-08002B2CF9AE}" pid="5" name="MSIP_Label_bc50c7b0-9e53-455f-9b3f-deab1aa8a41e_Name">
    <vt:lpwstr>defa4170-0d19-0005-0004-bc88714345d2</vt:lpwstr>
  </property>
  <property fmtid="{D5CDD505-2E9C-101B-9397-08002B2CF9AE}" pid="6" name="MSIP_Label_bc50c7b0-9e53-455f-9b3f-deab1aa8a41e_SiteId">
    <vt:lpwstr>7cc8e357-468d-472c-a6fc-c5600e789b55</vt:lpwstr>
  </property>
  <property fmtid="{D5CDD505-2E9C-101B-9397-08002B2CF9AE}" pid="7" name="MSIP_Label_bc50c7b0-9e53-455f-9b3f-deab1aa8a41e_ActionId">
    <vt:lpwstr>e5a574fb-6e42-4398-b83b-56e21fba2f0a</vt:lpwstr>
  </property>
  <property fmtid="{D5CDD505-2E9C-101B-9397-08002B2CF9AE}" pid="8" name="MSIP_Label_bc50c7b0-9e53-455f-9b3f-deab1aa8a41e_ContentBits">
    <vt:lpwstr>0</vt:lpwstr>
  </property>
  <property fmtid="{D5CDD505-2E9C-101B-9397-08002B2CF9AE}" pid="9" name="MSIP_Label_bc50c7b0-9e53-455f-9b3f-deab1aa8a41e_Tag">
    <vt:lpwstr>10, 3, 0, 1</vt:lpwstr>
  </property>
  <property fmtid="{D5CDD505-2E9C-101B-9397-08002B2CF9AE}" pid="10" name="ContentTypeId">
    <vt:lpwstr>0x0101004600919C5D1CD245AE9967B74E8175F3</vt:lpwstr>
  </property>
</Properties>
</file>