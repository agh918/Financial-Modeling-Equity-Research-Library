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339" documentId="8_{46B6C9D0-C122-4B7C-A090-855453D8B410}" xr6:coauthVersionLast="47" xr6:coauthVersionMax="47" xr10:uidLastSave="{8E12EA79-99F2-44DE-9158-D9450EE47521}"/>
  <bookViews>
    <workbookView xWindow="-98" yWindow="-98" windowWidth="21795" windowHeight="1297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72" i="1" l="1"/>
  <c r="AB71" i="1"/>
  <c r="AB70" i="1"/>
  <c r="AB69" i="1"/>
  <c r="AB68" i="1"/>
  <c r="AB67" i="1"/>
  <c r="AB66" i="1"/>
  <c r="AB64" i="1"/>
  <c r="AB63" i="1"/>
  <c r="AB62" i="1"/>
  <c r="AB61" i="1"/>
  <c r="AB60" i="1"/>
  <c r="AB59" i="1"/>
  <c r="AB58" i="1"/>
  <c r="AB57" i="1"/>
  <c r="AB56" i="1"/>
  <c r="AB55" i="1"/>
  <c r="AB54" i="1"/>
  <c r="AB50" i="1"/>
  <c r="AB49" i="1"/>
  <c r="AB48" i="1"/>
  <c r="AB47" i="1"/>
  <c r="AB46" i="1"/>
  <c r="AB45" i="1"/>
  <c r="AB44" i="1"/>
  <c r="AB43" i="1"/>
  <c r="AB42" i="1"/>
  <c r="AB41" i="1"/>
  <c r="AB40" i="1"/>
  <c r="AB39" i="1"/>
  <c r="AB38" i="1"/>
  <c r="AB34" i="1"/>
  <c r="AB33" i="1"/>
  <c r="AB32" i="1"/>
  <c r="AB31" i="1"/>
  <c r="AB30" i="1"/>
  <c r="AB29" i="1"/>
  <c r="AB27" i="1"/>
  <c r="AB26" i="1"/>
  <c r="AB25" i="1"/>
  <c r="AB24" i="1"/>
  <c r="AB23" i="1"/>
  <c r="AB22" i="1"/>
  <c r="AB21" i="1"/>
  <c r="AB20" i="1"/>
  <c r="AB17" i="1"/>
  <c r="AB15" i="1"/>
  <c r="AB14" i="1"/>
  <c r="AB13" i="1"/>
  <c r="AB12" i="1"/>
  <c r="AB9" i="1"/>
  <c r="AB8" i="1"/>
  <c r="AB7" i="1"/>
  <c r="AB6" i="1"/>
  <c r="AB5" i="1"/>
  <c r="AA34" i="1"/>
  <c r="AA32" i="1"/>
  <c r="AA30" i="1"/>
  <c r="AC29" i="1"/>
  <c r="AA26" i="1"/>
  <c r="AA25" i="1"/>
  <c r="AA24" i="1"/>
  <c r="AA22" i="1"/>
  <c r="AA21" i="1"/>
  <c r="AA23" i="1"/>
  <c r="AA20" i="1"/>
  <c r="AA17" i="1"/>
  <c r="AA14" i="1"/>
  <c r="AA15" i="1" s="1"/>
  <c r="AA13" i="1"/>
  <c r="AA12" i="1"/>
  <c r="AA9" i="1"/>
  <c r="AA8" i="1"/>
  <c r="Z8" i="1"/>
  <c r="AA7" i="1"/>
  <c r="AA68" i="1" s="1"/>
  <c r="AA59" i="1"/>
  <c r="AA64" i="1" s="1"/>
  <c r="AA43" i="1"/>
  <c r="AA72" i="1" s="1"/>
  <c r="Z63" i="1"/>
  <c r="Z62" i="1"/>
  <c r="Z61" i="1"/>
  <c r="Z60" i="1"/>
  <c r="Z58" i="1"/>
  <c r="Z9" i="1" s="1"/>
  <c r="Z57" i="1"/>
  <c r="Z56" i="1"/>
  <c r="Z55" i="1"/>
  <c r="Z54" i="1"/>
  <c r="Z49" i="1"/>
  <c r="Z48" i="1"/>
  <c r="Z47" i="1"/>
  <c r="Z46" i="1"/>
  <c r="Z45" i="1"/>
  <c r="Z44" i="1"/>
  <c r="Z42" i="1"/>
  <c r="Z41" i="1"/>
  <c r="Z40" i="1"/>
  <c r="Z39" i="1"/>
  <c r="Z38" i="1"/>
  <c r="Z34" i="1"/>
  <c r="Z32" i="1"/>
  <c r="Z30" i="1"/>
  <c r="Z27" i="1"/>
  <c r="Z26" i="1"/>
  <c r="Z25" i="1"/>
  <c r="Z24" i="1"/>
  <c r="Z23" i="1"/>
  <c r="Z22" i="1"/>
  <c r="Z21" i="1"/>
  <c r="Z20" i="1"/>
  <c r="Z17" i="1"/>
  <c r="Z14" i="1"/>
  <c r="Z13" i="1"/>
  <c r="Z12" i="1"/>
  <c r="Z6" i="1"/>
  <c r="Z5" i="1"/>
  <c r="Z7" i="1" s="1"/>
  <c r="Z68" i="1" s="1"/>
  <c r="Y26" i="1"/>
  <c r="Y63" i="1"/>
  <c r="Y62" i="1"/>
  <c r="Y61" i="1"/>
  <c r="Y60" i="1"/>
  <c r="Y9" i="1" s="1"/>
  <c r="Y58" i="1"/>
  <c r="Y57" i="1"/>
  <c r="Y56" i="1"/>
  <c r="Y55" i="1"/>
  <c r="Y54" i="1"/>
  <c r="Y49" i="1"/>
  <c r="Y48" i="1"/>
  <c r="Y47" i="1"/>
  <c r="Y46" i="1"/>
  <c r="Y45" i="1"/>
  <c r="Y44" i="1"/>
  <c r="Y42" i="1"/>
  <c r="Y41" i="1"/>
  <c r="Y40" i="1"/>
  <c r="Y39" i="1"/>
  <c r="Y38" i="1"/>
  <c r="Y8" i="1" s="1"/>
  <c r="Y34" i="1"/>
  <c r="Y32" i="1"/>
  <c r="Y30" i="1"/>
  <c r="Y25" i="1"/>
  <c r="Y24" i="1"/>
  <c r="Y23" i="1"/>
  <c r="Y22" i="1"/>
  <c r="Y21" i="1"/>
  <c r="Y20" i="1"/>
  <c r="Y17" i="1"/>
  <c r="Y14" i="1"/>
  <c r="Y13" i="1"/>
  <c r="Y12" i="1"/>
  <c r="Y6" i="1"/>
  <c r="Y5" i="1"/>
  <c r="Y7" i="1" s="1"/>
  <c r="U34" i="1"/>
  <c r="U32" i="1"/>
  <c r="U30" i="1"/>
  <c r="U26" i="1"/>
  <c r="U25" i="1"/>
  <c r="U24" i="1"/>
  <c r="U22" i="1"/>
  <c r="U21" i="1"/>
  <c r="U23" i="1"/>
  <c r="U20" i="1"/>
  <c r="U17" i="1"/>
  <c r="U14" i="1"/>
  <c r="U13" i="1"/>
  <c r="U12" i="1"/>
  <c r="Q34" i="1"/>
  <c r="Q32" i="1"/>
  <c r="Q30" i="1"/>
  <c r="X27" i="1"/>
  <c r="W27" i="1"/>
  <c r="V27" i="1"/>
  <c r="T27" i="1"/>
  <c r="S27" i="1"/>
  <c r="R27" i="1"/>
  <c r="P27" i="1"/>
  <c r="O27" i="1"/>
  <c r="N27" i="1"/>
  <c r="Q26" i="1"/>
  <c r="Q25" i="1"/>
  <c r="Q24" i="1"/>
  <c r="Q22" i="1"/>
  <c r="Q21" i="1"/>
  <c r="Q23" i="1"/>
  <c r="Q20" i="1"/>
  <c r="Q17" i="1"/>
  <c r="Q14" i="1"/>
  <c r="Q13" i="1"/>
  <c r="Q12" i="1"/>
  <c r="M34" i="1"/>
  <c r="M32" i="1"/>
  <c r="M30" i="1"/>
  <c r="M26" i="1"/>
  <c r="M25" i="1"/>
  <c r="M24" i="1"/>
  <c r="M22" i="1"/>
  <c r="M21" i="1"/>
  <c r="M23" i="1"/>
  <c r="M20" i="1"/>
  <c r="M17" i="1"/>
  <c r="M14" i="1"/>
  <c r="M13" i="1"/>
  <c r="M12" i="1"/>
  <c r="I34" i="1"/>
  <c r="I32" i="1"/>
  <c r="I30" i="1"/>
  <c r="I26" i="1"/>
  <c r="I25" i="1"/>
  <c r="I24" i="1"/>
  <c r="I23" i="1"/>
  <c r="I22" i="1"/>
  <c r="I21" i="1"/>
  <c r="I20" i="1"/>
  <c r="I17" i="1"/>
  <c r="I14" i="1"/>
  <c r="I13" i="1"/>
  <c r="I12" i="1"/>
  <c r="E34" i="1"/>
  <c r="E32" i="1"/>
  <c r="E30" i="1"/>
  <c r="E26" i="1"/>
  <c r="E25" i="1"/>
  <c r="E24" i="1"/>
  <c r="E22" i="1"/>
  <c r="E21" i="1"/>
  <c r="E20" i="1"/>
  <c r="E17" i="1"/>
  <c r="E14" i="1"/>
  <c r="E13" i="1"/>
  <c r="E12" i="1"/>
  <c r="X59" i="1"/>
  <c r="X64" i="1" s="1"/>
  <c r="Y64" i="1" s="1"/>
  <c r="W59" i="1"/>
  <c r="W64" i="1" s="1"/>
  <c r="Z64" i="1" s="1"/>
  <c r="V59" i="1"/>
  <c r="U59" i="1"/>
  <c r="T59" i="1"/>
  <c r="T64" i="1" s="1"/>
  <c r="S59" i="1"/>
  <c r="S64" i="1" s="1"/>
  <c r="R59" i="1"/>
  <c r="Q59" i="1"/>
  <c r="Q64" i="1" s="1"/>
  <c r="P59" i="1"/>
  <c r="P64" i="1" s="1"/>
  <c r="O59" i="1"/>
  <c r="O64" i="1" s="1"/>
  <c r="N59" i="1"/>
  <c r="M59" i="1"/>
  <c r="M64" i="1" s="1"/>
  <c r="L59" i="1"/>
  <c r="L64" i="1" s="1"/>
  <c r="K59" i="1"/>
  <c r="K64" i="1" s="1"/>
  <c r="J59" i="1"/>
  <c r="I59" i="1"/>
  <c r="I64" i="1" s="1"/>
  <c r="H59" i="1"/>
  <c r="H64" i="1" s="1"/>
  <c r="G59" i="1"/>
  <c r="G64" i="1" s="1"/>
  <c r="F59" i="1"/>
  <c r="E59" i="1"/>
  <c r="D59" i="1"/>
  <c r="D64" i="1" s="1"/>
  <c r="X43" i="1"/>
  <c r="W43" i="1"/>
  <c r="V43" i="1"/>
  <c r="V50" i="1" s="1"/>
  <c r="U43" i="1"/>
  <c r="U50" i="1" s="1"/>
  <c r="T43" i="1"/>
  <c r="S43" i="1"/>
  <c r="R43" i="1"/>
  <c r="R50" i="1" s="1"/>
  <c r="Q43" i="1"/>
  <c r="Q50" i="1" s="1"/>
  <c r="P43" i="1"/>
  <c r="O43" i="1"/>
  <c r="N43" i="1"/>
  <c r="N50" i="1" s="1"/>
  <c r="M43" i="1"/>
  <c r="M50" i="1" s="1"/>
  <c r="L43" i="1"/>
  <c r="K43" i="1"/>
  <c r="J43" i="1"/>
  <c r="J50" i="1" s="1"/>
  <c r="I43" i="1"/>
  <c r="I50" i="1" s="1"/>
  <c r="H43" i="1"/>
  <c r="G43" i="1"/>
  <c r="F43" i="1"/>
  <c r="F50" i="1" s="1"/>
  <c r="E43" i="1"/>
  <c r="E50" i="1" s="1"/>
  <c r="D43" i="1"/>
  <c r="L27" i="1"/>
  <c r="K27" i="1"/>
  <c r="J27" i="1"/>
  <c r="H27" i="1"/>
  <c r="G27" i="1"/>
  <c r="F27" i="1"/>
  <c r="D27" i="1"/>
  <c r="X15" i="1"/>
  <c r="Y15" i="1" s="1"/>
  <c r="Y69" i="1" s="1"/>
  <c r="W15" i="1"/>
  <c r="W69" i="1" s="1"/>
  <c r="V15" i="1"/>
  <c r="V69" i="1" s="1"/>
  <c r="T15" i="1"/>
  <c r="S15" i="1"/>
  <c r="S69" i="1" s="1"/>
  <c r="R15" i="1"/>
  <c r="R69" i="1" s="1"/>
  <c r="P15" i="1"/>
  <c r="O15" i="1"/>
  <c r="O69" i="1" s="1"/>
  <c r="N15" i="1"/>
  <c r="N69" i="1" s="1"/>
  <c r="L15" i="1"/>
  <c r="K15" i="1"/>
  <c r="K69" i="1" s="1"/>
  <c r="J15" i="1"/>
  <c r="J69" i="1" s="1"/>
  <c r="H15" i="1"/>
  <c r="G15" i="1"/>
  <c r="G69" i="1" s="1"/>
  <c r="F15" i="1"/>
  <c r="F69" i="1" s="1"/>
  <c r="D15" i="1"/>
  <c r="X9" i="1"/>
  <c r="W9" i="1"/>
  <c r="V9" i="1"/>
  <c r="U9" i="1"/>
  <c r="T9" i="1"/>
  <c r="S9" i="1"/>
  <c r="R9" i="1"/>
  <c r="Q9" i="1"/>
  <c r="P9" i="1"/>
  <c r="O9" i="1"/>
  <c r="N9" i="1"/>
  <c r="M9" i="1"/>
  <c r="L9" i="1"/>
  <c r="K9" i="1"/>
  <c r="J9" i="1"/>
  <c r="I9" i="1"/>
  <c r="H9" i="1"/>
  <c r="G9" i="1"/>
  <c r="F9" i="1"/>
  <c r="E9" i="1"/>
  <c r="D9" i="1"/>
  <c r="X8" i="1"/>
  <c r="W8" i="1"/>
  <c r="V8" i="1"/>
  <c r="U8" i="1"/>
  <c r="T8" i="1"/>
  <c r="S8" i="1"/>
  <c r="R8" i="1"/>
  <c r="Q8" i="1"/>
  <c r="P8" i="1"/>
  <c r="O8" i="1"/>
  <c r="N8" i="1"/>
  <c r="M8" i="1"/>
  <c r="L8" i="1"/>
  <c r="K8" i="1"/>
  <c r="J8" i="1"/>
  <c r="I8" i="1"/>
  <c r="H8" i="1"/>
  <c r="G8" i="1"/>
  <c r="F8" i="1"/>
  <c r="E8" i="1"/>
  <c r="D8" i="1"/>
  <c r="X7" i="1"/>
  <c r="W7" i="1"/>
  <c r="V7" i="1"/>
  <c r="U7" i="1"/>
  <c r="T7" i="1"/>
  <c r="S7" i="1"/>
  <c r="R7" i="1"/>
  <c r="Q7" i="1"/>
  <c r="P7" i="1"/>
  <c r="O7" i="1"/>
  <c r="N7" i="1"/>
  <c r="M7" i="1"/>
  <c r="L7" i="1"/>
  <c r="K7" i="1"/>
  <c r="J7" i="1"/>
  <c r="I7" i="1"/>
  <c r="H7" i="1"/>
  <c r="G7" i="1"/>
  <c r="F7" i="1"/>
  <c r="E7" i="1"/>
  <c r="D7" i="1"/>
  <c r="C43" i="1"/>
  <c r="C50" i="1" s="1"/>
  <c r="C59" i="1"/>
  <c r="C64" i="1" s="1"/>
  <c r="C9" i="1"/>
  <c r="C8" i="1"/>
  <c r="C7" i="1"/>
  <c r="B9" i="1"/>
  <c r="B8" i="1"/>
  <c r="B7" i="1"/>
  <c r="B59" i="1"/>
  <c r="B64" i="1" s="1"/>
  <c r="B43" i="1"/>
  <c r="B50" i="1" s="1"/>
  <c r="C15" i="1"/>
  <c r="C69" i="1" s="1"/>
  <c r="C27" i="1"/>
  <c r="B27" i="1"/>
  <c r="B15" i="1"/>
  <c r="B69" i="1" s="1"/>
  <c r="C1" i="1"/>
  <c r="D1" i="1" s="1"/>
  <c r="A4" i="1" a="1"/>
  <c r="A4" i="1" s="1"/>
  <c r="Y68" i="1" l="1"/>
  <c r="AA69" i="1"/>
  <c r="AA50" i="1"/>
  <c r="AA66" i="1" s="1"/>
  <c r="U15" i="1"/>
  <c r="U69" i="1" s="1"/>
  <c r="AA27" i="1"/>
  <c r="AA29" i="1" s="1"/>
  <c r="AA31" i="1" s="1"/>
  <c r="AA33" i="1" s="1"/>
  <c r="Z15" i="1"/>
  <c r="Z69" i="1" s="1"/>
  <c r="Z59" i="1"/>
  <c r="Y43" i="1"/>
  <c r="Z43" i="1"/>
  <c r="Z72" i="1" s="1"/>
  <c r="Y27" i="1"/>
  <c r="Y59" i="1"/>
  <c r="E15" i="1"/>
  <c r="E69" i="1" s="1"/>
  <c r="U27" i="1"/>
  <c r="U29" i="1" s="1"/>
  <c r="U31" i="1" s="1"/>
  <c r="U33" i="1" s="1"/>
  <c r="M27" i="1"/>
  <c r="Q27" i="1"/>
  <c r="V29" i="1"/>
  <c r="V31" i="1" s="1"/>
  <c r="V33" i="1" s="1"/>
  <c r="V70" i="1" s="1"/>
  <c r="W72" i="1"/>
  <c r="B66" i="1"/>
  <c r="B68" i="1"/>
  <c r="T68" i="1"/>
  <c r="U72" i="1"/>
  <c r="W29" i="1"/>
  <c r="W31" i="1" s="1"/>
  <c r="W33" i="1" s="1"/>
  <c r="W70" i="1" s="1"/>
  <c r="S72" i="1"/>
  <c r="Q15" i="1"/>
  <c r="P68" i="1"/>
  <c r="O72" i="1"/>
  <c r="M68" i="1"/>
  <c r="M15" i="1"/>
  <c r="M69" i="1" s="1"/>
  <c r="L68" i="1"/>
  <c r="K72" i="1"/>
  <c r="P29" i="1"/>
  <c r="P31" i="1" s="1"/>
  <c r="P33" i="1" s="1"/>
  <c r="P67" i="1" s="1"/>
  <c r="L29" i="1"/>
  <c r="L31" i="1" s="1"/>
  <c r="L33" i="1" s="1"/>
  <c r="L70" i="1" s="1"/>
  <c r="X29" i="1"/>
  <c r="T29" i="1"/>
  <c r="T31" i="1" s="1"/>
  <c r="T33" i="1" s="1"/>
  <c r="T70" i="1" s="1"/>
  <c r="J29" i="1"/>
  <c r="J31" i="1" s="1"/>
  <c r="J33" i="1" s="1"/>
  <c r="J70" i="1" s="1"/>
  <c r="I27" i="1"/>
  <c r="I15" i="1"/>
  <c r="I69" i="1" s="1"/>
  <c r="H68" i="1"/>
  <c r="I72" i="1"/>
  <c r="X68" i="1"/>
  <c r="B72" i="1"/>
  <c r="N29" i="1"/>
  <c r="N31" i="1" s="1"/>
  <c r="N33" i="1" s="1"/>
  <c r="N70" i="1" s="1"/>
  <c r="Q66" i="1"/>
  <c r="M72" i="1"/>
  <c r="K29" i="1"/>
  <c r="K31" i="1" s="1"/>
  <c r="K33" i="1" s="1"/>
  <c r="K67" i="1" s="1"/>
  <c r="S29" i="1"/>
  <c r="S31" i="1" s="1"/>
  <c r="S33" i="1" s="1"/>
  <c r="S67" i="1" s="1"/>
  <c r="O29" i="1"/>
  <c r="O31" i="1" s="1"/>
  <c r="O33" i="1" s="1"/>
  <c r="O67" i="1" s="1"/>
  <c r="W50" i="1"/>
  <c r="W66" i="1" s="1"/>
  <c r="B29" i="1"/>
  <c r="B31" i="1" s="1"/>
  <c r="B33" i="1" s="1"/>
  <c r="K68" i="1"/>
  <c r="O68" i="1"/>
  <c r="S68" i="1"/>
  <c r="W68" i="1"/>
  <c r="J68" i="1"/>
  <c r="N68" i="1"/>
  <c r="R68" i="1"/>
  <c r="V68" i="1"/>
  <c r="I68" i="1"/>
  <c r="Q68" i="1"/>
  <c r="U68" i="1"/>
  <c r="R29" i="1"/>
  <c r="R31" i="1" s="1"/>
  <c r="R33" i="1" s="1"/>
  <c r="R70" i="1" s="1"/>
  <c r="O50" i="1"/>
  <c r="O66" i="1" s="1"/>
  <c r="X69" i="1"/>
  <c r="H29" i="1"/>
  <c r="H31" i="1" s="1"/>
  <c r="H33" i="1" s="1"/>
  <c r="H70" i="1" s="1"/>
  <c r="H69" i="1"/>
  <c r="G68" i="1"/>
  <c r="G72" i="1"/>
  <c r="G50" i="1"/>
  <c r="G66" i="1" s="1"/>
  <c r="G29" i="1"/>
  <c r="G31" i="1" s="1"/>
  <c r="G33" i="1" s="1"/>
  <c r="G70" i="1" s="1"/>
  <c r="F68" i="1"/>
  <c r="F29" i="1"/>
  <c r="F31" i="1" s="1"/>
  <c r="F33" i="1" s="1"/>
  <c r="F67" i="1" s="1"/>
  <c r="E72" i="1"/>
  <c r="E68" i="1"/>
  <c r="E27" i="1"/>
  <c r="D68" i="1"/>
  <c r="D29" i="1"/>
  <c r="D31" i="1" s="1"/>
  <c r="D33" i="1" s="1"/>
  <c r="D67" i="1" s="1"/>
  <c r="C68" i="1"/>
  <c r="C72" i="1"/>
  <c r="D72" i="1"/>
  <c r="D50" i="1"/>
  <c r="D66" i="1" s="1"/>
  <c r="H72" i="1"/>
  <c r="H50" i="1"/>
  <c r="H66" i="1" s="1"/>
  <c r="L72" i="1"/>
  <c r="L50" i="1"/>
  <c r="L66" i="1" s="1"/>
  <c r="P72" i="1"/>
  <c r="P50" i="1"/>
  <c r="P66" i="1" s="1"/>
  <c r="T72" i="1"/>
  <c r="T50" i="1"/>
  <c r="T66" i="1" s="1"/>
  <c r="X72" i="1"/>
  <c r="X50" i="1"/>
  <c r="Z50" i="1" s="1"/>
  <c r="Z66" i="1" s="1"/>
  <c r="K50" i="1"/>
  <c r="K66" i="1" s="1"/>
  <c r="S50" i="1"/>
  <c r="S66" i="1" s="1"/>
  <c r="U64" i="1"/>
  <c r="U66" i="1" s="1"/>
  <c r="P69" i="1"/>
  <c r="Q72" i="1"/>
  <c r="L69" i="1"/>
  <c r="C29" i="1"/>
  <c r="C31" i="1" s="1"/>
  <c r="C33" i="1" s="1"/>
  <c r="C67" i="1" s="1"/>
  <c r="I66" i="1"/>
  <c r="M66" i="1"/>
  <c r="F72" i="1"/>
  <c r="F64" i="1"/>
  <c r="F66" i="1" s="1"/>
  <c r="J72" i="1"/>
  <c r="J64" i="1"/>
  <c r="J66" i="1" s="1"/>
  <c r="N72" i="1"/>
  <c r="N64" i="1"/>
  <c r="N66" i="1" s="1"/>
  <c r="R64" i="1"/>
  <c r="R66" i="1" s="1"/>
  <c r="R72" i="1"/>
  <c r="V72" i="1"/>
  <c r="V64" i="1"/>
  <c r="V66" i="1" s="1"/>
  <c r="E64" i="1"/>
  <c r="E66" i="1" s="1"/>
  <c r="D69" i="1"/>
  <c r="T69" i="1"/>
  <c r="C66" i="1"/>
  <c r="AA71" i="1" l="1"/>
  <c r="AA70" i="1"/>
  <c r="AA67" i="1"/>
  <c r="E29" i="1"/>
  <c r="E31" i="1" s="1"/>
  <c r="E33" i="1" s="1"/>
  <c r="Y72" i="1"/>
  <c r="Z29" i="1"/>
  <c r="M29" i="1"/>
  <c r="M31" i="1" s="1"/>
  <c r="M33" i="1" s="1"/>
  <c r="X66" i="1"/>
  <c r="Y50" i="1"/>
  <c r="Y66" i="1" s="1"/>
  <c r="X31" i="1"/>
  <c r="Z31" i="1" s="1"/>
  <c r="Y29" i="1"/>
  <c r="W67" i="1"/>
  <c r="V67" i="1"/>
  <c r="V71" i="1"/>
  <c r="W71" i="1"/>
  <c r="Q29" i="1"/>
  <c r="Q31" i="1" s="1"/>
  <c r="Q33" i="1" s="1"/>
  <c r="Q67" i="1" s="1"/>
  <c r="I29" i="1"/>
  <c r="I31" i="1" s="1"/>
  <c r="I33" i="1" s="1"/>
  <c r="I71" i="1" s="1"/>
  <c r="Q69" i="1"/>
  <c r="S71" i="1"/>
  <c r="T71" i="1"/>
  <c r="T67" i="1"/>
  <c r="P71" i="1"/>
  <c r="P70" i="1"/>
  <c r="O70" i="1"/>
  <c r="O71" i="1"/>
  <c r="L71" i="1"/>
  <c r="L67" i="1"/>
  <c r="N67" i="1"/>
  <c r="R67" i="1"/>
  <c r="K71" i="1"/>
  <c r="J67" i="1"/>
  <c r="J71" i="1"/>
  <c r="H71" i="1"/>
  <c r="H67" i="1"/>
  <c r="N71" i="1"/>
  <c r="B70" i="1"/>
  <c r="B71" i="1"/>
  <c r="B67" i="1"/>
  <c r="R71" i="1"/>
  <c r="K70" i="1"/>
  <c r="S70" i="1"/>
  <c r="G67" i="1"/>
  <c r="G71" i="1"/>
  <c r="F70" i="1"/>
  <c r="F71" i="1"/>
  <c r="D71" i="1"/>
  <c r="D70" i="1"/>
  <c r="C71" i="1"/>
  <c r="C70" i="1"/>
  <c r="U71" i="1"/>
  <c r="U67" i="1"/>
  <c r="U70" i="1"/>
  <c r="E71" i="1"/>
  <c r="E67" i="1"/>
  <c r="E70" i="1"/>
  <c r="M71" i="1"/>
  <c r="M67" i="1"/>
  <c r="M70" i="1"/>
  <c r="Q71" i="1" l="1"/>
  <c r="X33" i="1"/>
  <c r="Z33" i="1" s="1"/>
  <c r="Y31" i="1"/>
  <c r="I70" i="1"/>
  <c r="Q70" i="1"/>
  <c r="I67" i="1"/>
  <c r="Z70" i="1" l="1"/>
  <c r="Z67" i="1"/>
  <c r="Z71" i="1"/>
  <c r="X67" i="1"/>
  <c r="Y33" i="1"/>
  <c r="X70" i="1"/>
  <c r="X71" i="1"/>
  <c r="Y70" i="1" l="1"/>
  <c r="Y67" i="1"/>
  <c r="Y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<sst xmlns="http://schemas.openxmlformats.org/spreadsheetml/2006/main" count="95" uniqueCount="89">
  <si>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</si>
  <si>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</si>
  <si>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</si>
  <si>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</si>
  <si>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</si>
  <si>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</si>
  <si>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</si>
  <si>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</si>
  <si>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</si>
  <si>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</si>
  <si>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</si>
  <si>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</si>
  <si>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</si>
  <si>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</si>
  <si>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</si>
  <si>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</si>
  <si>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</si>
  <si>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</si>
  <si>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</si>
  <si>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</si>
  <si>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</si>
  <si>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</si>
  <si>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</si>
  <si>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</si>
  <si>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Q323</t>
  </si>
  <si>
    <t>Q423</t>
  </si>
  <si>
    <t>Q124</t>
  </si>
  <si>
    <t>Q224</t>
  </si>
  <si>
    <t>Shares outstanding</t>
  </si>
  <si>
    <t>Market cap</t>
  </si>
  <si>
    <t>Cash</t>
  </si>
  <si>
    <t>Debt</t>
  </si>
  <si>
    <t>Price</t>
  </si>
  <si>
    <t>Revenues</t>
  </si>
  <si>
    <t>Power Solutions Group</t>
  </si>
  <si>
    <t>Analog Solutions Group</t>
  </si>
  <si>
    <t>Image Sensor Group</t>
  </si>
  <si>
    <t>Total revenues</t>
  </si>
  <si>
    <t>Cost of revenues</t>
  </si>
  <si>
    <t>Operating expenses</t>
  </si>
  <si>
    <t>Research &amp; development</t>
  </si>
  <si>
    <t>Selling &amp; marketing</t>
  </si>
  <si>
    <t>General &amp; administrative</t>
  </si>
  <si>
    <t>Amortization of acquisition-related intangible assets</t>
  </si>
  <si>
    <t>Restructuring, asset impairments &amp; other</t>
  </si>
  <si>
    <t>Total operating expenses</t>
  </si>
  <si>
    <t>Income from operations</t>
  </si>
  <si>
    <t>Other (expense) income, net</t>
  </si>
  <si>
    <t>Income before income taxes</t>
  </si>
  <si>
    <t>Income tax provision</t>
  </si>
  <si>
    <t>Net income (loss)</t>
  </si>
  <si>
    <t>Non-controlling interest</t>
  </si>
  <si>
    <t>Assets</t>
  </si>
  <si>
    <t>Current assets</t>
  </si>
  <si>
    <t>Receivables, net</t>
  </si>
  <si>
    <t>Inventories</t>
  </si>
  <si>
    <t>Other</t>
  </si>
  <si>
    <t>Total current assets</t>
  </si>
  <si>
    <t>Property, plant &amp; equipment, net</t>
  </si>
  <si>
    <t>Goodwill</t>
  </si>
  <si>
    <t>Intangible assets, net</t>
  </si>
  <si>
    <t>Deferred tax assets</t>
  </si>
  <si>
    <t>Total assets</t>
  </si>
  <si>
    <t>Liabilities</t>
  </si>
  <si>
    <t>Current liabilities</t>
  </si>
  <si>
    <t>Accounts payable</t>
  </si>
  <si>
    <t>Accrued expenses</t>
  </si>
  <si>
    <t>Current portion of long-term debt</t>
  </si>
  <si>
    <t>Total current liabilities</t>
  </si>
  <si>
    <t>Long-term debt</t>
  </si>
  <si>
    <t>Deferred tax liabilities</t>
  </si>
  <si>
    <t>Total liabilities</t>
  </si>
  <si>
    <t>Equity</t>
  </si>
  <si>
    <t>EPS</t>
  </si>
  <si>
    <t>Enterprise value</t>
  </si>
  <si>
    <t>Gross profit margin</t>
  </si>
  <si>
    <t>Net margin</t>
  </si>
  <si>
    <t>ROE</t>
  </si>
  <si>
    <t>Current ratio</t>
  </si>
  <si>
    <t>Goowill &amp; Intangible asset impairment</t>
  </si>
  <si>
    <t>Litigation settlement</t>
  </si>
  <si>
    <t>Assets held for sale</t>
  </si>
  <si>
    <t>Liabilities held for sale</t>
  </si>
  <si>
    <t>Right of use financing lease</t>
  </si>
  <si>
    <t>Curent portion of financing lease liabilities</t>
  </si>
  <si>
    <t>Long-term financing lease liabilities</t>
  </si>
  <si>
    <t>% Change</t>
  </si>
  <si>
    <t>YoY</t>
  </si>
  <si>
    <t>QoQ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</si>
</sst>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_([$$-409]* #,##0.00_);_([$$-409]* \(#,##0.00\);_([$$-409]* &quot;-&quot;??_);_(@_)"/>
    <numFmt numFmtId="166" formatCode="_(* #,##0.0_);_(* \(#,##0.0\);_(* &quot;-&quot;??_);_(@_)"/>
    <numFmt numFmtId="167" formatCode="0.0%"/>
    <numFmt numFmtId="168" formatCode="_(* #,##0.000_);_(* \(#,##0.000\);_(* &quot;-&quot;??_);_(@_)"/>
  </numFmts>
  <fonts count="7" x14ac:knownFonts="1">
    <font>
      <sz val="11"/>
      <color theme="1"/>
      <name val="Calibri"/>
      <family val="2"/>
      <scheme val="minor"/>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27">
    <xf numFmtId="0" fontId="0" fillId="0" borderId="0" xfId="0"/>
    <xf numFmtId="14" fontId="2" fillId="2" borderId="0" xfId="0" applyNumberFormat="1" applyFont="1" applyFill="1" applyAlignment="1">
      <alignment horizontal="center" vertical="center"/>
    </xf>
    <xf numFmtId="0" fontId="3" fillId="0" borderId="0" xfId="0" applyFont="1"/>
    <xf numFmtId="0" fontId="2" fillId="2" borderId="0" xfId="0" applyFont="1" applyFill="1" applyAlignment="1">
      <alignment horizontal="center" vertical="center"/>
    </xf>
    <xf numFmtId="0" fontId="2" fillId="2" borderId="0" xfId="0" applyFont="1" applyFill="1" applyAlignment="1">
      <alignment vertical="center"/>
    </xf>
    <xf numFmtId="164" fontId="3" fillId="0" borderId="0" xfId="1" applyNumberFormat="1" applyFont="1"/>
    <xf numFmtId="0" fontId="1" fillId="0" borderId="0" xfId="0" applyFont="1"/>
    <xf numFmtId="0" fontId="1" fillId="0" borderId="0" xfId="0" applyFont="1" applyAlignment="1">
      <alignment horizontal="left"/>
    </xf>
    <xf numFmtId="0" fontId="2" fillId="2" borderId="0" xfId="0" applyFont="1" applyFill="1" applyAlignment="1">
      <alignment horizontal="center"/>
    </xf>
    <xf numFmtId="165" fontId="3" fillId="0" borderId="0" xfId="0" applyNumberFormat="1" applyFont="1"/>
    <xf numFmtId="0" fontId="5" fillId="0" borderId="0" xfId="0" applyFont="1"/>
    <xf numFmtId="0" fontId="5" fillId="0" borderId="0" xfId="0" applyFont="1" applyAlignment="1">
      <alignment horizontal="left" indent="1"/>
    </xf>
    <xf numFmtId="0" fontId="1" fillId="0" borderId="0" xfId="0" applyFont="1" applyAlignment="1">
      <alignment horizontal="left" indent="1"/>
    </xf>
    <xf numFmtId="0" fontId="5" fillId="0" borderId="0" xfId="0" applyFont="1" applyAlignment="1">
      <alignment horizontal="left" indent="2"/>
    </xf>
    <xf numFmtId="166" fontId="3" fillId="0" borderId="0" xfId="1" applyNumberFormat="1" applyFont="1"/>
    <xf numFmtId="166" fontId="5" fillId="0" borderId="0" xfId="1" applyNumberFormat="1" applyFont="1"/>
    <xf numFmtId="0" fontId="1" fillId="0" borderId="0" xfId="0" applyFont="1" applyAlignment="1">
      <alignment horizontal="left" wrapText="1" indent="1"/>
    </xf>
    <xf numFmtId="166" fontId="1" fillId="0" borderId="0" xfId="1" applyNumberFormat="1" applyFont="1"/>
    <xf numFmtId="0" fontId="1" fillId="0" borderId="0" xfId="0" applyFont="1" applyAlignment="1">
      <alignment horizontal="left" indent="2"/>
    </xf>
    <xf numFmtId="0" fontId="5" fillId="0" borderId="0" xfId="0" applyFont="1" applyAlignment="1">
      <alignment horizontal="left" indent="3"/>
    </xf>
    <xf numFmtId="44" fontId="3" fillId="0" borderId="0" xfId="2" applyFont="1"/>
    <xf numFmtId="43" fontId="3" fillId="0" borderId="0" xfId="1" applyFont="1"/>
    <xf numFmtId="167" fontId="3" fillId="0" borderId="0" xfId="3" applyNumberFormat="1" applyFont="1"/>
    <xf numFmtId="168" fontId="3" fillId="0" borderId="0" xfId="1" applyNumberFormat="1" applyFont="1"/>
    <xf numFmtId="0" fontId="1" fillId="0" borderId="0" xfId="0" applyFont="1" applyAlignment="1">
      <alignment horizontal="left" wrapText="1" indent="2"/>
    </xf>
    <xf numFmtId="9" fontId="6" fillId="0" borderId="0" xfId="3" applyFont="1" applyAlignment="1">
      <alignment horizontal="center"/>
    </xf>
    <xf numFmtId="167" fontId="6" fillId="0" borderId="0" xfId="3" applyNumberFormat="1" applyFont="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https://www.bing.com/financeapi/forcetrigger?t=a1z8jc&amp;q=XNAS%3aON&amp;form=skydnc</v>
    <v>Learn more on Bing</v>
  </rv>
  <rv s="1">
    <v>en-US</v>
    <v>a1z8jc</v>
    <v>268435456</v>
    <v>1</v>
    <v>Powered by Refinitiv</v>
    <v>0</v>
    <v>ON SEMICONDUCTOR CORPORATION (XNAS:ON)</v>
    <v>2</v>
    <v>3</v>
    <v>Finance</v>
    <v>4</v>
    <v>111.35</v>
    <v>61.47</v>
    <v>1.8028999999999999</v>
    <v>7.36</v>
    <v>0.103911</v>
    <v>USD</v>
    <v>ON Semiconductor Corporation provides intelligent sensing and power solutions. The Company's segments include the Power Solutions Group (PSG), the Advanced Solutions Group (ASG) and the Intelligent Sensing Group (ISG). The PSG segment offers a range of analog, discrete, module and integrated semiconductor products. The ASG segment designs and develops analog, mixed-signal, advanced logic, application specific standard products (ASSPs) and application specific integrated circuits (ASICs), radio frequency (RF) and integrated power solutions for a base of end-users in different end-markets. The Company's ISG segment designs and develops complementary metal oxide semiconductor (CMOS) image sensors, image signal processors, single photon detectors, including Silicon photomultipliers (SiPM) and Single photon avalanche diode (SPAD) arrays, as well as actuator drivers for autofocus and image stabilization for a base of end-users in the different end-markets.</v>
    <v>31000</v>
    <v>Nasdaq Stock Market</v>
    <v>XNAS</v>
    <v>XNAS</v>
    <v>5701 NORTH PIMA ROAD, SCOTTSDALE, AZ, 85250 US</v>
    <v>78.75</v>
    <v>Semiconductors &amp; Semiconductor Equipment</v>
    <v>Stock</v>
    <v>45327.814025705469</v>
    <v>0</v>
    <v>75.44</v>
    <v>33676245344</v>
    <v>ON SEMICONDUCTOR CORPORATION</v>
    <v>ON SEMICONDUCTOR CORPORATION</v>
    <v>75.599999999999994</v>
    <v>14.279299999999999</v>
    <v>70.83</v>
    <v>78.19</v>
    <v>430697600</v>
    <v>ON</v>
    <v>ON SEMICONDUCTOR CORPORATION (XNAS:ON)</v>
    <v>11621472</v>
    <v>8304797</v>
    <v>2000</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L72"/>
  <sheetViews>
    <sheetView tabSelected="1" zoomScale="125" zoomScaleNormal="125" workbookViewId="0">
      <pane xSplit="1" topLeftCell="T1" activePane="topRight" state="frozen"/>
      <selection pane="topRight" activeCell="AB70" sqref="AB70"/>
    </sheetView>
  </sheetViews>
  <sheetFormatPr defaultColWidth="12.73046875" defaultRowHeight="12.75" x14ac:dyDescent="0.35"/>
  <cols>
    <col min="1" max="1" width="35.59765625" style="2" customWidth="1"/>
    <col min="2" max="22" width="12.73046875" style="14" customWidth="1"/>
    <col min="23" max="24" width="12.73046875" style="14"/>
    <col min="25" max="26" width="10.59765625" style="14" hidden="1" customWidth="1"/>
    <col min="27" max="27" width="12.73046875" style="14"/>
    <col min="28" max="28" width="10.59765625" style="14" customWidth="1"/>
    <col min="29" max="16384" width="12.73046875" style="14"/>
  </cols>
  <sheetData>
    <row r="1" spans="1:38" s="8" customFormat="1" ht="15" customHeight="1" x14ac:dyDescent="0.4">
      <c r="A1" s="4" t="s">
        <v>1</v>
      </c>
      <c r="B1" s="1">
        <v>43189</v>
      </c>
      <c r="C1" s="1">
        <f>B1+91</f>
        <v>43280</v>
      </c>
      <c r="D1" s="1">
        <f>C1+91</f>
        <v>43371</v>
      </c>
      <c r="E1" s="1">
        <v>43465</v>
      </c>
      <c r="F1" s="1">
        <v>43553</v>
      </c>
      <c r="G1" s="1">
        <v>43644</v>
      </c>
      <c r="H1" s="1">
        <v>43735</v>
      </c>
      <c r="I1" s="1">
        <v>43830</v>
      </c>
      <c r="J1" s="1">
        <v>43924</v>
      </c>
      <c r="K1" s="1">
        <v>44015</v>
      </c>
      <c r="L1" s="1">
        <v>44106</v>
      </c>
      <c r="M1" s="1">
        <v>44196</v>
      </c>
      <c r="N1" s="1">
        <v>44288</v>
      </c>
      <c r="O1" s="1">
        <v>44379</v>
      </c>
      <c r="P1" s="1">
        <v>44470</v>
      </c>
      <c r="Q1" s="1">
        <v>44561</v>
      </c>
      <c r="R1" s="1">
        <v>44652</v>
      </c>
      <c r="S1" s="1">
        <v>44743</v>
      </c>
      <c r="T1" s="1">
        <v>44834</v>
      </c>
      <c r="U1" s="1">
        <v>44926</v>
      </c>
      <c r="V1" s="1">
        <v>45016</v>
      </c>
      <c r="W1" s="1">
        <v>45107</v>
      </c>
      <c r="X1" s="1">
        <v>45198</v>
      </c>
      <c r="Y1" s="1" t="s">
        <v>86</v>
      </c>
      <c r="Z1" s="1" t="s">
        <v>86</v>
      </c>
      <c r="AA1" s="1">
        <v>45291</v>
      </c>
      <c r="AB1" s="1" t="s">
        <v>86</v>
      </c>
      <c r="AC1" s="1"/>
      <c r="AD1" s="1"/>
      <c r="AE1" s="3"/>
      <c r="AF1" s="3"/>
      <c r="AG1" s="3"/>
      <c r="AH1" s="3"/>
      <c r="AI1" s="3"/>
      <c r="AJ1" s="3"/>
      <c r="AK1" s="3"/>
      <c r="AL1" s="3"/>
    </row>
    <row r="2" spans="1:38" s="8" customFormat="1" ht="15" customHeight="1" x14ac:dyDescent="0.4">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87</v>
      </c>
      <c r="Z2" s="3" t="s">
        <v>88</v>
      </c>
      <c r="AA2" s="3" t="s">
        <v>25</v>
      </c>
      <c r="AB2" s="3" t="s">
        <v>87</v>
      </c>
      <c r="AC2" s="3" t="s">
        <v>26</v>
      </c>
      <c r="AD2" s="3" t="s">
        <v>27</v>
      </c>
      <c r="AE2" s="3"/>
      <c r="AF2" s="3"/>
      <c r="AG2" s="3"/>
      <c r="AH2" s="3"/>
      <c r="AI2" s="3"/>
      <c r="AJ2" s="3"/>
      <c r="AK2" s="3"/>
      <c r="AL2" s="3"/>
    </row>
    <row r="3" spans="1:38" s="5" customFormat="1" x14ac:dyDescent="0.35">
      <c r="A3" s="7" t="e" vm="1">
        <v>#VALUE!</v>
      </c>
    </row>
    <row r="4" spans="1:38" s="5" customFormat="1" x14ac:dyDescent="0.35">
      <c r="A4" s="9" cm="1">
        <f t="array" ref="A4">_FV(A3,"Price")</f>
        <v>78.19</v>
      </c>
    </row>
    <row r="5" spans="1:38" s="20" customFormat="1" x14ac:dyDescent="0.35">
      <c r="A5" s="6" t="s">
        <v>32</v>
      </c>
      <c r="B5" s="20">
        <v>24.46</v>
      </c>
      <c r="C5" s="20">
        <v>22.24</v>
      </c>
      <c r="D5" s="20">
        <v>18.43</v>
      </c>
      <c r="E5" s="20">
        <v>16.510000000000002</v>
      </c>
      <c r="F5" s="20">
        <v>20.57</v>
      </c>
      <c r="G5" s="20">
        <v>20.21</v>
      </c>
      <c r="H5" s="20">
        <v>18.68</v>
      </c>
      <c r="I5" s="20">
        <v>24.38</v>
      </c>
      <c r="J5" s="20">
        <v>10.94</v>
      </c>
      <c r="K5" s="20">
        <v>19.18</v>
      </c>
      <c r="L5" s="20">
        <v>22.44</v>
      </c>
      <c r="M5" s="20">
        <v>32.729999999999997</v>
      </c>
      <c r="N5" s="20">
        <v>42.89</v>
      </c>
      <c r="O5" s="20">
        <v>38.4</v>
      </c>
      <c r="P5" s="20">
        <v>45.61</v>
      </c>
      <c r="Q5" s="20">
        <v>67.92</v>
      </c>
      <c r="R5" s="20">
        <v>59.63</v>
      </c>
      <c r="S5" s="20">
        <v>46.84</v>
      </c>
      <c r="T5" s="20">
        <v>62.33</v>
      </c>
      <c r="U5" s="20">
        <v>62.37</v>
      </c>
      <c r="V5" s="20">
        <v>82.32</v>
      </c>
      <c r="W5" s="20">
        <v>94.58</v>
      </c>
      <c r="X5" s="20">
        <v>92.95</v>
      </c>
      <c r="Y5" s="26">
        <f>(X5-T5)/X5</f>
        <v>0.32942442173211406</v>
      </c>
      <c r="Z5" s="26">
        <f>(X5-W5)/X5</f>
        <v>-1.7536309844002101E-2</v>
      </c>
      <c r="AA5" s="20">
        <v>81.93</v>
      </c>
      <c r="AB5" s="26">
        <f>(AA5-U5)/AA5</f>
        <v>0.23874038813621393</v>
      </c>
    </row>
    <row r="6" spans="1:38" x14ac:dyDescent="0.35">
      <c r="A6" s="6" t="s">
        <v>28</v>
      </c>
      <c r="B6" s="14">
        <v>444.2</v>
      </c>
      <c r="C6" s="14">
        <v>444.3</v>
      </c>
      <c r="D6" s="14">
        <v>435.3</v>
      </c>
      <c r="E6" s="14">
        <v>435.9</v>
      </c>
      <c r="F6" s="14">
        <v>417.7</v>
      </c>
      <c r="G6" s="14">
        <v>417.7</v>
      </c>
      <c r="H6" s="14">
        <v>410.4</v>
      </c>
      <c r="I6" s="14">
        <v>416</v>
      </c>
      <c r="J6" s="14">
        <v>410.6</v>
      </c>
      <c r="K6" s="14">
        <v>410.1</v>
      </c>
      <c r="L6" s="14">
        <v>418.3</v>
      </c>
      <c r="M6" s="14">
        <v>418.8</v>
      </c>
      <c r="N6" s="14">
        <v>445.4</v>
      </c>
      <c r="O6" s="14">
        <v>443.6</v>
      </c>
      <c r="P6" s="14">
        <v>440.7</v>
      </c>
      <c r="Q6" s="14">
        <v>443.8</v>
      </c>
      <c r="R6" s="14">
        <v>448.9</v>
      </c>
      <c r="S6" s="14">
        <v>447</v>
      </c>
      <c r="T6" s="14">
        <v>448.7</v>
      </c>
      <c r="U6" s="14">
        <v>448.2</v>
      </c>
      <c r="V6" s="14">
        <v>448.5</v>
      </c>
      <c r="W6" s="14">
        <v>448.7</v>
      </c>
      <c r="X6" s="14">
        <v>450.7</v>
      </c>
      <c r="Y6" s="26">
        <f t="shared" ref="Y6:Y64" si="0">(X6-T6)/X6</f>
        <v>4.4375416019525188E-3</v>
      </c>
      <c r="Z6" s="26">
        <f t="shared" ref="Z6:Z64" si="1">(X6-W6)/X6</f>
        <v>4.4375416019525188E-3</v>
      </c>
      <c r="AA6" s="14">
        <v>446.8</v>
      </c>
      <c r="AB6" s="26">
        <f t="shared" ref="AB6:AB69" si="2">(AA6-U6)/AA6</f>
        <v>-3.1333930170097967E-3</v>
      </c>
    </row>
    <row r="7" spans="1:38" x14ac:dyDescent="0.35">
      <c r="A7" s="7" t="s">
        <v>29</v>
      </c>
      <c r="B7" s="14">
        <f>B5*B6</f>
        <v>10865.132</v>
      </c>
      <c r="C7" s="14">
        <f>C5*C6</f>
        <v>9881.232</v>
      </c>
      <c r="D7" s="14">
        <f t="shared" ref="D7:X7" si="3">D5*D6</f>
        <v>8022.5789999999997</v>
      </c>
      <c r="E7" s="14">
        <f t="shared" si="3"/>
        <v>7196.7090000000007</v>
      </c>
      <c r="F7" s="14">
        <f t="shared" si="3"/>
        <v>8592.0889999999999</v>
      </c>
      <c r="G7" s="14">
        <f t="shared" si="3"/>
        <v>8441.7170000000006</v>
      </c>
      <c r="H7" s="14">
        <f t="shared" si="3"/>
        <v>7666.271999999999</v>
      </c>
      <c r="I7" s="14">
        <f t="shared" si="3"/>
        <v>10142.08</v>
      </c>
      <c r="J7" s="14">
        <f t="shared" si="3"/>
        <v>4491.9639999999999</v>
      </c>
      <c r="K7" s="14">
        <f t="shared" si="3"/>
        <v>7865.7180000000008</v>
      </c>
      <c r="L7" s="14">
        <f t="shared" si="3"/>
        <v>9386.652</v>
      </c>
      <c r="M7" s="14">
        <f t="shared" si="3"/>
        <v>13707.323999999999</v>
      </c>
      <c r="N7" s="14">
        <f t="shared" si="3"/>
        <v>19103.205999999998</v>
      </c>
      <c r="O7" s="14">
        <f t="shared" si="3"/>
        <v>17034.240000000002</v>
      </c>
      <c r="P7" s="14">
        <f t="shared" si="3"/>
        <v>20100.326999999997</v>
      </c>
      <c r="Q7" s="14">
        <f t="shared" si="3"/>
        <v>30142.896000000001</v>
      </c>
      <c r="R7" s="14">
        <f t="shared" si="3"/>
        <v>26767.906999999999</v>
      </c>
      <c r="S7" s="14">
        <f t="shared" si="3"/>
        <v>20937.480000000003</v>
      </c>
      <c r="T7" s="14">
        <f t="shared" si="3"/>
        <v>27967.470999999998</v>
      </c>
      <c r="U7" s="14">
        <f t="shared" si="3"/>
        <v>27954.233999999997</v>
      </c>
      <c r="V7" s="14">
        <f t="shared" si="3"/>
        <v>36920.519999999997</v>
      </c>
      <c r="W7" s="14">
        <f t="shared" si="3"/>
        <v>42438.045999999995</v>
      </c>
      <c r="X7" s="14">
        <f t="shared" si="3"/>
        <v>41892.565000000002</v>
      </c>
      <c r="Y7" s="14">
        <f t="shared" ref="Y7:AA7" si="4">Y5*Y6</f>
        <v>1.4618345761354076E-3</v>
      </c>
      <c r="Z7" s="14">
        <f t="shared" si="4"/>
        <v>-7.7818104477488814E-5</v>
      </c>
      <c r="AA7" s="14">
        <f t="shared" si="4"/>
        <v>36606.324000000001</v>
      </c>
      <c r="AB7" s="26">
        <f t="shared" si="2"/>
        <v>0.23635506258426833</v>
      </c>
    </row>
    <row r="8" spans="1:38" x14ac:dyDescent="0.35">
      <c r="A8" s="6" t="s">
        <v>30</v>
      </c>
      <c r="B8" s="14">
        <f>B38</f>
        <v>924.9</v>
      </c>
      <c r="C8" s="14">
        <f>C38</f>
        <v>850.2</v>
      </c>
      <c r="D8" s="14">
        <f t="shared" ref="D8:X8" si="5">D38</f>
        <v>951</v>
      </c>
      <c r="E8" s="14">
        <f t="shared" si="5"/>
        <v>1069.5999999999999</v>
      </c>
      <c r="F8" s="14">
        <f t="shared" si="5"/>
        <v>939.6</v>
      </c>
      <c r="G8" s="14">
        <f t="shared" si="5"/>
        <v>885.2</v>
      </c>
      <c r="H8" s="14">
        <f t="shared" si="5"/>
        <v>928.7</v>
      </c>
      <c r="I8" s="14">
        <f t="shared" si="5"/>
        <v>894.2</v>
      </c>
      <c r="J8" s="14">
        <f t="shared" si="5"/>
        <v>1982</v>
      </c>
      <c r="K8" s="14">
        <f t="shared" si="5"/>
        <v>2060.4</v>
      </c>
      <c r="L8" s="14">
        <f t="shared" si="5"/>
        <v>1654</v>
      </c>
      <c r="M8" s="14">
        <f t="shared" si="5"/>
        <v>1080.7</v>
      </c>
      <c r="N8" s="14">
        <f t="shared" si="5"/>
        <v>1042.5</v>
      </c>
      <c r="O8" s="14">
        <f t="shared" si="5"/>
        <v>1091.0999999999999</v>
      </c>
      <c r="P8" s="14">
        <f t="shared" si="5"/>
        <v>1389.2</v>
      </c>
      <c r="Q8" s="14">
        <f t="shared" si="5"/>
        <v>1352.6</v>
      </c>
      <c r="R8" s="14">
        <f t="shared" si="5"/>
        <v>1645.1</v>
      </c>
      <c r="S8" s="14">
        <f t="shared" si="5"/>
        <v>1791.6</v>
      </c>
      <c r="T8" s="14">
        <f t="shared" si="5"/>
        <v>2450.1999999999998</v>
      </c>
      <c r="U8" s="14">
        <f t="shared" si="5"/>
        <v>2919</v>
      </c>
      <c r="V8" s="14">
        <f t="shared" si="5"/>
        <v>2702.4</v>
      </c>
      <c r="W8" s="14">
        <f t="shared" si="5"/>
        <v>2622.2</v>
      </c>
      <c r="X8" s="14">
        <f t="shared" si="5"/>
        <v>2679.2</v>
      </c>
      <c r="Y8" s="14">
        <f t="shared" ref="Y8:AA8" si="6">Y38</f>
        <v>8.5473275604658117E-2</v>
      </c>
      <c r="Z8" s="14">
        <f t="shared" si="6"/>
        <v>2.12750074649149E-2</v>
      </c>
      <c r="AA8" s="14">
        <f t="shared" si="6"/>
        <v>2483</v>
      </c>
      <c r="AB8" s="26">
        <f t="shared" si="2"/>
        <v>-0.175594039468385</v>
      </c>
    </row>
    <row r="9" spans="1:38" x14ac:dyDescent="0.35">
      <c r="A9" s="6" t="s">
        <v>31</v>
      </c>
      <c r="B9" s="14">
        <f>B58+B60</f>
        <v>2831.6000000000004</v>
      </c>
      <c r="C9" s="14">
        <f>C58+C60</f>
        <v>2766.8</v>
      </c>
      <c r="D9" s="14">
        <f t="shared" ref="D9:X9" si="7">D58+D60</f>
        <v>2714.8999999999996</v>
      </c>
      <c r="E9" s="14">
        <f t="shared" si="7"/>
        <v>2766.1</v>
      </c>
      <c r="F9" s="14">
        <f t="shared" si="7"/>
        <v>2769.8</v>
      </c>
      <c r="G9" s="14">
        <f t="shared" si="7"/>
        <v>3656.5</v>
      </c>
      <c r="H9" s="14">
        <f t="shared" si="7"/>
        <v>3615.4</v>
      </c>
      <c r="I9" s="14">
        <f t="shared" si="7"/>
        <v>3612.5</v>
      </c>
      <c r="J9" s="14">
        <f t="shared" si="7"/>
        <v>4732.6000000000004</v>
      </c>
      <c r="K9" s="14">
        <f t="shared" si="7"/>
        <v>4740.4000000000005</v>
      </c>
      <c r="L9" s="14">
        <f t="shared" si="7"/>
        <v>4239.2</v>
      </c>
      <c r="M9" s="14">
        <f t="shared" si="7"/>
        <v>3491.2999999999997</v>
      </c>
      <c r="N9" s="14">
        <f t="shared" si="7"/>
        <v>3343.6000000000004</v>
      </c>
      <c r="O9" s="14">
        <f t="shared" si="7"/>
        <v>3108.4</v>
      </c>
      <c r="P9" s="14">
        <f t="shared" si="7"/>
        <v>3113.5</v>
      </c>
      <c r="Q9" s="14">
        <f t="shared" si="7"/>
        <v>3074.6</v>
      </c>
      <c r="R9" s="14">
        <f t="shared" si="7"/>
        <v>3205.8</v>
      </c>
      <c r="S9" s="14">
        <f t="shared" si="7"/>
        <v>3212.6</v>
      </c>
      <c r="T9" s="14">
        <f t="shared" si="7"/>
        <v>3211.8</v>
      </c>
      <c r="U9" s="14">
        <f t="shared" si="7"/>
        <v>3193.5</v>
      </c>
      <c r="V9" s="14">
        <f t="shared" si="7"/>
        <v>3464.2</v>
      </c>
      <c r="W9" s="14">
        <f t="shared" si="7"/>
        <v>3451.7</v>
      </c>
      <c r="X9" s="14">
        <f t="shared" si="7"/>
        <v>3454</v>
      </c>
      <c r="Y9" s="14">
        <f t="shared" ref="Y9:AA9" si="8">Y58+Y60</f>
        <v>0.62003844441159917</v>
      </c>
      <c r="Z9" s="14">
        <f t="shared" si="8"/>
        <v>1.4666237262062087E-3</v>
      </c>
      <c r="AA9" s="14">
        <f t="shared" si="8"/>
        <v>3336.6</v>
      </c>
      <c r="AB9" s="26">
        <f t="shared" si="2"/>
        <v>4.2887969789606163E-2</v>
      </c>
    </row>
    <row r="10" spans="1:38" x14ac:dyDescent="0.35">
      <c r="Y10" s="26"/>
      <c r="Z10" s="26"/>
      <c r="AB10" s="26"/>
    </row>
    <row r="11" spans="1:38" ht="13.15" x14ac:dyDescent="0.4">
      <c r="A11" s="10" t="s">
        <v>33</v>
      </c>
      <c r="Y11" s="26"/>
      <c r="Z11" s="26"/>
      <c r="AB11" s="26"/>
    </row>
    <row r="12" spans="1:38" x14ac:dyDescent="0.35">
      <c r="A12" s="12" t="s">
        <v>34</v>
      </c>
      <c r="B12" s="14">
        <v>692.6</v>
      </c>
      <c r="C12" s="14">
        <v>748.2</v>
      </c>
      <c r="D12" s="14">
        <v>810.2</v>
      </c>
      <c r="E12" s="14">
        <f>3038.2-D12-C12-B12</f>
        <v>787.19999999999993</v>
      </c>
      <c r="F12" s="14">
        <v>704.2</v>
      </c>
      <c r="G12" s="14">
        <v>700.9</v>
      </c>
      <c r="H12" s="14">
        <v>687.9</v>
      </c>
      <c r="I12" s="14">
        <f>2788.3-H12-G12-F12</f>
        <v>695.3</v>
      </c>
      <c r="J12" s="14">
        <v>623.9</v>
      </c>
      <c r="K12" s="14">
        <v>618.4</v>
      </c>
      <c r="L12" s="14">
        <v>647.4</v>
      </c>
      <c r="M12" s="14">
        <f>2606.1-L12-K12-J12</f>
        <v>716.39999999999975</v>
      </c>
      <c r="N12" s="14">
        <v>747</v>
      </c>
      <c r="O12" s="14">
        <v>846.6</v>
      </c>
      <c r="P12" s="14">
        <v>892.1</v>
      </c>
      <c r="Q12" s="14">
        <f>3439.1-P12-O12-N12</f>
        <v>953.40000000000009</v>
      </c>
      <c r="R12" s="14">
        <v>986.7</v>
      </c>
      <c r="S12" s="14">
        <v>1057</v>
      </c>
      <c r="T12" s="14">
        <v>1116.0999999999999</v>
      </c>
      <c r="U12" s="14">
        <f>4208.2-T12-S12-R12</f>
        <v>1048.3999999999999</v>
      </c>
      <c r="V12" s="14">
        <v>1012.8</v>
      </c>
      <c r="W12" s="14">
        <v>1119.8</v>
      </c>
      <c r="X12" s="14">
        <v>1230.5999999999999</v>
      </c>
      <c r="Y12" s="26">
        <f t="shared" si="0"/>
        <v>9.3044043555988956E-2</v>
      </c>
      <c r="Z12" s="26">
        <f t="shared" si="1"/>
        <v>9.0037380139769183E-2</v>
      </c>
      <c r="AA12" s="14">
        <f>4449-X12-W12-V12</f>
        <v>1085.8000000000004</v>
      </c>
      <c r="AB12" s="26">
        <f t="shared" si="2"/>
        <v>3.4444649106649967E-2</v>
      </c>
    </row>
    <row r="13" spans="1:38" x14ac:dyDescent="0.35">
      <c r="A13" s="12" t="s">
        <v>35</v>
      </c>
      <c r="B13" s="14">
        <v>496.2</v>
      </c>
      <c r="C13" s="14">
        <v>513.20000000000005</v>
      </c>
      <c r="D13" s="14">
        <v>531.70000000000005</v>
      </c>
      <c r="E13" s="14">
        <f>2071.2-D13-C13-B13</f>
        <v>530.09999999999968</v>
      </c>
      <c r="F13" s="14">
        <v>494.1</v>
      </c>
      <c r="G13" s="14">
        <v>462</v>
      </c>
      <c r="H13" s="14">
        <v>508.9</v>
      </c>
      <c r="I13" s="14">
        <f>1972.3-H13-G13-F13</f>
        <v>507.30000000000007</v>
      </c>
      <c r="J13" s="14">
        <v>467.1</v>
      </c>
      <c r="K13" s="14">
        <v>426.7</v>
      </c>
      <c r="L13" s="14">
        <v>494.6</v>
      </c>
      <c r="M13" s="14">
        <f>1910.4-L13-K13-J13</f>
        <v>522.00000000000011</v>
      </c>
      <c r="N13" s="14">
        <v>531.5</v>
      </c>
      <c r="O13" s="14">
        <v>607.6</v>
      </c>
      <c r="P13" s="17">
        <v>613.5</v>
      </c>
      <c r="Q13" s="14">
        <f>2399.9-P13-O13-N13</f>
        <v>647.30000000000018</v>
      </c>
      <c r="R13" s="14">
        <v>689.3</v>
      </c>
      <c r="S13" s="14">
        <v>716.7</v>
      </c>
      <c r="T13" s="14">
        <v>734.3</v>
      </c>
      <c r="U13" s="14">
        <f>2841.3-T13-S13-R13</f>
        <v>701</v>
      </c>
      <c r="V13" s="14">
        <v>592.79999999999995</v>
      </c>
      <c r="W13" s="14">
        <v>649.5</v>
      </c>
      <c r="X13" s="14">
        <v>621.6</v>
      </c>
      <c r="Y13" s="26">
        <f t="shared" si="0"/>
        <v>-0.1813063063063062</v>
      </c>
      <c r="Z13" s="26">
        <f t="shared" si="1"/>
        <v>-4.4884169884169843E-2</v>
      </c>
      <c r="AA13" s="14">
        <f>2488.5-X13-W13-V13</f>
        <v>624.60000000000014</v>
      </c>
      <c r="AB13" s="26">
        <f t="shared" si="2"/>
        <v>-0.12231828370156876</v>
      </c>
    </row>
    <row r="14" spans="1:38" x14ac:dyDescent="0.35">
      <c r="A14" s="12" t="s">
        <v>36</v>
      </c>
      <c r="B14" s="14">
        <v>188.8</v>
      </c>
      <c r="C14" s="14">
        <v>194.5</v>
      </c>
      <c r="D14" s="14">
        <v>199.8</v>
      </c>
      <c r="E14" s="14">
        <f>768.9-D14-C14-B14</f>
        <v>185.7999999999999</v>
      </c>
      <c r="F14" s="14">
        <v>188.3</v>
      </c>
      <c r="G14" s="14">
        <v>184.8</v>
      </c>
      <c r="H14" s="14">
        <v>185</v>
      </c>
      <c r="I14" s="14">
        <f>757.3-H14-G14-F14</f>
        <v>199.19999999999993</v>
      </c>
      <c r="J14" s="14">
        <v>186.9</v>
      </c>
      <c r="K14" s="14">
        <v>168.4</v>
      </c>
      <c r="L14" s="14">
        <v>175.3</v>
      </c>
      <c r="M14" s="14">
        <f>738.5-L14-K14-J14</f>
        <v>207.90000000000006</v>
      </c>
      <c r="N14" s="14">
        <v>203.2</v>
      </c>
      <c r="O14" s="14">
        <v>215.7</v>
      </c>
      <c r="P14" s="14">
        <v>236.5</v>
      </c>
      <c r="Q14" s="14">
        <f>900.8-P14-O14-N14</f>
        <v>245.39999999999998</v>
      </c>
      <c r="R14" s="14">
        <v>269</v>
      </c>
      <c r="S14" s="14">
        <v>311.3</v>
      </c>
      <c r="T14" s="14">
        <v>342.2</v>
      </c>
      <c r="U14" s="14">
        <f>1276.7-T14-S14-R14</f>
        <v>354.20000000000005</v>
      </c>
      <c r="V14" s="14">
        <v>354.1</v>
      </c>
      <c r="W14" s="14">
        <v>325.10000000000002</v>
      </c>
      <c r="X14" s="14">
        <v>328.6</v>
      </c>
      <c r="Y14" s="26">
        <f t="shared" si="0"/>
        <v>-4.1387705416920162E-2</v>
      </c>
      <c r="Z14" s="26">
        <f t="shared" si="1"/>
        <v>1.0651247717589775E-2</v>
      </c>
      <c r="AA14" s="14">
        <f>1315.5-X14-W14-V14</f>
        <v>307.69999999999993</v>
      </c>
      <c r="AB14" s="26">
        <f t="shared" si="2"/>
        <v>-0.15112122196945116</v>
      </c>
    </row>
    <row r="15" spans="1:38" s="15" customFormat="1" ht="13.15" x14ac:dyDescent="0.4">
      <c r="A15" s="13" t="s">
        <v>37</v>
      </c>
      <c r="B15" s="15">
        <f>SUM(B12:B14)</f>
        <v>1377.6</v>
      </c>
      <c r="C15" s="15">
        <f>SUM(C12:C14)</f>
        <v>1455.9</v>
      </c>
      <c r="D15" s="15">
        <f t="shared" ref="D15:X15" si="9">SUM(D12:D14)</f>
        <v>1541.7</v>
      </c>
      <c r="E15" s="15">
        <f t="shared" si="9"/>
        <v>1503.0999999999997</v>
      </c>
      <c r="F15" s="15">
        <f t="shared" si="9"/>
        <v>1386.6000000000001</v>
      </c>
      <c r="G15" s="15">
        <f t="shared" si="9"/>
        <v>1347.7</v>
      </c>
      <c r="H15" s="15">
        <f t="shared" si="9"/>
        <v>1381.8</v>
      </c>
      <c r="I15" s="15">
        <f t="shared" si="9"/>
        <v>1401.7999999999997</v>
      </c>
      <c r="J15" s="15">
        <f t="shared" si="9"/>
        <v>1277.9000000000001</v>
      </c>
      <c r="K15" s="15">
        <f t="shared" si="9"/>
        <v>1213.5</v>
      </c>
      <c r="L15" s="15">
        <f t="shared" si="9"/>
        <v>1317.3</v>
      </c>
      <c r="M15" s="15">
        <f t="shared" si="9"/>
        <v>1446.3</v>
      </c>
      <c r="N15" s="15">
        <f t="shared" si="9"/>
        <v>1481.7</v>
      </c>
      <c r="O15" s="15">
        <f t="shared" si="9"/>
        <v>1669.9</v>
      </c>
      <c r="P15" s="15">
        <f t="shared" si="9"/>
        <v>1742.1</v>
      </c>
      <c r="Q15" s="15">
        <f t="shared" si="9"/>
        <v>1846.1000000000004</v>
      </c>
      <c r="R15" s="15">
        <f t="shared" si="9"/>
        <v>1945</v>
      </c>
      <c r="S15" s="15">
        <f t="shared" si="9"/>
        <v>2085</v>
      </c>
      <c r="T15" s="15">
        <f t="shared" si="9"/>
        <v>2192.6</v>
      </c>
      <c r="U15" s="15">
        <f t="shared" si="9"/>
        <v>2103.6</v>
      </c>
      <c r="V15" s="15">
        <f t="shared" si="9"/>
        <v>1959.6999999999998</v>
      </c>
      <c r="W15" s="15">
        <f t="shared" si="9"/>
        <v>2094.4</v>
      </c>
      <c r="X15" s="15">
        <f t="shared" si="9"/>
        <v>2180.7999999999997</v>
      </c>
      <c r="Y15" s="26">
        <f t="shared" si="0"/>
        <v>-5.4108584005870246E-3</v>
      </c>
      <c r="Z15" s="26">
        <f t="shared" si="1"/>
        <v>3.9618488628026249E-2</v>
      </c>
      <c r="AA15" s="15">
        <f t="shared" ref="AA15" si="10">SUM(AA12:AA14)</f>
        <v>2018.1000000000004</v>
      </c>
      <c r="AB15" s="26">
        <f t="shared" si="2"/>
        <v>-4.2366582429017162E-2</v>
      </c>
    </row>
    <row r="16" spans="1:38" x14ac:dyDescent="0.35">
      <c r="Y16" s="26"/>
      <c r="Z16" s="26"/>
      <c r="AB16" s="26"/>
    </row>
    <row r="17" spans="1:29" s="15" customFormat="1" ht="13.15" x14ac:dyDescent="0.4">
      <c r="A17" s="10" t="s">
        <v>38</v>
      </c>
      <c r="B17" s="15">
        <v>860.2</v>
      </c>
      <c r="C17" s="15">
        <v>900.9</v>
      </c>
      <c r="D17" s="15">
        <v>945.1</v>
      </c>
      <c r="E17" s="15">
        <f>3639.6-D17-C17-B17</f>
        <v>933.39999999999986</v>
      </c>
      <c r="F17" s="15">
        <v>872.9</v>
      </c>
      <c r="G17" s="15">
        <v>848.7</v>
      </c>
      <c r="H17" s="15">
        <v>906.6</v>
      </c>
      <c r="I17" s="15">
        <f>3544.3-H17-G17-F17</f>
        <v>916.10000000000025</v>
      </c>
      <c r="J17" s="15">
        <v>875.2</v>
      </c>
      <c r="K17" s="15">
        <v>839.2</v>
      </c>
      <c r="L17" s="15">
        <v>876.1</v>
      </c>
      <c r="M17" s="15">
        <f>3539.2-L17-K17-J17</f>
        <v>948.69999999999982</v>
      </c>
      <c r="N17" s="15">
        <v>960.5</v>
      </c>
      <c r="O17" s="15">
        <v>1029.8</v>
      </c>
      <c r="P17" s="15">
        <v>1021.3</v>
      </c>
      <c r="Q17" s="15">
        <f>4025.5-P17-O17-N17</f>
        <v>1013.8999999999999</v>
      </c>
      <c r="R17" s="15">
        <v>983.7</v>
      </c>
      <c r="S17" s="15">
        <v>1047.9000000000001</v>
      </c>
      <c r="T17" s="15">
        <v>1134.3</v>
      </c>
      <c r="U17" s="15">
        <f>4249-T17-S17-R17</f>
        <v>1083.0999999999997</v>
      </c>
      <c r="V17" s="15">
        <v>1042.2</v>
      </c>
      <c r="W17" s="15">
        <v>1101</v>
      </c>
      <c r="X17" s="15">
        <v>1150.0999999999999</v>
      </c>
      <c r="Y17" s="26">
        <f t="shared" si="0"/>
        <v>1.3737935831666773E-2</v>
      </c>
      <c r="Z17" s="26">
        <f t="shared" si="1"/>
        <v>4.2691939831318942E-2</v>
      </c>
      <c r="AA17" s="15">
        <f>4369.5-X17-W17-V17</f>
        <v>1076.2</v>
      </c>
      <c r="AB17" s="26">
        <f t="shared" si="2"/>
        <v>-6.411447686303323E-3</v>
      </c>
    </row>
    <row r="18" spans="1:29" x14ac:dyDescent="0.35">
      <c r="Y18" s="26"/>
      <c r="Z18" s="26"/>
      <c r="AB18" s="26"/>
    </row>
    <row r="19" spans="1:29" ht="13.15" x14ac:dyDescent="0.4">
      <c r="A19" s="10" t="s">
        <v>39</v>
      </c>
      <c r="Y19" s="26"/>
      <c r="Z19" s="26"/>
      <c r="AB19" s="26"/>
    </row>
    <row r="20" spans="1:29" x14ac:dyDescent="0.35">
      <c r="A20" s="12" t="s">
        <v>40</v>
      </c>
      <c r="B20" s="14">
        <v>155.19999999999999</v>
      </c>
      <c r="C20" s="14">
        <v>167.1</v>
      </c>
      <c r="D20" s="14">
        <v>166.2</v>
      </c>
      <c r="E20" s="14">
        <f>650.7-D20-C20-B20</f>
        <v>162.2000000000001</v>
      </c>
      <c r="F20" s="14">
        <v>151.80000000000001</v>
      </c>
      <c r="G20" s="14">
        <v>147</v>
      </c>
      <c r="H20" s="14">
        <v>172.8</v>
      </c>
      <c r="I20" s="14">
        <f>640.9-H20-G20-F20</f>
        <v>169.29999999999995</v>
      </c>
      <c r="J20" s="14">
        <v>171</v>
      </c>
      <c r="K20" s="14">
        <v>156.1</v>
      </c>
      <c r="L20" s="14">
        <v>156.1</v>
      </c>
      <c r="M20" s="14">
        <f>642.9-L20-K20-J20</f>
        <v>159.69999999999993</v>
      </c>
      <c r="N20" s="14">
        <v>173.6</v>
      </c>
      <c r="O20" s="14">
        <v>166.3</v>
      </c>
      <c r="P20" s="14">
        <v>154.5</v>
      </c>
      <c r="Q20" s="14">
        <f>655-P20-O20-N20</f>
        <v>160.6</v>
      </c>
      <c r="R20" s="14">
        <v>156.80000000000001</v>
      </c>
      <c r="S20" s="14">
        <v>161.6</v>
      </c>
      <c r="T20" s="14">
        <v>145.4</v>
      </c>
      <c r="U20" s="14">
        <f>600.2-T20-S20-R20</f>
        <v>136.40000000000003</v>
      </c>
      <c r="V20" s="14">
        <v>138.4</v>
      </c>
      <c r="W20" s="14">
        <v>145.30000000000001</v>
      </c>
      <c r="X20" s="14">
        <v>143.4</v>
      </c>
      <c r="Y20" s="26">
        <f t="shared" si="0"/>
        <v>-1.3947001394700139E-2</v>
      </c>
      <c r="Z20" s="26">
        <f t="shared" si="1"/>
        <v>-1.3249651324965172E-2</v>
      </c>
      <c r="AA20" s="14">
        <f>577.3-X20-W20-V20</f>
        <v>150.19999999999996</v>
      </c>
      <c r="AB20" s="26">
        <f t="shared" si="2"/>
        <v>9.187749667110473E-2</v>
      </c>
    </row>
    <row r="21" spans="1:29" x14ac:dyDescent="0.35">
      <c r="A21" s="12" t="s">
        <v>41</v>
      </c>
      <c r="B21" s="14">
        <v>77.8</v>
      </c>
      <c r="C21" s="14">
        <v>81.7</v>
      </c>
      <c r="D21" s="14">
        <v>83.1</v>
      </c>
      <c r="E21" s="14">
        <f>324.7-D21-C21-B21</f>
        <v>82.09999999999998</v>
      </c>
      <c r="F21" s="14">
        <v>77.099999999999994</v>
      </c>
      <c r="G21" s="14">
        <v>73.599999999999994</v>
      </c>
      <c r="H21" s="14">
        <v>74.7</v>
      </c>
      <c r="I21" s="14">
        <f>301-H21-G21-F21</f>
        <v>75.600000000000023</v>
      </c>
      <c r="J21" s="14">
        <v>76.8</v>
      </c>
      <c r="K21" s="14">
        <v>65.599999999999994</v>
      </c>
      <c r="L21" s="14">
        <v>65.3</v>
      </c>
      <c r="M21" s="14">
        <f>278.7-L21-K21-J21</f>
        <v>70.999999999999986</v>
      </c>
      <c r="N21" s="14">
        <v>78.900000000000006</v>
      </c>
      <c r="O21" s="14">
        <v>76.099999999999994</v>
      </c>
      <c r="P21" s="14">
        <v>68.400000000000006</v>
      </c>
      <c r="Q21" s="14">
        <f>293.6-P21-O21-N21</f>
        <v>70.200000000000017</v>
      </c>
      <c r="R21" s="14">
        <v>71.099999999999994</v>
      </c>
      <c r="S21" s="14">
        <v>73.099999999999994</v>
      </c>
      <c r="T21" s="14">
        <v>69.5</v>
      </c>
      <c r="U21" s="14">
        <f>287.9-T21-S21-R21</f>
        <v>74.199999999999989</v>
      </c>
      <c r="V21" s="14">
        <v>71.8</v>
      </c>
      <c r="W21" s="14">
        <v>71.599999999999994</v>
      </c>
      <c r="X21" s="14">
        <v>68.2</v>
      </c>
      <c r="Y21" s="26">
        <f t="shared" si="0"/>
        <v>-1.9061583577712569E-2</v>
      </c>
      <c r="Z21" s="26">
        <f t="shared" si="1"/>
        <v>-4.9853372434017468E-2</v>
      </c>
      <c r="AA21" s="14">
        <f>279.1-X21-W21-V21</f>
        <v>67.500000000000043</v>
      </c>
      <c r="AB21" s="26">
        <f t="shared" si="2"/>
        <v>-9.9259259259258395E-2</v>
      </c>
    </row>
    <row r="22" spans="1:29" x14ac:dyDescent="0.35">
      <c r="A22" s="12" t="s">
        <v>42</v>
      </c>
      <c r="B22" s="17">
        <v>70.900000000000006</v>
      </c>
      <c r="C22" s="14">
        <v>74.599999999999994</v>
      </c>
      <c r="D22" s="14">
        <v>73.3</v>
      </c>
      <c r="E22" s="14">
        <f>293.3-D22-C22-B22</f>
        <v>74.5</v>
      </c>
      <c r="F22" s="14">
        <v>72.900000000000006</v>
      </c>
      <c r="G22" s="14">
        <v>74.099999999999994</v>
      </c>
      <c r="H22" s="14">
        <v>67.8</v>
      </c>
      <c r="I22" s="14">
        <f>284-H22-G22-F22</f>
        <v>69.199999999999989</v>
      </c>
      <c r="J22" s="14">
        <v>71.2</v>
      </c>
      <c r="K22" s="14">
        <v>62.9</v>
      </c>
      <c r="L22" s="14">
        <v>62.2</v>
      </c>
      <c r="M22" s="14">
        <f>258.7-L22-K22-J22</f>
        <v>62.399999999999991</v>
      </c>
      <c r="N22" s="14">
        <v>72.400000000000006</v>
      </c>
      <c r="O22" s="14">
        <v>73.2</v>
      </c>
      <c r="P22" s="14">
        <v>75.7</v>
      </c>
      <c r="Q22" s="14">
        <f>304.8-P22-O22-N22</f>
        <v>83.500000000000028</v>
      </c>
      <c r="R22" s="14">
        <v>77.900000000000006</v>
      </c>
      <c r="S22" s="14">
        <v>83.2</v>
      </c>
      <c r="T22" s="14">
        <v>84.9</v>
      </c>
      <c r="U22" s="14">
        <f>343.2-T22-S22-R22</f>
        <v>97.19999999999996</v>
      </c>
      <c r="V22" s="14">
        <v>75.900000000000006</v>
      </c>
      <c r="W22" s="14">
        <v>87.2</v>
      </c>
      <c r="X22" s="14">
        <v>110.7</v>
      </c>
      <c r="Y22" s="26">
        <f t="shared" si="0"/>
        <v>0.2330623306233062</v>
      </c>
      <c r="Z22" s="26">
        <f t="shared" si="1"/>
        <v>0.21228545618789521</v>
      </c>
      <c r="AA22" s="14">
        <f>362.4-X22-W22-V22</f>
        <v>88.6</v>
      </c>
      <c r="AB22" s="26">
        <f t="shared" si="2"/>
        <v>-9.7065462753949963E-2</v>
      </c>
    </row>
    <row r="23" spans="1:29" hidden="1" x14ac:dyDescent="0.35">
      <c r="A23" s="12" t="s">
        <v>80</v>
      </c>
      <c r="B23" s="17">
        <v>0</v>
      </c>
      <c r="C23" s="14">
        <v>0</v>
      </c>
      <c r="D23" s="14">
        <v>0</v>
      </c>
      <c r="E23" s="14">
        <v>0</v>
      </c>
      <c r="F23" s="14">
        <v>0</v>
      </c>
      <c r="G23" s="14">
        <v>0</v>
      </c>
      <c r="H23" s="14">
        <v>169.5</v>
      </c>
      <c r="I23" s="14">
        <f>169.5-H23-G23-F23</f>
        <v>0</v>
      </c>
      <c r="J23" s="14">
        <v>0</v>
      </c>
      <c r="K23" s="14">
        <v>0</v>
      </c>
      <c r="M23" s="14">
        <f t="shared" ref="M23" si="11">642.9-L23-K23-J23</f>
        <v>642.9</v>
      </c>
      <c r="Q23" s="14">
        <f t="shared" ref="Q23" si="12">655-P23-O23-N23</f>
        <v>655</v>
      </c>
      <c r="U23" s="14">
        <f t="shared" ref="U23" si="13">600.2-T23-S23-R23</f>
        <v>600.20000000000005</v>
      </c>
      <c r="Y23" s="26" t="e">
        <f t="shared" si="0"/>
        <v>#DIV/0!</v>
      </c>
      <c r="Z23" s="26" t="e">
        <f t="shared" si="1"/>
        <v>#DIV/0!</v>
      </c>
      <c r="AA23" s="14">
        <f t="shared" ref="AA23" si="14">577.3-X23-W23-V23</f>
        <v>577.29999999999995</v>
      </c>
      <c r="AB23" s="26">
        <f t="shared" si="2"/>
        <v>-3.9667417287372414E-2</v>
      </c>
    </row>
    <row r="24" spans="1:29" ht="25.5" x14ac:dyDescent="0.35">
      <c r="A24" s="16" t="s">
        <v>43</v>
      </c>
      <c r="B24" s="14">
        <v>27.4</v>
      </c>
      <c r="C24" s="14">
        <v>27.9</v>
      </c>
      <c r="D24" s="14">
        <v>28</v>
      </c>
      <c r="E24" s="14">
        <f>111.7-D24-C24-B24</f>
        <v>28.400000000000006</v>
      </c>
      <c r="F24" s="14">
        <v>25.7</v>
      </c>
      <c r="G24" s="14">
        <v>27.5</v>
      </c>
      <c r="H24" s="14">
        <v>29.9</v>
      </c>
      <c r="I24" s="14">
        <f>115.2-H24-G24-F24</f>
        <v>32.100000000000009</v>
      </c>
      <c r="J24" s="14">
        <v>32.299999999999997</v>
      </c>
      <c r="K24" s="14">
        <v>29.1</v>
      </c>
      <c r="L24" s="14">
        <v>29.6</v>
      </c>
      <c r="M24" s="14">
        <f>120.3-L24-K24-J24</f>
        <v>29.29999999999999</v>
      </c>
      <c r="N24" s="14">
        <v>25</v>
      </c>
      <c r="O24" s="14">
        <v>24.8</v>
      </c>
      <c r="P24" s="14">
        <v>24.7</v>
      </c>
      <c r="Q24" s="14">
        <f>99-P24-O24-N24</f>
        <v>24.5</v>
      </c>
      <c r="R24" s="14">
        <v>21.3</v>
      </c>
      <c r="S24" s="14">
        <v>21.9</v>
      </c>
      <c r="T24" s="14">
        <v>21.9</v>
      </c>
      <c r="U24" s="14">
        <f>81.2-T24-S24-R24</f>
        <v>16.100000000000005</v>
      </c>
      <c r="V24" s="14">
        <v>15</v>
      </c>
      <c r="W24" s="14">
        <v>12</v>
      </c>
      <c r="X24" s="14">
        <v>12</v>
      </c>
      <c r="Y24" s="26">
        <f t="shared" si="0"/>
        <v>-0.82499999999999984</v>
      </c>
      <c r="Z24" s="26">
        <f t="shared" si="1"/>
        <v>0</v>
      </c>
      <c r="AA24" s="14">
        <f>51.1-X24-W24-V24</f>
        <v>12.100000000000001</v>
      </c>
      <c r="AB24" s="26">
        <f t="shared" si="2"/>
        <v>-0.33057851239669445</v>
      </c>
    </row>
    <row r="25" spans="1:29" x14ac:dyDescent="0.35">
      <c r="A25" s="12" t="s">
        <v>44</v>
      </c>
      <c r="B25" s="14">
        <v>0.4</v>
      </c>
      <c r="C25" s="14">
        <v>3.2</v>
      </c>
      <c r="D25" s="14">
        <v>4.4000000000000004</v>
      </c>
      <c r="E25" s="14">
        <f>4.3-D25-C25-B25</f>
        <v>-3.7000000000000006</v>
      </c>
      <c r="F25" s="14">
        <v>5.6</v>
      </c>
      <c r="G25" s="14">
        <v>18.100000000000001</v>
      </c>
      <c r="H25" s="14">
        <v>4.4000000000000004</v>
      </c>
      <c r="I25" s="14">
        <f>28.7-H25-G25-F25</f>
        <v>0.59999999999999609</v>
      </c>
      <c r="J25" s="14">
        <v>32.799999999999997</v>
      </c>
      <c r="K25" s="14">
        <v>16.2</v>
      </c>
      <c r="L25" s="14">
        <v>9</v>
      </c>
      <c r="M25" s="14">
        <f>65.2-L25-K25-J25</f>
        <v>7.2000000000000028</v>
      </c>
      <c r="N25" s="17">
        <v>42.5</v>
      </c>
      <c r="O25" s="14">
        <v>17.5</v>
      </c>
      <c r="P25" s="14">
        <v>-1.7</v>
      </c>
      <c r="Q25" s="14">
        <f>71.4-P25-O25-N25</f>
        <v>13.100000000000009</v>
      </c>
      <c r="R25" s="14">
        <v>-13</v>
      </c>
      <c r="S25" s="14">
        <v>-1.7</v>
      </c>
      <c r="T25" s="14">
        <v>40.299999999999997</v>
      </c>
      <c r="U25" s="14">
        <f>17.9-T25-S25-R25</f>
        <v>-7.6999999999999993</v>
      </c>
      <c r="V25" s="14">
        <v>51.5</v>
      </c>
      <c r="W25" s="14">
        <v>2.6</v>
      </c>
      <c r="X25" s="14">
        <v>9.4</v>
      </c>
      <c r="Y25" s="26">
        <f t="shared" si="0"/>
        <v>-3.2872340425531914</v>
      </c>
      <c r="Z25" s="26">
        <f t="shared" si="1"/>
        <v>0.72340425531914898</v>
      </c>
      <c r="AA25" s="14">
        <f>74.9-X25-W25-V25</f>
        <v>11.399999999999999</v>
      </c>
      <c r="AB25" s="26">
        <f t="shared" si="2"/>
        <v>1.6754385964912282</v>
      </c>
    </row>
    <row r="26" spans="1:29" x14ac:dyDescent="0.35">
      <c r="A26" s="12" t="s">
        <v>79</v>
      </c>
      <c r="B26" s="14">
        <v>0</v>
      </c>
      <c r="C26" s="14">
        <v>3.3</v>
      </c>
      <c r="D26" s="14">
        <v>0</v>
      </c>
      <c r="E26" s="14">
        <f>6.8-D26-C26-B26</f>
        <v>3.5</v>
      </c>
      <c r="F26" s="14">
        <v>1.2</v>
      </c>
      <c r="G26" s="14">
        <v>0.4</v>
      </c>
      <c r="H26" s="14">
        <v>0</v>
      </c>
      <c r="I26" s="14">
        <f>1.6-H26-G26-F26</f>
        <v>0</v>
      </c>
      <c r="J26" s="14">
        <v>0</v>
      </c>
      <c r="K26" s="14">
        <v>1.3</v>
      </c>
      <c r="L26" s="14">
        <v>0</v>
      </c>
      <c r="M26" s="14">
        <f>1.3-L26-K26-J26</f>
        <v>0</v>
      </c>
      <c r="N26" s="14">
        <v>2.9</v>
      </c>
      <c r="O26" s="14">
        <v>0</v>
      </c>
      <c r="P26" s="14">
        <v>0</v>
      </c>
      <c r="Q26" s="14">
        <f>2.9-P26-O26-N26</f>
        <v>0</v>
      </c>
      <c r="R26" s="14">
        <v>0</v>
      </c>
      <c r="S26" s="14">
        <v>115</v>
      </c>
      <c r="T26" s="14">
        <v>271.8</v>
      </c>
      <c r="U26" s="14">
        <f>386.8-T26-S26-R26</f>
        <v>0</v>
      </c>
      <c r="V26" s="14">
        <v>0</v>
      </c>
      <c r="W26" s="14">
        <v>0</v>
      </c>
      <c r="X26" s="14">
        <v>0</v>
      </c>
      <c r="Y26" s="26" t="e">
        <f t="shared" si="0"/>
        <v>#DIV/0!</v>
      </c>
      <c r="Z26" s="26" t="e">
        <f t="shared" si="1"/>
        <v>#DIV/0!</v>
      </c>
      <c r="AA26" s="14">
        <f>0.8-X26-W26-V26</f>
        <v>0.8</v>
      </c>
      <c r="AB26" s="26">
        <f t="shared" si="2"/>
        <v>1</v>
      </c>
    </row>
    <row r="27" spans="1:29" s="15" customFormat="1" ht="13.15" x14ac:dyDescent="0.4">
      <c r="A27" s="13" t="s">
        <v>45</v>
      </c>
      <c r="B27" s="15">
        <f>SUM(B20:B26)</f>
        <v>331.69999999999993</v>
      </c>
      <c r="C27" s="15">
        <f>SUM(C20:C26)</f>
        <v>357.79999999999995</v>
      </c>
      <c r="D27" s="15">
        <f t="shared" ref="D27:L27" si="15">SUM(D20:D26)</f>
        <v>354.99999999999994</v>
      </c>
      <c r="E27" s="15">
        <f t="shared" si="15"/>
        <v>347.00000000000006</v>
      </c>
      <c r="F27" s="15">
        <f t="shared" si="15"/>
        <v>334.3</v>
      </c>
      <c r="G27" s="15">
        <f t="shared" si="15"/>
        <v>340.7</v>
      </c>
      <c r="H27" s="15">
        <f t="shared" si="15"/>
        <v>519.1</v>
      </c>
      <c r="I27" s="15">
        <f t="shared" si="15"/>
        <v>346.8</v>
      </c>
      <c r="J27" s="15">
        <f t="shared" si="15"/>
        <v>384.1</v>
      </c>
      <c r="K27" s="15">
        <f t="shared" si="15"/>
        <v>331.2</v>
      </c>
      <c r="L27" s="15">
        <f t="shared" si="15"/>
        <v>322.2</v>
      </c>
      <c r="M27" s="15">
        <f t="shared" ref="M27:X27" si="16">M26+M25+M24+M22+M21+M20</f>
        <v>329.59999999999991</v>
      </c>
      <c r="N27" s="15">
        <f t="shared" si="16"/>
        <v>395.3</v>
      </c>
      <c r="O27" s="15">
        <f t="shared" si="16"/>
        <v>357.9</v>
      </c>
      <c r="P27" s="15">
        <f t="shared" si="16"/>
        <v>321.60000000000002</v>
      </c>
      <c r="Q27" s="15">
        <f t="shared" si="16"/>
        <v>351.90000000000009</v>
      </c>
      <c r="R27" s="15">
        <f t="shared" si="16"/>
        <v>314.10000000000002</v>
      </c>
      <c r="S27" s="15">
        <f t="shared" si="16"/>
        <v>453.1</v>
      </c>
      <c r="T27" s="15">
        <f t="shared" si="16"/>
        <v>633.79999999999995</v>
      </c>
      <c r="U27" s="15">
        <f t="shared" si="16"/>
        <v>316.2</v>
      </c>
      <c r="V27" s="15">
        <f t="shared" si="16"/>
        <v>352.6</v>
      </c>
      <c r="W27" s="15">
        <f t="shared" si="16"/>
        <v>318.7</v>
      </c>
      <c r="X27" s="15">
        <f t="shared" si="16"/>
        <v>343.70000000000005</v>
      </c>
      <c r="Y27" s="26">
        <f t="shared" si="0"/>
        <v>-0.8440500436427113</v>
      </c>
      <c r="Z27" s="26">
        <f t="shared" si="1"/>
        <v>7.2737852778586132E-2</v>
      </c>
      <c r="AA27" s="15">
        <f t="shared" ref="AA27" si="17">AA26+AA25+AA24+AA22+AA21+AA20</f>
        <v>330.6</v>
      </c>
      <c r="AB27" s="26">
        <f t="shared" si="2"/>
        <v>4.355716878402914E-2</v>
      </c>
    </row>
    <row r="28" spans="1:29" x14ac:dyDescent="0.35">
      <c r="Y28" s="26"/>
      <c r="Z28" s="26"/>
      <c r="AB28" s="26"/>
    </row>
    <row r="29" spans="1:29" x14ac:dyDescent="0.35">
      <c r="A29" s="6" t="s">
        <v>46</v>
      </c>
      <c r="B29" s="14">
        <f>B15-B17-B27</f>
        <v>185.69999999999993</v>
      </c>
      <c r="C29" s="14">
        <f>C15-C17-C27</f>
        <v>197.20000000000016</v>
      </c>
      <c r="D29" s="14">
        <f t="shared" ref="D29:X29" si="18">D15-D17-D27</f>
        <v>241.60000000000008</v>
      </c>
      <c r="E29" s="14">
        <f t="shared" si="18"/>
        <v>222.69999999999976</v>
      </c>
      <c r="F29" s="14">
        <f t="shared" si="18"/>
        <v>179.40000000000015</v>
      </c>
      <c r="G29" s="14">
        <f t="shared" si="18"/>
        <v>158.30000000000001</v>
      </c>
      <c r="H29" s="14">
        <f t="shared" si="18"/>
        <v>-43.900000000000091</v>
      </c>
      <c r="I29" s="14">
        <f t="shared" si="18"/>
        <v>138.89999999999947</v>
      </c>
      <c r="J29" s="14">
        <f t="shared" si="18"/>
        <v>18.600000000000023</v>
      </c>
      <c r="K29" s="14">
        <f t="shared" si="18"/>
        <v>43.099999999999966</v>
      </c>
      <c r="L29" s="14">
        <f t="shared" si="18"/>
        <v>118.99999999999994</v>
      </c>
      <c r="M29" s="14">
        <f t="shared" si="18"/>
        <v>168.00000000000023</v>
      </c>
      <c r="N29" s="14">
        <f t="shared" si="18"/>
        <v>125.90000000000003</v>
      </c>
      <c r="O29" s="14">
        <f t="shared" si="18"/>
        <v>282.20000000000016</v>
      </c>
      <c r="P29" s="14">
        <f t="shared" si="18"/>
        <v>399.19999999999993</v>
      </c>
      <c r="Q29" s="14">
        <f t="shared" si="18"/>
        <v>480.30000000000041</v>
      </c>
      <c r="R29" s="14">
        <f t="shared" si="18"/>
        <v>647.19999999999993</v>
      </c>
      <c r="S29" s="14">
        <f t="shared" si="18"/>
        <v>583.99999999999989</v>
      </c>
      <c r="T29" s="14">
        <f t="shared" si="18"/>
        <v>424.5</v>
      </c>
      <c r="U29" s="14">
        <f t="shared" si="18"/>
        <v>704.30000000000018</v>
      </c>
      <c r="V29" s="14">
        <f t="shared" si="18"/>
        <v>564.89999999999975</v>
      </c>
      <c r="W29" s="14">
        <f t="shared" si="18"/>
        <v>674.7</v>
      </c>
      <c r="X29" s="14">
        <f t="shared" si="18"/>
        <v>686.99999999999977</v>
      </c>
      <c r="Y29" s="26">
        <f t="shared" si="0"/>
        <v>0.38209606986899541</v>
      </c>
      <c r="Z29" s="26">
        <f t="shared" si="1"/>
        <v>1.7903930131003977E-2</v>
      </c>
      <c r="AA29" s="14">
        <f t="shared" ref="AA29:AC29" si="19">AA15-AA17-AA27</f>
        <v>611.3000000000003</v>
      </c>
      <c r="AB29" s="26">
        <f t="shared" si="2"/>
        <v>-0.1521347946998198</v>
      </c>
      <c r="AC29" s="14">
        <f t="shared" si="19"/>
        <v>0</v>
      </c>
    </row>
    <row r="30" spans="1:29" x14ac:dyDescent="0.35">
      <c r="A30" s="6" t="s">
        <v>47</v>
      </c>
      <c r="B30" s="14">
        <v>-28.8</v>
      </c>
      <c r="C30" s="14">
        <v>-3.8</v>
      </c>
      <c r="D30" s="14">
        <v>-25.6</v>
      </c>
      <c r="E30" s="14">
        <f>-92.2-D30-C30-B30</f>
        <v>-34</v>
      </c>
      <c r="F30" s="14">
        <v>-27.1</v>
      </c>
      <c r="G30" s="14">
        <v>-32.1</v>
      </c>
      <c r="H30" s="14">
        <v>-40.700000000000003</v>
      </c>
      <c r="I30" s="14">
        <f>-156.1-H30-G30-F30</f>
        <v>-56.199999999999982</v>
      </c>
      <c r="J30" s="14">
        <v>-40.5</v>
      </c>
      <c r="K30" s="14">
        <v>-43.2</v>
      </c>
      <c r="L30" s="14">
        <v>-40.9</v>
      </c>
      <c r="M30" s="14">
        <f>-172.1-L30-K30-J30</f>
        <v>-47.499999999999986</v>
      </c>
      <c r="N30" s="14">
        <v>-28.5</v>
      </c>
      <c r="O30" s="14">
        <v>-60.2</v>
      </c>
      <c r="P30" s="14">
        <v>-27</v>
      </c>
      <c r="Q30" s="14">
        <f>-129.8-P30-O30-N30</f>
        <v>-14.100000000000009</v>
      </c>
      <c r="R30" s="14">
        <v>-19.100000000000001</v>
      </c>
      <c r="S30" s="14">
        <v>-20</v>
      </c>
      <c r="T30" s="14">
        <v>-17.7</v>
      </c>
      <c r="U30" s="14">
        <f>2.2-T30-S30-R30</f>
        <v>59</v>
      </c>
      <c r="V30" s="14">
        <v>-19</v>
      </c>
      <c r="W30" s="14">
        <v>6.8</v>
      </c>
      <c r="X30" s="14">
        <v>10.5</v>
      </c>
      <c r="Y30" s="26">
        <f t="shared" si="0"/>
        <v>2.6857142857142855</v>
      </c>
      <c r="Z30" s="26">
        <f t="shared" si="1"/>
        <v>0.35238095238095241</v>
      </c>
      <c r="AA30" s="14">
        <f>-2.5-X30-W30-V30</f>
        <v>-0.80000000000000071</v>
      </c>
      <c r="AB30" s="26">
        <f t="shared" si="2"/>
        <v>74.749999999999929</v>
      </c>
    </row>
    <row r="31" spans="1:29" x14ac:dyDescent="0.35">
      <c r="A31" s="12" t="s">
        <v>48</v>
      </c>
      <c r="B31" s="14">
        <f>SUM(B29:B30)</f>
        <v>156.89999999999992</v>
      </c>
      <c r="C31" s="14">
        <f>SUM(C29:C30)</f>
        <v>193.40000000000015</v>
      </c>
      <c r="D31" s="14">
        <f t="shared" ref="D31:X31" si="20">SUM(D29:D30)</f>
        <v>216.00000000000009</v>
      </c>
      <c r="E31" s="14">
        <f t="shared" si="20"/>
        <v>188.69999999999976</v>
      </c>
      <c r="F31" s="14">
        <f t="shared" si="20"/>
        <v>152.30000000000015</v>
      </c>
      <c r="G31" s="14">
        <f t="shared" si="20"/>
        <v>126.20000000000002</v>
      </c>
      <c r="H31" s="14">
        <f t="shared" si="20"/>
        <v>-84.600000000000094</v>
      </c>
      <c r="I31" s="14">
        <f t="shared" si="20"/>
        <v>82.699999999999477</v>
      </c>
      <c r="J31" s="14">
        <f t="shared" si="20"/>
        <v>-21.899999999999977</v>
      </c>
      <c r="K31" s="14">
        <f t="shared" si="20"/>
        <v>-0.10000000000003695</v>
      </c>
      <c r="L31" s="14">
        <f t="shared" si="20"/>
        <v>78.099999999999937</v>
      </c>
      <c r="M31" s="14">
        <f t="shared" si="20"/>
        <v>120.50000000000024</v>
      </c>
      <c r="N31" s="14">
        <f t="shared" si="20"/>
        <v>97.400000000000034</v>
      </c>
      <c r="O31" s="14">
        <f t="shared" si="20"/>
        <v>222.00000000000017</v>
      </c>
      <c r="P31" s="14">
        <f t="shared" si="20"/>
        <v>372.19999999999993</v>
      </c>
      <c r="Q31" s="14">
        <f t="shared" si="20"/>
        <v>466.20000000000039</v>
      </c>
      <c r="R31" s="14">
        <f t="shared" si="20"/>
        <v>628.09999999999991</v>
      </c>
      <c r="S31" s="14">
        <f t="shared" si="20"/>
        <v>563.99999999999989</v>
      </c>
      <c r="T31" s="14">
        <f t="shared" si="20"/>
        <v>406.8</v>
      </c>
      <c r="U31" s="14">
        <f t="shared" si="20"/>
        <v>763.30000000000018</v>
      </c>
      <c r="V31" s="14">
        <f t="shared" si="20"/>
        <v>545.89999999999975</v>
      </c>
      <c r="W31" s="14">
        <f t="shared" si="20"/>
        <v>681.5</v>
      </c>
      <c r="X31" s="14">
        <f t="shared" si="20"/>
        <v>697.49999999999977</v>
      </c>
      <c r="Y31" s="26">
        <f t="shared" si="0"/>
        <v>0.41677419354838691</v>
      </c>
      <c r="Z31" s="26">
        <f t="shared" si="1"/>
        <v>2.2939068100358104E-2</v>
      </c>
      <c r="AA31" s="14">
        <f t="shared" ref="AA31" si="21">SUM(AA29:AA30)</f>
        <v>610.50000000000034</v>
      </c>
      <c r="AB31" s="26">
        <f t="shared" si="2"/>
        <v>-0.25028665028664987</v>
      </c>
    </row>
    <row r="32" spans="1:29" x14ac:dyDescent="0.35">
      <c r="A32" s="12" t="s">
        <v>49</v>
      </c>
      <c r="B32" s="14">
        <v>-16.399999999999999</v>
      </c>
      <c r="C32" s="14">
        <v>-37.1</v>
      </c>
      <c r="D32" s="14">
        <v>-48.9</v>
      </c>
      <c r="E32" s="14">
        <f>-125.1-D32-C32-B32</f>
        <v>-22.699999999999989</v>
      </c>
      <c r="F32" s="14">
        <v>-38.200000000000003</v>
      </c>
      <c r="G32" s="14">
        <v>-23.3</v>
      </c>
      <c r="H32" s="14">
        <v>24.6</v>
      </c>
      <c r="I32" s="14">
        <f>-62.7-H32-G32-F32</f>
        <v>-25.800000000000011</v>
      </c>
      <c r="J32" s="14">
        <v>8.1999999999999993</v>
      </c>
      <c r="K32" s="14">
        <v>-0.8</v>
      </c>
      <c r="L32" s="14">
        <v>83.1</v>
      </c>
      <c r="M32" s="14">
        <f>59.8-L32-K32-J32</f>
        <v>-30.699999999999996</v>
      </c>
      <c r="N32" s="14">
        <v>-7.1</v>
      </c>
      <c r="O32" s="14">
        <v>-37.9</v>
      </c>
      <c r="P32" s="14">
        <v>-61.8</v>
      </c>
      <c r="Q32" s="14">
        <f>-146.6-P32-O32-N32</f>
        <v>-39.799999999999997</v>
      </c>
      <c r="R32" s="14">
        <v>-97.1</v>
      </c>
      <c r="S32" s="14">
        <v>-107.4</v>
      </c>
      <c r="T32" s="14">
        <v>-94.9</v>
      </c>
      <c r="U32" s="14">
        <f>-458.4-T32-S32-R32</f>
        <v>-159.00000000000003</v>
      </c>
      <c r="V32" s="14">
        <v>-83.7</v>
      </c>
      <c r="W32" s="14">
        <v>-104.4</v>
      </c>
      <c r="X32" s="14">
        <v>-114.6</v>
      </c>
      <c r="Y32" s="26">
        <f t="shared" si="0"/>
        <v>0.17190226876090742</v>
      </c>
      <c r="Z32" s="26">
        <f t="shared" si="1"/>
        <v>8.900523560209414E-2</v>
      </c>
      <c r="AA32" s="14">
        <f>-350.2-X32-V32-W32</f>
        <v>-47.499999999999972</v>
      </c>
      <c r="AB32" s="26">
        <f t="shared" si="2"/>
        <v>-2.347368421052634</v>
      </c>
    </row>
    <row r="33" spans="1:28" s="15" customFormat="1" ht="13.15" x14ac:dyDescent="0.4">
      <c r="A33" s="13" t="s">
        <v>50</v>
      </c>
      <c r="B33" s="15">
        <f>B31+B32</f>
        <v>140.49999999999991</v>
      </c>
      <c r="C33" s="15">
        <f>C31+C32</f>
        <v>156.30000000000015</v>
      </c>
      <c r="D33" s="15">
        <f t="shared" ref="D33:X33" si="22">D31+D32</f>
        <v>167.10000000000008</v>
      </c>
      <c r="E33" s="15">
        <f t="shared" si="22"/>
        <v>165.99999999999977</v>
      </c>
      <c r="F33" s="15">
        <f t="shared" si="22"/>
        <v>114.10000000000015</v>
      </c>
      <c r="G33" s="15">
        <f t="shared" si="22"/>
        <v>102.90000000000002</v>
      </c>
      <c r="H33" s="15">
        <f t="shared" si="22"/>
        <v>-60.000000000000092</v>
      </c>
      <c r="I33" s="15">
        <f t="shared" si="22"/>
        <v>56.899999999999466</v>
      </c>
      <c r="J33" s="15">
        <f t="shared" si="22"/>
        <v>-13.699999999999978</v>
      </c>
      <c r="K33" s="15">
        <f t="shared" si="22"/>
        <v>-0.90000000000003699</v>
      </c>
      <c r="L33" s="15">
        <f t="shared" si="22"/>
        <v>161.19999999999993</v>
      </c>
      <c r="M33" s="15">
        <f t="shared" si="22"/>
        <v>89.800000000000239</v>
      </c>
      <c r="N33" s="15">
        <f t="shared" si="22"/>
        <v>90.30000000000004</v>
      </c>
      <c r="O33" s="15">
        <f t="shared" si="22"/>
        <v>184.10000000000016</v>
      </c>
      <c r="P33" s="15">
        <f t="shared" si="22"/>
        <v>310.39999999999992</v>
      </c>
      <c r="Q33" s="15">
        <f t="shared" si="22"/>
        <v>426.40000000000038</v>
      </c>
      <c r="R33" s="15">
        <f t="shared" si="22"/>
        <v>530.99999999999989</v>
      </c>
      <c r="S33" s="15">
        <f t="shared" si="22"/>
        <v>456.59999999999991</v>
      </c>
      <c r="T33" s="15">
        <f t="shared" si="22"/>
        <v>311.89999999999998</v>
      </c>
      <c r="U33" s="15">
        <f t="shared" si="22"/>
        <v>604.30000000000018</v>
      </c>
      <c r="V33" s="15">
        <f t="shared" si="22"/>
        <v>462.19999999999976</v>
      </c>
      <c r="W33" s="15">
        <f t="shared" si="22"/>
        <v>577.1</v>
      </c>
      <c r="X33" s="15">
        <f t="shared" si="22"/>
        <v>582.89999999999975</v>
      </c>
      <c r="Y33" s="26">
        <f t="shared" si="0"/>
        <v>0.46491679533367625</v>
      </c>
      <c r="Z33" s="26">
        <f t="shared" si="1"/>
        <v>9.9502487562184421E-3</v>
      </c>
      <c r="AA33" s="15">
        <f t="shared" ref="AA33" si="23">AA31+AA32</f>
        <v>563.00000000000034</v>
      </c>
      <c r="AB33" s="26">
        <f t="shared" si="2"/>
        <v>-7.3357015985790086E-2</v>
      </c>
    </row>
    <row r="34" spans="1:28" x14ac:dyDescent="0.35">
      <c r="A34" s="6" t="s">
        <v>51</v>
      </c>
      <c r="B34" s="14">
        <v>0.9</v>
      </c>
      <c r="C34" s="14">
        <v>-1</v>
      </c>
      <c r="D34" s="14">
        <v>-0.2</v>
      </c>
      <c r="E34" s="14">
        <f>-2.5-D34-C34-B34</f>
        <v>-2.1999999999999997</v>
      </c>
      <c r="F34" s="14">
        <v>0</v>
      </c>
      <c r="G34" s="14">
        <v>-1.1000000000000001</v>
      </c>
      <c r="H34" s="14">
        <v>-0.7</v>
      </c>
      <c r="I34" s="14">
        <f>-2.2-H34-G34-F34</f>
        <v>-0.40000000000000013</v>
      </c>
      <c r="J34" s="14">
        <v>-0.3</v>
      </c>
      <c r="K34" s="14">
        <v>-0.5</v>
      </c>
      <c r="L34" s="14">
        <v>-0.6</v>
      </c>
      <c r="M34" s="14">
        <f>-2.2-L34-K34-J34</f>
        <v>-0.8</v>
      </c>
      <c r="N34" s="14">
        <v>-0.4</v>
      </c>
      <c r="O34" s="14">
        <v>0</v>
      </c>
      <c r="P34" s="14">
        <v>-0.7</v>
      </c>
      <c r="Q34" s="14">
        <f>-1.6-P34-O34-N34</f>
        <v>-0.50000000000000011</v>
      </c>
      <c r="R34" s="14">
        <v>-0.8</v>
      </c>
      <c r="S34" s="14">
        <v>-0.8</v>
      </c>
      <c r="T34" s="14">
        <v>0</v>
      </c>
      <c r="U34" s="14">
        <f>-1.6-T34-S34-R34</f>
        <v>0</v>
      </c>
      <c r="V34" s="14">
        <v>-0.5</v>
      </c>
      <c r="W34" s="14">
        <v>-0.5</v>
      </c>
      <c r="X34" s="14">
        <v>-0.2</v>
      </c>
      <c r="Y34" s="26">
        <f t="shared" si="0"/>
        <v>1</v>
      </c>
      <c r="Z34" s="26">
        <f t="shared" si="1"/>
        <v>-1.4999999999999998</v>
      </c>
      <c r="AA34" s="14">
        <f>-1.9-X34-W34-V34</f>
        <v>-0.7</v>
      </c>
      <c r="AB34" s="26">
        <f t="shared" si="2"/>
        <v>1</v>
      </c>
    </row>
    <row r="35" spans="1:28" x14ac:dyDescent="0.35">
      <c r="Y35" s="26"/>
      <c r="Z35" s="26"/>
      <c r="AB35" s="26"/>
    </row>
    <row r="36" spans="1:28" ht="13.15" x14ac:dyDescent="0.4">
      <c r="A36" s="10" t="s">
        <v>52</v>
      </c>
      <c r="Y36" s="26"/>
      <c r="Z36" s="26"/>
      <c r="AB36" s="26"/>
    </row>
    <row r="37" spans="1:28" ht="13.15" x14ac:dyDescent="0.4">
      <c r="A37" s="11" t="s">
        <v>53</v>
      </c>
      <c r="Y37" s="26"/>
      <c r="Z37" s="26"/>
      <c r="AB37" s="26"/>
    </row>
    <row r="38" spans="1:28" x14ac:dyDescent="0.35">
      <c r="A38" s="18" t="s">
        <v>30</v>
      </c>
      <c r="B38" s="14">
        <v>924.9</v>
      </c>
      <c r="C38" s="14">
        <v>850.2</v>
      </c>
      <c r="D38" s="14">
        <v>951</v>
      </c>
      <c r="E38" s="14">
        <v>1069.5999999999999</v>
      </c>
      <c r="F38" s="14">
        <v>939.6</v>
      </c>
      <c r="G38" s="14">
        <v>885.2</v>
      </c>
      <c r="H38" s="14">
        <v>928.7</v>
      </c>
      <c r="I38" s="14">
        <v>894.2</v>
      </c>
      <c r="J38" s="14">
        <v>1982</v>
      </c>
      <c r="K38" s="14">
        <v>2060.4</v>
      </c>
      <c r="L38" s="14">
        <v>1654</v>
      </c>
      <c r="M38" s="14">
        <v>1080.7</v>
      </c>
      <c r="N38" s="14">
        <v>1042.5</v>
      </c>
      <c r="O38" s="14">
        <v>1091.0999999999999</v>
      </c>
      <c r="P38" s="14">
        <v>1389.2</v>
      </c>
      <c r="Q38" s="14">
        <v>1352.6</v>
      </c>
      <c r="R38" s="14">
        <v>1645.1</v>
      </c>
      <c r="S38" s="14">
        <v>1791.6</v>
      </c>
      <c r="T38" s="14">
        <v>2450.1999999999998</v>
      </c>
      <c r="U38" s="14">
        <v>2919</v>
      </c>
      <c r="V38" s="14">
        <v>2702.4</v>
      </c>
      <c r="W38" s="14">
        <v>2622.2</v>
      </c>
      <c r="X38" s="14">
        <v>2679.2</v>
      </c>
      <c r="Y38" s="26">
        <f t="shared" si="0"/>
        <v>8.5473275604658117E-2</v>
      </c>
      <c r="Z38" s="26">
        <f t="shared" si="1"/>
        <v>2.12750074649149E-2</v>
      </c>
      <c r="AA38" s="14">
        <v>2483</v>
      </c>
      <c r="AB38" s="26">
        <f t="shared" si="2"/>
        <v>-0.175594039468385</v>
      </c>
    </row>
    <row r="39" spans="1:28" x14ac:dyDescent="0.35">
      <c r="A39" s="18" t="s">
        <v>54</v>
      </c>
      <c r="B39" s="14">
        <v>696.9</v>
      </c>
      <c r="C39" s="14">
        <v>698.8</v>
      </c>
      <c r="D39" s="14">
        <v>733</v>
      </c>
      <c r="E39" s="14">
        <v>686</v>
      </c>
      <c r="F39" s="14">
        <v>704</v>
      </c>
      <c r="G39" s="14">
        <v>713.2</v>
      </c>
      <c r="H39" s="14">
        <v>716.6</v>
      </c>
      <c r="I39" s="14">
        <v>705</v>
      </c>
      <c r="J39" s="14">
        <v>652</v>
      </c>
      <c r="K39" s="14">
        <v>667.4</v>
      </c>
      <c r="L39" s="14">
        <v>728.1</v>
      </c>
      <c r="M39" s="14">
        <v>676</v>
      </c>
      <c r="N39" s="14">
        <v>683.6</v>
      </c>
      <c r="O39" s="14">
        <v>669.1</v>
      </c>
      <c r="P39" s="14">
        <v>720</v>
      </c>
      <c r="Q39" s="14">
        <v>809.4</v>
      </c>
      <c r="R39" s="14">
        <v>910.7</v>
      </c>
      <c r="S39" s="14">
        <v>1138.0999999999999</v>
      </c>
      <c r="T39" s="14">
        <v>857.3</v>
      </c>
      <c r="U39" s="14">
        <v>842.3</v>
      </c>
      <c r="V39" s="14">
        <v>880.9</v>
      </c>
      <c r="W39" s="14">
        <v>944.4</v>
      </c>
      <c r="X39" s="14">
        <v>958.2</v>
      </c>
      <c r="Y39" s="26">
        <f t="shared" si="0"/>
        <v>0.1053016071801295</v>
      </c>
      <c r="Z39" s="26">
        <f t="shared" si="1"/>
        <v>1.440200375704453E-2</v>
      </c>
      <c r="AA39" s="14">
        <v>935.4</v>
      </c>
      <c r="AB39" s="26">
        <f t="shared" si="2"/>
        <v>9.9529612999786216E-2</v>
      </c>
    </row>
    <row r="40" spans="1:28" x14ac:dyDescent="0.35">
      <c r="A40" s="18" t="s">
        <v>55</v>
      </c>
      <c r="B40" s="14">
        <v>1160</v>
      </c>
      <c r="C40" s="14">
        <v>1204.4000000000001</v>
      </c>
      <c r="D40" s="14">
        <v>1200.5999999999999</v>
      </c>
      <c r="E40" s="14">
        <v>1225.2</v>
      </c>
      <c r="F40" s="14">
        <v>1225.2</v>
      </c>
      <c r="G40" s="14">
        <v>1273.8</v>
      </c>
      <c r="H40" s="14">
        <v>1240.7</v>
      </c>
      <c r="I40" s="14">
        <v>1232.4000000000001</v>
      </c>
      <c r="J40" s="14">
        <v>1251.9000000000001</v>
      </c>
      <c r="K40" s="14">
        <v>1285.4000000000001</v>
      </c>
      <c r="L40" s="14">
        <v>1281.2</v>
      </c>
      <c r="M40" s="14">
        <v>1251.4000000000001</v>
      </c>
      <c r="N40" s="14">
        <v>1295.5</v>
      </c>
      <c r="O40" s="14">
        <v>1309.3</v>
      </c>
      <c r="P40" s="14">
        <v>1327.6</v>
      </c>
      <c r="Q40" s="14">
        <v>1379.5</v>
      </c>
      <c r="R40" s="14">
        <v>1496</v>
      </c>
      <c r="S40" s="14">
        <v>1563.2</v>
      </c>
      <c r="T40" s="14">
        <v>1575.4</v>
      </c>
      <c r="U40" s="14">
        <v>1616.8</v>
      </c>
      <c r="V40" s="14">
        <v>1814.9</v>
      </c>
      <c r="W40" s="14">
        <v>1964.4</v>
      </c>
      <c r="X40" s="14">
        <v>2084.8000000000002</v>
      </c>
      <c r="Y40" s="26">
        <f t="shared" si="0"/>
        <v>0.24433998465080586</v>
      </c>
      <c r="Z40" s="26">
        <f t="shared" si="1"/>
        <v>5.775134305448968E-2</v>
      </c>
      <c r="AA40" s="14">
        <v>2111.8000000000002</v>
      </c>
      <c r="AB40" s="26">
        <f t="shared" si="2"/>
        <v>0.23439719670423345</v>
      </c>
    </row>
    <row r="41" spans="1:28" hidden="1" x14ac:dyDescent="0.35">
      <c r="A41" s="18" t="s">
        <v>81</v>
      </c>
      <c r="B41" s="14">
        <v>0</v>
      </c>
      <c r="C41" s="14">
        <v>0</v>
      </c>
      <c r="D41" s="14">
        <v>0</v>
      </c>
      <c r="E41" s="14">
        <v>0</v>
      </c>
      <c r="F41" s="14">
        <v>0</v>
      </c>
      <c r="G41" s="14">
        <v>0</v>
      </c>
      <c r="H41" s="14">
        <v>0</v>
      </c>
      <c r="I41" s="14">
        <v>0</v>
      </c>
      <c r="J41" s="14">
        <v>0</v>
      </c>
      <c r="K41" s="14">
        <v>0</v>
      </c>
      <c r="L41" s="14">
        <v>0</v>
      </c>
      <c r="M41" s="14">
        <v>0</v>
      </c>
      <c r="N41" s="14">
        <v>0</v>
      </c>
      <c r="O41" s="14">
        <v>0</v>
      </c>
      <c r="P41" s="14">
        <v>0</v>
      </c>
      <c r="Q41" s="14">
        <v>0</v>
      </c>
      <c r="R41" s="14">
        <v>0</v>
      </c>
      <c r="S41" s="14">
        <v>0</v>
      </c>
      <c r="T41" s="14">
        <v>135</v>
      </c>
      <c r="U41" s="14">
        <v>0</v>
      </c>
      <c r="V41" s="14">
        <v>0</v>
      </c>
      <c r="W41" s="14">
        <v>0</v>
      </c>
      <c r="Y41" s="26" t="e">
        <f t="shared" si="0"/>
        <v>#DIV/0!</v>
      </c>
      <c r="Z41" s="26" t="e">
        <f t="shared" si="1"/>
        <v>#DIV/0!</v>
      </c>
      <c r="AB41" s="26" t="e">
        <f t="shared" si="2"/>
        <v>#DIV/0!</v>
      </c>
    </row>
    <row r="42" spans="1:28" x14ac:dyDescent="0.35">
      <c r="A42" s="18" t="s">
        <v>56</v>
      </c>
      <c r="B42" s="14">
        <v>185.2</v>
      </c>
      <c r="C42" s="14">
        <v>173.6</v>
      </c>
      <c r="D42" s="14">
        <v>212.4</v>
      </c>
      <c r="E42" s="14">
        <v>187</v>
      </c>
      <c r="F42" s="14">
        <v>177.9</v>
      </c>
      <c r="G42" s="14">
        <v>192</v>
      </c>
      <c r="H42" s="14">
        <v>187</v>
      </c>
      <c r="I42" s="14">
        <v>188.4</v>
      </c>
      <c r="J42" s="14">
        <v>146.4</v>
      </c>
      <c r="K42" s="14">
        <v>131.19999999999999</v>
      </c>
      <c r="L42" s="14">
        <v>149.30000000000001</v>
      </c>
      <c r="M42" s="14">
        <v>176</v>
      </c>
      <c r="N42" s="14">
        <v>166</v>
      </c>
      <c r="O42" s="14">
        <v>160.4</v>
      </c>
      <c r="P42" s="14">
        <v>205</v>
      </c>
      <c r="Q42" s="14">
        <v>240.1</v>
      </c>
      <c r="R42" s="14">
        <v>315.60000000000002</v>
      </c>
      <c r="S42" s="14">
        <v>292.39999999999998</v>
      </c>
      <c r="T42" s="14">
        <v>291.5</v>
      </c>
      <c r="U42" s="14">
        <v>351.3</v>
      </c>
      <c r="V42" s="14">
        <v>318.10000000000002</v>
      </c>
      <c r="W42" s="14">
        <v>399.2</v>
      </c>
      <c r="X42" s="14">
        <v>363.2</v>
      </c>
      <c r="Y42" s="26">
        <f t="shared" si="0"/>
        <v>0.19741189427312772</v>
      </c>
      <c r="Z42" s="26">
        <f t="shared" si="1"/>
        <v>-9.911894273127754E-2</v>
      </c>
      <c r="AA42" s="14">
        <v>382.1</v>
      </c>
      <c r="AB42" s="26">
        <f t="shared" si="2"/>
        <v>8.0607170897670791E-2</v>
      </c>
    </row>
    <row r="43" spans="1:28" s="15" customFormat="1" ht="13.15" x14ac:dyDescent="0.4">
      <c r="A43" s="19" t="s">
        <v>57</v>
      </c>
      <c r="B43" s="15">
        <f>SUM(B38:B42)</f>
        <v>2967</v>
      </c>
      <c r="C43" s="15">
        <f>SUM(C38:C42)</f>
        <v>2927</v>
      </c>
      <c r="D43" s="15">
        <f t="shared" ref="D43:X43" si="24">SUM(D38:D42)</f>
        <v>3097</v>
      </c>
      <c r="E43" s="15">
        <f t="shared" si="24"/>
        <v>3167.8</v>
      </c>
      <c r="F43" s="15">
        <f t="shared" si="24"/>
        <v>3046.7000000000003</v>
      </c>
      <c r="G43" s="15">
        <f t="shared" si="24"/>
        <v>3064.2</v>
      </c>
      <c r="H43" s="15">
        <f t="shared" si="24"/>
        <v>3073</v>
      </c>
      <c r="I43" s="15">
        <f t="shared" si="24"/>
        <v>3020.0000000000005</v>
      </c>
      <c r="J43" s="15">
        <f t="shared" si="24"/>
        <v>4032.3</v>
      </c>
      <c r="K43" s="15">
        <f t="shared" si="24"/>
        <v>4144.4000000000005</v>
      </c>
      <c r="L43" s="15">
        <f t="shared" si="24"/>
        <v>3812.6000000000004</v>
      </c>
      <c r="M43" s="15">
        <f t="shared" si="24"/>
        <v>3184.1000000000004</v>
      </c>
      <c r="N43" s="15">
        <f t="shared" si="24"/>
        <v>3187.6</v>
      </c>
      <c r="O43" s="15">
        <f t="shared" si="24"/>
        <v>3229.9</v>
      </c>
      <c r="P43" s="15">
        <f t="shared" si="24"/>
        <v>3641.7999999999997</v>
      </c>
      <c r="Q43" s="15">
        <f t="shared" si="24"/>
        <v>3781.6</v>
      </c>
      <c r="R43" s="15">
        <f t="shared" si="24"/>
        <v>4367.4000000000005</v>
      </c>
      <c r="S43" s="15">
        <f t="shared" si="24"/>
        <v>4785.2999999999993</v>
      </c>
      <c r="T43" s="15">
        <f t="shared" si="24"/>
        <v>5309.4</v>
      </c>
      <c r="U43" s="15">
        <f t="shared" si="24"/>
        <v>5729.4000000000005</v>
      </c>
      <c r="V43" s="15">
        <f t="shared" si="24"/>
        <v>5716.3000000000011</v>
      </c>
      <c r="W43" s="15">
        <f t="shared" si="24"/>
        <v>5930.2</v>
      </c>
      <c r="X43" s="15">
        <f t="shared" si="24"/>
        <v>6085.4</v>
      </c>
      <c r="Y43" s="26">
        <f t="shared" si="0"/>
        <v>0.12751832254247872</v>
      </c>
      <c r="Z43" s="26">
        <f t="shared" si="1"/>
        <v>2.5503664508495717E-2</v>
      </c>
      <c r="AA43" s="15">
        <f t="shared" ref="AA43" si="25">SUM(AA38:AA42)</f>
        <v>5912.3000000000011</v>
      </c>
      <c r="AB43" s="26">
        <f t="shared" si="2"/>
        <v>3.0935507332171999E-2</v>
      </c>
    </row>
    <row r="44" spans="1:28" x14ac:dyDescent="0.35">
      <c r="A44" s="12" t="s">
        <v>58</v>
      </c>
      <c r="B44" s="14">
        <v>2336.4</v>
      </c>
      <c r="C44" s="14">
        <v>2387.1999999999998</v>
      </c>
      <c r="D44" s="14">
        <v>2401.1</v>
      </c>
      <c r="E44" s="14">
        <v>2549.6</v>
      </c>
      <c r="F44" s="14">
        <v>2585</v>
      </c>
      <c r="G44" s="14">
        <v>2620</v>
      </c>
      <c r="H44" s="14">
        <v>2602.1</v>
      </c>
      <c r="I44" s="14">
        <v>2591.6</v>
      </c>
      <c r="J44" s="14">
        <v>2579.9</v>
      </c>
      <c r="K44" s="14">
        <v>2566.5</v>
      </c>
      <c r="L44" s="14">
        <v>2511.8000000000002</v>
      </c>
      <c r="M44" s="14">
        <v>2512.3000000000002</v>
      </c>
      <c r="N44" s="14">
        <v>2489.4</v>
      </c>
      <c r="O44" s="14">
        <v>2457.8000000000002</v>
      </c>
      <c r="P44" s="14">
        <v>2427.8000000000002</v>
      </c>
      <c r="Q44" s="14">
        <v>2524.3000000000002</v>
      </c>
      <c r="R44" s="14">
        <v>2559.4</v>
      </c>
      <c r="S44" s="14">
        <v>2709.8</v>
      </c>
      <c r="T44" s="14">
        <v>2762.1</v>
      </c>
      <c r="U44" s="14">
        <v>3450.7</v>
      </c>
      <c r="V44" s="14">
        <v>3692.9</v>
      </c>
      <c r="W44" s="14">
        <v>3991.4</v>
      </c>
      <c r="X44" s="14">
        <v>4314.5</v>
      </c>
      <c r="Y44" s="26">
        <f t="shared" si="0"/>
        <v>0.35980994321474102</v>
      </c>
      <c r="Z44" s="26">
        <f t="shared" si="1"/>
        <v>7.4887008923397821E-2</v>
      </c>
      <c r="AA44" s="14">
        <v>4401.5</v>
      </c>
      <c r="AB44" s="26">
        <f t="shared" si="2"/>
        <v>0.21601726684084976</v>
      </c>
    </row>
    <row r="45" spans="1:28" x14ac:dyDescent="0.35">
      <c r="A45" s="12" t="s">
        <v>59</v>
      </c>
      <c r="B45" s="14">
        <v>916.9</v>
      </c>
      <c r="C45" s="14">
        <v>928.8</v>
      </c>
      <c r="D45" s="14">
        <v>932.5</v>
      </c>
      <c r="E45" s="14">
        <v>932.5</v>
      </c>
      <c r="F45" s="14">
        <v>932.5</v>
      </c>
      <c r="G45" s="14">
        <v>1552.5</v>
      </c>
      <c r="H45" s="14">
        <v>1659.2</v>
      </c>
      <c r="I45" s="14">
        <v>1659.2</v>
      </c>
      <c r="J45" s="14">
        <v>1663.4</v>
      </c>
      <c r="K45" s="14">
        <v>1663.4</v>
      </c>
      <c r="L45" s="14">
        <v>1663.4</v>
      </c>
      <c r="M45" s="14">
        <v>1663.4</v>
      </c>
      <c r="N45" s="14">
        <v>1663.4</v>
      </c>
      <c r="O45" s="14">
        <v>1663.4</v>
      </c>
      <c r="P45" s="14">
        <v>1662.7</v>
      </c>
      <c r="Q45" s="14">
        <v>1937.5</v>
      </c>
      <c r="R45" s="14">
        <v>1936.7</v>
      </c>
      <c r="S45" s="14">
        <v>1815.4</v>
      </c>
      <c r="T45" s="14">
        <v>1600.4</v>
      </c>
      <c r="U45" s="14">
        <v>1577.6</v>
      </c>
      <c r="V45" s="14">
        <v>1577.6</v>
      </c>
      <c r="W45" s="14">
        <v>1577.6</v>
      </c>
      <c r="X45" s="14">
        <v>1577.6</v>
      </c>
      <c r="Y45" s="26">
        <f t="shared" si="0"/>
        <v>-1.4452332657200927E-2</v>
      </c>
      <c r="Z45" s="26">
        <f t="shared" si="1"/>
        <v>0</v>
      </c>
      <c r="AA45" s="14">
        <v>1577.6</v>
      </c>
      <c r="AB45" s="26">
        <f t="shared" si="2"/>
        <v>0</v>
      </c>
    </row>
    <row r="46" spans="1:28" x14ac:dyDescent="0.35">
      <c r="A46" s="12" t="s">
        <v>60</v>
      </c>
      <c r="B46" s="14">
        <v>600.9</v>
      </c>
      <c r="C46" s="14">
        <v>627.9</v>
      </c>
      <c r="D46" s="14">
        <v>595.9</v>
      </c>
      <c r="E46" s="14">
        <v>566.4</v>
      </c>
      <c r="F46" s="14">
        <v>539.5</v>
      </c>
      <c r="G46" s="14">
        <v>778</v>
      </c>
      <c r="H46" s="14">
        <v>622.6</v>
      </c>
      <c r="I46" s="14">
        <v>590.5</v>
      </c>
      <c r="J46" s="14">
        <v>558.20000000000005</v>
      </c>
      <c r="K46" s="14">
        <v>527.79999999999995</v>
      </c>
      <c r="L46" s="14">
        <v>498.2</v>
      </c>
      <c r="M46" s="14">
        <v>469</v>
      </c>
      <c r="N46" s="14">
        <v>441.1</v>
      </c>
      <c r="O46" s="14">
        <v>416.3</v>
      </c>
      <c r="P46" s="14">
        <v>390.3</v>
      </c>
      <c r="Q46" s="14">
        <v>495.7</v>
      </c>
      <c r="R46" s="14">
        <v>474.5</v>
      </c>
      <c r="S46" s="14">
        <v>452.6</v>
      </c>
      <c r="T46" s="14">
        <v>373.8</v>
      </c>
      <c r="U46" s="14">
        <v>359.7</v>
      </c>
      <c r="V46" s="14">
        <v>339.8</v>
      </c>
      <c r="W46" s="14">
        <v>326.3</v>
      </c>
      <c r="X46" s="14">
        <v>312.8</v>
      </c>
      <c r="Y46" s="26">
        <f t="shared" si="0"/>
        <v>-0.19501278772378516</v>
      </c>
      <c r="Z46" s="26">
        <f t="shared" si="1"/>
        <v>-4.3158567774936062E-2</v>
      </c>
      <c r="AA46" s="14">
        <v>299.3</v>
      </c>
      <c r="AB46" s="26">
        <f t="shared" si="2"/>
        <v>-0.20180420982292005</v>
      </c>
    </row>
    <row r="47" spans="1:28" x14ac:dyDescent="0.35">
      <c r="A47" s="12" t="s">
        <v>61</v>
      </c>
      <c r="B47" s="14">
        <v>333.3</v>
      </c>
      <c r="C47" s="14">
        <v>298.89999999999998</v>
      </c>
      <c r="D47" s="14">
        <v>259.60000000000002</v>
      </c>
      <c r="E47" s="14">
        <v>266.2</v>
      </c>
      <c r="F47" s="14">
        <v>238.2</v>
      </c>
      <c r="G47" s="14">
        <v>242</v>
      </c>
      <c r="H47" s="14">
        <v>291.5</v>
      </c>
      <c r="I47" s="14">
        <v>307.8</v>
      </c>
      <c r="J47" s="14">
        <v>331</v>
      </c>
      <c r="K47" s="14">
        <v>325.2</v>
      </c>
      <c r="L47" s="14">
        <v>461.6</v>
      </c>
      <c r="M47" s="14">
        <v>429</v>
      </c>
      <c r="N47" s="14">
        <v>447.2</v>
      </c>
      <c r="O47" s="14">
        <v>429.9</v>
      </c>
      <c r="P47" s="14">
        <v>382.1</v>
      </c>
      <c r="Q47" s="14">
        <v>366.3</v>
      </c>
      <c r="R47" s="14">
        <v>349.3</v>
      </c>
      <c r="S47" s="14">
        <v>375.7</v>
      </c>
      <c r="T47" s="14">
        <v>409.9</v>
      </c>
      <c r="U47" s="17">
        <v>376.7</v>
      </c>
      <c r="V47" s="14">
        <v>473.1</v>
      </c>
      <c r="W47" s="14">
        <v>502.4</v>
      </c>
      <c r="X47" s="14">
        <v>579.29999999999995</v>
      </c>
      <c r="Y47" s="26">
        <f t="shared" si="0"/>
        <v>0.2924218884861039</v>
      </c>
      <c r="Z47" s="26">
        <f t="shared" si="1"/>
        <v>0.13274641809079921</v>
      </c>
      <c r="AA47" s="14">
        <v>600.79999999999995</v>
      </c>
      <c r="AB47" s="26">
        <f t="shared" si="2"/>
        <v>0.37300266311584551</v>
      </c>
    </row>
    <row r="48" spans="1:28" x14ac:dyDescent="0.35">
      <c r="A48" s="12" t="s">
        <v>83</v>
      </c>
      <c r="B48" s="14">
        <v>0</v>
      </c>
      <c r="C48" s="14">
        <v>0</v>
      </c>
      <c r="D48" s="14">
        <v>0</v>
      </c>
      <c r="E48" s="14">
        <v>0</v>
      </c>
      <c r="F48" s="14">
        <v>0</v>
      </c>
      <c r="G48" s="14">
        <v>0</v>
      </c>
      <c r="H48" s="14">
        <v>0</v>
      </c>
      <c r="I48" s="14">
        <v>0</v>
      </c>
      <c r="J48" s="14">
        <v>0</v>
      </c>
      <c r="K48" s="14">
        <v>0</v>
      </c>
      <c r="L48" s="14">
        <v>0</v>
      </c>
      <c r="M48" s="14">
        <v>0</v>
      </c>
      <c r="N48" s="14">
        <v>0</v>
      </c>
      <c r="O48" s="14">
        <v>0</v>
      </c>
      <c r="P48" s="14">
        <v>0</v>
      </c>
      <c r="Q48" s="14">
        <v>0</v>
      </c>
      <c r="R48" s="14">
        <v>0</v>
      </c>
      <c r="S48" s="14">
        <v>0</v>
      </c>
      <c r="T48" s="14">
        <v>0</v>
      </c>
      <c r="U48" s="17">
        <v>45.8</v>
      </c>
      <c r="V48" s="14">
        <v>45.2</v>
      </c>
      <c r="W48" s="14">
        <v>44.6</v>
      </c>
      <c r="X48" s="14">
        <v>43</v>
      </c>
      <c r="Y48" s="26">
        <f t="shared" si="0"/>
        <v>1</v>
      </c>
      <c r="Z48" s="26">
        <f t="shared" si="1"/>
        <v>-3.720930232558143E-2</v>
      </c>
      <c r="AA48" s="14">
        <v>42.4</v>
      </c>
      <c r="AB48" s="26">
        <f t="shared" si="2"/>
        <v>-8.0188679245282987E-2</v>
      </c>
    </row>
    <row r="49" spans="1:28" x14ac:dyDescent="0.35">
      <c r="A49" s="12" t="s">
        <v>56</v>
      </c>
      <c r="B49" s="14">
        <v>108.6</v>
      </c>
      <c r="C49" s="14">
        <v>127.5</v>
      </c>
      <c r="D49" s="14">
        <v>123.7</v>
      </c>
      <c r="E49" s="14">
        <v>105.1</v>
      </c>
      <c r="F49" s="14">
        <v>222.4</v>
      </c>
      <c r="G49" s="14">
        <v>267.8</v>
      </c>
      <c r="H49" s="14">
        <v>273.89999999999998</v>
      </c>
      <c r="I49" s="14">
        <v>256.39999999999998</v>
      </c>
      <c r="J49" s="14">
        <v>256</v>
      </c>
      <c r="K49" s="14">
        <v>300.5</v>
      </c>
      <c r="L49" s="14">
        <v>306.39999999999998</v>
      </c>
      <c r="M49" s="14">
        <v>410.2</v>
      </c>
      <c r="N49" s="14">
        <v>401.7</v>
      </c>
      <c r="O49" s="14">
        <v>397.1</v>
      </c>
      <c r="P49" s="14">
        <v>436</v>
      </c>
      <c r="Q49" s="14">
        <v>520.6</v>
      </c>
      <c r="R49" s="14">
        <v>525.1</v>
      </c>
      <c r="S49" s="14">
        <v>649.9</v>
      </c>
      <c r="T49" s="14">
        <v>645.1</v>
      </c>
      <c r="U49" s="14">
        <v>438.6</v>
      </c>
      <c r="V49" s="14">
        <v>429.4</v>
      </c>
      <c r="W49" s="14">
        <v>390.2</v>
      </c>
      <c r="X49" s="14">
        <v>368.7</v>
      </c>
      <c r="Y49" s="26">
        <f t="shared" si="0"/>
        <v>-0.74966097097911588</v>
      </c>
      <c r="Z49" s="26">
        <f t="shared" si="1"/>
        <v>-5.8312991592080282E-2</v>
      </c>
      <c r="AA49" s="14">
        <v>381.4</v>
      </c>
      <c r="AB49" s="26">
        <f t="shared" si="2"/>
        <v>-0.14997378080755125</v>
      </c>
    </row>
    <row r="50" spans="1:28" s="15" customFormat="1" ht="13.15" x14ac:dyDescent="0.4">
      <c r="A50" s="19" t="s">
        <v>62</v>
      </c>
      <c r="B50" s="15">
        <f>SUM(B43:B49)</f>
        <v>7263.0999999999995</v>
      </c>
      <c r="C50" s="15">
        <f>SUM(C43:C49)</f>
        <v>7297.2999999999993</v>
      </c>
      <c r="D50" s="15">
        <f t="shared" ref="D50:X50" si="26">SUM(D43:D49)</f>
        <v>7409.8</v>
      </c>
      <c r="E50" s="15">
        <f t="shared" si="26"/>
        <v>7587.5999999999995</v>
      </c>
      <c r="F50" s="15">
        <f t="shared" si="26"/>
        <v>7564.3</v>
      </c>
      <c r="G50" s="15">
        <f t="shared" si="26"/>
        <v>8524.5</v>
      </c>
      <c r="H50" s="15">
        <f t="shared" si="26"/>
        <v>8522.3000000000011</v>
      </c>
      <c r="I50" s="15">
        <f t="shared" si="26"/>
        <v>8425.5</v>
      </c>
      <c r="J50" s="15">
        <f t="shared" si="26"/>
        <v>9420.8000000000011</v>
      </c>
      <c r="K50" s="15">
        <f t="shared" si="26"/>
        <v>9527.8000000000011</v>
      </c>
      <c r="L50" s="15">
        <f t="shared" si="26"/>
        <v>9254.0000000000018</v>
      </c>
      <c r="M50" s="15">
        <f t="shared" si="26"/>
        <v>8668.0000000000018</v>
      </c>
      <c r="N50" s="15">
        <f t="shared" si="26"/>
        <v>8630.4000000000015</v>
      </c>
      <c r="O50" s="15">
        <f t="shared" si="26"/>
        <v>8594.4000000000015</v>
      </c>
      <c r="P50" s="15">
        <f t="shared" si="26"/>
        <v>8940.7000000000007</v>
      </c>
      <c r="Q50" s="15">
        <f t="shared" si="26"/>
        <v>9626</v>
      </c>
      <c r="R50" s="15">
        <f t="shared" si="26"/>
        <v>10212.400000000001</v>
      </c>
      <c r="S50" s="15">
        <f t="shared" si="26"/>
        <v>10788.7</v>
      </c>
      <c r="T50" s="15">
        <f t="shared" si="26"/>
        <v>11100.699999999999</v>
      </c>
      <c r="U50" s="15">
        <f t="shared" si="26"/>
        <v>11978.500000000002</v>
      </c>
      <c r="V50" s="15">
        <f t="shared" si="26"/>
        <v>12274.300000000001</v>
      </c>
      <c r="W50" s="15">
        <f t="shared" si="26"/>
        <v>12762.7</v>
      </c>
      <c r="X50" s="15">
        <f t="shared" si="26"/>
        <v>13281.3</v>
      </c>
      <c r="Y50" s="26">
        <f t="shared" si="0"/>
        <v>0.16418573483017479</v>
      </c>
      <c r="Z50" s="26">
        <f t="shared" si="1"/>
        <v>3.904738240985435E-2</v>
      </c>
      <c r="AA50" s="15">
        <f t="shared" ref="AA50" si="27">SUM(AA43:AA49)</f>
        <v>13215.3</v>
      </c>
      <c r="AB50" s="26">
        <f t="shared" si="2"/>
        <v>9.3588492126550099E-2</v>
      </c>
    </row>
    <row r="51" spans="1:28" x14ac:dyDescent="0.35">
      <c r="Y51" s="25"/>
      <c r="Z51" s="25"/>
      <c r="AB51" s="26"/>
    </row>
    <row r="52" spans="1:28" ht="13.15" x14ac:dyDescent="0.4">
      <c r="A52" s="10" t="s">
        <v>63</v>
      </c>
      <c r="Y52" s="25"/>
      <c r="Z52" s="25"/>
      <c r="AB52" s="26"/>
    </row>
    <row r="53" spans="1:28" ht="13.15" x14ac:dyDescent="0.4">
      <c r="A53" s="11" t="s">
        <v>64</v>
      </c>
      <c r="Y53" s="25"/>
      <c r="Z53" s="25"/>
      <c r="AB53" s="26"/>
    </row>
    <row r="54" spans="1:28" x14ac:dyDescent="0.35">
      <c r="A54" s="18" t="s">
        <v>65</v>
      </c>
      <c r="B54" s="14">
        <v>612</v>
      </c>
      <c r="C54" s="14">
        <v>584.70000000000005</v>
      </c>
      <c r="D54" s="14">
        <v>588.29999999999995</v>
      </c>
      <c r="E54" s="14">
        <v>671.7</v>
      </c>
      <c r="F54" s="14">
        <v>583.29999999999995</v>
      </c>
      <c r="G54" s="14">
        <v>542.9</v>
      </c>
      <c r="H54" s="14">
        <v>534.1</v>
      </c>
      <c r="I54" s="14">
        <v>543.6</v>
      </c>
      <c r="J54" s="14">
        <v>503.9</v>
      </c>
      <c r="K54" s="14">
        <v>522.9</v>
      </c>
      <c r="L54" s="14">
        <v>534.20000000000005</v>
      </c>
      <c r="M54" s="14">
        <v>572.9</v>
      </c>
      <c r="N54" s="14">
        <v>605</v>
      </c>
      <c r="O54" s="14">
        <v>610.20000000000005</v>
      </c>
      <c r="P54" s="14">
        <v>599.29999999999995</v>
      </c>
      <c r="Q54" s="14">
        <v>635.1</v>
      </c>
      <c r="R54" s="14">
        <v>725.3</v>
      </c>
      <c r="S54" s="14">
        <v>793.8</v>
      </c>
      <c r="T54" s="14">
        <v>791.7</v>
      </c>
      <c r="U54" s="14">
        <v>852.1</v>
      </c>
      <c r="V54" s="14">
        <v>976.2</v>
      </c>
      <c r="W54" s="14">
        <v>907.5</v>
      </c>
      <c r="X54" s="14">
        <v>911.3</v>
      </c>
      <c r="Y54" s="26">
        <f t="shared" si="0"/>
        <v>0.13124108416547781</v>
      </c>
      <c r="Z54" s="26">
        <f t="shared" si="1"/>
        <v>4.169867222648913E-3</v>
      </c>
      <c r="AA54" s="14">
        <v>725.6</v>
      </c>
      <c r="AB54" s="26">
        <f t="shared" si="2"/>
        <v>-0.17433847850055126</v>
      </c>
    </row>
    <row r="55" spans="1:28" x14ac:dyDescent="0.35">
      <c r="A55" s="18" t="s">
        <v>66</v>
      </c>
      <c r="B55" s="14">
        <v>585.79999999999995</v>
      </c>
      <c r="C55" s="14">
        <v>563.9</v>
      </c>
      <c r="D55" s="14">
        <v>627.20000000000005</v>
      </c>
      <c r="E55" s="14">
        <v>659.1</v>
      </c>
      <c r="F55" s="14">
        <v>603.4</v>
      </c>
      <c r="G55" s="14">
        <v>618.20000000000005</v>
      </c>
      <c r="H55" s="14">
        <v>730.9</v>
      </c>
      <c r="I55" s="14">
        <v>538.79999999999995</v>
      </c>
      <c r="J55" s="14">
        <v>542.6</v>
      </c>
      <c r="K55" s="14">
        <v>546.1</v>
      </c>
      <c r="L55" s="14">
        <v>567.29999999999995</v>
      </c>
      <c r="M55" s="14">
        <v>570</v>
      </c>
      <c r="N55" s="14">
        <v>588.29999999999995</v>
      </c>
      <c r="O55" s="14">
        <v>643.6</v>
      </c>
      <c r="P55" s="14">
        <v>641.79999999999995</v>
      </c>
      <c r="Q55" s="14">
        <v>747.6</v>
      </c>
      <c r="R55" s="14">
        <v>670.4</v>
      </c>
      <c r="S55" s="14">
        <v>754.3</v>
      </c>
      <c r="T55" s="14">
        <v>766.7</v>
      </c>
      <c r="U55" s="14">
        <v>1047.3</v>
      </c>
      <c r="V55" s="14">
        <v>666</v>
      </c>
      <c r="W55" s="14">
        <v>654.1</v>
      </c>
      <c r="X55" s="14">
        <v>665.4</v>
      </c>
      <c r="Y55" s="26">
        <f t="shared" si="0"/>
        <v>-0.15223925458370915</v>
      </c>
      <c r="Z55" s="26">
        <f t="shared" si="1"/>
        <v>1.6982266305981295E-2</v>
      </c>
      <c r="AA55" s="14">
        <v>663.2</v>
      </c>
      <c r="AB55" s="26">
        <f t="shared" si="2"/>
        <v>-0.5791616405307598</v>
      </c>
    </row>
    <row r="56" spans="1:28" hidden="1" x14ac:dyDescent="0.35">
      <c r="A56" s="18" t="s">
        <v>82</v>
      </c>
      <c r="B56" s="14">
        <v>0</v>
      </c>
      <c r="C56" s="14">
        <v>0</v>
      </c>
      <c r="D56" s="14">
        <v>0</v>
      </c>
      <c r="E56" s="14">
        <v>0</v>
      </c>
      <c r="F56" s="14">
        <v>0</v>
      </c>
      <c r="G56" s="14">
        <v>0</v>
      </c>
      <c r="H56" s="14">
        <v>0</v>
      </c>
      <c r="I56" s="14">
        <v>0</v>
      </c>
      <c r="J56" s="14">
        <v>0</v>
      </c>
      <c r="K56" s="14">
        <v>0</v>
      </c>
      <c r="L56" s="14">
        <v>0</v>
      </c>
      <c r="M56" s="14">
        <v>0</v>
      </c>
      <c r="N56" s="14">
        <v>0</v>
      </c>
      <c r="O56" s="14">
        <v>0</v>
      </c>
      <c r="P56" s="14">
        <v>0</v>
      </c>
      <c r="Q56" s="14">
        <v>0</v>
      </c>
      <c r="R56" s="14">
        <v>0</v>
      </c>
      <c r="S56" s="14">
        <v>0</v>
      </c>
      <c r="T56" s="14">
        <v>37.299999999999997</v>
      </c>
      <c r="U56" s="14">
        <v>0</v>
      </c>
      <c r="V56" s="14">
        <v>0</v>
      </c>
      <c r="W56" s="14">
        <v>0</v>
      </c>
      <c r="Y56" s="26" t="e">
        <f t="shared" si="0"/>
        <v>#DIV/0!</v>
      </c>
      <c r="Z56" s="26" t="e">
        <f t="shared" si="1"/>
        <v>#DIV/0!</v>
      </c>
      <c r="AB56" s="26" t="e">
        <f t="shared" si="2"/>
        <v>#DIV/0!</v>
      </c>
    </row>
    <row r="57" spans="1:28" ht="25.5" x14ac:dyDescent="0.35">
      <c r="A57" s="24" t="s">
        <v>84</v>
      </c>
      <c r="B57" s="14">
        <v>0</v>
      </c>
      <c r="C57" s="14">
        <v>0</v>
      </c>
      <c r="D57" s="14">
        <v>0</v>
      </c>
      <c r="E57" s="14">
        <v>0</v>
      </c>
      <c r="F57" s="14">
        <v>0</v>
      </c>
      <c r="G57" s="14">
        <v>0</v>
      </c>
      <c r="H57" s="14">
        <v>0</v>
      </c>
      <c r="I57" s="14">
        <v>0</v>
      </c>
      <c r="J57" s="14">
        <v>0</v>
      </c>
      <c r="K57" s="14">
        <v>0</v>
      </c>
      <c r="L57" s="14">
        <v>0</v>
      </c>
      <c r="M57" s="14">
        <v>0</v>
      </c>
      <c r="N57" s="14">
        <v>0</v>
      </c>
      <c r="O57" s="14">
        <v>0</v>
      </c>
      <c r="P57" s="14">
        <v>0</v>
      </c>
      <c r="Q57" s="14">
        <v>0</v>
      </c>
      <c r="R57" s="14">
        <v>0</v>
      </c>
      <c r="S57" s="14">
        <v>0</v>
      </c>
      <c r="T57" s="14">
        <v>0</v>
      </c>
      <c r="U57" s="14">
        <v>14.2</v>
      </c>
      <c r="V57" s="14">
        <v>11.6</v>
      </c>
      <c r="W57" s="14">
        <v>7</v>
      </c>
      <c r="X57" s="14">
        <v>5.2</v>
      </c>
      <c r="Y57" s="26">
        <f t="shared" si="0"/>
        <v>1</v>
      </c>
      <c r="Z57" s="26">
        <f t="shared" si="1"/>
        <v>-0.34615384615384609</v>
      </c>
      <c r="AA57" s="14">
        <v>0.8</v>
      </c>
      <c r="AB57" s="26">
        <f t="shared" si="2"/>
        <v>-16.749999999999996</v>
      </c>
    </row>
    <row r="58" spans="1:28" x14ac:dyDescent="0.35">
      <c r="A58" s="18" t="s">
        <v>67</v>
      </c>
      <c r="B58" s="14">
        <v>747.2</v>
      </c>
      <c r="C58" s="14">
        <v>746.4</v>
      </c>
      <c r="D58" s="14">
        <v>99.2</v>
      </c>
      <c r="E58" s="14">
        <v>138.5</v>
      </c>
      <c r="F58" s="14">
        <v>130.80000000000001</v>
      </c>
      <c r="G58" s="14">
        <v>105.7</v>
      </c>
      <c r="H58" s="14">
        <v>736.6</v>
      </c>
      <c r="I58" s="14">
        <v>736</v>
      </c>
      <c r="J58" s="14">
        <v>689.6</v>
      </c>
      <c r="K58" s="14">
        <v>695.6</v>
      </c>
      <c r="L58" s="14">
        <v>701.6</v>
      </c>
      <c r="M58" s="14">
        <v>531.6</v>
      </c>
      <c r="N58" s="14">
        <v>536.70000000000005</v>
      </c>
      <c r="O58" s="14">
        <v>201.3</v>
      </c>
      <c r="P58" s="14">
        <v>203</v>
      </c>
      <c r="Q58" s="14">
        <v>160.69999999999999</v>
      </c>
      <c r="R58" s="14">
        <v>170.4</v>
      </c>
      <c r="S58" s="14">
        <v>165.2</v>
      </c>
      <c r="T58" s="14">
        <v>165.3</v>
      </c>
      <c r="U58" s="14">
        <v>147.80000000000001</v>
      </c>
      <c r="V58" s="14">
        <v>926.2</v>
      </c>
      <c r="W58" s="14">
        <v>912.1</v>
      </c>
      <c r="X58" s="14">
        <v>912.9</v>
      </c>
      <c r="Y58" s="26">
        <f t="shared" si="0"/>
        <v>0.81892868879395331</v>
      </c>
      <c r="Z58" s="26">
        <f t="shared" si="1"/>
        <v>8.7632818490519728E-4</v>
      </c>
      <c r="AA58" s="14">
        <v>794</v>
      </c>
      <c r="AB58" s="26">
        <f t="shared" si="2"/>
        <v>0.8138539042821159</v>
      </c>
    </row>
    <row r="59" spans="1:28" s="15" customFormat="1" ht="13.15" x14ac:dyDescent="0.4">
      <c r="A59" s="19" t="s">
        <v>68</v>
      </c>
      <c r="B59" s="15">
        <f>SUM(B54:B58)</f>
        <v>1945</v>
      </c>
      <c r="C59" s="15">
        <f>SUM(C54:C58)</f>
        <v>1895</v>
      </c>
      <c r="D59" s="15">
        <f t="shared" ref="D59:X59" si="28">SUM(D54:D58)</f>
        <v>1314.7</v>
      </c>
      <c r="E59" s="15">
        <f t="shared" si="28"/>
        <v>1469.3000000000002</v>
      </c>
      <c r="F59" s="15">
        <f t="shared" si="28"/>
        <v>1317.4999999999998</v>
      </c>
      <c r="G59" s="15">
        <f t="shared" si="28"/>
        <v>1266.8</v>
      </c>
      <c r="H59" s="15">
        <f t="shared" si="28"/>
        <v>2001.6</v>
      </c>
      <c r="I59" s="15">
        <f t="shared" si="28"/>
        <v>1818.4</v>
      </c>
      <c r="J59" s="15">
        <f t="shared" si="28"/>
        <v>1736.1</v>
      </c>
      <c r="K59" s="15">
        <f t="shared" si="28"/>
        <v>1764.6</v>
      </c>
      <c r="L59" s="15">
        <f t="shared" si="28"/>
        <v>1803.1</v>
      </c>
      <c r="M59" s="15">
        <f t="shared" si="28"/>
        <v>1674.5</v>
      </c>
      <c r="N59" s="15">
        <f t="shared" si="28"/>
        <v>1730</v>
      </c>
      <c r="O59" s="15">
        <f t="shared" si="28"/>
        <v>1455.1000000000001</v>
      </c>
      <c r="P59" s="15">
        <f t="shared" si="28"/>
        <v>1444.1</v>
      </c>
      <c r="Q59" s="15">
        <f t="shared" si="28"/>
        <v>1543.4</v>
      </c>
      <c r="R59" s="15">
        <f t="shared" si="28"/>
        <v>1566.1</v>
      </c>
      <c r="S59" s="15">
        <f t="shared" si="28"/>
        <v>1713.3</v>
      </c>
      <c r="T59" s="15">
        <f t="shared" si="28"/>
        <v>1761</v>
      </c>
      <c r="U59" s="15">
        <f t="shared" si="28"/>
        <v>2061.4</v>
      </c>
      <c r="V59" s="15">
        <f t="shared" si="28"/>
        <v>2580</v>
      </c>
      <c r="W59" s="15">
        <f t="shared" si="28"/>
        <v>2480.6999999999998</v>
      </c>
      <c r="X59" s="15">
        <f t="shared" si="28"/>
        <v>2494.7999999999997</v>
      </c>
      <c r="Y59" s="26">
        <f t="shared" si="0"/>
        <v>0.29413179413179408</v>
      </c>
      <c r="Z59" s="26">
        <f t="shared" si="1"/>
        <v>5.6517556517556161E-3</v>
      </c>
      <c r="AA59" s="15">
        <f t="shared" ref="AA59" si="29">SUM(AA54:AA58)</f>
        <v>2183.6000000000004</v>
      </c>
      <c r="AB59" s="26">
        <f t="shared" si="2"/>
        <v>5.5962630518410078E-2</v>
      </c>
    </row>
    <row r="60" spans="1:28" x14ac:dyDescent="0.35">
      <c r="A60" s="12" t="s">
        <v>69</v>
      </c>
      <c r="B60" s="14">
        <v>2084.4</v>
      </c>
      <c r="C60" s="14">
        <v>2020.4</v>
      </c>
      <c r="D60" s="14">
        <v>2615.6999999999998</v>
      </c>
      <c r="E60" s="14">
        <v>2627.6</v>
      </c>
      <c r="F60" s="14">
        <v>2639</v>
      </c>
      <c r="G60" s="14">
        <v>3550.8</v>
      </c>
      <c r="H60" s="14">
        <v>2878.8</v>
      </c>
      <c r="I60" s="14">
        <v>2876.5</v>
      </c>
      <c r="J60" s="14">
        <v>4043</v>
      </c>
      <c r="K60" s="14">
        <v>4044.8</v>
      </c>
      <c r="L60" s="14">
        <v>3537.6</v>
      </c>
      <c r="M60" s="14">
        <v>2959.7</v>
      </c>
      <c r="N60" s="14">
        <v>2806.9</v>
      </c>
      <c r="O60" s="14">
        <v>2907.1</v>
      </c>
      <c r="P60" s="14">
        <v>2910.5</v>
      </c>
      <c r="Q60" s="14">
        <v>2913.9</v>
      </c>
      <c r="R60" s="14">
        <v>3035.4</v>
      </c>
      <c r="S60" s="14">
        <v>3047.4</v>
      </c>
      <c r="T60" s="14">
        <v>3046.5</v>
      </c>
      <c r="U60" s="14">
        <v>3045.7</v>
      </c>
      <c r="V60" s="14">
        <v>2538</v>
      </c>
      <c r="W60" s="14">
        <v>2539.6</v>
      </c>
      <c r="X60" s="14">
        <v>2541.1</v>
      </c>
      <c r="Y60" s="26">
        <f t="shared" si="0"/>
        <v>-0.19889024438235414</v>
      </c>
      <c r="Z60" s="26">
        <f t="shared" si="1"/>
        <v>5.9029554130101141E-4</v>
      </c>
      <c r="AA60" s="14">
        <v>2542.6</v>
      </c>
      <c r="AB60" s="26">
        <f t="shared" si="2"/>
        <v>-0.19786832376307714</v>
      </c>
    </row>
    <row r="61" spans="1:28" x14ac:dyDescent="0.35">
      <c r="A61" s="12" t="s">
        <v>70</v>
      </c>
      <c r="B61" s="14">
        <v>57.1</v>
      </c>
      <c r="C61" s="14">
        <v>63.6</v>
      </c>
      <c r="D61" s="14">
        <v>60.7</v>
      </c>
      <c r="E61" s="14">
        <v>54.8</v>
      </c>
      <c r="F61" s="14">
        <v>54.1</v>
      </c>
      <c r="G61" s="14">
        <v>58.9</v>
      </c>
      <c r="H61" s="14">
        <v>59.8</v>
      </c>
      <c r="I61" s="14">
        <v>60.2</v>
      </c>
      <c r="J61" s="14">
        <v>60.8</v>
      </c>
      <c r="K61" s="14">
        <v>61.5</v>
      </c>
      <c r="L61" s="14">
        <v>62.6</v>
      </c>
      <c r="M61" s="14">
        <v>57.3</v>
      </c>
      <c r="N61" s="14">
        <v>53.9</v>
      </c>
      <c r="O61" s="14">
        <v>49.8</v>
      </c>
      <c r="P61" s="14">
        <v>46.8</v>
      </c>
      <c r="Q61" s="14">
        <v>43.2</v>
      </c>
      <c r="R61" s="14">
        <v>40.9</v>
      </c>
      <c r="S61" s="17">
        <v>36.799999999999997</v>
      </c>
      <c r="T61" s="14">
        <v>30.5</v>
      </c>
      <c r="U61" s="14">
        <v>34.1</v>
      </c>
      <c r="V61" s="14">
        <v>36.6</v>
      </c>
      <c r="W61" s="14">
        <v>37.700000000000003</v>
      </c>
      <c r="X61" s="14">
        <v>35.1</v>
      </c>
      <c r="Y61" s="26">
        <f t="shared" si="0"/>
        <v>0.13105413105413108</v>
      </c>
      <c r="Z61" s="26">
        <f t="shared" si="1"/>
        <v>-7.4074074074074112E-2</v>
      </c>
      <c r="AA61" s="14">
        <v>38.700000000000003</v>
      </c>
      <c r="AB61" s="26">
        <f t="shared" si="2"/>
        <v>0.11886304909560726</v>
      </c>
    </row>
    <row r="62" spans="1:28" x14ac:dyDescent="0.35">
      <c r="A62" s="12" t="s">
        <v>85</v>
      </c>
      <c r="B62" s="14">
        <v>0</v>
      </c>
      <c r="C62" s="14">
        <v>0</v>
      </c>
      <c r="D62" s="14">
        <v>0</v>
      </c>
      <c r="E62" s="14">
        <v>0</v>
      </c>
      <c r="F62" s="14">
        <v>0</v>
      </c>
      <c r="G62" s="14">
        <v>0</v>
      </c>
      <c r="H62" s="14">
        <v>0</v>
      </c>
      <c r="I62" s="14">
        <v>0</v>
      </c>
      <c r="J62" s="14">
        <v>0</v>
      </c>
      <c r="K62" s="14">
        <v>0</v>
      </c>
      <c r="L62" s="14">
        <v>0</v>
      </c>
      <c r="M62" s="14">
        <v>0</v>
      </c>
      <c r="N62" s="14">
        <v>0</v>
      </c>
      <c r="O62" s="14">
        <v>0</v>
      </c>
      <c r="P62" s="14">
        <v>0</v>
      </c>
      <c r="Q62" s="14">
        <v>0</v>
      </c>
      <c r="R62" s="14">
        <v>0</v>
      </c>
      <c r="S62" s="17">
        <v>0</v>
      </c>
      <c r="T62" s="14">
        <v>0</v>
      </c>
      <c r="U62" s="14">
        <v>23</v>
      </c>
      <c r="V62" s="14">
        <v>24</v>
      </c>
      <c r="W62" s="14">
        <v>24.1</v>
      </c>
      <c r="X62" s="14">
        <v>21.6</v>
      </c>
      <c r="Y62" s="26">
        <f t="shared" si="0"/>
        <v>1</v>
      </c>
      <c r="Z62" s="26">
        <f t="shared" si="1"/>
        <v>-0.11574074074074073</v>
      </c>
      <c r="AA62" s="14">
        <v>22.4</v>
      </c>
      <c r="AB62" s="26">
        <f t="shared" si="2"/>
        <v>-2.678571428571435E-2</v>
      </c>
    </row>
    <row r="63" spans="1:28" x14ac:dyDescent="0.35">
      <c r="A63" s="12" t="s">
        <v>56</v>
      </c>
      <c r="B63" s="14">
        <v>225.1</v>
      </c>
      <c r="C63" s="14">
        <v>221.5</v>
      </c>
      <c r="D63" s="14">
        <v>215.3</v>
      </c>
      <c r="E63" s="14">
        <v>241.8</v>
      </c>
      <c r="F63" s="14">
        <v>333</v>
      </c>
      <c r="G63" s="14">
        <v>350.1</v>
      </c>
      <c r="H63" s="14">
        <v>342.5</v>
      </c>
      <c r="I63" s="14">
        <v>346.3</v>
      </c>
      <c r="J63" s="14">
        <v>343.3</v>
      </c>
      <c r="K63" s="14">
        <v>397.6</v>
      </c>
      <c r="L63" s="14">
        <v>403.5</v>
      </c>
      <c r="M63" s="14">
        <v>418.4</v>
      </c>
      <c r="N63" s="14">
        <v>390</v>
      </c>
      <c r="O63" s="14">
        <v>378</v>
      </c>
      <c r="P63" s="14">
        <v>394.9</v>
      </c>
      <c r="Q63" s="14">
        <v>521.1</v>
      </c>
      <c r="R63" s="14">
        <v>552</v>
      </c>
      <c r="S63" s="14">
        <v>581.1</v>
      </c>
      <c r="T63" s="14">
        <v>586.1</v>
      </c>
      <c r="U63" s="14">
        <v>607.29999999999995</v>
      </c>
      <c r="V63" s="14">
        <v>628.70000000000005</v>
      </c>
      <c r="W63" s="14">
        <v>677</v>
      </c>
      <c r="X63" s="14">
        <v>684.7</v>
      </c>
      <c r="Y63" s="26">
        <f t="shared" si="0"/>
        <v>0.14400467357966995</v>
      </c>
      <c r="Z63" s="26">
        <f t="shared" si="1"/>
        <v>1.1245801080765365E-2</v>
      </c>
      <c r="AA63" s="14">
        <v>627.29999999999995</v>
      </c>
      <c r="AB63" s="26">
        <f t="shared" si="2"/>
        <v>3.1882671767894152E-2</v>
      </c>
    </row>
    <row r="64" spans="1:28" s="15" customFormat="1" ht="13.15" x14ac:dyDescent="0.4">
      <c r="A64" s="19" t="s">
        <v>71</v>
      </c>
      <c r="B64" s="15">
        <f>SUM(B59:B63)</f>
        <v>4311.6000000000004</v>
      </c>
      <c r="C64" s="15">
        <f>SUM(C59:C63)</f>
        <v>4200.5</v>
      </c>
      <c r="D64" s="15">
        <f t="shared" ref="D64:X64" si="30">SUM(D59:D63)</f>
        <v>4206.3999999999996</v>
      </c>
      <c r="E64" s="15">
        <f t="shared" si="30"/>
        <v>4393.5</v>
      </c>
      <c r="F64" s="15">
        <f t="shared" si="30"/>
        <v>4343.6000000000004</v>
      </c>
      <c r="G64" s="15">
        <f t="shared" si="30"/>
        <v>5226.6000000000004</v>
      </c>
      <c r="H64" s="15">
        <f t="shared" si="30"/>
        <v>5282.7</v>
      </c>
      <c r="I64" s="15">
        <f t="shared" si="30"/>
        <v>5101.3999999999996</v>
      </c>
      <c r="J64" s="15">
        <f t="shared" si="30"/>
        <v>6183.2000000000007</v>
      </c>
      <c r="K64" s="15">
        <f t="shared" si="30"/>
        <v>6268.5</v>
      </c>
      <c r="L64" s="15">
        <f t="shared" si="30"/>
        <v>5806.8</v>
      </c>
      <c r="M64" s="15">
        <f t="shared" si="30"/>
        <v>5109.8999999999996</v>
      </c>
      <c r="N64" s="15">
        <f t="shared" si="30"/>
        <v>4980.7999999999993</v>
      </c>
      <c r="O64" s="15">
        <f t="shared" si="30"/>
        <v>4790</v>
      </c>
      <c r="P64" s="15">
        <f t="shared" si="30"/>
        <v>4796.3</v>
      </c>
      <c r="Q64" s="15">
        <f t="shared" si="30"/>
        <v>5021.6000000000004</v>
      </c>
      <c r="R64" s="15">
        <f t="shared" si="30"/>
        <v>5194.3999999999996</v>
      </c>
      <c r="S64" s="15">
        <f t="shared" si="30"/>
        <v>5378.6</v>
      </c>
      <c r="T64" s="15">
        <f t="shared" si="30"/>
        <v>5424.1</v>
      </c>
      <c r="U64" s="15">
        <f t="shared" si="30"/>
        <v>5771.5000000000009</v>
      </c>
      <c r="V64" s="15">
        <f t="shared" si="30"/>
        <v>5807.3</v>
      </c>
      <c r="W64" s="15">
        <f t="shared" si="30"/>
        <v>5759.0999999999995</v>
      </c>
      <c r="X64" s="15">
        <f t="shared" si="30"/>
        <v>5777.3</v>
      </c>
      <c r="Y64" s="26">
        <f t="shared" si="0"/>
        <v>6.1135824693195749E-2</v>
      </c>
      <c r="Z64" s="26">
        <f t="shared" si="1"/>
        <v>3.150260502310894E-3</v>
      </c>
      <c r="AA64" s="15">
        <f t="shared" ref="AA64" si="31">SUM(AA59:AA63)</f>
        <v>5414.6</v>
      </c>
      <c r="AB64" s="26">
        <f t="shared" si="2"/>
        <v>-6.5914379640232057E-2</v>
      </c>
    </row>
    <row r="65" spans="1:28" x14ac:dyDescent="0.35">
      <c r="Y65" s="26"/>
      <c r="Z65" s="26"/>
      <c r="AB65" s="26"/>
    </row>
    <row r="66" spans="1:28" x14ac:dyDescent="0.35">
      <c r="A66" s="6" t="s">
        <v>72</v>
      </c>
      <c r="B66" s="14">
        <f>B50-B64</f>
        <v>2951.4999999999991</v>
      </c>
      <c r="C66" s="14">
        <f>C50-C64</f>
        <v>3096.7999999999993</v>
      </c>
      <c r="D66" s="14">
        <f t="shared" ref="D66:X66" si="32">D50-D64</f>
        <v>3203.4000000000005</v>
      </c>
      <c r="E66" s="14">
        <f t="shared" si="32"/>
        <v>3194.0999999999995</v>
      </c>
      <c r="F66" s="14">
        <f t="shared" si="32"/>
        <v>3220.7</v>
      </c>
      <c r="G66" s="14">
        <f t="shared" si="32"/>
        <v>3297.8999999999996</v>
      </c>
      <c r="H66" s="14">
        <f t="shared" si="32"/>
        <v>3239.6000000000013</v>
      </c>
      <c r="I66" s="14">
        <f t="shared" si="32"/>
        <v>3324.1000000000004</v>
      </c>
      <c r="J66" s="14">
        <f t="shared" si="32"/>
        <v>3237.6000000000004</v>
      </c>
      <c r="K66" s="14">
        <f t="shared" si="32"/>
        <v>3259.3000000000011</v>
      </c>
      <c r="L66" s="14">
        <f t="shared" si="32"/>
        <v>3447.2000000000016</v>
      </c>
      <c r="M66" s="14">
        <f t="shared" si="32"/>
        <v>3558.1000000000022</v>
      </c>
      <c r="N66" s="14">
        <f t="shared" si="32"/>
        <v>3649.6000000000022</v>
      </c>
      <c r="O66" s="14">
        <f t="shared" si="32"/>
        <v>3804.4000000000015</v>
      </c>
      <c r="P66" s="14">
        <f t="shared" si="32"/>
        <v>4144.4000000000005</v>
      </c>
      <c r="Q66" s="14">
        <f t="shared" si="32"/>
        <v>4604.3999999999996</v>
      </c>
      <c r="R66" s="14">
        <f t="shared" si="32"/>
        <v>5018.0000000000018</v>
      </c>
      <c r="S66" s="14">
        <f t="shared" si="32"/>
        <v>5410.1</v>
      </c>
      <c r="T66" s="14">
        <f t="shared" si="32"/>
        <v>5676.5999999999985</v>
      </c>
      <c r="U66" s="14">
        <f t="shared" si="32"/>
        <v>6207.0000000000009</v>
      </c>
      <c r="V66" s="14">
        <f t="shared" si="32"/>
        <v>6467.0000000000009</v>
      </c>
      <c r="W66" s="14">
        <f t="shared" si="32"/>
        <v>7003.6000000000013</v>
      </c>
      <c r="X66" s="14">
        <f t="shared" si="32"/>
        <v>7503.9999999999991</v>
      </c>
      <c r="Y66" s="14">
        <f t="shared" ref="Y66:AA66" si="33">Y50-Y64</f>
        <v>0.10304991013697903</v>
      </c>
      <c r="Z66" s="14">
        <f t="shared" si="33"/>
        <v>3.5897121907543454E-2</v>
      </c>
      <c r="AA66" s="14">
        <f t="shared" si="33"/>
        <v>7800.6999999999989</v>
      </c>
      <c r="AB66" s="26">
        <f t="shared" si="2"/>
        <v>0.20430217800966557</v>
      </c>
    </row>
    <row r="67" spans="1:28" x14ac:dyDescent="0.35">
      <c r="A67" s="6" t="s">
        <v>73</v>
      </c>
      <c r="B67" s="21">
        <f>(B33-B34)/B6</f>
        <v>0.31427285006753697</v>
      </c>
      <c r="C67" s="21">
        <f>(C33-C34)/C6</f>
        <v>0.35404006302048197</v>
      </c>
      <c r="D67" s="21">
        <f t="shared" ref="D67:X67" si="34">(D33-D34)/D6</f>
        <v>0.38433264415345753</v>
      </c>
      <c r="E67" s="21">
        <f t="shared" si="34"/>
        <v>0.38586831842165581</v>
      </c>
      <c r="F67" s="21">
        <f t="shared" si="34"/>
        <v>0.27316255685899005</v>
      </c>
      <c r="G67" s="21">
        <f t="shared" si="34"/>
        <v>0.2489825233421116</v>
      </c>
      <c r="H67" s="21">
        <f t="shared" si="34"/>
        <v>-0.14449317738791445</v>
      </c>
      <c r="I67" s="21">
        <f t="shared" si="34"/>
        <v>0.13774038461538332</v>
      </c>
      <c r="J67" s="21">
        <f t="shared" si="34"/>
        <v>-3.2635168046760782E-2</v>
      </c>
      <c r="K67" s="21">
        <f t="shared" si="34"/>
        <v>-9.7537186052191408E-4</v>
      </c>
      <c r="L67" s="21">
        <f t="shared" si="34"/>
        <v>0.38680372938082697</v>
      </c>
      <c r="M67" s="21">
        <f t="shared" si="34"/>
        <v>0.21633237822349627</v>
      </c>
      <c r="N67" s="21">
        <f t="shared" si="34"/>
        <v>0.20363718006286496</v>
      </c>
      <c r="O67" s="21">
        <f t="shared" si="34"/>
        <v>0.4150135256988281</v>
      </c>
      <c r="P67" s="21">
        <f t="shared" si="34"/>
        <v>0.70592239618788277</v>
      </c>
      <c r="Q67" s="21">
        <f t="shared" si="34"/>
        <v>0.96191978368634601</v>
      </c>
      <c r="R67" s="21">
        <f t="shared" si="34"/>
        <v>1.1846736466919132</v>
      </c>
      <c r="S67" s="21">
        <f t="shared" si="34"/>
        <v>1.0232662192393733</v>
      </c>
      <c r="T67" s="21">
        <f t="shared" si="34"/>
        <v>0.6951192333407622</v>
      </c>
      <c r="U67" s="21">
        <f t="shared" si="34"/>
        <v>1.3482820169567162</v>
      </c>
      <c r="V67" s="21">
        <f t="shared" si="34"/>
        <v>1.0316610925306573</v>
      </c>
      <c r="W67" s="21">
        <f t="shared" si="34"/>
        <v>1.2872743481167819</v>
      </c>
      <c r="X67" s="21">
        <f t="shared" si="34"/>
        <v>1.2937652540492564</v>
      </c>
      <c r="Y67" s="21">
        <f t="shared" ref="Y67:AA67" si="35">(Y33-Y34)/Y6</f>
        <v>-120.58100017155604</v>
      </c>
      <c r="Z67" s="21">
        <f t="shared" si="35"/>
        <v>340.26728855721376</v>
      </c>
      <c r="AA67" s="21">
        <f t="shared" si="35"/>
        <v>1.2616383169203231</v>
      </c>
      <c r="AB67" s="26">
        <f t="shared" si="2"/>
        <v>-6.8675545815611874E-2</v>
      </c>
    </row>
    <row r="68" spans="1:28" x14ac:dyDescent="0.35">
      <c r="A68" s="6" t="s">
        <v>74</v>
      </c>
      <c r="B68" s="14">
        <f>B7-B8+B9</f>
        <v>12771.832</v>
      </c>
      <c r="C68" s="14">
        <f>C7-C8+C9</f>
        <v>11797.831999999999</v>
      </c>
      <c r="D68" s="14">
        <f t="shared" ref="D68:X68" si="36">D7-D8+D9</f>
        <v>9786.4789999999994</v>
      </c>
      <c r="E68" s="14">
        <f t="shared" si="36"/>
        <v>8893.2090000000007</v>
      </c>
      <c r="F68" s="14">
        <f t="shared" si="36"/>
        <v>10422.289000000001</v>
      </c>
      <c r="G68" s="14">
        <f t="shared" si="36"/>
        <v>11213.017</v>
      </c>
      <c r="H68" s="14">
        <f t="shared" si="36"/>
        <v>10352.972</v>
      </c>
      <c r="I68" s="14">
        <f t="shared" si="36"/>
        <v>12860.38</v>
      </c>
      <c r="J68" s="14">
        <f t="shared" si="36"/>
        <v>7242.5640000000003</v>
      </c>
      <c r="K68" s="14">
        <f t="shared" si="36"/>
        <v>10545.718000000001</v>
      </c>
      <c r="L68" s="14">
        <f t="shared" si="36"/>
        <v>11971.851999999999</v>
      </c>
      <c r="M68" s="14">
        <f t="shared" si="36"/>
        <v>16117.923999999997</v>
      </c>
      <c r="N68" s="14">
        <f t="shared" si="36"/>
        <v>21404.305999999997</v>
      </c>
      <c r="O68" s="14">
        <f t="shared" si="36"/>
        <v>19051.54</v>
      </c>
      <c r="P68" s="14">
        <f t="shared" si="36"/>
        <v>21824.626999999997</v>
      </c>
      <c r="Q68" s="14">
        <f t="shared" si="36"/>
        <v>31864.896000000001</v>
      </c>
      <c r="R68" s="14">
        <f t="shared" si="36"/>
        <v>28328.607</v>
      </c>
      <c r="S68" s="14">
        <f t="shared" si="36"/>
        <v>22358.480000000003</v>
      </c>
      <c r="T68" s="14">
        <f t="shared" si="36"/>
        <v>28729.070999999996</v>
      </c>
      <c r="U68" s="14">
        <f t="shared" si="36"/>
        <v>28228.733999999997</v>
      </c>
      <c r="V68" s="14">
        <f t="shared" si="36"/>
        <v>37682.319999999992</v>
      </c>
      <c r="W68" s="14">
        <f t="shared" si="36"/>
        <v>43267.545999999995</v>
      </c>
      <c r="X68" s="14">
        <f t="shared" si="36"/>
        <v>42667.365000000005</v>
      </c>
      <c r="Y68" s="14">
        <f t="shared" ref="Y68:AA68" si="37">Y7-Y8+Y9</f>
        <v>0.53602700338307652</v>
      </c>
      <c r="Z68" s="14">
        <f t="shared" si="37"/>
        <v>-1.988620184318618E-2</v>
      </c>
      <c r="AA68" s="14">
        <f t="shared" si="37"/>
        <v>37459.923999999999</v>
      </c>
      <c r="AB68" s="26">
        <f t="shared" si="2"/>
        <v>0.2464284230795557</v>
      </c>
    </row>
    <row r="69" spans="1:28" x14ac:dyDescent="0.35">
      <c r="A69" s="6" t="s">
        <v>75</v>
      </c>
      <c r="B69" s="22">
        <f>(B15-B17)/B15</f>
        <v>0.37558072009291515</v>
      </c>
      <c r="C69" s="22">
        <f>(C15-C17)/C15</f>
        <v>0.38120750051514535</v>
      </c>
      <c r="D69" s="22">
        <f t="shared" ref="D69:X69" si="38">(D15-D17)/D15</f>
        <v>0.38697541674774599</v>
      </c>
      <c r="E69" s="22">
        <f t="shared" si="38"/>
        <v>0.37901669882243361</v>
      </c>
      <c r="F69" s="22">
        <f t="shared" si="38"/>
        <v>0.37047454204529073</v>
      </c>
      <c r="G69" s="22">
        <f t="shared" si="38"/>
        <v>0.37026044371892852</v>
      </c>
      <c r="H69" s="22">
        <f t="shared" si="38"/>
        <v>0.3438992618323925</v>
      </c>
      <c r="I69" s="22">
        <f t="shared" si="38"/>
        <v>0.34648309316592923</v>
      </c>
      <c r="J69" s="22">
        <f t="shared" si="38"/>
        <v>0.31512637921590109</v>
      </c>
      <c r="K69" s="22">
        <f t="shared" si="38"/>
        <v>0.30844664194478777</v>
      </c>
      <c r="L69" s="22">
        <f t="shared" si="38"/>
        <v>0.33492750322629616</v>
      </c>
      <c r="M69" s="22">
        <f t="shared" si="38"/>
        <v>0.34405033533844992</v>
      </c>
      <c r="N69" s="22">
        <f t="shared" si="38"/>
        <v>0.35175811567793752</v>
      </c>
      <c r="O69" s="22">
        <f t="shared" si="38"/>
        <v>0.38331636624947607</v>
      </c>
      <c r="P69" s="22">
        <f t="shared" si="38"/>
        <v>0.41375351587164916</v>
      </c>
      <c r="Q69" s="22">
        <f t="shared" si="38"/>
        <v>0.45078814798764982</v>
      </c>
      <c r="R69" s="22">
        <f t="shared" si="38"/>
        <v>0.49424164524421593</v>
      </c>
      <c r="S69" s="22">
        <f t="shared" si="38"/>
        <v>0.49741007194244602</v>
      </c>
      <c r="T69" s="22">
        <f t="shared" si="38"/>
        <v>0.48266897746967069</v>
      </c>
      <c r="U69" s="22">
        <f t="shared" si="38"/>
        <v>0.4851207453888573</v>
      </c>
      <c r="V69" s="22">
        <f t="shared" si="38"/>
        <v>0.46818390569985197</v>
      </c>
      <c r="W69" s="22">
        <f t="shared" si="38"/>
        <v>0.47431245225362872</v>
      </c>
      <c r="X69" s="22">
        <f t="shared" si="38"/>
        <v>0.47262472487160673</v>
      </c>
      <c r="Y69" s="22">
        <f t="shared" ref="Y69:AA69" si="39">(Y15-Y17)/Y15</f>
        <v>3.5389568187880025</v>
      </c>
      <c r="Z69" s="22">
        <f t="shared" si="39"/>
        <v>-7.7576185001628856E-2</v>
      </c>
      <c r="AA69" s="22">
        <f t="shared" si="39"/>
        <v>0.46672612853674256</v>
      </c>
      <c r="AB69" s="26">
        <f t="shared" si="2"/>
        <v>-3.9412014300087859E-2</v>
      </c>
    </row>
    <row r="70" spans="1:28" x14ac:dyDescent="0.35">
      <c r="A70" s="6" t="s">
        <v>76</v>
      </c>
      <c r="B70" s="22">
        <f>B33/B15</f>
        <v>0.10198896631823455</v>
      </c>
      <c r="C70" s="22">
        <f>C33/C15</f>
        <v>0.10735627446940046</v>
      </c>
      <c r="D70" s="22">
        <f t="shared" ref="D70:X70" si="40">D33/D15</f>
        <v>0.10838684568982297</v>
      </c>
      <c r="E70" s="22">
        <f t="shared" si="40"/>
        <v>0.11043842725034915</v>
      </c>
      <c r="F70" s="22">
        <f t="shared" si="40"/>
        <v>8.2287609981249205E-2</v>
      </c>
      <c r="G70" s="22">
        <f t="shared" si="40"/>
        <v>7.6352303925205922E-2</v>
      </c>
      <c r="H70" s="22">
        <f t="shared" si="40"/>
        <v>-4.34216239687365E-2</v>
      </c>
      <c r="I70" s="22">
        <f t="shared" si="40"/>
        <v>4.0590669139677182E-2</v>
      </c>
      <c r="J70" s="22">
        <f t="shared" si="40"/>
        <v>-1.0720713670866248E-2</v>
      </c>
      <c r="K70" s="22">
        <f t="shared" si="40"/>
        <v>-7.416563658838377E-4</v>
      </c>
      <c r="L70" s="22">
        <f t="shared" si="40"/>
        <v>0.12237151749791235</v>
      </c>
      <c r="M70" s="22">
        <f t="shared" si="40"/>
        <v>6.2089469681255782E-2</v>
      </c>
      <c r="N70" s="22">
        <f t="shared" si="40"/>
        <v>6.0943510832152284E-2</v>
      </c>
      <c r="O70" s="22">
        <f t="shared" si="40"/>
        <v>0.11024612252230681</v>
      </c>
      <c r="P70" s="22">
        <f t="shared" si="40"/>
        <v>0.17817576488146486</v>
      </c>
      <c r="Q70" s="22">
        <f t="shared" si="40"/>
        <v>0.23097340339093239</v>
      </c>
      <c r="R70" s="22">
        <f t="shared" si="40"/>
        <v>0.27300771208226216</v>
      </c>
      <c r="S70" s="22">
        <f t="shared" si="40"/>
        <v>0.21899280575539565</v>
      </c>
      <c r="T70" s="22">
        <f t="shared" si="40"/>
        <v>0.14225120861078172</v>
      </c>
      <c r="U70" s="22">
        <f t="shared" si="40"/>
        <v>0.28726944285985939</v>
      </c>
      <c r="V70" s="22">
        <f t="shared" si="40"/>
        <v>0.23585242639179457</v>
      </c>
      <c r="W70" s="22">
        <f t="shared" si="40"/>
        <v>0.27554430863254392</v>
      </c>
      <c r="X70" s="22">
        <f t="shared" si="40"/>
        <v>0.26728723404255311</v>
      </c>
      <c r="Y70" s="22">
        <f t="shared" ref="Y70:AA70" si="41">Y33/Y15</f>
        <v>-85.922927734208926</v>
      </c>
      <c r="Z70" s="22">
        <f t="shared" si="41"/>
        <v>0.25115164916158877</v>
      </c>
      <c r="AA70" s="22">
        <f t="shared" si="41"/>
        <v>0.27897527377236025</v>
      </c>
      <c r="AB70" s="26">
        <f t="shared" ref="AB70:AB72" si="42">(AA70-U70)/AA70</f>
        <v>-2.9730839494639436E-2</v>
      </c>
    </row>
    <row r="71" spans="1:28" x14ac:dyDescent="0.35">
      <c r="A71" s="6" t="s">
        <v>77</v>
      </c>
      <c r="B71" s="22">
        <f>B33/B66</f>
        <v>4.7602913772657955E-2</v>
      </c>
      <c r="C71" s="22">
        <f>C33/C66</f>
        <v>5.0471454404546687E-2</v>
      </c>
      <c r="D71" s="22">
        <f t="shared" ref="D71:X71" si="43">D33/D66</f>
        <v>5.2163326465630287E-2</v>
      </c>
      <c r="E71" s="22">
        <f t="shared" si="43"/>
        <v>5.197082120159037E-2</v>
      </c>
      <c r="F71" s="22">
        <f t="shared" si="43"/>
        <v>3.5427081069332803E-2</v>
      </c>
      <c r="G71" s="22">
        <f t="shared" si="43"/>
        <v>3.1201673792413363E-2</v>
      </c>
      <c r="H71" s="22">
        <f t="shared" si="43"/>
        <v>-1.8520805037658992E-2</v>
      </c>
      <c r="I71" s="22">
        <f t="shared" si="43"/>
        <v>1.7117415240215234E-2</v>
      </c>
      <c r="J71" s="22">
        <f t="shared" si="43"/>
        <v>-4.2315295280454584E-3</v>
      </c>
      <c r="K71" s="22">
        <f t="shared" si="43"/>
        <v>-2.761329119749752E-4</v>
      </c>
      <c r="L71" s="22">
        <f t="shared" si="43"/>
        <v>4.6762589928057513E-2</v>
      </c>
      <c r="M71" s="22">
        <f t="shared" si="43"/>
        <v>2.5238188921053423E-2</v>
      </c>
      <c r="N71" s="22">
        <f t="shared" si="43"/>
        <v>2.4742437527400258E-2</v>
      </c>
      <c r="O71" s="22">
        <f t="shared" si="43"/>
        <v>4.8391336347387258E-2</v>
      </c>
      <c r="P71" s="22">
        <f t="shared" si="43"/>
        <v>7.4896245536145128E-2</v>
      </c>
      <c r="Q71" s="22">
        <f t="shared" si="43"/>
        <v>9.2607071496829202E-2</v>
      </c>
      <c r="R71" s="22">
        <f t="shared" si="43"/>
        <v>0.10581905141490627</v>
      </c>
      <c r="S71" s="22">
        <f t="shared" si="43"/>
        <v>8.4397700597031458E-2</v>
      </c>
      <c r="T71" s="22">
        <f t="shared" si="43"/>
        <v>5.4944861360673655E-2</v>
      </c>
      <c r="U71" s="22">
        <f t="shared" si="43"/>
        <v>9.7357821814080897E-2</v>
      </c>
      <c r="V71" s="22">
        <f t="shared" si="43"/>
        <v>7.1470542755528013E-2</v>
      </c>
      <c r="W71" s="22">
        <f t="shared" si="43"/>
        <v>8.2400479753269737E-2</v>
      </c>
      <c r="X71" s="22">
        <f t="shared" si="43"/>
        <v>7.7678571428571402E-2</v>
      </c>
      <c r="Y71" s="22">
        <f t="shared" ref="Y71:AA71" si="44">Y33/Y66</f>
        <v>4.5115691485386629</v>
      </c>
      <c r="Z71" s="22">
        <f t="shared" si="44"/>
        <v>0.27718792559042144</v>
      </c>
      <c r="AA71" s="22">
        <f t="shared" si="44"/>
        <v>7.2173010114476965E-2</v>
      </c>
      <c r="AB71" s="26">
        <f t="shared" si="42"/>
        <v>-0.34895055173197198</v>
      </c>
    </row>
    <row r="72" spans="1:28" x14ac:dyDescent="0.35">
      <c r="A72" s="6" t="s">
        <v>78</v>
      </c>
      <c r="B72" s="23">
        <f>B43/B59</f>
        <v>1.5254498714652955</v>
      </c>
      <c r="C72" s="23">
        <f>C43/C59</f>
        <v>1.5445910290237468</v>
      </c>
      <c r="D72" s="23">
        <f t="shared" ref="D72:X72" si="45">D43/D59</f>
        <v>2.3556704951700005</v>
      </c>
      <c r="E72" s="23">
        <f t="shared" si="45"/>
        <v>2.1559926495610151</v>
      </c>
      <c r="F72" s="23">
        <f t="shared" si="45"/>
        <v>2.3124857685009492</v>
      </c>
      <c r="G72" s="23">
        <f t="shared" si="45"/>
        <v>2.418850647300284</v>
      </c>
      <c r="H72" s="23">
        <f t="shared" si="45"/>
        <v>1.5352717825739408</v>
      </c>
      <c r="I72" s="23">
        <f t="shared" si="45"/>
        <v>1.6608007039155304</v>
      </c>
      <c r="J72" s="23">
        <f t="shared" si="45"/>
        <v>2.3226196647658548</v>
      </c>
      <c r="K72" s="23">
        <f t="shared" si="45"/>
        <v>2.3486342513884169</v>
      </c>
      <c r="L72" s="23">
        <f t="shared" si="45"/>
        <v>2.1144695247074488</v>
      </c>
      <c r="M72" s="23">
        <f t="shared" si="45"/>
        <v>1.901522842639594</v>
      </c>
      <c r="N72" s="23">
        <f t="shared" si="45"/>
        <v>1.8425433526011561</v>
      </c>
      <c r="O72" s="23">
        <f t="shared" si="45"/>
        <v>2.2197099855680023</v>
      </c>
      <c r="P72" s="23">
        <f t="shared" si="45"/>
        <v>2.5218475174849386</v>
      </c>
      <c r="Q72" s="23">
        <f t="shared" si="45"/>
        <v>2.4501749384475833</v>
      </c>
      <c r="R72" s="23">
        <f t="shared" si="45"/>
        <v>2.7887108102930851</v>
      </c>
      <c r="S72" s="23">
        <f t="shared" si="45"/>
        <v>2.7930309928208716</v>
      </c>
      <c r="T72" s="23">
        <f t="shared" si="45"/>
        <v>3.0149914821124359</v>
      </c>
      <c r="U72" s="23">
        <f t="shared" si="45"/>
        <v>2.7793732414863688</v>
      </c>
      <c r="V72" s="23">
        <f t="shared" si="45"/>
        <v>2.21562015503876</v>
      </c>
      <c r="W72" s="23">
        <f t="shared" si="45"/>
        <v>2.3905349296569516</v>
      </c>
      <c r="X72" s="23">
        <f t="shared" si="45"/>
        <v>2.4392336059002728</v>
      </c>
      <c r="Y72" s="23">
        <f t="shared" ref="Y72:AA72" si="46">Y43/Y59</f>
        <v>0.43354144328015259</v>
      </c>
      <c r="Z72" s="23">
        <f t="shared" si="46"/>
        <v>4.5125207245245047</v>
      </c>
      <c r="AA72" s="23">
        <f t="shared" si="46"/>
        <v>2.707592965744642</v>
      </c>
      <c r="AB72" s="26">
        <f t="shared" si="42"/>
        <v>-2.6510733574012568E-2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2AF3359-AA7B-4C3F-BB32-4122371AAA35}">
  <ds:schemaRefs>
    <ds:schemaRef ds:uri="http://purl.org/dc/terms/"/>
    <ds:schemaRef ds:uri="http://schemas.microsoft.com/office/infopath/2007/PartnerControls"/>
    <ds:schemaRef ds:uri="http://schemas.microsoft.com/office/2006/documentManagement/types"/>
    <ds:schemaRef ds:uri="http://schemas.microsoft.com/office/2006/metadata/properties"/>
    <ds:schemaRef ds:uri="http://www.w3.org/XML/1998/namespace"/>
    <ds:schemaRef ds:uri="http://purl.org/dc/elements/1.1/"/>
    <ds:schemaRef ds:uri="http://schemas.openxmlformats.org/package/2006/metadata/core-properties"/>
    <ds:schemaRef ds:uri="36567613-e428-4167-ab55-a4f66cede826"/>
    <ds:schemaRef ds:uri="http://purl.org/dc/dcmitype/"/>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EC168D8D-528E-4558-AA5B-34534FB63B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Gonzalez Herrera, Abraham</dc:creator>
  <cp:lastModifiedBy>Gonzalez Herrera, Abraham</cp:lastModifiedBy>
  <dcterms:created xsi:type="dcterms:W3CDTF">2023-02-21T16:55:27Z</dcterms:created>
  <dcterms:modified xsi:type="dcterms:W3CDTF">2024-02-05T19:32:20Z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