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sjeccd-my.sharepoint.com/personal/abgo6476_stu_evc_edu/Documents/Earnings Models/"/>
    </mc:Choice>
  </mc:AlternateContent>
  <xr:revisionPtr revIDLastSave="584" documentId="8_{89AF1B20-C69F-411D-BBE3-1ABCF6726954}" xr6:coauthVersionLast="47" xr6:coauthVersionMax="47" xr10:uidLastSave="{06BB1332-7CED-44A2-B851-02F5F2ABA7DA}"/>
  <bookViews>
    <workbookView xWindow="-120" yWindow="-120" windowWidth="27930" windowHeight="16440" xr2:uid="{CD218907-FF69-440B-8102-4E26B44E461B}"/>
  </bookViews>
  <sheets>
    <sheet name="Sheet1"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8" i="1" l="1"/>
  <c r="G73" i="1"/>
  <c r="I73" i="1"/>
  <c r="L73" i="1"/>
  <c r="C73" i="1"/>
  <c r="D73" i="1"/>
  <c r="E73" i="1"/>
  <c r="F73" i="1"/>
  <c r="H73" i="1"/>
  <c r="J73" i="1"/>
  <c r="K73" i="1"/>
  <c r="B73" i="1"/>
  <c r="K72" i="1"/>
  <c r="L72" i="1"/>
  <c r="J72" i="1"/>
  <c r="I72" i="1"/>
  <c r="G72" i="1"/>
  <c r="C72" i="1"/>
  <c r="D72" i="1"/>
  <c r="E72" i="1"/>
  <c r="F72" i="1"/>
  <c r="H72" i="1"/>
  <c r="B72" i="1"/>
  <c r="G6" i="1"/>
  <c r="G7" i="1"/>
  <c r="G8" i="1"/>
  <c r="G9" i="1"/>
  <c r="G12" i="1"/>
  <c r="G13" i="1"/>
  <c r="G14" i="1"/>
  <c r="G15" i="1"/>
  <c r="G16" i="1"/>
  <c r="G17" i="1"/>
  <c r="G18" i="1"/>
  <c r="G21" i="1"/>
  <c r="G22" i="1"/>
  <c r="G23" i="1"/>
  <c r="G24" i="1"/>
  <c r="G25" i="1"/>
  <c r="G26" i="1"/>
  <c r="G27" i="1"/>
  <c r="G28" i="1"/>
  <c r="G30" i="1"/>
  <c r="G31" i="1"/>
  <c r="G32" i="1"/>
  <c r="G33" i="1"/>
  <c r="G34" i="1"/>
  <c r="G35" i="1"/>
  <c r="G36" i="1"/>
  <c r="G40" i="1"/>
  <c r="G41" i="1"/>
  <c r="G42" i="1"/>
  <c r="G43" i="1"/>
  <c r="G44" i="1"/>
  <c r="G45" i="1"/>
  <c r="G46" i="1"/>
  <c r="G47" i="1"/>
  <c r="G48" i="1"/>
  <c r="G49" i="1"/>
  <c r="G50" i="1"/>
  <c r="G51" i="1"/>
  <c r="G52" i="1"/>
  <c r="G53" i="1"/>
  <c r="G54" i="1"/>
  <c r="G55" i="1"/>
  <c r="G58" i="1"/>
  <c r="G59" i="1"/>
  <c r="G60" i="1"/>
  <c r="G61" i="1"/>
  <c r="G62" i="1"/>
  <c r="G63" i="1"/>
  <c r="G64" i="1"/>
  <c r="G66" i="1"/>
  <c r="G67" i="1"/>
  <c r="G68" i="1"/>
  <c r="G69" i="1"/>
  <c r="G70" i="1"/>
  <c r="G71" i="1"/>
  <c r="G5" i="1"/>
  <c r="I15" i="1"/>
  <c r="I16" i="1"/>
  <c r="I17" i="1"/>
  <c r="I21" i="1"/>
  <c r="I22" i="1"/>
  <c r="I23" i="1"/>
  <c r="I24" i="1"/>
  <c r="I25" i="1"/>
  <c r="I26" i="1"/>
  <c r="I27" i="1"/>
  <c r="I28" i="1"/>
  <c r="I31" i="1"/>
  <c r="I32" i="1"/>
  <c r="I33" i="1"/>
  <c r="I34" i="1"/>
  <c r="I35" i="1"/>
  <c r="I40" i="1"/>
  <c r="I41" i="1"/>
  <c r="I42" i="1"/>
  <c r="I43" i="1"/>
  <c r="I44" i="1"/>
  <c r="I45" i="1"/>
  <c r="I47" i="1"/>
  <c r="I48" i="1"/>
  <c r="I49" i="1"/>
  <c r="I50" i="1"/>
  <c r="I51" i="1"/>
  <c r="I52" i="1"/>
  <c r="I53" i="1"/>
  <c r="I55" i="1"/>
  <c r="I58" i="1"/>
  <c r="I59" i="1"/>
  <c r="I60" i="1"/>
  <c r="I61" i="1"/>
  <c r="I62" i="1"/>
  <c r="I63" i="1"/>
  <c r="I64" i="1"/>
  <c r="I70" i="1"/>
  <c r="I5" i="1"/>
  <c r="I6" i="1"/>
  <c r="I7" i="1"/>
  <c r="I9" i="1"/>
  <c r="I12" i="1"/>
  <c r="I13" i="1"/>
  <c r="I14" i="1"/>
  <c r="H9" i="1"/>
  <c r="J9" i="1"/>
  <c r="K9" i="1"/>
  <c r="L9" i="1"/>
  <c r="B9" i="1"/>
  <c r="C9" i="1"/>
  <c r="D9" i="1"/>
  <c r="E9" i="1"/>
  <c r="F9" i="1"/>
  <c r="D8" i="1"/>
  <c r="D69" i="1" s="1"/>
  <c r="E8" i="1"/>
  <c r="E69" i="1" s="1"/>
  <c r="F8" i="1"/>
  <c r="F69" i="1" s="1"/>
  <c r="J8" i="1"/>
  <c r="J69" i="1" s="1"/>
  <c r="K8" i="1"/>
  <c r="L8" i="1"/>
  <c r="B8" i="1"/>
  <c r="C8" i="1"/>
  <c r="C69" i="1" s="1"/>
  <c r="C46" i="1"/>
  <c r="C54" i="1" s="1"/>
  <c r="L64" i="1"/>
  <c r="K64" i="1"/>
  <c r="J64" i="1"/>
  <c r="H64" i="1"/>
  <c r="F64" i="1"/>
  <c r="E64" i="1"/>
  <c r="D64" i="1"/>
  <c r="L46" i="1"/>
  <c r="L54" i="1" s="1"/>
  <c r="K46" i="1"/>
  <c r="K54" i="1" s="1"/>
  <c r="J46" i="1"/>
  <c r="J54" i="1" s="1"/>
  <c r="H46" i="1"/>
  <c r="H54" i="1" s="1"/>
  <c r="I54" i="1" s="1"/>
  <c r="F46" i="1"/>
  <c r="F54" i="1" s="1"/>
  <c r="E46" i="1"/>
  <c r="E54" i="1" s="1"/>
  <c r="D46" i="1"/>
  <c r="D54" i="1" s="1"/>
  <c r="L28" i="1"/>
  <c r="K28" i="1"/>
  <c r="J28" i="1"/>
  <c r="H28" i="1"/>
  <c r="F28" i="1"/>
  <c r="E28" i="1"/>
  <c r="D28" i="1"/>
  <c r="L18" i="1"/>
  <c r="K18" i="1"/>
  <c r="J18" i="1"/>
  <c r="H18" i="1"/>
  <c r="I18" i="1" s="1"/>
  <c r="F18" i="1"/>
  <c r="E18" i="1"/>
  <c r="D18" i="1"/>
  <c r="L7" i="1"/>
  <c r="K7" i="1"/>
  <c r="J7" i="1"/>
  <c r="H7" i="1"/>
  <c r="F7" i="1"/>
  <c r="E7" i="1"/>
  <c r="D7" i="1"/>
  <c r="C7" i="1"/>
  <c r="C64" i="1"/>
  <c r="B64" i="1"/>
  <c r="B46" i="1"/>
  <c r="B54" i="1" s="1"/>
  <c r="C28" i="1"/>
  <c r="C18" i="1"/>
  <c r="B28" i="1"/>
  <c r="B18" i="1"/>
  <c r="B7" i="1"/>
  <c r="H69" i="1" l="1"/>
  <c r="I69" i="1" s="1"/>
  <c r="I8" i="1"/>
  <c r="B69" i="1"/>
  <c r="I46" i="1"/>
  <c r="L69" i="1"/>
  <c r="K69" i="1"/>
  <c r="F71" i="1"/>
  <c r="L71" i="1"/>
  <c r="B66" i="1"/>
  <c r="B71" i="1" s="1"/>
  <c r="D66" i="1"/>
  <c r="D71" i="1" s="1"/>
  <c r="E66" i="1"/>
  <c r="E71" i="1" s="1"/>
  <c r="H66" i="1"/>
  <c r="J66" i="1"/>
  <c r="J71" i="1" s="1"/>
  <c r="E30" i="1"/>
  <c r="K66" i="1"/>
  <c r="K71" i="1" s="1"/>
  <c r="F66" i="1"/>
  <c r="F30" i="1"/>
  <c r="K30" i="1"/>
  <c r="L66" i="1"/>
  <c r="H30" i="1"/>
  <c r="I30" i="1" s="1"/>
  <c r="D30" i="1"/>
  <c r="L30" i="1"/>
  <c r="J30" i="1"/>
  <c r="C66" i="1"/>
  <c r="C71" i="1" s="1"/>
  <c r="C30" i="1"/>
  <c r="B30" i="1"/>
  <c r="A4" i="1" a="1"/>
  <c r="A4" i="1" s="1"/>
  <c r="H71" i="1" l="1"/>
  <c r="I71" i="1" s="1"/>
  <c r="I66" i="1"/>
  <c r="D36" i="1"/>
  <c r="D68" i="1" s="1"/>
  <c r="D67" i="1"/>
  <c r="E36" i="1"/>
  <c r="E68" i="1" s="1"/>
  <c r="E67" i="1"/>
  <c r="B36" i="1"/>
  <c r="B68" i="1" s="1"/>
  <c r="B67" i="1"/>
  <c r="K36" i="1"/>
  <c r="K68" i="1" s="1"/>
  <c r="K67" i="1"/>
  <c r="C36" i="1"/>
  <c r="C68" i="1" s="1"/>
  <c r="C67" i="1"/>
  <c r="J36" i="1"/>
  <c r="J68" i="1" s="1"/>
  <c r="J67" i="1"/>
  <c r="H36" i="1"/>
  <c r="H67" i="1"/>
  <c r="L36" i="1"/>
  <c r="L68" i="1" s="1"/>
  <c r="L67" i="1"/>
  <c r="F36" i="1"/>
  <c r="F67" i="1"/>
  <c r="F68" i="1" l="1"/>
  <c r="H68" i="1"/>
  <c r="I68" i="1" s="1"/>
  <c r="I36" i="1"/>
  <c r="I67"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1">
    <bk>
      <extLst>
        <ext uri="{3e2802c4-a4d2-4d8b-9148-e3be6c30e623}">
          <xlrd:rvb i="2"/>
        </ext>
      </extLst>
    </bk>
  </futureMetadata>
  <cellMetadata count="1">
    <bk>
      <rc t="1" v="0"/>
    </bk>
  </cellMetadata>
  <valueMetadata count="1">
    <bk>
      <rc t="2" v="0"/>
    </bk>
  </valueMetadata>
</metadata>
</file>

<file path=xl/sharedStrings.xml><?xml version="1.0" encoding="utf-8"?>
<sst xmlns="http://schemas.openxmlformats.org/spreadsheetml/2006/main" count="65" uniqueCount="62">
  <si>
    <t>Reported Date</t>
  </si>
  <si>
    <t>Cash</t>
  </si>
  <si>
    <t>Debt</t>
  </si>
  <si>
    <t>Revenues</t>
  </si>
  <si>
    <t>Interest expense</t>
  </si>
  <si>
    <t>Net income</t>
  </si>
  <si>
    <t>Income from operations</t>
  </si>
  <si>
    <t>Year</t>
  </si>
  <si>
    <t>Assets</t>
  </si>
  <si>
    <t>Total assets</t>
  </si>
  <si>
    <t>Liabilities</t>
  </si>
  <si>
    <t>Total liabilities</t>
  </si>
  <si>
    <t>Price</t>
  </si>
  <si>
    <t>Shares outstanding</t>
  </si>
  <si>
    <t>Market cap</t>
  </si>
  <si>
    <t>Equity</t>
  </si>
  <si>
    <t>Net income %</t>
  </si>
  <si>
    <t>% Change</t>
  </si>
  <si>
    <t>YoY</t>
  </si>
  <si>
    <t>Rental income</t>
  </si>
  <si>
    <t>Interest income from mortgage loans</t>
  </si>
  <si>
    <t>Interest &amp; other income</t>
  </si>
  <si>
    <t>Total revenue</t>
  </si>
  <si>
    <t>Expenses</t>
  </si>
  <si>
    <t>Depreciation &amp; amortization</t>
  </si>
  <si>
    <t>Impairment charges</t>
  </si>
  <si>
    <t>Provision for doubtful accounts</t>
  </si>
  <si>
    <t>Transaction costs</t>
  </si>
  <si>
    <t>General &amp; administrative expenses</t>
  </si>
  <si>
    <t>Total expenses</t>
  </si>
  <si>
    <t>Gain on sale of real estate, net</t>
  </si>
  <si>
    <t>Investments</t>
  </si>
  <si>
    <t>Operating real estate property, net</t>
  </si>
  <si>
    <t>Mortgage loans receivables, net</t>
  </si>
  <si>
    <t>Notes receivable</t>
  </si>
  <si>
    <t>Investments, net</t>
  </si>
  <si>
    <t>Debt issue costs related to bank borrowings</t>
  </si>
  <si>
    <t>Interest receivable</t>
  </si>
  <si>
    <t>Straight-line rent receivable, net</t>
  </si>
  <si>
    <t>Prepaid expenses</t>
  </si>
  <si>
    <t>Senior unsecured notes</t>
  </si>
  <si>
    <t>Accrued interest</t>
  </si>
  <si>
    <t>Accrued incentives &amp; earn-outs</t>
  </si>
  <si>
    <t>Accrued expenses &amp; other</t>
  </si>
  <si>
    <t>Properties held-for-sale</t>
  </si>
  <si>
    <t>Restricted cash</t>
  </si>
  <si>
    <t>Property tax expense</t>
  </si>
  <si>
    <t>Impairment loss from unsolidated J.V. investments</t>
  </si>
  <si>
    <t>Unconsolidated J.V. income</t>
  </si>
  <si>
    <t>Gain from property insurance proceeds</t>
  </si>
  <si>
    <t>Investments in unconsolidated J.V.</t>
  </si>
  <si>
    <t>Lease incentives</t>
  </si>
  <si>
    <t>Loss on consolidated J.V.</t>
  </si>
  <si>
    <t>Line of credit</t>
  </si>
  <si>
    <t>Term loans</t>
  </si>
  <si>
    <t>Interest income from financing receivable</t>
  </si>
  <si>
    <t>Financing receivable</t>
  </si>
  <si>
    <t>Operating income %</t>
  </si>
  <si>
    <t>Cash to assets</t>
  </si>
  <si>
    <t>D/E ratio</t>
  </si>
  <si>
    <t>Revenue to investments ratio</t>
  </si>
  <si>
    <t>Rental income to operating real estate ratio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</si>
</sst>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4" formatCode="_(&quot;$&quot;* #,##0.00_);_(&quot;$&quot;* \(#,##0.00\);_(&quot;$&quot;* &quot;-&quot;??_);_(@_)"/>
    <numFmt numFmtId="43" formatCode="_(* #,##0.00_);_(* \(#,##0.00\);_(* &quot;-&quot;??_);_(@_)"/>
    <numFmt numFmtId="164" formatCode="_(* #,##0_);_(* \(#,##0\);_(* &quot;-&quot;??_);_(@_)"/>
    <numFmt numFmtId="165" formatCode="_(* #,##0.000_);_(* \(#,##0.000\);_(* &quot;-&quot;??_);_(@_)"/>
    <numFmt numFmtId="166" formatCode="_(* #,##0.0_);_(* \(#,##0.0\);_(* &quot;-&quot;??_);_(@_)"/>
    <numFmt numFmtId="167" formatCode="0.0%"/>
  </numFmts>
  <fonts count="9" x14ac:knownFonts="1">
    <font>
      <sz val="11"/>
      <color theme="1"/>
      <name val="Calibri"/>
      <family val="2"/>
      <scheme val="minor"/>
    </font>
    <font>
      <sz val="10"/>
      <color theme="1"/>
      <name val="Arial"/>
      <family val="2"/>
    </font>
    <font>
      <sz val="10"/>
      <color theme="1"/>
      <name val="Arial"/>
      <family val="2"/>
    </font>
    <font>
      <sz val="10"/>
      <color theme="1"/>
      <name val="Arial"/>
      <family val="2"/>
    </font>
    <font>
      <b/>
      <sz val="10"/>
      <color theme="0"/>
      <name val="Arial"/>
      <family val="2"/>
    </font>
    <font>
      <sz val="10"/>
      <color theme="1"/>
      <name val="Arial"/>
      <family val="2"/>
    </font>
    <font>
      <sz val="11"/>
      <color theme="1"/>
      <name val="Calibri"/>
      <family val="2"/>
      <scheme val="minor"/>
    </font>
    <font>
      <b/>
      <sz val="10"/>
      <color theme="1"/>
      <name val="Arial"/>
      <family val="2"/>
    </font>
    <font>
      <u/>
      <sz val="10"/>
      <color theme="1"/>
      <name val="Arial"/>
      <family val="2"/>
    </font>
  </fonts>
  <fills count="3">
    <fill>
      <patternFill patternType="none"/>
    </fill>
    <fill>
      <patternFill patternType="gray125"/>
    </fill>
    <fill>
      <patternFill patternType="solid">
        <fgColor theme="1"/>
        <bgColor indexed="64"/>
      </patternFill>
    </fill>
  </fills>
  <borders count="1">
    <border>
      <left/>
      <right/>
      <top/>
      <bottom/>
      <diagonal/>
    </border>
  </borders>
  <cellStyleXfs count="4">
    <xf numFmtId="0" fontId="0" fillId="0" borderId="0"/>
    <xf numFmtId="43" fontId="6" fillId="0" borderId="0" applyFont="0" applyFill="0" applyBorder="0" applyAlignment="0" applyProtection="0"/>
    <xf numFmtId="9" fontId="6" fillId="0" borderId="0" applyFont="0" applyFill="0" applyBorder="0" applyAlignment="0" applyProtection="0"/>
    <xf numFmtId="44" fontId="6" fillId="0" borderId="0" applyFont="0" applyFill="0" applyBorder="0" applyAlignment="0" applyProtection="0"/>
  </cellStyleXfs>
  <cellXfs count="26">
    <xf numFmtId="0" fontId="0" fillId="0" borderId="0" xfId="0"/>
    <xf numFmtId="14" fontId="4" fillId="2" borderId="0" xfId="0" applyNumberFormat="1" applyFont="1" applyFill="1" applyAlignment="1">
      <alignment horizontal="center" vertical="center"/>
    </xf>
    <xf numFmtId="0" fontId="4" fillId="2" borderId="0" xfId="0" applyFont="1" applyFill="1" applyAlignment="1">
      <alignment horizontal="center" vertical="center"/>
    </xf>
    <xf numFmtId="0" fontId="4" fillId="2" borderId="0" xfId="0" applyFont="1" applyFill="1" applyAlignment="1">
      <alignment vertical="center"/>
    </xf>
    <xf numFmtId="164" fontId="5" fillId="0" borderId="0" xfId="1" applyNumberFormat="1" applyFont="1"/>
    <xf numFmtId="0" fontId="4" fillId="2" borderId="0" xfId="0" applyFont="1" applyFill="1" applyAlignment="1">
      <alignment horizontal="center"/>
    </xf>
    <xf numFmtId="164" fontId="7" fillId="0" borderId="0" xfId="1" applyNumberFormat="1" applyFont="1"/>
    <xf numFmtId="44" fontId="5" fillId="0" borderId="0" xfId="3" applyFont="1"/>
    <xf numFmtId="9" fontId="5" fillId="0" borderId="0" xfId="2" applyFont="1"/>
    <xf numFmtId="164" fontId="3" fillId="0" borderId="0" xfId="1" applyNumberFormat="1" applyFont="1"/>
    <xf numFmtId="44" fontId="3" fillId="0" borderId="0" xfId="3" applyFont="1"/>
    <xf numFmtId="164" fontId="7" fillId="0" borderId="0" xfId="1" applyNumberFormat="1" applyFont="1" applyAlignment="1">
      <alignment horizontal="left" indent="1"/>
    </xf>
    <xf numFmtId="164" fontId="7" fillId="0" borderId="0" xfId="1" applyNumberFormat="1" applyFont="1" applyAlignment="1">
      <alignment horizontal="left" indent="2"/>
    </xf>
    <xf numFmtId="164" fontId="7" fillId="0" borderId="0" xfId="1" applyNumberFormat="1" applyFont="1" applyAlignment="1">
      <alignment horizontal="left" indent="3"/>
    </xf>
    <xf numFmtId="9" fontId="8" fillId="0" borderId="0" xfId="2" applyFont="1" applyAlignment="1">
      <alignment horizontal="center"/>
    </xf>
    <xf numFmtId="164" fontId="2" fillId="0" borderId="0" xfId="1" applyNumberFormat="1" applyFont="1"/>
    <xf numFmtId="164" fontId="2" fillId="0" borderId="0" xfId="1" applyNumberFormat="1" applyFont="1" applyAlignment="1">
      <alignment horizontal="left" indent="1"/>
    </xf>
    <xf numFmtId="0" fontId="2" fillId="0" borderId="0" xfId="0" applyFont="1"/>
    <xf numFmtId="164" fontId="2" fillId="0" borderId="0" xfId="1" applyNumberFormat="1" applyFont="1" applyAlignment="1">
      <alignment horizontal="left" indent="2"/>
    </xf>
    <xf numFmtId="166" fontId="5" fillId="0" borderId="0" xfId="1" applyNumberFormat="1" applyFont="1"/>
    <xf numFmtId="166" fontId="7" fillId="0" borderId="0" xfId="1" applyNumberFormat="1" applyFont="1"/>
    <xf numFmtId="166" fontId="3" fillId="0" borderId="0" xfId="1" applyNumberFormat="1" applyFont="1"/>
    <xf numFmtId="166" fontId="2" fillId="0" borderId="0" xfId="1" applyNumberFormat="1" applyFont="1"/>
    <xf numFmtId="167" fontId="2" fillId="0" borderId="0" xfId="2" applyNumberFormat="1" applyFont="1"/>
    <xf numFmtId="165" fontId="3" fillId="0" borderId="0" xfId="1" applyNumberFormat="1" applyFont="1"/>
    <xf numFmtId="164" fontId="1" fillId="0" borderId="0" xfId="1" applyNumberFormat="1" applyFont="1"/>
  </cellXfs>
  <cellStyles count="4">
    <cellStyle name="Comma" xfId="1" builtinId="3"/>
    <cellStyle name="Currency" xfId="3" builtinId="4"/>
    <cellStyle name="Normal" xfId="0" builtinId="0"/>
    <cellStyle name="Percent" xfId="2"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06/relationships/richStyles" Target="richData/richStyles.xml"/><Relationship Id="rId13" Type="http://schemas.openxmlformats.org/officeDocument/2006/relationships/customXml" Target="../customXml/item1.xml"/><Relationship Id="rId3" Type="http://schemas.openxmlformats.org/officeDocument/2006/relationships/styles" Target="styles.xml"/><Relationship Id="rId7" Type="http://schemas.microsoft.com/office/2017/06/relationships/rdRichValueStructure" Target="richData/rdrichvaluestructure.xml"/><Relationship Id="rId12" Type="http://schemas.openxmlformats.org/officeDocument/2006/relationships/calcChain" Target="calcChain.xml"/><Relationship Id="rId2" Type="http://schemas.openxmlformats.org/officeDocument/2006/relationships/theme" Target="theme/theme1.xml"/><Relationship Id="rId16" Type="http://schemas.microsoft.com/office/2006/relationships/vbaProject" Target="vbaProject.bin"/><Relationship Id="rId1" Type="http://schemas.openxmlformats.org/officeDocument/2006/relationships/worksheet" Target="worksheets/sheet1.xml"/><Relationship Id="rId6" Type="http://schemas.microsoft.com/office/2017/06/relationships/rdRichValue" Target="richData/rdrichvalue.xml"/><Relationship Id="rId11" Type="http://schemas.microsoft.com/office/2017/06/relationships/rdRichValueTypes" Target="richData/rdRichValueTypes.xml"/><Relationship Id="rId5" Type="http://schemas.openxmlformats.org/officeDocument/2006/relationships/sheetMetadata" Target="metadata.xml"/><Relationship Id="rId15" Type="http://schemas.openxmlformats.org/officeDocument/2006/relationships/customXml" Target="../customXml/item3.xml"/><Relationship Id="rId10" Type="http://schemas.microsoft.com/office/2017/06/relationships/rdSupportingPropertyBag" Target="richData/rdsupportingpropertybag.xml"/><Relationship Id="rId4" Type="http://schemas.openxmlformats.org/officeDocument/2006/relationships/sharedStrings" Target="sharedStrings.xml"/><Relationship Id="rId9" Type="http://schemas.microsoft.com/office/2017/06/relationships/rdSupportingPropertyBagStructure" Target="richData/rdsupportingpropertybagstructure.xml"/><Relationship Id="rId14" Type="http://schemas.openxmlformats.org/officeDocument/2006/relationships/customXml" Target="../customXml/item2.xml"/></Relationships>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types>
    <type name="_linkedentity">
      <keyFlags>
        <key name="%cvi">
          <flag name="ShowInCardView" value="0"/>
          <flag name="ShowInDotNotation" value="0"/>
          <flag name="ShowInAutoComplete" value="0"/>
          <flag name="ExcludeFromCalcComparison" value="1"/>
        </key>
      </keyFlags>
    </type>
    <type name="_linkedentitycore">
      <keyFlags>
        <key name="%EntityServiceId">
          <flag name="ShowInCardView" value="0"/>
          <flag name="ShowInDotNotation" value="0"/>
          <flag name="ShowInAutoComplete" value="0"/>
        </key>
        <key name="%EntitySubDomainId">
          <flag name="ShowInCardView" value="0"/>
          <flag name="ShowInDotNotation" value="0"/>
          <flag name="ShowInAutoComplete" value="0"/>
        </key>
        <key name="%EntityCulture">
          <flag name="ShowInCardView" value="0"/>
          <flag name="ShowInDotNotation" value="0"/>
          <flag name="ShowInAutoComplete" value="0"/>
        </key>
        <key name="%EntityId">
          <flag name="ShowInCardView" value="0"/>
          <flag name="ShowInDotNotation" value="0"/>
          <flag name="ShowInAutoComplete" value="0"/>
        </key>
        <key name="%IsRefreshable">
          <flag name="ShowInCardView" value="0"/>
          <flag name="ShowInAutoComplete" value="0"/>
          <flag name="ExcludeFromCalcComparison" value="1"/>
        </key>
        <key name="%ProviderInfo">
          <flag name="ShowInCardView" value="0"/>
          <flag name="ShowInDotNotation" value="0"/>
          <flag name="ShowInAutoComplete" value="0"/>
        </key>
        <key name="%DataProviderExternalLinkLogo">
          <flag name="ShowInCardView" value="0"/>
          <flag name="ShowInDotNotation" value="0"/>
          <flag name="ShowInAutoComplete" value="0"/>
        </key>
        <key name="%DataProviderExternalLink">
          <flag name="ShowInCardView" value="0"/>
          <flag name="ShowInDotNotation" value="0"/>
          <flag name="ShowInAutoComplete" value="0"/>
        </key>
        <key name="%OutdatedReason">
          <flag name="ShowInCardView" value="0"/>
          <flag name="ShowInDotNotation" value="0"/>
          <flag name="ShowInAutoComplete" value="0"/>
          <flag name="ExcludeFromCalcComparison" value="1"/>
        </key>
      </keyFlags>
    </type>
  </types>
</rvTypesInfo>
</file>

<file path=xl/richData/rdrichvalue.xml><?xml version="1.0" encoding="utf-8"?>
<rvData xmlns="http://schemas.microsoft.com/office/spreadsheetml/2017/richdata" count="3">
  <rv s="0">
    <v>https://www.bing.com/financeapi/forcetrigger?t=a1x5mw&amp;q=XNYS%3aLTC&amp;form=skydnc</v>
    <v>Learn more on Bing</v>
  </rv>
  <rv s="1">
    <v>en-US</v>
    <v>a1x5mw</v>
    <v>268435456</v>
    <v>1</v>
    <v>Powered by Refinitiv</v>
    <v>0</v>
    <v>LTC PROPERTIES, INC. (XNYS:LTC)</v>
    <v>2</v>
    <v>3</v>
    <v>Finance</v>
    <v>4</v>
    <v>40.03</v>
    <v>30.5</v>
    <v>0.91590000000000005</v>
    <v>-0.36</v>
    <v>8.0549999999999997E-3</v>
    <v>-1.1029000000000001E-2</v>
    <v>0.26</v>
    <v>USD</v>
    <v>LTC Properties Inc. is a real estate investment trust (REIT). The Company invests in seniors housing and health care properties through sale-leasebacks, mortgage financing, joint ventures, construction financing and structured finance solutions including preferred equity and mezzanine lending. It invests in various properties, including skilled nursing centers (SNF), which provides restorative, rehabilitative and nursing care; Assisted living facilities (ALF), which serves people who require assistance with activities of daily living; Independent living facilities (ILF), also known as retirement communities or senior apartments, offers a community and numerous levels of service, such as laundry, housekeeping, dining options/meal plans, exercise and wellness programs, transportation, social, cultural and recreational activities, on-site security, and others, and Memory care facilities (MC), which offers specialized options for people with Alzheimer’s disease and other forms of dementia.</v>
    <v>24</v>
    <v>New York Stock Exchange</v>
    <v>XNYS</v>
    <v>XNYS</v>
    <v>Suite 350, 2829 Townsgate Road, WESTLAKE VILLAGE, CA, 91361 US</v>
    <v>32.6</v>
    <v>Residential &amp; Commercial REIT</v>
    <v>Stock</v>
    <v>45252.036166550781</v>
    <v>0</v>
    <v>32.229999999999997</v>
    <v>1359546000</v>
    <v>LTC PROPERTIES, INC.</v>
    <v>LTC PROPERTIES, INC.</v>
    <v>32.6</v>
    <v>16.803899999999999</v>
    <v>32.64</v>
    <v>32.28</v>
    <v>32.54</v>
    <v>41411690</v>
    <v>LTC</v>
    <v>LTC PROPERTIES, INC. (XNYS:LTC)</v>
    <v>134248</v>
    <v>220204</v>
    <v>1992</v>
  </rv>
  <rv s="2">
    <v>1</v>
  </rv>
</rvData>
</file>

<file path=xl/richData/rdrichvaluestructure.xml><?xml version="1.0" encoding="utf-8"?>
<rvStructures xmlns="http://schemas.microsoft.com/office/spreadsheetml/2017/richdata" count="3">
  <s t="_hyperlink">
    <k n="Address" t="s"/>
    <k n="Text" t="s"/>
  </s>
  <s t="_linkedentitycore">
    <k n="%EntityCulture" t="s"/>
    <k n="%EntityId" t="s"/>
    <k n="%EntityServiceId"/>
    <k n="%IsRefreshable" t="b"/>
    <k n="%ProviderInfo" t="s"/>
    <k n="_Display" t="spb"/>
    <k n="_DisplayString" t="s"/>
    <k n="_Flags" t="spb"/>
    <k n="_Format" t="spb"/>
    <k n="_Icon" t="s"/>
    <k n="_SubLabel" t="spb"/>
    <k n="52 week high"/>
    <k n="52 week low"/>
    <k n="Beta"/>
    <k n="Change"/>
    <k n="Change % (Extended hours)"/>
    <k n="Change (%)"/>
    <k n="Change (Extended hours)"/>
    <k n="Currency" t="s"/>
    <k n="Description" t="s"/>
    <k n="Employees"/>
    <k n="Exchange" t="s"/>
    <k n="Exchange abbreviation" t="s"/>
    <k n="ExchangeID" t="s"/>
    <k n="Headquarters" t="s"/>
    <k n="High"/>
    <k n="Industry" t="s"/>
    <k n="Instrument type" t="s"/>
    <k n="Last trade time"/>
    <k n="LearnMoreOnLink" t="r"/>
    <k n="Low"/>
    <k n="Market cap"/>
    <k n="Name" t="s"/>
    <k n="Official name" t="s"/>
    <k n="Open"/>
    <k n="P/E"/>
    <k n="Previous close"/>
    <k n="Price"/>
    <k n="Price (Extended hours)"/>
    <k n="Shares outstanding"/>
    <k n="Ticker symbol" t="s"/>
    <k n="UniqueName" t="s"/>
    <k n="Volume"/>
    <k n="Volume average"/>
    <k n="Year incorporated"/>
  </s>
  <s t="_linkedentity">
    <k n="%cvi" t="r"/>
  </s>
</rvStructures>
</file>

<file path=xl/richData/rdsupportingpropertybag.xml><?xml version="1.0" encoding="utf-8"?>
<supportingPropertyBags xmlns="http://schemas.microsoft.com/office/spreadsheetml/2017/richdata2">
  <spbArrays count="1">
    <a count="45">
      <v t="s">%EntityServiceId</v>
      <v t="s">_Format</v>
      <v t="s">%IsRefreshable</v>
      <v t="s">%EntityCulture</v>
      <v t="s">%EntityId</v>
      <v t="s">_Icon</v>
      <v t="s">_Display</v>
      <v t="s">Name</v>
      <v t="s">_SubLabel</v>
      <v t="s">Price</v>
      <v t="s">Price (Extended hours)</v>
      <v t="s">Exchange</v>
      <v t="s">Official name</v>
      <v t="s">Last trade time</v>
      <v t="s">Ticker symbol</v>
      <v t="s">Exchange abbreviation</v>
      <v t="s">Change</v>
      <v t="s">Change (Extended hours)</v>
      <v t="s">Change (%)</v>
      <v t="s">Change % (Extended hours)</v>
      <v t="s">Currency</v>
      <v t="s">Previous close</v>
      <v t="s">Open</v>
      <v t="s">High</v>
      <v t="s">Low</v>
      <v t="s">52 week high</v>
      <v t="s">52 week low</v>
      <v t="s">Volume</v>
      <v t="s">Volume average</v>
      <v t="s">Market cap</v>
      <v t="s">Beta</v>
      <v t="s">P/E</v>
      <v t="s">Shares outstanding</v>
      <v t="s">Description</v>
      <v t="s">Employees</v>
      <v t="s">Headquarters</v>
      <v t="s">Industry</v>
      <v t="s">Instrument type</v>
      <v t="s">Year incorporated</v>
      <v t="s">_Flags</v>
      <v t="s">UniqueName</v>
      <v t="s">_DisplayString</v>
      <v t="s">LearnMoreOnLink</v>
      <v t="s">ExchangeID</v>
      <v t="s">%ProviderInfo</v>
    </a>
  </spbArrays>
  <spbData count="5">
    <spb s="0">
      <v>0</v>
      <v>Name</v>
      <v>LearnMoreOnLink</v>
    </spb>
    <spb s="1">
      <v>0</v>
      <v>0</v>
      <v>0</v>
    </spb>
    <spb s="2">
      <v>1</v>
      <v>1</v>
      <v>1</v>
      <v>1</v>
    </spb>
    <spb s="3">
      <v>1</v>
      <v>2</v>
      <v>2</v>
      <v>1</v>
      <v>3</v>
      <v>1</v>
      <v>1</v>
      <v>1</v>
      <v>4</v>
      <v>4</v>
      <v>5</v>
      <v>6</v>
      <v>1</v>
      <v>1</v>
      <v>1</v>
      <v>4</v>
      <v>7</v>
      <v>8</v>
      <v>9</v>
      <v>4</v>
      <v>1</v>
      <v>1</v>
      <v>5</v>
    </spb>
    <spb s="4">
      <v>at close</v>
      <v>from previous close</v>
      <v>from previous close</v>
      <v>Source: Nasdaq</v>
      <v>GMT</v>
      <v>Delayed 15 minutes</v>
      <v>from close</v>
      <v>from close</v>
    </spb>
  </spbData>
</supportingPropertyBags>
</file>

<file path=xl/richData/rdsupportingpropertybagstructure.xml><?xml version="1.0" encoding="utf-8"?>
<spbStructures xmlns="http://schemas.microsoft.com/office/spreadsheetml/2017/richdata2" count="5">
  <s>
    <k n="^Order" t="spba"/>
    <k n="TitleProperty" t="s"/>
    <k n="SubTitleProperty" t="s"/>
  </s>
  <s>
    <k n="ShowInCardView" t="b"/>
    <k n="ShowInDotNotation" t="b"/>
    <k n="ShowInAutoComplete" t="b"/>
  </s>
  <s>
    <k n="ExchangeID" t="spb"/>
    <k n="UniqueName" t="spb"/>
    <k n="`%ProviderInfo" t="spb"/>
    <k n="LearnMoreOnLink" t="spb"/>
  </s>
  <s>
    <k n="Low" t="i"/>
    <k n="P/E" t="i"/>
    <k n="Beta" t="i"/>
    <k n="High" t="i"/>
    <k n="Name" t="i"/>
    <k n="Open" t="i"/>
    <k n="Price" t="i"/>
    <k n="Change" t="i"/>
    <k n="Volume" t="i"/>
    <k n="Employees" t="i"/>
    <k n="Change (%)" t="i"/>
    <k n="Market cap" t="i"/>
    <k n="52 week low" t="i"/>
    <k n="52 week high" t="i"/>
    <k n="Previous close" t="i"/>
    <k n="Volume average" t="i"/>
    <k n="Last trade time" t="i"/>
    <k n="Year incorporated" t="i"/>
    <k n="`%EntityServiceId" t="i"/>
    <k n="Shares outstanding" t="i"/>
    <k n="Price (Extended hours)" t="i"/>
    <k n="Change (Extended hours)" t="i"/>
    <k n="Change % (Extended hours)" t="i"/>
  </s>
  <s>
    <k n="Price" t="s"/>
    <k n="Change" t="s"/>
    <k n="Change (%)" t="s"/>
    <k n="ExchangeID" t="s"/>
    <k n="Last trade time" t="s"/>
    <k n="Price (Extended hours)" t="s"/>
    <k n="Change (Extended hours)" t="s"/>
    <k n="Change % (Extended hours)" t="s"/>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7">
    <x:dxf>
      <x:numFmt numFmtId="2" formatCode="0.00"/>
    </x:dxf>
    <x:dxf>
      <x:numFmt numFmtId="0" formatCode="General"/>
    </x:dxf>
    <x:dxf>
      <x:numFmt numFmtId="27" formatCode="m/d/yyyy\ h:mm"/>
    </x:dxf>
    <x:dxf>
      <x:numFmt numFmtId="14" formatCode="0.00%"/>
    </x:dxf>
    <x:dxf>
      <x:numFmt numFmtId="3" formatCode="#,##0"/>
    </x:dxf>
    <x:dxf>
      <x:numFmt numFmtId="4" formatCode="#,##0.00"/>
    </x:dxf>
    <x:dxf>
      <x:numFmt numFmtId="1" formatCode="0"/>
    </x:dxf>
  </dxfs>
  <richProperties>
    <rPr n="NumberFormat" t="s"/>
    <rPr n="IsTitleField" t="b"/>
  </richProperties>
  <richStyles>
    <rSty dxfid="1">
      <rpv i="0">_([$$-en-US]* #,##0.00_);_([$$-en-US]* (#,##0.00);_([$$-en-US]* "-"??_);_(@_)</rpv>
    </rSty>
    <rSty dxfid="5">
      <rpv i="0">#,##0.00</rpv>
    </rSty>
    <rSty>
      <rpv i="1">1</rpv>
    </rSty>
    <rSty dxfid="4">
      <rpv i="0">#,##0</rpv>
    </rSty>
    <rSty dxfid="3"/>
    <rSty dxfid="1">
      <rpv i="0">_([$$-en-US]* #,##0_);_([$$-en-US]* (#,##0);_([$$-en-US]* "-"_);_(@_)</rpv>
    </rSty>
    <rSty dxfid="2"/>
    <rSty dxfid="6">
      <rpv i="0">0</rpv>
    </rSty>
    <rSty dxfid="0">
      <rpv i="0">0.00</rpv>
    </rSty>
  </richStyles>
</richStyleShee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0667A-8B3A-43F8-9127-2CCF9535A020}">
  <dimension ref="A1:AK87"/>
  <sheetViews>
    <sheetView tabSelected="1" topLeftCell="A52" zoomScale="115" zoomScaleNormal="115" workbookViewId="0">
      <pane xSplit="1" topLeftCell="B1" activePane="topRight" state="frozen"/>
      <selection pane="topRight" activeCell="O67" sqref="O67"/>
    </sheetView>
  </sheetViews>
  <sheetFormatPr defaultColWidth="12.7109375" defaultRowHeight="12.75" x14ac:dyDescent="0.2"/>
  <cols>
    <col min="1" max="1" width="42.7109375" style="17" customWidth="1"/>
    <col min="2" max="6" width="12.7109375" style="4" customWidth="1"/>
    <col min="7" max="7" width="10.7109375" style="4" customWidth="1"/>
    <col min="8" max="8" width="12.7109375" style="4" customWidth="1"/>
    <col min="9" max="9" width="10.7109375" style="4" customWidth="1"/>
    <col min="10" max="24" width="12.7109375" style="4" customWidth="1"/>
    <col min="25" max="16384" width="12.7109375" style="4"/>
  </cols>
  <sheetData>
    <row r="1" spans="1:37" s="5" customFormat="1" ht="15" customHeight="1" x14ac:dyDescent="0.2">
      <c r="A1" s="3" t="s">
        <v>0</v>
      </c>
      <c r="B1" s="1">
        <v>43160</v>
      </c>
      <c r="C1" s="1">
        <v>43524</v>
      </c>
      <c r="D1" s="1">
        <v>43881</v>
      </c>
      <c r="E1" s="1">
        <v>44245</v>
      </c>
      <c r="F1" s="1">
        <v>44609</v>
      </c>
      <c r="G1" s="1" t="s">
        <v>17</v>
      </c>
      <c r="H1" s="1">
        <v>44973</v>
      </c>
      <c r="I1" s="1" t="s">
        <v>17</v>
      </c>
      <c r="J1" s="1"/>
      <c r="K1" s="1"/>
      <c r="L1" s="1"/>
      <c r="M1" s="1"/>
      <c r="N1" s="1"/>
      <c r="O1" s="1"/>
      <c r="P1" s="1"/>
      <c r="Q1" s="1"/>
      <c r="R1" s="1"/>
      <c r="S1" s="1"/>
      <c r="T1" s="1"/>
      <c r="U1" s="1"/>
      <c r="V1" s="1"/>
      <c r="W1" s="1"/>
      <c r="X1" s="1"/>
      <c r="Y1" s="1"/>
      <c r="Z1" s="1"/>
      <c r="AA1" s="1"/>
      <c r="AB1" s="1"/>
      <c r="AC1" s="1"/>
      <c r="AD1" s="2"/>
      <c r="AE1" s="2"/>
      <c r="AF1" s="2"/>
      <c r="AG1" s="2"/>
      <c r="AH1" s="2"/>
      <c r="AI1" s="2"/>
      <c r="AJ1" s="2"/>
      <c r="AK1" s="2"/>
    </row>
    <row r="2" spans="1:37" s="5" customFormat="1" ht="15" customHeight="1" x14ac:dyDescent="0.2">
      <c r="A2" s="3" t="s">
        <v>7</v>
      </c>
      <c r="B2" s="2">
        <v>2017</v>
      </c>
      <c r="C2" s="2">
        <v>2018</v>
      </c>
      <c r="D2" s="2">
        <v>2019</v>
      </c>
      <c r="E2" s="2">
        <v>2020</v>
      </c>
      <c r="F2" s="2">
        <v>2021</v>
      </c>
      <c r="G2" s="2" t="s">
        <v>18</v>
      </c>
      <c r="H2" s="2">
        <v>2022</v>
      </c>
      <c r="I2" s="2" t="s">
        <v>18</v>
      </c>
      <c r="J2" s="2">
        <v>2023</v>
      </c>
      <c r="K2" s="2">
        <v>2024</v>
      </c>
      <c r="L2" s="2">
        <v>2025</v>
      </c>
      <c r="M2" s="2"/>
      <c r="N2" s="2"/>
      <c r="O2" s="2"/>
      <c r="P2" s="2"/>
      <c r="Q2" s="2"/>
      <c r="R2" s="2"/>
      <c r="S2" s="2"/>
      <c r="T2" s="2"/>
      <c r="U2" s="2"/>
      <c r="V2" s="2"/>
      <c r="W2" s="2"/>
      <c r="X2" s="2"/>
      <c r="Y2" s="2"/>
      <c r="Z2" s="2"/>
      <c r="AA2" s="2"/>
      <c r="AB2" s="2"/>
      <c r="AC2" s="2"/>
      <c r="AD2" s="2"/>
      <c r="AE2" s="2"/>
      <c r="AF2" s="2"/>
      <c r="AG2" s="2"/>
      <c r="AH2" s="2"/>
      <c r="AI2" s="2"/>
      <c r="AJ2" s="2"/>
      <c r="AK2" s="2"/>
    </row>
    <row r="3" spans="1:37" x14ac:dyDescent="0.2">
      <c r="A3" s="15" t="e" vm="1">
        <v>#VALUE!</v>
      </c>
    </row>
    <row r="4" spans="1:37" x14ac:dyDescent="0.2">
      <c r="A4" s="7" cm="1">
        <f t="array" ref="A4">_FV(A3,"Price")</f>
        <v>32.28</v>
      </c>
    </row>
    <row r="5" spans="1:37" s="7" customFormat="1" x14ac:dyDescent="0.2">
      <c r="A5" s="10" t="s">
        <v>12</v>
      </c>
      <c r="B5" s="7">
        <v>37.75</v>
      </c>
      <c r="C5" s="7">
        <v>44.42</v>
      </c>
      <c r="D5" s="7">
        <v>48.81</v>
      </c>
      <c r="E5" s="7">
        <v>40.79</v>
      </c>
      <c r="F5" s="7">
        <v>34.049999999999997</v>
      </c>
      <c r="G5" s="14">
        <f>(F5-E5)/E5</f>
        <v>-0.16523657759254726</v>
      </c>
      <c r="H5" s="7">
        <v>37.659999999999997</v>
      </c>
      <c r="I5" s="14">
        <f>(H5-F5)/F5</f>
        <v>0.10602055800293685</v>
      </c>
    </row>
    <row r="6" spans="1:37" x14ac:dyDescent="0.2">
      <c r="A6" s="9" t="s">
        <v>13</v>
      </c>
      <c r="B6" s="4">
        <v>39.6</v>
      </c>
      <c r="C6" s="4">
        <v>39.83</v>
      </c>
      <c r="D6" s="4">
        <v>39.799999999999997</v>
      </c>
      <c r="E6" s="4">
        <v>39.264000000000003</v>
      </c>
      <c r="F6" s="4">
        <v>39.155999999999999</v>
      </c>
      <c r="G6" s="14">
        <f t="shared" ref="G6:G69" si="0">(F6-E6)/E6</f>
        <v>-2.7506112469438695E-3</v>
      </c>
      <c r="H6" s="4">
        <v>40.1</v>
      </c>
      <c r="I6" s="14">
        <f>(H6-F6)/F6</f>
        <v>2.4108693431402661E-2</v>
      </c>
    </row>
    <row r="7" spans="1:37" x14ac:dyDescent="0.2">
      <c r="A7" s="9" t="s">
        <v>14</v>
      </c>
      <c r="B7" s="4">
        <f>B5*B6</f>
        <v>1494.9</v>
      </c>
      <c r="C7" s="4">
        <f t="shared" ref="C7" si="1">C5*C6</f>
        <v>1769.2485999999999</v>
      </c>
      <c r="D7" s="4">
        <f t="shared" ref="D7" si="2">D5*D6</f>
        <v>1942.6379999999999</v>
      </c>
      <c r="E7" s="4">
        <f t="shared" ref="E7" si="3">E5*E6</f>
        <v>1601.5785600000002</v>
      </c>
      <c r="F7" s="4">
        <f t="shared" ref="F7" si="4">F5*F6</f>
        <v>1333.2617999999998</v>
      </c>
      <c r="G7" s="14">
        <f t="shared" si="0"/>
        <v>-0.16753268725075862</v>
      </c>
      <c r="H7" s="4">
        <f t="shared" ref="H7" si="5">H5*H6</f>
        <v>1510.1659999999999</v>
      </c>
      <c r="I7" s="14">
        <f>(H7-F7)/F7</f>
        <v>0.13268526856465865</v>
      </c>
      <c r="J7" s="4">
        <f t="shared" ref="J7" si="6">J5*J6</f>
        <v>0</v>
      </c>
      <c r="K7" s="4">
        <f t="shared" ref="K7" si="7">K5*K6</f>
        <v>0</v>
      </c>
      <c r="L7" s="4">
        <f t="shared" ref="L7" si="8">L5*L6</f>
        <v>0</v>
      </c>
    </row>
    <row r="8" spans="1:37" s="19" customFormat="1" x14ac:dyDescent="0.2">
      <c r="A8" s="9" t="s">
        <v>1</v>
      </c>
      <c r="B8" s="19">
        <f>B47+B48</f>
        <v>5.21</v>
      </c>
      <c r="C8" s="19">
        <f>C47+C48</f>
        <v>4.7560000000000002</v>
      </c>
      <c r="D8" s="19">
        <f t="shared" ref="D8:L8" si="9">D47+D48</f>
        <v>4.24</v>
      </c>
      <c r="E8" s="19">
        <f t="shared" si="9"/>
        <v>7.77</v>
      </c>
      <c r="F8" s="19">
        <f t="shared" si="9"/>
        <v>5.16</v>
      </c>
      <c r="G8" s="14">
        <f t="shared" si="0"/>
        <v>-0.33590733590733585</v>
      </c>
      <c r="H8" s="19">
        <f>H47+H48</f>
        <v>10.4</v>
      </c>
      <c r="I8" s="14">
        <f>(H8-F8)/F8</f>
        <v>1.0155038759689923</v>
      </c>
      <c r="J8" s="19">
        <f t="shared" si="9"/>
        <v>0</v>
      </c>
      <c r="K8" s="19">
        <f t="shared" si="9"/>
        <v>0</v>
      </c>
      <c r="L8" s="19">
        <f t="shared" si="9"/>
        <v>0</v>
      </c>
    </row>
    <row r="9" spans="1:37" s="19" customFormat="1" x14ac:dyDescent="0.2">
      <c r="A9" s="9" t="s">
        <v>2</v>
      </c>
      <c r="B9" s="19">
        <f t="shared" ref="B9:L9" si="10">B58+B60+B59</f>
        <v>667.5</v>
      </c>
      <c r="C9" s="19">
        <f t="shared" si="10"/>
        <v>645</v>
      </c>
      <c r="D9" s="19">
        <f t="shared" si="10"/>
        <v>693.38800000000003</v>
      </c>
      <c r="E9" s="19">
        <f t="shared" si="10"/>
        <v>649.4</v>
      </c>
      <c r="F9" s="19">
        <f>F58+F60+F59</f>
        <v>722.71900000000005</v>
      </c>
      <c r="G9" s="14">
        <f t="shared" si="0"/>
        <v>0.11290267939636599</v>
      </c>
      <c r="H9" s="19">
        <f t="shared" si="10"/>
        <v>767.85399999999993</v>
      </c>
      <c r="I9" s="14">
        <f>(H9-F9)/F9</f>
        <v>6.2451658251685471E-2</v>
      </c>
      <c r="J9" s="19">
        <f t="shared" si="10"/>
        <v>0</v>
      </c>
      <c r="K9" s="19">
        <f t="shared" si="10"/>
        <v>0</v>
      </c>
      <c r="L9" s="19">
        <f t="shared" si="10"/>
        <v>0</v>
      </c>
    </row>
    <row r="10" spans="1:37" s="19" customFormat="1" x14ac:dyDescent="0.2">
      <c r="A10" s="4"/>
      <c r="G10" s="14"/>
      <c r="I10" s="14"/>
    </row>
    <row r="11" spans="1:37" s="19" customFormat="1" x14ac:dyDescent="0.2">
      <c r="A11" s="6" t="s">
        <v>3</v>
      </c>
      <c r="G11" s="14"/>
      <c r="I11" s="14"/>
    </row>
    <row r="12" spans="1:37" s="19" customFormat="1" hidden="1" x14ac:dyDescent="0.2">
      <c r="A12" s="4"/>
      <c r="G12" s="14" t="e">
        <f t="shared" si="0"/>
        <v>#DIV/0!</v>
      </c>
      <c r="I12" s="14" t="e">
        <f t="shared" ref="I12:I18" si="11">(H12-F12)/F12</f>
        <v>#DIV/0!</v>
      </c>
    </row>
    <row r="13" spans="1:37" s="19" customFormat="1" hidden="1" x14ac:dyDescent="0.2">
      <c r="A13" s="4"/>
      <c r="G13" s="14" t="e">
        <f t="shared" si="0"/>
        <v>#DIV/0!</v>
      </c>
      <c r="I13" s="14" t="e">
        <f t="shared" si="11"/>
        <v>#DIV/0!</v>
      </c>
    </row>
    <row r="14" spans="1:37" s="19" customFormat="1" x14ac:dyDescent="0.2">
      <c r="A14" s="16" t="s">
        <v>19</v>
      </c>
      <c r="B14" s="19">
        <v>137.65700000000001</v>
      </c>
      <c r="C14" s="19">
        <v>135.4</v>
      </c>
      <c r="D14" s="19">
        <v>152.755</v>
      </c>
      <c r="E14" s="19">
        <v>126.1</v>
      </c>
      <c r="F14" s="19">
        <v>121.125</v>
      </c>
      <c r="G14" s="14">
        <f t="shared" si="0"/>
        <v>-3.9452815226011059E-2</v>
      </c>
      <c r="H14" s="19">
        <v>128.244</v>
      </c>
      <c r="I14" s="14">
        <f t="shared" si="11"/>
        <v>5.8773993808049534E-2</v>
      </c>
    </row>
    <row r="15" spans="1:37" s="19" customFormat="1" x14ac:dyDescent="0.2">
      <c r="A15" s="16" t="s">
        <v>55</v>
      </c>
      <c r="B15" s="19">
        <v>0</v>
      </c>
      <c r="C15" s="19">
        <v>0</v>
      </c>
      <c r="D15" s="19">
        <v>0</v>
      </c>
      <c r="E15" s="19">
        <v>0</v>
      </c>
      <c r="F15" s="19">
        <v>0</v>
      </c>
      <c r="G15" s="14" t="e">
        <f t="shared" si="0"/>
        <v>#DIV/0!</v>
      </c>
      <c r="H15" s="19">
        <v>1.762</v>
      </c>
      <c r="I15" s="14" t="e">
        <f t="shared" si="11"/>
        <v>#DIV/0!</v>
      </c>
    </row>
    <row r="16" spans="1:37" s="19" customFormat="1" x14ac:dyDescent="0.2">
      <c r="A16" s="16" t="s">
        <v>20</v>
      </c>
      <c r="B16" s="19">
        <v>26.768999999999998</v>
      </c>
      <c r="C16" s="19">
        <v>28.2</v>
      </c>
      <c r="D16" s="19">
        <v>29.99</v>
      </c>
      <c r="E16" s="19">
        <v>31.4</v>
      </c>
      <c r="F16" s="19">
        <v>32.799999999999997</v>
      </c>
      <c r="G16" s="14">
        <f t="shared" si="0"/>
        <v>4.4585987261146452E-2</v>
      </c>
      <c r="H16" s="19">
        <v>40.6</v>
      </c>
      <c r="I16" s="14">
        <f t="shared" si="11"/>
        <v>0.23780487804878064</v>
      </c>
    </row>
    <row r="17" spans="1:12" s="19" customFormat="1" x14ac:dyDescent="0.2">
      <c r="A17" s="16" t="s">
        <v>21</v>
      </c>
      <c r="B17" s="19">
        <v>3.6389999999999998</v>
      </c>
      <c r="C17" s="19">
        <v>5</v>
      </c>
      <c r="D17" s="19">
        <v>2.5579999999999998</v>
      </c>
      <c r="E17" s="19">
        <v>1.847</v>
      </c>
      <c r="F17" s="19">
        <v>1.3859999999999999</v>
      </c>
      <c r="G17" s="14">
        <f t="shared" si="0"/>
        <v>-0.2495939361126151</v>
      </c>
      <c r="H17" s="19">
        <v>4.5469999999999997</v>
      </c>
      <c r="I17" s="14">
        <f t="shared" si="11"/>
        <v>2.2806637806637804</v>
      </c>
    </row>
    <row r="18" spans="1:12" s="20" customFormat="1" x14ac:dyDescent="0.2">
      <c r="A18" s="12" t="s">
        <v>22</v>
      </c>
      <c r="B18" s="20">
        <f>SUM(B14:B17)</f>
        <v>168.06500000000003</v>
      </c>
      <c r="C18" s="20">
        <f>SUM(C14:C17)</f>
        <v>168.6</v>
      </c>
      <c r="D18" s="20">
        <f t="shared" ref="D18:L18" si="12">SUM(D14:D17)</f>
        <v>185.303</v>
      </c>
      <c r="E18" s="20">
        <f t="shared" si="12"/>
        <v>159.34700000000001</v>
      </c>
      <c r="F18" s="20">
        <f t="shared" si="12"/>
        <v>155.31100000000001</v>
      </c>
      <c r="G18" s="14">
        <f t="shared" si="0"/>
        <v>-2.5328371415840909E-2</v>
      </c>
      <c r="H18" s="20">
        <f t="shared" si="12"/>
        <v>175.15299999999999</v>
      </c>
      <c r="I18" s="14">
        <f t="shared" si="11"/>
        <v>0.12775656585818121</v>
      </c>
      <c r="J18" s="20">
        <f t="shared" si="12"/>
        <v>0</v>
      </c>
      <c r="K18" s="20">
        <f t="shared" si="12"/>
        <v>0</v>
      </c>
      <c r="L18" s="20">
        <f t="shared" si="12"/>
        <v>0</v>
      </c>
    </row>
    <row r="19" spans="1:12" s="20" customFormat="1" x14ac:dyDescent="0.2">
      <c r="A19" s="6"/>
      <c r="G19" s="14"/>
      <c r="I19" s="14"/>
    </row>
    <row r="20" spans="1:12" s="20" customFormat="1" x14ac:dyDescent="0.2">
      <c r="A20" s="6" t="s">
        <v>23</v>
      </c>
      <c r="G20" s="14"/>
      <c r="I20" s="14"/>
    </row>
    <row r="21" spans="1:12" s="19" customFormat="1" x14ac:dyDescent="0.2">
      <c r="A21" s="16" t="s">
        <v>4</v>
      </c>
      <c r="B21" s="19">
        <v>29.949000000000002</v>
      </c>
      <c r="C21" s="19">
        <v>30.2</v>
      </c>
      <c r="D21" s="19">
        <v>30.6</v>
      </c>
      <c r="E21" s="19">
        <v>29.7</v>
      </c>
      <c r="F21" s="19">
        <v>27.37</v>
      </c>
      <c r="G21" s="14">
        <f t="shared" si="0"/>
        <v>-7.8451178451178397E-2</v>
      </c>
      <c r="H21" s="19">
        <v>31.43</v>
      </c>
      <c r="I21" s="14">
        <f t="shared" ref="I21:I28" si="13">(H21-F21)/F21</f>
        <v>0.14833759590792833</v>
      </c>
    </row>
    <row r="22" spans="1:12" s="19" customFormat="1" x14ac:dyDescent="0.2">
      <c r="A22" s="16" t="s">
        <v>24</v>
      </c>
      <c r="B22" s="19">
        <v>37.61</v>
      </c>
      <c r="C22" s="19">
        <v>37.555</v>
      </c>
      <c r="D22" s="19">
        <v>39.200000000000003</v>
      </c>
      <c r="E22" s="19">
        <v>39.1</v>
      </c>
      <c r="F22" s="19">
        <v>38.299999999999997</v>
      </c>
      <c r="G22" s="14">
        <f t="shared" si="0"/>
        <v>-2.0460358056266094E-2</v>
      </c>
      <c r="H22" s="19">
        <v>37.5</v>
      </c>
      <c r="I22" s="14">
        <f t="shared" si="13"/>
        <v>-2.0887728459529954E-2</v>
      </c>
    </row>
    <row r="23" spans="1:12" s="19" customFormat="1" x14ac:dyDescent="0.2">
      <c r="A23" s="16" t="s">
        <v>25</v>
      </c>
      <c r="B23" s="19">
        <v>1.88</v>
      </c>
      <c r="C23" s="19">
        <v>0</v>
      </c>
      <c r="D23" s="19">
        <v>0</v>
      </c>
      <c r="E23" s="19">
        <v>3.9769999999999999</v>
      </c>
      <c r="F23" s="19">
        <v>0</v>
      </c>
      <c r="G23" s="14">
        <f t="shared" si="0"/>
        <v>-1</v>
      </c>
      <c r="H23" s="19">
        <v>3.4</v>
      </c>
      <c r="I23" s="14" t="e">
        <f t="shared" si="13"/>
        <v>#DIV/0!</v>
      </c>
    </row>
    <row r="24" spans="1:12" s="19" customFormat="1" x14ac:dyDescent="0.2">
      <c r="A24" s="16" t="s">
        <v>26</v>
      </c>
      <c r="B24" s="19">
        <v>-0.2</v>
      </c>
      <c r="C24" s="19">
        <v>0.08</v>
      </c>
      <c r="D24" s="19">
        <v>0.16600000000000001</v>
      </c>
      <c r="E24" s="19">
        <v>-3.0000000000000001E-3</v>
      </c>
      <c r="F24" s="19">
        <v>1</v>
      </c>
      <c r="G24" s="14">
        <f t="shared" si="0"/>
        <v>-334.33333333333331</v>
      </c>
      <c r="H24" s="19">
        <v>1.52</v>
      </c>
      <c r="I24" s="14">
        <f t="shared" si="13"/>
        <v>0.52</v>
      </c>
    </row>
    <row r="25" spans="1:12" s="19" customFormat="1" x14ac:dyDescent="0.2">
      <c r="A25" s="16" t="s">
        <v>27</v>
      </c>
      <c r="B25" s="19">
        <v>5.6000000000000001E-2</v>
      </c>
      <c r="C25" s="19">
        <v>0.08</v>
      </c>
      <c r="D25" s="19">
        <v>0.36499999999999999</v>
      </c>
      <c r="E25" s="19">
        <v>0.29899999999999999</v>
      </c>
      <c r="F25" s="19">
        <v>4.4000000000000004</v>
      </c>
      <c r="G25" s="14">
        <f t="shared" si="0"/>
        <v>13.715719063545151</v>
      </c>
      <c r="H25" s="19">
        <v>0.82799999999999996</v>
      </c>
      <c r="I25" s="14">
        <f t="shared" si="13"/>
        <v>-0.81181818181818188</v>
      </c>
    </row>
    <row r="26" spans="1:12" s="19" customFormat="1" x14ac:dyDescent="0.2">
      <c r="A26" s="16" t="s">
        <v>46</v>
      </c>
      <c r="B26" s="19">
        <v>0</v>
      </c>
      <c r="C26" s="19">
        <v>0</v>
      </c>
      <c r="D26" s="19">
        <v>16.754999999999999</v>
      </c>
      <c r="E26" s="19">
        <v>15.1</v>
      </c>
      <c r="F26" s="19">
        <v>15.4</v>
      </c>
      <c r="G26" s="14">
        <f t="shared" si="0"/>
        <v>1.9867549668874218E-2</v>
      </c>
      <c r="H26" s="19">
        <v>15.5</v>
      </c>
      <c r="I26" s="14">
        <f t="shared" si="13"/>
        <v>6.4935064935064705E-3</v>
      </c>
    </row>
    <row r="27" spans="1:12" s="22" customFormat="1" x14ac:dyDescent="0.2">
      <c r="A27" s="16" t="s">
        <v>28</v>
      </c>
      <c r="B27" s="22">
        <v>17.513000000000002</v>
      </c>
      <c r="C27" s="22">
        <v>19.2</v>
      </c>
      <c r="D27" s="22">
        <v>18.452999999999999</v>
      </c>
      <c r="E27" s="22">
        <v>19.71</v>
      </c>
      <c r="F27" s="22">
        <v>21.5</v>
      </c>
      <c r="G27" s="14">
        <f t="shared" si="0"/>
        <v>9.0816844241501729E-2</v>
      </c>
      <c r="H27" s="22">
        <v>23.7</v>
      </c>
      <c r="I27" s="14">
        <f t="shared" si="13"/>
        <v>0.10232558139534881</v>
      </c>
    </row>
    <row r="28" spans="1:12" s="20" customFormat="1" x14ac:dyDescent="0.2">
      <c r="A28" s="12" t="s">
        <v>29</v>
      </c>
      <c r="B28" s="20">
        <f>SUM(B21:B27)</f>
        <v>86.807999999999993</v>
      </c>
      <c r="C28" s="20">
        <f>SUM(C21:C27)</f>
        <v>87.114999999999995</v>
      </c>
      <c r="D28" s="20">
        <f t="shared" ref="D28:L28" si="14">SUM(D21:D27)</f>
        <v>105.539</v>
      </c>
      <c r="E28" s="20">
        <f t="shared" si="14"/>
        <v>107.88300000000001</v>
      </c>
      <c r="F28" s="20">
        <f t="shared" si="14"/>
        <v>107.97000000000001</v>
      </c>
      <c r="G28" s="14">
        <f t="shared" si="0"/>
        <v>8.0642918717502559E-4</v>
      </c>
      <c r="H28" s="20">
        <f t="shared" si="14"/>
        <v>113.87800000000001</v>
      </c>
      <c r="I28" s="14">
        <f t="shared" si="13"/>
        <v>5.4718903399092349E-2</v>
      </c>
      <c r="J28" s="20">
        <f t="shared" si="14"/>
        <v>0</v>
      </c>
      <c r="K28" s="20">
        <f t="shared" si="14"/>
        <v>0</v>
      </c>
      <c r="L28" s="20">
        <f t="shared" si="14"/>
        <v>0</v>
      </c>
    </row>
    <row r="29" spans="1:12" s="19" customFormat="1" x14ac:dyDescent="0.2">
      <c r="A29" s="15"/>
      <c r="G29" s="14"/>
      <c r="I29" s="14"/>
    </row>
    <row r="30" spans="1:12" s="19" customFormat="1" x14ac:dyDescent="0.2">
      <c r="A30" s="15" t="s">
        <v>6</v>
      </c>
      <c r="B30" s="19">
        <f>B18-B28</f>
        <v>81.257000000000033</v>
      </c>
      <c r="C30" s="19">
        <f>C18-C28</f>
        <v>81.484999999999999</v>
      </c>
      <c r="D30" s="19">
        <f t="shared" ref="D30:L30" si="15">D18-D28</f>
        <v>79.763999999999996</v>
      </c>
      <c r="E30" s="19">
        <f t="shared" si="15"/>
        <v>51.463999999999999</v>
      </c>
      <c r="F30" s="19">
        <f t="shared" si="15"/>
        <v>47.340999999999994</v>
      </c>
      <c r="G30" s="14">
        <f t="shared" si="0"/>
        <v>-8.0114254624592041E-2</v>
      </c>
      <c r="H30" s="19">
        <f t="shared" si="15"/>
        <v>61.274999999999977</v>
      </c>
      <c r="I30" s="14">
        <f t="shared" ref="I30:I36" si="16">(H30-F30)/F30</f>
        <v>0.29433260809868794</v>
      </c>
      <c r="J30" s="19">
        <f t="shared" si="15"/>
        <v>0</v>
      </c>
      <c r="K30" s="19">
        <f t="shared" si="15"/>
        <v>0</v>
      </c>
      <c r="L30" s="19">
        <f t="shared" si="15"/>
        <v>0</v>
      </c>
    </row>
    <row r="31" spans="1:12" s="19" customFormat="1" x14ac:dyDescent="0.2">
      <c r="A31" s="15" t="s">
        <v>48</v>
      </c>
      <c r="B31" s="19">
        <v>2.2629999999999999</v>
      </c>
      <c r="C31" s="19">
        <v>2.8639999999999999</v>
      </c>
      <c r="D31" s="19">
        <v>2.2999999999999998</v>
      </c>
      <c r="E31" s="19">
        <v>0.43</v>
      </c>
      <c r="F31" s="19">
        <v>1.41</v>
      </c>
      <c r="G31" s="14">
        <f t="shared" si="0"/>
        <v>2.2790697674418605</v>
      </c>
      <c r="H31" s="19">
        <v>1.5</v>
      </c>
      <c r="I31" s="14">
        <f t="shared" si="16"/>
        <v>6.3829787234042618E-2</v>
      </c>
    </row>
    <row r="32" spans="1:12" s="19" customFormat="1" x14ac:dyDescent="0.2">
      <c r="A32" s="15" t="s">
        <v>49</v>
      </c>
      <c r="B32" s="19">
        <v>0</v>
      </c>
      <c r="C32" s="19">
        <v>0</v>
      </c>
      <c r="D32" s="19">
        <v>2.1110000000000002</v>
      </c>
      <c r="E32" s="19">
        <v>0.373</v>
      </c>
      <c r="F32" s="19">
        <v>0</v>
      </c>
      <c r="G32" s="14">
        <f t="shared" si="0"/>
        <v>-1</v>
      </c>
      <c r="H32" s="19">
        <v>0</v>
      </c>
      <c r="I32" s="14" t="e">
        <f t="shared" si="16"/>
        <v>#DIV/0!</v>
      </c>
    </row>
    <row r="33" spans="1:12" s="19" customFormat="1" hidden="1" x14ac:dyDescent="0.2">
      <c r="A33" s="15" t="s">
        <v>52</v>
      </c>
      <c r="B33" s="19">
        <v>0</v>
      </c>
      <c r="C33" s="19">
        <v>0</v>
      </c>
      <c r="D33" s="19">
        <v>0</v>
      </c>
      <c r="E33" s="19">
        <v>-0.75800000000000001</v>
      </c>
      <c r="F33" s="19">
        <v>0</v>
      </c>
      <c r="G33" s="14">
        <f t="shared" si="0"/>
        <v>-1</v>
      </c>
      <c r="H33" s="19">
        <v>0</v>
      </c>
      <c r="I33" s="14" t="e">
        <f t="shared" si="16"/>
        <v>#DIV/0!</v>
      </c>
    </row>
    <row r="34" spans="1:12" s="19" customFormat="1" hidden="1" x14ac:dyDescent="0.2">
      <c r="A34" s="15" t="s">
        <v>47</v>
      </c>
      <c r="B34" s="19">
        <v>0</v>
      </c>
      <c r="C34" s="19">
        <v>0</v>
      </c>
      <c r="D34" s="19">
        <v>-5.5</v>
      </c>
      <c r="E34" s="19">
        <v>0</v>
      </c>
      <c r="F34" s="19">
        <v>0</v>
      </c>
      <c r="G34" s="14" t="e">
        <f t="shared" si="0"/>
        <v>#DIV/0!</v>
      </c>
      <c r="H34" s="19">
        <v>0</v>
      </c>
      <c r="I34" s="14" t="e">
        <f t="shared" si="16"/>
        <v>#DIV/0!</v>
      </c>
    </row>
    <row r="35" spans="1:12" s="19" customFormat="1" x14ac:dyDescent="0.2">
      <c r="A35" s="15" t="s">
        <v>30</v>
      </c>
      <c r="B35" s="19">
        <v>3.8</v>
      </c>
      <c r="C35" s="19">
        <v>70.682000000000002</v>
      </c>
      <c r="D35" s="19">
        <v>2.1</v>
      </c>
      <c r="E35" s="19">
        <v>44.116999999999997</v>
      </c>
      <c r="F35" s="19">
        <v>7.4619999999999997</v>
      </c>
      <c r="G35" s="14">
        <f t="shared" si="0"/>
        <v>-0.83085885259650483</v>
      </c>
      <c r="H35" s="19">
        <v>37.83</v>
      </c>
      <c r="I35" s="14">
        <f t="shared" si="16"/>
        <v>4.0696864111498261</v>
      </c>
    </row>
    <row r="36" spans="1:12" s="20" customFormat="1" x14ac:dyDescent="0.2">
      <c r="A36" s="11" t="s">
        <v>5</v>
      </c>
      <c r="B36" s="20">
        <f>SUM(B30:B35)</f>
        <v>87.320000000000036</v>
      </c>
      <c r="C36" s="20">
        <f>SUM(C30:C35)</f>
        <v>155.03100000000001</v>
      </c>
      <c r="D36" s="20">
        <f>SUM(D30:D35)</f>
        <v>80.774999999999991</v>
      </c>
      <c r="E36" s="20">
        <f>SUM(E30:E35)</f>
        <v>95.625999999999991</v>
      </c>
      <c r="F36" s="20">
        <f>SUM(F30:F35)</f>
        <v>56.212999999999994</v>
      </c>
      <c r="G36" s="14">
        <f t="shared" si="0"/>
        <v>-0.41215778135653486</v>
      </c>
      <c r="H36" s="20">
        <f>SUM(H30:H35)</f>
        <v>100.60499999999998</v>
      </c>
      <c r="I36" s="14">
        <f t="shared" si="16"/>
        <v>0.7897105651717572</v>
      </c>
      <c r="J36" s="20">
        <f>SUM(J30:J35)</f>
        <v>0</v>
      </c>
      <c r="K36" s="20">
        <f>SUM(K30:K35)</f>
        <v>0</v>
      </c>
      <c r="L36" s="20">
        <f>SUM(L30:L35)</f>
        <v>0</v>
      </c>
    </row>
    <row r="37" spans="1:12" s="19" customFormat="1" x14ac:dyDescent="0.2">
      <c r="A37" s="15"/>
      <c r="G37" s="14"/>
      <c r="I37" s="14"/>
    </row>
    <row r="38" spans="1:12" s="20" customFormat="1" x14ac:dyDescent="0.2">
      <c r="A38" s="6" t="s">
        <v>8</v>
      </c>
      <c r="G38" s="14"/>
      <c r="I38" s="14"/>
    </row>
    <row r="39" spans="1:12" s="20" customFormat="1" x14ac:dyDescent="0.2">
      <c r="A39" s="11" t="s">
        <v>31</v>
      </c>
      <c r="G39" s="14"/>
      <c r="I39" s="14"/>
    </row>
    <row r="40" spans="1:12" s="21" customFormat="1" x14ac:dyDescent="0.2">
      <c r="A40" s="18" t="s">
        <v>32</v>
      </c>
      <c r="B40" s="21">
        <v>1082.259</v>
      </c>
      <c r="C40" s="21">
        <v>1102.75</v>
      </c>
      <c r="D40" s="21">
        <v>1109.96</v>
      </c>
      <c r="E40" s="21">
        <v>1102.3579999999999</v>
      </c>
      <c r="F40" s="21">
        <v>1033.951</v>
      </c>
      <c r="G40" s="14">
        <f t="shared" si="0"/>
        <v>-6.2055158124674499E-2</v>
      </c>
      <c r="H40" s="21">
        <v>1008.5</v>
      </c>
      <c r="I40" s="14">
        <f t="shared" ref="I40:I55" si="17">(H40-F40)/F40</f>
        <v>-2.4615286411058184E-2</v>
      </c>
    </row>
    <row r="41" spans="1:12" s="21" customFormat="1" x14ac:dyDescent="0.2">
      <c r="A41" s="18" t="s">
        <v>44</v>
      </c>
      <c r="B41" s="21">
        <v>3.83</v>
      </c>
      <c r="C41" s="21">
        <v>3.83</v>
      </c>
      <c r="D41" s="21">
        <v>26.856000000000002</v>
      </c>
      <c r="E41" s="21">
        <v>0</v>
      </c>
      <c r="F41" s="21">
        <v>0</v>
      </c>
      <c r="G41" s="14" t="e">
        <f t="shared" si="0"/>
        <v>#DIV/0!</v>
      </c>
      <c r="H41" s="21">
        <v>10.71</v>
      </c>
      <c r="I41" s="14" t="e">
        <f t="shared" si="17"/>
        <v>#DIV/0!</v>
      </c>
    </row>
    <row r="42" spans="1:12" s="21" customFormat="1" x14ac:dyDescent="0.2">
      <c r="A42" s="18" t="s">
        <v>56</v>
      </c>
      <c r="B42" s="21">
        <v>0</v>
      </c>
      <c r="C42" s="21">
        <v>0</v>
      </c>
      <c r="D42" s="21">
        <v>0</v>
      </c>
      <c r="E42" s="21">
        <v>0</v>
      </c>
      <c r="F42" s="21">
        <v>0</v>
      </c>
      <c r="G42" s="14" t="e">
        <f t="shared" si="0"/>
        <v>#DIV/0!</v>
      </c>
      <c r="H42" s="21">
        <v>75.998999999999995</v>
      </c>
      <c r="I42" s="14" t="e">
        <f t="shared" si="17"/>
        <v>#DIV/0!</v>
      </c>
    </row>
    <row r="43" spans="1:12" s="19" customFormat="1" x14ac:dyDescent="0.2">
      <c r="A43" s="18" t="s">
        <v>33</v>
      </c>
      <c r="B43" s="19">
        <v>223.9</v>
      </c>
      <c r="C43" s="19">
        <v>242.93899999999999</v>
      </c>
      <c r="D43" s="19">
        <v>254.1</v>
      </c>
      <c r="E43" s="19">
        <v>257.25099999999998</v>
      </c>
      <c r="F43" s="19">
        <v>344.44200000000001</v>
      </c>
      <c r="G43" s="14">
        <f t="shared" si="0"/>
        <v>0.33893357071498281</v>
      </c>
      <c r="H43" s="19">
        <v>389.72</v>
      </c>
      <c r="I43" s="14">
        <f t="shared" si="17"/>
        <v>0.13145319095812943</v>
      </c>
    </row>
    <row r="44" spans="1:12" s="19" customFormat="1" x14ac:dyDescent="0.2">
      <c r="A44" s="18" t="s">
        <v>34</v>
      </c>
      <c r="B44" s="19">
        <v>16.399999999999999</v>
      </c>
      <c r="C44" s="19">
        <v>12.7</v>
      </c>
      <c r="D44" s="19">
        <v>17.920000000000002</v>
      </c>
      <c r="E44" s="19">
        <v>14.465</v>
      </c>
      <c r="F44" s="19">
        <v>28.33</v>
      </c>
      <c r="G44" s="14">
        <f t="shared" si="0"/>
        <v>0.95852056688558585</v>
      </c>
      <c r="H44" s="19">
        <v>58.4</v>
      </c>
      <c r="I44" s="14">
        <f t="shared" si="17"/>
        <v>1.0614189904694671</v>
      </c>
    </row>
    <row r="45" spans="1:12" s="19" customFormat="1" x14ac:dyDescent="0.2">
      <c r="A45" s="18" t="s">
        <v>50</v>
      </c>
      <c r="B45" s="19">
        <v>29.9</v>
      </c>
      <c r="C45" s="19">
        <v>30.61</v>
      </c>
      <c r="D45" s="19">
        <v>19</v>
      </c>
      <c r="E45" s="19">
        <v>11.34</v>
      </c>
      <c r="F45" s="19">
        <v>19.34</v>
      </c>
      <c r="G45" s="14">
        <f t="shared" si="0"/>
        <v>0.70546737213403876</v>
      </c>
      <c r="H45" s="19">
        <v>19.34</v>
      </c>
      <c r="I45" s="14">
        <f t="shared" si="17"/>
        <v>0</v>
      </c>
    </row>
    <row r="46" spans="1:12" s="20" customFormat="1" x14ac:dyDescent="0.2">
      <c r="A46" s="13" t="s">
        <v>35</v>
      </c>
      <c r="B46" s="20">
        <f>SUM(B40:B45)</f>
        <v>1356.2890000000002</v>
      </c>
      <c r="C46" s="20">
        <f>SUM(C40:C45)</f>
        <v>1392.829</v>
      </c>
      <c r="D46" s="20">
        <f t="shared" ref="D46:L46" si="18">SUM(D40:D45)</f>
        <v>1427.836</v>
      </c>
      <c r="E46" s="20">
        <f t="shared" si="18"/>
        <v>1385.4139999999998</v>
      </c>
      <c r="F46" s="20">
        <f t="shared" si="18"/>
        <v>1426.0629999999999</v>
      </c>
      <c r="G46" s="14">
        <f t="shared" si="0"/>
        <v>2.9340688054256794E-2</v>
      </c>
      <c r="H46" s="20">
        <f t="shared" si="18"/>
        <v>1562.6690000000001</v>
      </c>
      <c r="I46" s="14">
        <f t="shared" si="17"/>
        <v>9.5792401878458555E-2</v>
      </c>
      <c r="J46" s="20">
        <f t="shared" si="18"/>
        <v>0</v>
      </c>
      <c r="K46" s="20">
        <f t="shared" si="18"/>
        <v>0</v>
      </c>
      <c r="L46" s="20">
        <f t="shared" si="18"/>
        <v>0</v>
      </c>
    </row>
    <row r="47" spans="1:12" s="19" customFormat="1" x14ac:dyDescent="0.2">
      <c r="A47" s="16" t="s">
        <v>1</v>
      </c>
      <c r="B47" s="19">
        <v>5.21</v>
      </c>
      <c r="C47" s="19">
        <v>2.6560000000000001</v>
      </c>
      <c r="D47" s="19">
        <v>4.24</v>
      </c>
      <c r="E47" s="19">
        <v>7.77</v>
      </c>
      <c r="F47" s="19">
        <v>5.16</v>
      </c>
      <c r="G47" s="14">
        <f t="shared" si="0"/>
        <v>-0.33590733590733585</v>
      </c>
      <c r="H47" s="19">
        <v>10.4</v>
      </c>
      <c r="I47" s="14">
        <f t="shared" si="17"/>
        <v>1.0155038759689923</v>
      </c>
    </row>
    <row r="48" spans="1:12" s="19" customFormat="1" x14ac:dyDescent="0.2">
      <c r="A48" s="16" t="s">
        <v>45</v>
      </c>
      <c r="B48" s="19">
        <v>0</v>
      </c>
      <c r="C48" s="19">
        <v>2.1</v>
      </c>
      <c r="D48" s="19">
        <v>0</v>
      </c>
      <c r="E48" s="19">
        <v>0</v>
      </c>
      <c r="F48" s="19">
        <v>0</v>
      </c>
      <c r="G48" s="14" t="e">
        <f t="shared" si="0"/>
        <v>#DIV/0!</v>
      </c>
      <c r="H48" s="19">
        <v>0</v>
      </c>
      <c r="I48" s="14" t="e">
        <f t="shared" si="17"/>
        <v>#DIV/0!</v>
      </c>
    </row>
    <row r="49" spans="1:12" s="19" customFormat="1" x14ac:dyDescent="0.2">
      <c r="A49" s="16" t="s">
        <v>36</v>
      </c>
      <c r="B49" s="19">
        <v>0.8</v>
      </c>
      <c r="C49" s="19">
        <v>3</v>
      </c>
      <c r="D49" s="19">
        <v>2.1640000000000001</v>
      </c>
      <c r="E49" s="19">
        <v>1.32</v>
      </c>
      <c r="F49" s="19">
        <v>3.1</v>
      </c>
      <c r="G49" s="14">
        <f t="shared" si="0"/>
        <v>1.3484848484848484</v>
      </c>
      <c r="H49" s="19">
        <v>2.3199999999999998</v>
      </c>
      <c r="I49" s="14">
        <f t="shared" si="17"/>
        <v>-0.25161290322580654</v>
      </c>
    </row>
    <row r="50" spans="1:12" s="19" customFormat="1" x14ac:dyDescent="0.2">
      <c r="A50" s="16" t="s">
        <v>37</v>
      </c>
      <c r="B50" s="19">
        <v>15.1</v>
      </c>
      <c r="C50" s="19">
        <v>20.731999999999999</v>
      </c>
      <c r="D50" s="19">
        <v>26.6</v>
      </c>
      <c r="E50" s="19">
        <v>32.74</v>
      </c>
      <c r="F50" s="19">
        <v>39.521999999999998</v>
      </c>
      <c r="G50" s="14">
        <f t="shared" si="0"/>
        <v>0.20714722052535114</v>
      </c>
      <c r="H50" s="19">
        <v>46</v>
      </c>
      <c r="I50" s="14">
        <f t="shared" si="17"/>
        <v>0.1639087090734275</v>
      </c>
    </row>
    <row r="51" spans="1:12" s="22" customFormat="1" x14ac:dyDescent="0.2">
      <c r="A51" s="16" t="s">
        <v>38</v>
      </c>
      <c r="B51" s="19">
        <v>64.5</v>
      </c>
      <c r="C51" s="22">
        <v>73.856999999999999</v>
      </c>
      <c r="D51" s="22">
        <v>45.7</v>
      </c>
      <c r="E51" s="22">
        <v>24.452000000000002</v>
      </c>
      <c r="F51" s="22">
        <v>24.146000000000001</v>
      </c>
      <c r="G51" s="14">
        <f t="shared" si="0"/>
        <v>-1.2514313757565881E-2</v>
      </c>
      <c r="H51" s="22">
        <v>21.8</v>
      </c>
      <c r="I51" s="14">
        <f t="shared" si="17"/>
        <v>-9.7158949722521329E-2</v>
      </c>
    </row>
    <row r="52" spans="1:12" s="22" customFormat="1" x14ac:dyDescent="0.2">
      <c r="A52" s="16" t="s">
        <v>51</v>
      </c>
      <c r="B52" s="19">
        <v>0</v>
      </c>
      <c r="C52" s="22">
        <v>14.44</v>
      </c>
      <c r="D52" s="22">
        <v>2.552</v>
      </c>
      <c r="E52" s="22">
        <v>2.46</v>
      </c>
      <c r="F52" s="22">
        <v>2.6779999999999999</v>
      </c>
      <c r="G52" s="14">
        <f t="shared" si="0"/>
        <v>8.8617886178861779E-2</v>
      </c>
      <c r="H52" s="22">
        <v>1.7889999999999999</v>
      </c>
      <c r="I52" s="14">
        <f t="shared" si="17"/>
        <v>-0.33196415235250187</v>
      </c>
    </row>
    <row r="53" spans="1:12" s="22" customFormat="1" x14ac:dyDescent="0.2">
      <c r="A53" s="16" t="s">
        <v>39</v>
      </c>
      <c r="B53" s="21">
        <v>23.71</v>
      </c>
      <c r="C53" s="22">
        <v>3.9849999999999999</v>
      </c>
      <c r="D53" s="22">
        <v>5.1100000000000003</v>
      </c>
      <c r="E53" s="22">
        <v>5.31</v>
      </c>
      <c r="F53" s="22">
        <v>4.2</v>
      </c>
      <c r="G53" s="14">
        <f t="shared" si="0"/>
        <v>-0.20903954802259878</v>
      </c>
      <c r="H53" s="22">
        <v>11.1</v>
      </c>
      <c r="I53" s="14">
        <f t="shared" si="17"/>
        <v>1.6428571428571426</v>
      </c>
    </row>
    <row r="54" spans="1:12" s="20" customFormat="1" x14ac:dyDescent="0.2">
      <c r="A54" s="13" t="s">
        <v>9</v>
      </c>
      <c r="B54" s="20">
        <f>SUM(B46:B53)</f>
        <v>1465.6090000000002</v>
      </c>
      <c r="C54" s="20">
        <f>SUM(C46:C53)</f>
        <v>1513.5989999999997</v>
      </c>
      <c r="D54" s="20">
        <f t="shared" ref="D54:L54" si="19">SUM(D46:D53)</f>
        <v>1514.2019999999998</v>
      </c>
      <c r="E54" s="20">
        <f t="shared" si="19"/>
        <v>1459.4659999999997</v>
      </c>
      <c r="F54" s="20">
        <f t="shared" si="19"/>
        <v>1504.8689999999999</v>
      </c>
      <c r="G54" s="14">
        <f t="shared" si="0"/>
        <v>3.1109323547105761E-2</v>
      </c>
      <c r="H54" s="20">
        <f t="shared" si="19"/>
        <v>1656.078</v>
      </c>
      <c r="I54" s="14">
        <f t="shared" si="17"/>
        <v>0.1004798424314675</v>
      </c>
      <c r="J54" s="20">
        <f t="shared" si="19"/>
        <v>0</v>
      </c>
      <c r="K54" s="20">
        <f t="shared" si="19"/>
        <v>0</v>
      </c>
      <c r="L54" s="20">
        <f t="shared" si="19"/>
        <v>0</v>
      </c>
    </row>
    <row r="55" spans="1:12" s="21" customFormat="1" hidden="1" x14ac:dyDescent="0.2">
      <c r="A55" s="15"/>
      <c r="G55" s="14" t="e">
        <f t="shared" si="0"/>
        <v>#DIV/0!</v>
      </c>
      <c r="I55" s="14" t="e">
        <f t="shared" si="17"/>
        <v>#DIV/0!</v>
      </c>
    </row>
    <row r="56" spans="1:12" s="21" customFormat="1" x14ac:dyDescent="0.2">
      <c r="A56" s="15"/>
      <c r="G56" s="14"/>
      <c r="I56" s="14"/>
    </row>
    <row r="57" spans="1:12" s="21" customFormat="1" x14ac:dyDescent="0.2">
      <c r="A57" s="6" t="s">
        <v>10</v>
      </c>
      <c r="G57" s="14"/>
      <c r="I57" s="14"/>
    </row>
    <row r="58" spans="1:12" s="21" customFormat="1" x14ac:dyDescent="0.2">
      <c r="A58" s="16" t="s">
        <v>53</v>
      </c>
      <c r="B58" s="21">
        <v>96.5</v>
      </c>
      <c r="C58" s="21">
        <v>112</v>
      </c>
      <c r="D58" s="21">
        <v>93.9</v>
      </c>
      <c r="E58" s="21">
        <v>89.9</v>
      </c>
      <c r="F58" s="21">
        <v>110.9</v>
      </c>
      <c r="G58" s="14">
        <f t="shared" si="0"/>
        <v>0.23359288097886538</v>
      </c>
      <c r="H58" s="21">
        <v>130</v>
      </c>
      <c r="I58" s="14">
        <f t="shared" ref="I58:I64" si="20">(H58-F58)/F58</f>
        <v>0.17222723174030652</v>
      </c>
    </row>
    <row r="59" spans="1:12" s="21" customFormat="1" x14ac:dyDescent="0.2">
      <c r="A59" s="16" t="s">
        <v>54</v>
      </c>
      <c r="B59" s="21">
        <v>0</v>
      </c>
      <c r="C59" s="21">
        <v>0</v>
      </c>
      <c r="D59" s="21">
        <v>0</v>
      </c>
      <c r="E59" s="21">
        <v>0</v>
      </c>
      <c r="F59" s="21">
        <v>99.363</v>
      </c>
      <c r="G59" s="14" t="e">
        <f t="shared" si="0"/>
        <v>#DIV/0!</v>
      </c>
      <c r="H59" s="21">
        <v>99.510999999999996</v>
      </c>
      <c r="I59" s="14">
        <f t="shared" si="20"/>
        <v>1.489488038807163E-3</v>
      </c>
    </row>
    <row r="60" spans="1:12" s="22" customFormat="1" x14ac:dyDescent="0.2">
      <c r="A60" s="16" t="s">
        <v>40</v>
      </c>
      <c r="B60" s="22">
        <v>571</v>
      </c>
      <c r="C60" s="22">
        <v>533</v>
      </c>
      <c r="D60" s="22">
        <v>599.48800000000006</v>
      </c>
      <c r="E60" s="22">
        <v>559.5</v>
      </c>
      <c r="F60" s="22">
        <v>512.45600000000002</v>
      </c>
      <c r="G60" s="14">
        <f t="shared" si="0"/>
        <v>-8.4082216264521864E-2</v>
      </c>
      <c r="H60" s="22">
        <v>538.34299999999996</v>
      </c>
      <c r="I60" s="14">
        <f t="shared" si="20"/>
        <v>5.0515556457529899E-2</v>
      </c>
    </row>
    <row r="61" spans="1:12" s="22" customFormat="1" x14ac:dyDescent="0.2">
      <c r="A61" s="16" t="s">
        <v>41</v>
      </c>
      <c r="B61" s="22">
        <v>5.2759999999999998</v>
      </c>
      <c r="C61" s="22">
        <v>4.18</v>
      </c>
      <c r="D61" s="22">
        <v>4.9800000000000004</v>
      </c>
      <c r="E61" s="22">
        <v>4.2</v>
      </c>
      <c r="F61" s="22">
        <v>3.7450000000000001</v>
      </c>
      <c r="G61" s="14">
        <f t="shared" si="0"/>
        <v>-0.10833333333333335</v>
      </c>
      <c r="H61" s="22">
        <v>5.23</v>
      </c>
      <c r="I61" s="14">
        <f t="shared" si="20"/>
        <v>0.39652870493991998</v>
      </c>
    </row>
    <row r="62" spans="1:12" s="22" customFormat="1" hidden="1" x14ac:dyDescent="0.2">
      <c r="A62" s="16" t="s">
        <v>42</v>
      </c>
      <c r="B62" s="22">
        <v>8.9</v>
      </c>
      <c r="C62" s="22">
        <v>0</v>
      </c>
      <c r="D62" s="22">
        <v>0</v>
      </c>
      <c r="E62" s="22">
        <v>0</v>
      </c>
      <c r="F62" s="22">
        <v>0</v>
      </c>
      <c r="G62" s="14" t="e">
        <f t="shared" si="0"/>
        <v>#DIV/0!</v>
      </c>
      <c r="H62" s="22">
        <v>0</v>
      </c>
      <c r="I62" s="14" t="e">
        <f t="shared" si="20"/>
        <v>#DIV/0!</v>
      </c>
    </row>
    <row r="63" spans="1:12" s="22" customFormat="1" x14ac:dyDescent="0.2">
      <c r="A63" s="16" t="s">
        <v>43</v>
      </c>
      <c r="B63" s="22">
        <v>25.22</v>
      </c>
      <c r="C63" s="22">
        <v>31.44</v>
      </c>
      <c r="D63" s="22">
        <v>30.4</v>
      </c>
      <c r="E63" s="22">
        <v>30.1</v>
      </c>
      <c r="F63" s="22">
        <v>33.234000000000002</v>
      </c>
      <c r="G63" s="14">
        <f t="shared" si="0"/>
        <v>0.10411960132890366</v>
      </c>
      <c r="H63" s="22">
        <v>32.700000000000003</v>
      </c>
      <c r="I63" s="14">
        <f t="shared" si="20"/>
        <v>-1.6067882289221846E-2</v>
      </c>
    </row>
    <row r="64" spans="1:12" s="20" customFormat="1" x14ac:dyDescent="0.2">
      <c r="A64" s="12" t="s">
        <v>11</v>
      </c>
      <c r="B64" s="20">
        <f>SUM(B58:B63)</f>
        <v>706.89599999999996</v>
      </c>
      <c r="C64" s="20">
        <f>SUM(C58:C63)</f>
        <v>680.62</v>
      </c>
      <c r="D64" s="20">
        <f t="shared" ref="D64:L64" si="21">SUM(D58:D63)</f>
        <v>728.76800000000003</v>
      </c>
      <c r="E64" s="20">
        <f t="shared" si="21"/>
        <v>683.7</v>
      </c>
      <c r="F64" s="20">
        <f t="shared" si="21"/>
        <v>759.69800000000009</v>
      </c>
      <c r="G64" s="14">
        <f t="shared" si="0"/>
        <v>0.1111569401784409</v>
      </c>
      <c r="H64" s="20">
        <f t="shared" si="21"/>
        <v>805.78399999999999</v>
      </c>
      <c r="I64" s="14">
        <f t="shared" si="20"/>
        <v>6.0663579475001769E-2</v>
      </c>
      <c r="J64" s="20">
        <f t="shared" si="21"/>
        <v>0</v>
      </c>
      <c r="K64" s="20">
        <f t="shared" si="21"/>
        <v>0</v>
      </c>
      <c r="L64" s="20">
        <f t="shared" si="21"/>
        <v>0</v>
      </c>
    </row>
    <row r="65" spans="1:12" s="19" customFormat="1" x14ac:dyDescent="0.2">
      <c r="A65" s="15"/>
      <c r="G65" s="14"/>
      <c r="I65" s="14"/>
    </row>
    <row r="66" spans="1:12" s="20" customFormat="1" x14ac:dyDescent="0.2">
      <c r="A66" s="6" t="s">
        <v>15</v>
      </c>
      <c r="B66" s="20">
        <f>B54-B64</f>
        <v>758.71300000000019</v>
      </c>
      <c r="C66" s="20">
        <f>C54-C64</f>
        <v>832.9789999999997</v>
      </c>
      <c r="D66" s="20">
        <f t="shared" ref="D66:L66" si="22">D54-D64</f>
        <v>785.43399999999974</v>
      </c>
      <c r="E66" s="20">
        <f t="shared" si="22"/>
        <v>775.76599999999962</v>
      </c>
      <c r="F66" s="20">
        <f t="shared" si="22"/>
        <v>745.17099999999982</v>
      </c>
      <c r="G66" s="14">
        <f t="shared" si="0"/>
        <v>-3.9438438910702214E-2</v>
      </c>
      <c r="H66" s="20">
        <f t="shared" si="22"/>
        <v>850.29399999999998</v>
      </c>
      <c r="I66" s="14">
        <f t="shared" ref="I66:I73" si="23">(H66-F66)/F66</f>
        <v>0.14107231762910821</v>
      </c>
      <c r="J66" s="20">
        <f t="shared" si="22"/>
        <v>0</v>
      </c>
      <c r="K66" s="20">
        <f t="shared" si="22"/>
        <v>0</v>
      </c>
      <c r="L66" s="20">
        <f t="shared" si="22"/>
        <v>0</v>
      </c>
    </row>
    <row r="67" spans="1:12" x14ac:dyDescent="0.2">
      <c r="A67" s="15" t="s">
        <v>57</v>
      </c>
      <c r="B67" s="8">
        <f>B30/B18</f>
        <v>0.48348555618361955</v>
      </c>
      <c r="C67" s="8">
        <f t="shared" ref="C67:L67" si="24">C30/C18</f>
        <v>0.48330367734282326</v>
      </c>
      <c r="D67" s="8">
        <f t="shared" si="24"/>
        <v>0.4304517465988138</v>
      </c>
      <c r="E67" s="8">
        <f t="shared" si="24"/>
        <v>0.32296811361368583</v>
      </c>
      <c r="F67" s="8">
        <f t="shared" si="24"/>
        <v>0.30481421148534227</v>
      </c>
      <c r="G67" s="14">
        <f t="shared" si="0"/>
        <v>-5.620958033664622E-2</v>
      </c>
      <c r="H67" s="8">
        <f t="shared" si="24"/>
        <v>0.34983699965173293</v>
      </c>
      <c r="I67" s="14">
        <f t="shared" si="23"/>
        <v>0.14770567273421137</v>
      </c>
      <c r="J67" s="8" t="e">
        <f t="shared" si="24"/>
        <v>#DIV/0!</v>
      </c>
      <c r="K67" s="8" t="e">
        <f t="shared" si="24"/>
        <v>#DIV/0!</v>
      </c>
      <c r="L67" s="8" t="e">
        <f t="shared" si="24"/>
        <v>#DIV/0!</v>
      </c>
    </row>
    <row r="68" spans="1:12" x14ac:dyDescent="0.2">
      <c r="A68" s="15" t="s">
        <v>16</v>
      </c>
      <c r="B68" s="8">
        <f>B36/B18</f>
        <v>0.51956088418171553</v>
      </c>
      <c r="C68" s="8">
        <f t="shared" ref="C68:L68" si="25">C36/C18</f>
        <v>0.91951957295373676</v>
      </c>
      <c r="D68" s="8">
        <f t="shared" si="25"/>
        <v>0.43590767553682341</v>
      </c>
      <c r="E68" s="8">
        <f t="shared" si="25"/>
        <v>0.60011170589970309</v>
      </c>
      <c r="F68" s="8">
        <f t="shared" si="25"/>
        <v>0.36193830443432851</v>
      </c>
      <c r="G68" s="14">
        <f t="shared" si="0"/>
        <v>-0.39688177904861699</v>
      </c>
      <c r="H68" s="8">
        <f t="shared" si="25"/>
        <v>0.57438353896307792</v>
      </c>
      <c r="I68" s="14">
        <f t="shared" si="23"/>
        <v>0.5869653251008593</v>
      </c>
      <c r="J68" s="8" t="e">
        <f t="shared" si="25"/>
        <v>#DIV/0!</v>
      </c>
      <c r="K68" s="8" t="e">
        <f t="shared" si="25"/>
        <v>#DIV/0!</v>
      </c>
      <c r="L68" s="8" t="e">
        <f t="shared" si="25"/>
        <v>#DIV/0!</v>
      </c>
    </row>
    <row r="69" spans="1:12" s="15" customFormat="1" x14ac:dyDescent="0.2">
      <c r="A69" s="15" t="s">
        <v>58</v>
      </c>
      <c r="B69" s="23">
        <f>B8/B54</f>
        <v>3.5548362489586237E-3</v>
      </c>
      <c r="C69" s="23">
        <f t="shared" ref="C69:L69" si="26">C8/C54</f>
        <v>3.1421796658163761E-3</v>
      </c>
      <c r="D69" s="23">
        <f t="shared" si="26"/>
        <v>2.8001548010106979E-3</v>
      </c>
      <c r="E69" s="23">
        <f t="shared" si="26"/>
        <v>5.3238650300863471E-3</v>
      </c>
      <c r="F69" s="23">
        <f t="shared" si="26"/>
        <v>3.4288698883424406E-3</v>
      </c>
      <c r="G69" s="14">
        <f t="shared" si="0"/>
        <v>-0.35594349801034902</v>
      </c>
      <c r="H69" s="23">
        <f t="shared" si="26"/>
        <v>6.2798974444440419E-3</v>
      </c>
      <c r="I69" s="14">
        <f t="shared" si="23"/>
        <v>0.83147732312462408</v>
      </c>
      <c r="J69" s="23" t="e">
        <f t="shared" si="26"/>
        <v>#DIV/0!</v>
      </c>
      <c r="K69" s="23" t="e">
        <f t="shared" si="26"/>
        <v>#DIV/0!</v>
      </c>
      <c r="L69" s="23" t="e">
        <f t="shared" si="26"/>
        <v>#DIV/0!</v>
      </c>
    </row>
    <row r="70" spans="1:12" hidden="1" x14ac:dyDescent="0.2">
      <c r="A70" s="15"/>
      <c r="G70" s="14" t="e">
        <f t="shared" ref="G70:G73" si="27">(F70-E70)/E70</f>
        <v>#DIV/0!</v>
      </c>
      <c r="I70" s="14" t="e">
        <f t="shared" si="23"/>
        <v>#DIV/0!</v>
      </c>
    </row>
    <row r="71" spans="1:12" s="9" customFormat="1" x14ac:dyDescent="0.2">
      <c r="A71" s="15" t="s">
        <v>59</v>
      </c>
      <c r="B71" s="24">
        <f>B64/B66</f>
        <v>0.93170408309861541</v>
      </c>
      <c r="C71" s="24">
        <f t="shared" ref="C71:L71" si="28">C64/C66</f>
        <v>0.8170914272748776</v>
      </c>
      <c r="D71" s="24">
        <f t="shared" si="28"/>
        <v>0.92785389988210376</v>
      </c>
      <c r="E71" s="24">
        <f t="shared" si="28"/>
        <v>0.88132246063890451</v>
      </c>
      <c r="F71" s="24">
        <f t="shared" si="28"/>
        <v>1.0194948542012507</v>
      </c>
      <c r="G71" s="14">
        <f t="shared" si="27"/>
        <v>0.15677847749639759</v>
      </c>
      <c r="H71" s="24">
        <f t="shared" si="28"/>
        <v>0.94765339988286401</v>
      </c>
      <c r="I71" s="14">
        <f t="shared" si="23"/>
        <v>-7.0467696842543406E-2</v>
      </c>
      <c r="J71" s="24" t="e">
        <f t="shared" si="28"/>
        <v>#DIV/0!</v>
      </c>
      <c r="K71" s="24" t="e">
        <f t="shared" si="28"/>
        <v>#DIV/0!</v>
      </c>
      <c r="L71" s="24" t="e">
        <f t="shared" si="28"/>
        <v>#DIV/0!</v>
      </c>
    </row>
    <row r="72" spans="1:12" s="9" customFormat="1" x14ac:dyDescent="0.2">
      <c r="A72" s="25" t="s">
        <v>61</v>
      </c>
      <c r="B72" s="24">
        <f>B14/B40</f>
        <v>0.12719413744769045</v>
      </c>
      <c r="C72" s="24">
        <f t="shared" ref="C72:L72" si="29">C14/C40</f>
        <v>0.12278394921786444</v>
      </c>
      <c r="D72" s="24">
        <f t="shared" si="29"/>
        <v>0.13762207647122418</v>
      </c>
      <c r="E72" s="24">
        <f t="shared" si="29"/>
        <v>0.11439115060624588</v>
      </c>
      <c r="F72" s="24">
        <f t="shared" si="29"/>
        <v>0.11714771783188951</v>
      </c>
      <c r="G72" s="14">
        <f t="shared" si="27"/>
        <v>2.4097731433196358E-2</v>
      </c>
      <c r="H72" s="24">
        <f t="shared" si="29"/>
        <v>0.12716311353495291</v>
      </c>
      <c r="I72" s="14">
        <f t="shared" si="23"/>
        <v>8.5493732941821277E-2</v>
      </c>
      <c r="J72" s="24" t="e">
        <f t="shared" si="29"/>
        <v>#DIV/0!</v>
      </c>
      <c r="K72" s="24" t="e">
        <f t="shared" si="29"/>
        <v>#DIV/0!</v>
      </c>
      <c r="L72" s="24" t="e">
        <f t="shared" si="29"/>
        <v>#DIV/0!</v>
      </c>
    </row>
    <row r="73" spans="1:12" s="9" customFormat="1" x14ac:dyDescent="0.2">
      <c r="A73" s="25" t="s">
        <v>60</v>
      </c>
      <c r="B73" s="24">
        <f>B18/B46</f>
        <v>0.12391533072966013</v>
      </c>
      <c r="C73" s="24">
        <f t="shared" ref="C73:K73" si="30">C18/C46</f>
        <v>0.1210485996486288</v>
      </c>
      <c r="D73" s="24">
        <f t="shared" si="30"/>
        <v>0.1297789101829622</v>
      </c>
      <c r="E73" s="24">
        <f t="shared" si="30"/>
        <v>0.11501760484591612</v>
      </c>
      <c r="F73" s="24">
        <f t="shared" si="30"/>
        <v>0.10890893319579852</v>
      </c>
      <c r="G73" s="14">
        <f t="shared" si="27"/>
        <v>-5.311075342162723E-2</v>
      </c>
      <c r="H73" s="24">
        <f t="shared" si="30"/>
        <v>0.11208579680021807</v>
      </c>
      <c r="I73" s="14">
        <f t="shared" si="23"/>
        <v>2.9169908392254043E-2</v>
      </c>
      <c r="J73" s="24" t="e">
        <f t="shared" si="30"/>
        <v>#DIV/0!</v>
      </c>
      <c r="K73" s="24" t="e">
        <f t="shared" si="30"/>
        <v>#DIV/0!</v>
      </c>
      <c r="L73" s="24" t="e">
        <f>L18/L46</f>
        <v>#DIV/0!</v>
      </c>
    </row>
    <row r="74" spans="1:12" s="9" customFormat="1" x14ac:dyDescent="0.2">
      <c r="A74" s="15"/>
    </row>
    <row r="75" spans="1:12" s="6" customFormat="1" x14ac:dyDescent="0.2">
      <c r="A75" s="15"/>
    </row>
    <row r="76" spans="1:12" x14ac:dyDescent="0.2">
      <c r="A76" s="15"/>
    </row>
    <row r="77" spans="1:12" s="6" customFormat="1" x14ac:dyDescent="0.2">
      <c r="A77" s="15"/>
    </row>
    <row r="78" spans="1:12" x14ac:dyDescent="0.2">
      <c r="A78" s="15"/>
    </row>
    <row r="79" spans="1:12" x14ac:dyDescent="0.2">
      <c r="A79" s="15"/>
    </row>
    <row r="80" spans="1:12" x14ac:dyDescent="0.2">
      <c r="A80" s="15"/>
    </row>
    <row r="81" spans="1:1" x14ac:dyDescent="0.2">
      <c r="A81" s="15"/>
    </row>
    <row r="82" spans="1:1" x14ac:dyDescent="0.2">
      <c r="A82" s="15"/>
    </row>
    <row r="83" spans="1:1" x14ac:dyDescent="0.2">
      <c r="A83" s="15"/>
    </row>
    <row r="84" spans="1:1" x14ac:dyDescent="0.2">
      <c r="A84" s="15"/>
    </row>
    <row r="85" spans="1:1" x14ac:dyDescent="0.2">
      <c r="A85" s="15"/>
    </row>
    <row r="86" spans="1:1" x14ac:dyDescent="0.2">
      <c r="A86" s="15"/>
    </row>
    <row r="87" spans="1:1" x14ac:dyDescent="0.2">
      <c r="A87" s="15"/>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_activity xmlns="36567613-e428-4167-ab55-a4f66cede826"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600919C5D1CD245AE9967B74E8175F3" ma:contentTypeVersion="4" ma:contentTypeDescription="Create a new document." ma:contentTypeScope="" ma:versionID="120c46befeed181212ee4011ffacfb7d">
  <xsd:schema xmlns:xsd="http://www.w3.org/2001/XMLSchema" xmlns:xs="http://www.w3.org/2001/XMLSchema" xmlns:p="http://schemas.microsoft.com/office/2006/metadata/properties" xmlns:ns3="36567613-e428-4167-ab55-a4f66cede826" targetNamespace="http://schemas.microsoft.com/office/2006/metadata/properties" ma:root="true" ma:fieldsID="f5f46ca8589c002687fe72246ecbcd08" ns3:_="">
    <xsd:import namespace="36567613-e428-4167-ab55-a4f66cede826"/>
    <xsd:element name="properties">
      <xsd:complexType>
        <xsd:sequence>
          <xsd:element name="documentManagement">
            <xsd:complexType>
              <xsd:all>
                <xsd:element ref="ns3:MediaServiceMetadata" minOccurs="0"/>
                <xsd:element ref="ns3:MediaServiceFastMetadata" minOccurs="0"/>
                <xsd:element ref="ns3:_activity" minOccurs="0"/>
                <xsd:element ref="ns3:MediaServiceObjectDetectorVersion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6567613-e428-4167-ab55-a4f66cede82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_activity" ma:index="10" nillable="true" ma:displayName="_activity" ma:hidden="true" ma:internalName="_activity">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82AF3359-AA7B-4C3F-BB32-4122371AAA35}">
  <ds:schemaRefs>
    <ds:schemaRef ds:uri="http://purl.org/dc/dcmitype/"/>
    <ds:schemaRef ds:uri="http://schemas.openxmlformats.org/package/2006/metadata/core-properties"/>
    <ds:schemaRef ds:uri="http://schemas.microsoft.com/office/2006/metadata/properties"/>
    <ds:schemaRef ds:uri="36567613-e428-4167-ab55-a4f66cede826"/>
    <ds:schemaRef ds:uri="http://schemas.microsoft.com/office/2006/documentManagement/types"/>
    <ds:schemaRef ds:uri="http://www.w3.org/XML/1998/namespace"/>
    <ds:schemaRef ds:uri="http://schemas.microsoft.com/office/infopath/2007/PartnerControls"/>
    <ds:schemaRef ds:uri="http://purl.org/dc/terms/"/>
    <ds:schemaRef ds:uri="http://purl.org/dc/elements/1.1/"/>
  </ds:schemaRefs>
</ds:datastoreItem>
</file>

<file path=customXml/itemProps2.xml><?xml version="1.0" encoding="utf-8"?>
<ds:datastoreItem xmlns:ds="http://schemas.openxmlformats.org/officeDocument/2006/customXml" ds:itemID="{29E13D9A-DD22-4523-8FC5-AAF3D3956DB1}">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36567613-e428-4167-ab55-a4f66cede82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C9B4B395-A628-4AF2-9AB1-05807B2F72E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Abraham</dc:creator>
  <cp:lastModifiedBy>Abraham Gonzalez Herrera</cp:lastModifiedBy>
  <dcterms:created xsi:type="dcterms:W3CDTF">2023-02-21T16:55:27Z</dcterms:created>
  <dcterms:modified xsi:type="dcterms:W3CDTF">2023-11-22T07:02:39Z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0x0101004600919C5D1CD245AE9967B74E8175F3</vt:lpwstr>
  </property>
</Properties>
</file>