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E:\Earnings models (BACKUP)\"/>
    </mc:Choice>
  </mc:AlternateContent>
  <xr:revisionPtr revIDLastSave="0" documentId="8_{3534BE99-7D59-44CD-AE39-B300C9A46E2A}" xr6:coauthVersionLast="47" xr6:coauthVersionMax="47" xr10:uidLastSave="{00000000-0000-0000-0000-000000000000}"/>
  <bookViews>
    <workbookView xWindow="-120" yWindow="-120" windowWidth="29040" windowHeight="15720" xr2:uid="{57DEA323-E204-44E7-AD7B-E92EB4E4853D}"/>
  </bookViews>
  <sheets>
    <sheet name="Statements" sheetId="1" r:id="rId1"/>
    <sheet name="Analysis" sheetId="2" r:id="rId2"/>
    <sheet name="Note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7" i="1" l="1"/>
  <c r="U56" i="1"/>
  <c r="T56" i="1"/>
  <c r="S56" i="1"/>
  <c r="R56" i="1"/>
  <c r="Q56" i="1"/>
  <c r="P56" i="1"/>
  <c r="O56" i="1"/>
  <c r="D10" i="3"/>
  <c r="D9" i="3"/>
  <c r="D8" i="3"/>
  <c r="D7" i="3"/>
  <c r="D6" i="3"/>
  <c r="D5" i="3"/>
  <c r="D4" i="3"/>
  <c r="L61" i="1"/>
  <c r="K61" i="1"/>
  <c r="J61" i="1"/>
  <c r="I61" i="1"/>
  <c r="H61" i="1"/>
  <c r="G61" i="1"/>
  <c r="F61" i="1"/>
  <c r="E61" i="1"/>
  <c r="D61" i="1"/>
  <c r="C61" i="1"/>
  <c r="X56" i="1"/>
  <c r="W56" i="1"/>
  <c r="V56" i="1"/>
  <c r="X55" i="1"/>
  <c r="W55" i="1"/>
  <c r="V55" i="1"/>
  <c r="X54" i="1"/>
  <c r="W54" i="1"/>
  <c r="V54" i="1"/>
  <c r="X53" i="1"/>
  <c r="W53" i="1"/>
  <c r="V53" i="1"/>
  <c r="X52" i="1"/>
  <c r="W52" i="1"/>
  <c r="V52" i="1"/>
  <c r="X51" i="1"/>
  <c r="W51" i="1"/>
  <c r="V51" i="1"/>
  <c r="X50" i="1"/>
  <c r="W50" i="1"/>
  <c r="V50" i="1"/>
  <c r="X49" i="1"/>
  <c r="W49" i="1"/>
  <c r="V49" i="1"/>
  <c r="X48" i="1"/>
  <c r="W48" i="1"/>
  <c r="V48" i="1"/>
  <c r="X47" i="1"/>
  <c r="W47" i="1"/>
  <c r="V47" i="1"/>
  <c r="X46" i="1"/>
  <c r="W46" i="1"/>
  <c r="V46" i="1"/>
  <c r="X45" i="1"/>
  <c r="W45" i="1"/>
  <c r="V45" i="1"/>
  <c r="X44" i="1"/>
  <c r="W44" i="1"/>
  <c r="V44" i="1"/>
  <c r="X42" i="1"/>
  <c r="W42" i="1"/>
  <c r="V42" i="1"/>
  <c r="X41" i="1"/>
  <c r="W41" i="1"/>
  <c r="V41" i="1"/>
  <c r="X40" i="1"/>
  <c r="W40" i="1"/>
  <c r="V40" i="1"/>
  <c r="X39" i="1"/>
  <c r="W39" i="1"/>
  <c r="V39" i="1"/>
  <c r="X38" i="1"/>
  <c r="W38" i="1"/>
  <c r="V38" i="1"/>
  <c r="X37" i="1"/>
  <c r="W37" i="1"/>
  <c r="V37" i="1"/>
  <c r="X36" i="1"/>
  <c r="W36" i="1"/>
  <c r="V36" i="1"/>
  <c r="X35" i="1"/>
  <c r="W35" i="1"/>
  <c r="V35" i="1"/>
  <c r="X34" i="1"/>
  <c r="W34" i="1"/>
  <c r="V34" i="1"/>
  <c r="X33" i="1"/>
  <c r="W33" i="1"/>
  <c r="V33" i="1"/>
  <c r="X32" i="1"/>
  <c r="W32" i="1"/>
  <c r="V32" i="1"/>
  <c r="X31" i="1"/>
  <c r="W31" i="1"/>
  <c r="V31" i="1"/>
  <c r="X30" i="1"/>
  <c r="W30" i="1"/>
  <c r="V30" i="1"/>
  <c r="X29" i="1"/>
  <c r="W29" i="1"/>
  <c r="V29" i="1"/>
  <c r="X28" i="1"/>
  <c r="W28" i="1"/>
  <c r="V28" i="1"/>
  <c r="X27" i="1"/>
  <c r="W27" i="1"/>
  <c r="V27" i="1"/>
  <c r="X23" i="1"/>
  <c r="W23" i="1"/>
  <c r="V23" i="1"/>
  <c r="X22" i="1"/>
  <c r="W22" i="1"/>
  <c r="V22" i="1"/>
  <c r="X21" i="1"/>
  <c r="W21" i="1"/>
  <c r="V21" i="1"/>
  <c r="X20" i="1"/>
  <c r="W20" i="1"/>
  <c r="V20" i="1"/>
  <c r="X19" i="1"/>
  <c r="W19" i="1"/>
  <c r="V19" i="1"/>
  <c r="X18" i="1"/>
  <c r="W18" i="1"/>
  <c r="V18" i="1"/>
  <c r="X17" i="1"/>
  <c r="W17" i="1"/>
  <c r="V17" i="1"/>
  <c r="X16" i="1"/>
  <c r="W16" i="1"/>
  <c r="V16" i="1"/>
  <c r="X15" i="1"/>
  <c r="W15" i="1"/>
  <c r="V15" i="1"/>
  <c r="X14" i="1"/>
  <c r="W14" i="1"/>
  <c r="V14" i="1"/>
  <c r="X13" i="1"/>
  <c r="W13" i="1"/>
  <c r="V13" i="1"/>
  <c r="X12" i="1"/>
  <c r="W12" i="1"/>
  <c r="V12" i="1"/>
  <c r="X11" i="1"/>
  <c r="W11" i="1"/>
  <c r="V11" i="1"/>
  <c r="L55" i="1"/>
  <c r="K55" i="1"/>
  <c r="J55" i="1"/>
  <c r="L54" i="1"/>
  <c r="K54" i="1"/>
  <c r="J54" i="1"/>
  <c r="L53" i="1"/>
  <c r="K53" i="1"/>
  <c r="J53" i="1"/>
  <c r="L52" i="1"/>
  <c r="K52" i="1"/>
  <c r="J52" i="1"/>
  <c r="L51" i="1"/>
  <c r="K51" i="1"/>
  <c r="J51" i="1"/>
  <c r="L50" i="1"/>
  <c r="K50" i="1"/>
  <c r="J50" i="1"/>
  <c r="L49" i="1"/>
  <c r="K49" i="1"/>
  <c r="J49" i="1"/>
  <c r="L48" i="1"/>
  <c r="K48" i="1"/>
  <c r="J48" i="1"/>
  <c r="L46" i="1"/>
  <c r="K46" i="1"/>
  <c r="J46" i="1"/>
  <c r="L45" i="1"/>
  <c r="K45" i="1"/>
  <c r="J45" i="1"/>
  <c r="L44" i="1"/>
  <c r="K44" i="1"/>
  <c r="J44" i="1"/>
  <c r="L43" i="1"/>
  <c r="K43" i="1"/>
  <c r="J43" i="1"/>
  <c r="L42" i="1"/>
  <c r="K42" i="1"/>
  <c r="J42" i="1"/>
  <c r="L41" i="1"/>
  <c r="K41" i="1"/>
  <c r="J41" i="1"/>
  <c r="L40" i="1"/>
  <c r="K40" i="1"/>
  <c r="J40" i="1"/>
  <c r="L39" i="1"/>
  <c r="K39" i="1"/>
  <c r="J39" i="1"/>
  <c r="L38" i="1"/>
  <c r="K38" i="1"/>
  <c r="J38" i="1"/>
  <c r="L37" i="1"/>
  <c r="K37" i="1"/>
  <c r="J37" i="1"/>
  <c r="L35" i="1"/>
  <c r="K35" i="1"/>
  <c r="J35" i="1"/>
  <c r="L34" i="1"/>
  <c r="K34" i="1"/>
  <c r="J34" i="1"/>
  <c r="L33" i="1"/>
  <c r="K33" i="1"/>
  <c r="J33" i="1"/>
  <c r="L32" i="1"/>
  <c r="K32" i="1"/>
  <c r="J32" i="1"/>
  <c r="L31" i="1"/>
  <c r="K31" i="1"/>
  <c r="J31" i="1"/>
  <c r="L30" i="1"/>
  <c r="K30" i="1"/>
  <c r="J30" i="1"/>
  <c r="L29" i="1"/>
  <c r="K29" i="1"/>
  <c r="J29" i="1"/>
  <c r="L28" i="1"/>
  <c r="K28" i="1"/>
  <c r="J28" i="1"/>
  <c r="L27" i="1"/>
  <c r="K27" i="1"/>
  <c r="J27" i="1"/>
  <c r="L26" i="1"/>
  <c r="K26" i="1"/>
  <c r="J26" i="1"/>
  <c r="L25" i="1"/>
  <c r="K25" i="1"/>
  <c r="J25" i="1"/>
  <c r="L24" i="1"/>
  <c r="K24" i="1"/>
  <c r="J24" i="1"/>
  <c r="L23" i="1"/>
  <c r="K23" i="1"/>
  <c r="J23" i="1"/>
  <c r="L22" i="1"/>
  <c r="K22" i="1"/>
  <c r="J22" i="1"/>
  <c r="L21" i="1"/>
  <c r="K21" i="1"/>
  <c r="J21" i="1"/>
  <c r="L18" i="1"/>
  <c r="K18" i="1"/>
  <c r="J18" i="1"/>
  <c r="L17" i="1"/>
  <c r="K17" i="1"/>
  <c r="J17" i="1"/>
  <c r="L16" i="1"/>
  <c r="K16" i="1"/>
  <c r="J16" i="1"/>
  <c r="L15" i="1"/>
  <c r="K15" i="1"/>
  <c r="J15" i="1"/>
  <c r="L14" i="1"/>
  <c r="K14" i="1"/>
  <c r="J14" i="1"/>
  <c r="L13" i="1"/>
  <c r="K13" i="1"/>
  <c r="J13" i="1"/>
  <c r="L12" i="1"/>
  <c r="K12" i="1"/>
  <c r="J12" i="1"/>
  <c r="L11" i="1"/>
  <c r="K11" i="1"/>
  <c r="J11" i="1"/>
  <c r="U52" i="1"/>
  <c r="U53" i="1" s="1"/>
  <c r="U49" i="1"/>
  <c r="U48" i="1"/>
  <c r="U50" i="1" s="1"/>
  <c r="U46" i="1"/>
  <c r="U51" i="1" s="1"/>
  <c r="U45" i="1"/>
  <c r="U47" i="1" s="1"/>
  <c r="U44" i="1"/>
  <c r="U42" i="1"/>
  <c r="U35" i="1"/>
  <c r="U23" i="1"/>
  <c r="U16" i="1"/>
  <c r="I55" i="1"/>
  <c r="I54" i="1"/>
  <c r="I53" i="1"/>
  <c r="I52" i="1"/>
  <c r="I51" i="1"/>
  <c r="I49" i="1"/>
  <c r="H46" i="1"/>
  <c r="G46" i="1"/>
  <c r="F46" i="1"/>
  <c r="E46" i="1"/>
  <c r="D46" i="1"/>
  <c r="C46" i="1"/>
  <c r="I46" i="1"/>
  <c r="I44" i="1"/>
  <c r="I37" i="1"/>
  <c r="I35" i="1"/>
  <c r="I18" i="1"/>
  <c r="I15" i="1"/>
  <c r="C60" i="1"/>
  <c r="F28" i="2" s="1" a="1"/>
  <c r="C59" i="1"/>
  <c r="H58" i="1"/>
  <c r="C58" i="1"/>
  <c r="D28" i="2" s="1" a="1"/>
  <c r="H57" i="1"/>
  <c r="F57" i="1"/>
  <c r="E57" i="1"/>
  <c r="D57" i="1"/>
  <c r="C57" i="1"/>
  <c r="C28" i="2" l="1" a="1"/>
  <c r="U54" i="1"/>
  <c r="U55" i="1"/>
  <c r="E28" i="2" a="1"/>
  <c r="F56" i="1"/>
  <c r="G51" i="1"/>
  <c r="F51" i="1"/>
  <c r="E51" i="1"/>
  <c r="D51" i="1"/>
  <c r="C51" i="1"/>
  <c r="H51" i="1"/>
  <c r="O41" i="1"/>
  <c r="P41" i="1"/>
  <c r="P45" i="1"/>
  <c r="O45" i="1"/>
  <c r="O22" i="1"/>
  <c r="P22" i="1"/>
  <c r="O14" i="1"/>
  <c r="P14" i="1"/>
  <c r="P16" i="1" s="1"/>
  <c r="P23" i="1" s="1"/>
  <c r="C34" i="1"/>
  <c r="C35" i="1" s="1"/>
  <c r="Q41" i="1"/>
  <c r="R41" i="1"/>
  <c r="Q22" i="1"/>
  <c r="R22" i="1"/>
  <c r="D34" i="1"/>
  <c r="D35" i="1" s="1"/>
  <c r="T46" i="1"/>
  <c r="S46" i="1"/>
  <c r="R46" i="1"/>
  <c r="Q46" i="1"/>
  <c r="P46" i="1"/>
  <c r="O46" i="1"/>
  <c r="T45" i="1"/>
  <c r="S45" i="1"/>
  <c r="R45" i="1"/>
  <c r="Q45" i="1"/>
  <c r="E34" i="1"/>
  <c r="E35" i="1" s="1"/>
  <c r="S35" i="1"/>
  <c r="S42" i="1" s="1"/>
  <c r="R35" i="1"/>
  <c r="Q35" i="1"/>
  <c r="P35" i="1"/>
  <c r="O35" i="1"/>
  <c r="T35" i="1"/>
  <c r="S16" i="1"/>
  <c r="S23" i="1" s="1"/>
  <c r="R16" i="1"/>
  <c r="Q16" i="1"/>
  <c r="T16" i="1"/>
  <c r="T23" i="1" s="1"/>
  <c r="G35" i="1"/>
  <c r="F35" i="1"/>
  <c r="H35" i="1"/>
  <c r="T9" i="2"/>
  <c r="T8" i="2"/>
  <c r="T7" i="2"/>
  <c r="T6" i="2"/>
  <c r="T5" i="2"/>
  <c r="T10" i="2"/>
  <c r="G9" i="2"/>
  <c r="G8" i="2"/>
  <c r="G7" i="2"/>
  <c r="G6" i="2"/>
  <c r="G5" i="2"/>
  <c r="G10" i="2"/>
  <c r="G15" i="1"/>
  <c r="G18" i="1" s="1"/>
  <c r="F15" i="1"/>
  <c r="F18" i="1" s="1"/>
  <c r="E15" i="1"/>
  <c r="E18" i="1" s="1"/>
  <c r="D15" i="1"/>
  <c r="D18" i="1" s="1"/>
  <c r="C15" i="1"/>
  <c r="C18" i="1" s="1"/>
  <c r="C56" i="1" s="1"/>
  <c r="H15" i="1"/>
  <c r="H18" i="1" s="1"/>
  <c r="C4" i="1" a="1"/>
  <c r="S44" i="1" l="1"/>
  <c r="G37" i="1"/>
  <c r="T42" i="1"/>
  <c r="T44" i="1" s="1"/>
  <c r="S47" i="1"/>
  <c r="R47" i="1"/>
  <c r="Q47" i="1"/>
  <c r="P47" i="1"/>
  <c r="O47" i="1"/>
  <c r="T47" i="1"/>
  <c r="T51" i="1"/>
  <c r="R42" i="1"/>
  <c r="R51" i="1" s="1"/>
  <c r="P42" i="1"/>
  <c r="P44" i="1" s="1"/>
  <c r="P49" i="1" s="1"/>
  <c r="H54" i="1"/>
  <c r="O16" i="1"/>
  <c r="H56" i="1"/>
  <c r="S54" i="1"/>
  <c r="S55" i="1"/>
  <c r="G44" i="1"/>
  <c r="G52" i="1"/>
  <c r="C54" i="1"/>
  <c r="G56" i="1"/>
  <c r="C55" i="1"/>
  <c r="Q52" i="1"/>
  <c r="Q53" i="1" s="1"/>
  <c r="D54" i="1"/>
  <c r="E54" i="1"/>
  <c r="T52" i="1"/>
  <c r="T48" i="1"/>
  <c r="F54" i="1"/>
  <c r="F37" i="1"/>
  <c r="R52" i="1"/>
  <c r="G54" i="1"/>
  <c r="S48" i="1"/>
  <c r="S52" i="1"/>
  <c r="S53" i="1" s="1"/>
  <c r="P48" i="1"/>
  <c r="P52" i="1"/>
  <c r="P53" i="1" s="1"/>
  <c r="D55" i="1"/>
  <c r="E55" i="1"/>
  <c r="S51" i="1"/>
  <c r="F55" i="1"/>
  <c r="T49" i="1"/>
  <c r="R23" i="1"/>
  <c r="G55" i="1"/>
  <c r="S49" i="1"/>
  <c r="H55" i="1"/>
  <c r="P51" i="1"/>
  <c r="D56" i="1"/>
  <c r="H37" i="1"/>
  <c r="O52" i="1"/>
  <c r="O53" i="1" s="1"/>
  <c r="O42" i="1"/>
  <c r="E56" i="1"/>
  <c r="C37" i="1"/>
  <c r="D37" i="1"/>
  <c r="Q42" i="1"/>
  <c r="Q51" i="1" s="1"/>
  <c r="Q23" i="1"/>
  <c r="E37" i="1"/>
  <c r="C6" i="1"/>
  <c r="R54" i="1" l="1"/>
  <c r="O54" i="1"/>
  <c r="R48" i="1"/>
  <c r="R44" i="1"/>
  <c r="O51" i="1"/>
  <c r="O23" i="1"/>
  <c r="G49" i="1"/>
  <c r="G53" i="1"/>
  <c r="S50" i="1" s="1"/>
  <c r="Q44" i="1"/>
  <c r="Q49" i="1" s="1"/>
  <c r="T55" i="1"/>
  <c r="H44" i="1"/>
  <c r="H52" i="1"/>
  <c r="E44" i="1"/>
  <c r="Q55" i="1"/>
  <c r="E52" i="1"/>
  <c r="D44" i="1"/>
  <c r="P55" i="1"/>
  <c r="D52" i="1"/>
  <c r="C44" i="1"/>
  <c r="O55" i="1"/>
  <c r="C52" i="1"/>
  <c r="R53" i="1"/>
  <c r="Q48" i="1"/>
  <c r="R55" i="1"/>
  <c r="F44" i="1"/>
  <c r="F52" i="1"/>
  <c r="Q54" i="1"/>
  <c r="P54" i="1"/>
  <c r="T54" i="1"/>
  <c r="T53" i="1"/>
  <c r="R49" i="1" l="1"/>
  <c r="O44" i="1"/>
  <c r="O48" i="1"/>
  <c r="E49" i="1"/>
  <c r="E53" i="1"/>
  <c r="Q50" i="1" s="1"/>
  <c r="C49" i="1"/>
  <c r="C53" i="1"/>
  <c r="F49" i="1"/>
  <c r="F53" i="1"/>
  <c r="R50" i="1" s="1"/>
  <c r="D49" i="1"/>
  <c r="D53" i="1"/>
  <c r="P50" i="1" s="1"/>
  <c r="O49" i="1" l="1"/>
  <c r="H49" i="1"/>
  <c r="H53" i="1"/>
  <c r="O50" i="1" l="1"/>
  <c r="T50"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<sst xmlns="http://schemas.openxmlformats.org/spreadsheetml/2006/main" count="169" uniqueCount="116">
  <si>
    <t>Price</t>
  </si>
  <si>
    <t>Shares outstanding</t>
  </si>
  <si>
    <t>Mkt cap</t>
  </si>
  <si>
    <t>Revenues</t>
  </si>
  <si>
    <t>1Y</t>
  </si>
  <si>
    <t>2Y</t>
  </si>
  <si>
    <t>Assets</t>
  </si>
  <si>
    <t>Current</t>
  </si>
  <si>
    <t>2019</t>
  </si>
  <si>
    <t>2020</t>
  </si>
  <si>
    <t>2021</t>
  </si>
  <si>
    <t>2022</t>
  </si>
  <si>
    <t>2023</t>
  </si>
  <si>
    <t>2024</t>
  </si>
  <si>
    <t>.</t>
  </si>
  <si>
    <t>Main cabin, ticket</t>
  </si>
  <si>
    <t>Premium products, ticket</t>
  </si>
  <si>
    <t>Loyalty travel awards</t>
  </si>
  <si>
    <t>Travel-related services</t>
  </si>
  <si>
    <t>Total Passenger Revenue</t>
  </si>
  <si>
    <t>Cargo</t>
  </si>
  <si>
    <t>Other</t>
  </si>
  <si>
    <t>Total Revenue</t>
  </si>
  <si>
    <t>Passenger:</t>
  </si>
  <si>
    <t>Domestic</t>
  </si>
  <si>
    <t>Atlantic</t>
  </si>
  <si>
    <t>Latin America</t>
  </si>
  <si>
    <t>Pacific</t>
  </si>
  <si>
    <t>Total</t>
  </si>
  <si>
    <t>Operating Rev</t>
  </si>
  <si>
    <t>Passenger Rev</t>
  </si>
  <si>
    <t>Operating Expense</t>
  </si>
  <si>
    <t>Aircraft fuel &amp; related</t>
  </si>
  <si>
    <t xml:space="preserve">Salaries &amp; related </t>
  </si>
  <si>
    <t>Ancillary businesses &amp; refinery</t>
  </si>
  <si>
    <t>Contracted services</t>
  </si>
  <si>
    <t>Landing fees &amp; other rents</t>
  </si>
  <si>
    <t>Aircraft maintenance materials</t>
  </si>
  <si>
    <t>Depr &amp; amor</t>
  </si>
  <si>
    <t>Passenger commissions</t>
  </si>
  <si>
    <t>Regional carrier expense</t>
  </si>
  <si>
    <t>Passenger service</t>
  </si>
  <si>
    <t>Profit sharing</t>
  </si>
  <si>
    <t>Aircraft rent</t>
  </si>
  <si>
    <t>Pilot agreement &amp; related</t>
  </si>
  <si>
    <t>Total Operating Expense</t>
  </si>
  <si>
    <t>EBITDA</t>
  </si>
  <si>
    <t>Interest expense</t>
  </si>
  <si>
    <t>Gain (loss) on investments</t>
  </si>
  <si>
    <t>Loss on extinguishment of debt</t>
  </si>
  <si>
    <t>Miscellaneous</t>
  </si>
  <si>
    <t>EBT</t>
  </si>
  <si>
    <t>Taxes</t>
  </si>
  <si>
    <t>Net income</t>
  </si>
  <si>
    <t>EPS</t>
  </si>
  <si>
    <t>Cash</t>
  </si>
  <si>
    <t>ST investments</t>
  </si>
  <si>
    <t>AR</t>
  </si>
  <si>
    <t>Prepaids</t>
  </si>
  <si>
    <t>Total Current</t>
  </si>
  <si>
    <t>PPE, net</t>
  </si>
  <si>
    <t>Leases</t>
  </si>
  <si>
    <t>Goodwill</t>
  </si>
  <si>
    <t>Intangibles</t>
  </si>
  <si>
    <t>Equity investments</t>
  </si>
  <si>
    <t>Total Assets</t>
  </si>
  <si>
    <t>Liabilities</t>
  </si>
  <si>
    <t>Debt &amp; finance maturities</t>
  </si>
  <si>
    <t>Air traffic liability</t>
  </si>
  <si>
    <t>AP</t>
  </si>
  <si>
    <t>Accr salaries</t>
  </si>
  <si>
    <t>Loyalty program defer rev</t>
  </si>
  <si>
    <t>Fuel card obligation</t>
  </si>
  <si>
    <t>Tota Current</t>
  </si>
  <si>
    <t>Debt &amp; finance leases</t>
  </si>
  <si>
    <t>Pensions</t>
  </si>
  <si>
    <t>Defer income taxes</t>
  </si>
  <si>
    <t>Total Liabilities</t>
  </si>
  <si>
    <t>Equity</t>
  </si>
  <si>
    <t>Debt</t>
  </si>
  <si>
    <t>EV</t>
  </si>
  <si>
    <t>Impairments &amp; equity results</t>
  </si>
  <si>
    <t>Pension &amp; related benefit</t>
  </si>
  <si>
    <t>Fuel inventory &amp; other</t>
  </si>
  <si>
    <t>Operating margin</t>
  </si>
  <si>
    <t>Net margin</t>
  </si>
  <si>
    <t>Passenger Rev to Rev</t>
  </si>
  <si>
    <t>Cargo to Rev</t>
  </si>
  <si>
    <t>Other to Rev</t>
  </si>
  <si>
    <t>Revenue turnover</t>
  </si>
  <si>
    <t>EM</t>
  </si>
  <si>
    <t>ROE</t>
  </si>
  <si>
    <t>Real debt to liabilities</t>
  </si>
  <si>
    <t>PPE turnover</t>
  </si>
  <si>
    <t>Yearly turnover</t>
  </si>
  <si>
    <t>EV / EBITDA</t>
  </si>
  <si>
    <t>EBITDA / EV</t>
  </si>
  <si>
    <t>Domestic %</t>
  </si>
  <si>
    <t>Atlantic %</t>
  </si>
  <si>
    <t>Latin America %</t>
  </si>
  <si>
    <t>Pacific %</t>
  </si>
  <si>
    <t>2025</t>
  </si>
  <si>
    <t>IC</t>
  </si>
  <si>
    <t>NOPAT</t>
  </si>
  <si>
    <t>Screening Score</t>
  </si>
  <si>
    <t>Column1</t>
  </si>
  <si>
    <t>Revenue (CAGR)</t>
  </si>
  <si>
    <t>EBITDA Margin</t>
  </si>
  <si>
    <t>ROIC</t>
  </si>
  <si>
    <t>Debt-to-EBITDA</t>
  </si>
  <si>
    <t>EPS σ</t>
  </si>
  <si>
    <t>EV-to-EBITDA</t>
  </si>
  <si>
    <t>Industry</t>
  </si>
  <si>
    <t>Airlines</t>
  </si>
  <si>
    <t>6Y</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</si>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</sst>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_([$$-409]* #,##0.00_);_([$$-409]* \(#,##0.00\);_([$$-409]* &quot;-&quot;??_);_(@_)"/>
    <numFmt numFmtId="165" formatCode="_(* #,##0.0_);_(* \(#,##0.0\);_(* &quot;-&quot;??_);_(@_)"/>
    <numFmt numFmtId="166" formatCode="_(* #,##0_);_(* \(#,##0\);_(* &quot;-&quot;??_);_(@_)"/>
    <numFmt numFmtId="167" formatCode="_(* #,##0.000_);_(* \(#,##0.000\);_(* &quot;-&quot;??_);_(@_)"/>
    <numFmt numFmtId="168" formatCode="0.0%"/>
    <numFmt numFmtId="169" formatCode="0.000"/>
  </numFmts>
  <fonts count="17" x14ac:knownFonts="1">
    <font>
      <sz val="11"/>
      <color theme="1"/>
      <name val="Aptos Narrow"/>
      <family val="2"/>
      <scheme val="minor"/>
    </font>
    <font>
      <sz val="10"/>
      <color theme="1"/>
      <name val="Arial"/>
      <family val="2"/>
    </font>
    <font>
      <sz val="10"/>
      <color theme="1"/>
      <name val="Arial"/>
      <family val="2"/>
    </font>
    <font>
      <sz val="10"/>
      <color theme="1"/>
      <name val="Arial"/>
      <family val="2"/>
    </font>
    <font>
      <sz val="10"/>
      <color theme="1"/>
      <name val="Arial"/>
      <family val="2"/>
    </font>
    <font>
      <sz val="11"/>
      <color theme="1"/>
      <name val="Aptos Narrow"/>
      <family val="2"/>
      <scheme val="minor"/>
    </font>
    <font>
      <sz val="10"/>
      <color theme="1"/>
      <name val="Arial"/>
      <family val="2"/>
    </font>
    <font>
      <b/>
      <sz val="10"/>
      <color theme="1"/>
      <name val="Arial"/>
      <family val="2"/>
    </font>
    <font>
      <sz val="10"/>
      <color theme="4"/>
      <name val="Arial"/>
      <family val="2"/>
    </font>
    <font>
      <sz val="12"/>
      <color theme="1"/>
      <name val="Arial"/>
      <family val="2"/>
    </font>
    <font>
      <sz val="10"/>
      <name val="Arial"/>
      <family val="2"/>
    </font>
    <font>
      <b/>
      <sz val="10"/>
      <name val="Arial"/>
      <family val="2"/>
    </font>
    <font>
      <b/>
      <sz val="12"/>
      <color theme="1"/>
      <name val="Arial"/>
      <family val="2"/>
    </font>
    <font>
      <sz val="12"/>
      <color theme="4"/>
      <name val="Arial"/>
      <family val="2"/>
    </font>
    <font>
      <sz val="12"/>
      <color theme="0"/>
      <name val="Arial"/>
      <family val="2"/>
    </font>
    <font>
      <b/>
      <sz val="10"/>
      <color theme="0"/>
      <name val="Arial"/>
      <family val="2"/>
    </font>
    <font>
      <sz val="10"/>
      <color theme="0"/>
      <name val="Arial"/>
      <family val="2"/>
    </font>
  </fonts>
  <fills count="6">
    <fill>
      <patternFill patternType="none"/>
    </fill>
    <fill>
      <patternFill patternType="gray125"/>
    </fill>
    <fill>
      <patternFill patternType="solid">
        <fgColor rgb="FFFFFF00"/>
        <bgColor indexed="64"/>
      </patternFill>
    </fill>
    <fill>
      <patternFill patternType="solid">
        <fgColor rgb="FF94DCF8"/>
        <bgColor indexed="64"/>
      </patternFill>
    </fill>
    <fill>
      <patternFill patternType="solid">
        <fgColor rgb="FFB5E6A2"/>
        <bgColor indexed="64"/>
      </patternFill>
    </fill>
    <fill>
      <patternFill patternType="solid">
        <fgColor rgb="FFFF0000"/>
        <bgColor indexed="64"/>
      </patternFill>
    </fill>
  </fills>
  <borders count="6">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s>
  <cellStyleXfs count="4">
    <xf numFmtId="0" fontId="0"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cellStyleXfs>
  <cellXfs count="78">
    <xf numFmtId="0" fontId="0" fillId="0" borderId="0" xfId="0"/>
    <xf numFmtId="0" fontId="6" fillId="0" borderId="0" xfId="0" applyFont="1"/>
    <xf numFmtId="164" fontId="6" fillId="0" borderId="0" xfId="0" applyNumberFormat="1" applyFont="1"/>
    <xf numFmtId="165" fontId="6" fillId="0" borderId="0" xfId="1" applyNumberFormat="1" applyFont="1"/>
    <xf numFmtId="0" fontId="7" fillId="0" borderId="1" xfId="0" applyFont="1" applyBorder="1"/>
    <xf numFmtId="0" fontId="7" fillId="0" borderId="2" xfId="0" applyFont="1" applyBorder="1"/>
    <xf numFmtId="0" fontId="6" fillId="0" borderId="2" xfId="0" applyFont="1" applyBorder="1"/>
    <xf numFmtId="0" fontId="7" fillId="0" borderId="2" xfId="0" applyFont="1" applyBorder="1" applyAlignment="1">
      <alignment horizontal="left"/>
    </xf>
    <xf numFmtId="0" fontId="7" fillId="0" borderId="0" xfId="0" applyFont="1"/>
    <xf numFmtId="0" fontId="7" fillId="2" borderId="1" xfId="0" applyFont="1" applyFill="1" applyBorder="1" applyAlignment="1">
      <alignment horizontal="center"/>
    </xf>
    <xf numFmtId="0" fontId="7" fillId="3" borderId="1" xfId="0" applyFont="1" applyFill="1" applyBorder="1" applyAlignment="1">
      <alignment horizontal="center"/>
    </xf>
    <xf numFmtId="0" fontId="7" fillId="4" borderId="1" xfId="0" applyFont="1" applyFill="1" applyBorder="1" applyAlignment="1">
      <alignment horizontal="center"/>
    </xf>
    <xf numFmtId="0" fontId="8" fillId="0" borderId="3" xfId="0" applyFont="1" applyBorder="1"/>
    <xf numFmtId="165" fontId="6" fillId="0" borderId="0" xfId="1" applyNumberFormat="1" applyFont="1" applyBorder="1"/>
    <xf numFmtId="0" fontId="4" fillId="0" borderId="2" xfId="0" applyFont="1" applyBorder="1"/>
    <xf numFmtId="0" fontId="4" fillId="0" borderId="0" xfId="0" applyFont="1"/>
    <xf numFmtId="165" fontId="4" fillId="0" borderId="0" xfId="1" applyNumberFormat="1" applyFont="1" applyBorder="1"/>
    <xf numFmtId="0" fontId="4" fillId="0" borderId="2" xfId="0" applyFont="1" applyBorder="1" applyAlignment="1">
      <alignment horizontal="left" indent="1"/>
    </xf>
    <xf numFmtId="44" fontId="4" fillId="0" borderId="0" xfId="2" applyFont="1" applyBorder="1"/>
    <xf numFmtId="166" fontId="4" fillId="0" borderId="0" xfId="1" applyNumberFormat="1" applyFont="1" applyBorder="1"/>
    <xf numFmtId="0" fontId="7" fillId="0" borderId="5" xfId="0" applyFont="1" applyBorder="1" applyAlignment="1">
      <alignment horizontal="left" indent="1"/>
    </xf>
    <xf numFmtId="0" fontId="7" fillId="0" borderId="5" xfId="0" applyFont="1" applyBorder="1" applyAlignment="1">
      <alignment horizontal="left" indent="2"/>
    </xf>
    <xf numFmtId="0" fontId="4" fillId="0" borderId="2" xfId="0" applyFont="1" applyBorder="1" applyAlignment="1">
      <alignment horizontal="left"/>
    </xf>
    <xf numFmtId="166" fontId="6" fillId="0" borderId="0" xfId="1" applyNumberFormat="1" applyFont="1"/>
    <xf numFmtId="166" fontId="0" fillId="0" borderId="0" xfId="1" applyNumberFormat="1" applyFont="1"/>
    <xf numFmtId="166" fontId="7" fillId="0" borderId="4" xfId="1" applyNumberFormat="1" applyFont="1" applyBorder="1"/>
    <xf numFmtId="166" fontId="4" fillId="0" borderId="0" xfId="2" applyNumberFormat="1" applyFont="1" applyBorder="1"/>
    <xf numFmtId="166" fontId="4" fillId="0" borderId="0" xfId="3" applyNumberFormat="1" applyFont="1" applyBorder="1"/>
    <xf numFmtId="0" fontId="9" fillId="0" borderId="0" xfId="0" applyFont="1"/>
    <xf numFmtId="166" fontId="4" fillId="0" borderId="0" xfId="1" applyNumberFormat="1" applyFont="1"/>
    <xf numFmtId="166" fontId="7" fillId="0" borderId="0" xfId="2" applyNumberFormat="1" applyFont="1" applyBorder="1"/>
    <xf numFmtId="166" fontId="7" fillId="0" borderId="4" xfId="3" applyNumberFormat="1" applyFont="1" applyBorder="1"/>
    <xf numFmtId="0" fontId="10" fillId="2" borderId="0" xfId="0" applyFont="1" applyFill="1"/>
    <xf numFmtId="0" fontId="10" fillId="3" borderId="0" xfId="0" applyFont="1" applyFill="1"/>
    <xf numFmtId="0" fontId="10" fillId="4" borderId="0" xfId="0" applyFont="1" applyFill="1"/>
    <xf numFmtId="9" fontId="10" fillId="2" borderId="0" xfId="3" applyFont="1" applyFill="1" applyBorder="1"/>
    <xf numFmtId="9" fontId="10" fillId="3" borderId="0" xfId="3" applyFont="1" applyFill="1" applyBorder="1"/>
    <xf numFmtId="9" fontId="10" fillId="4" borderId="0" xfId="3" applyFont="1" applyFill="1" applyBorder="1"/>
    <xf numFmtId="9" fontId="10" fillId="2" borderId="0" xfId="3" applyFont="1" applyFill="1"/>
    <xf numFmtId="9" fontId="10" fillId="3" borderId="0" xfId="3" applyFont="1" applyFill="1"/>
    <xf numFmtId="9" fontId="10" fillId="4" borderId="0" xfId="3" applyFont="1" applyFill="1"/>
    <xf numFmtId="166" fontId="6" fillId="0" borderId="0" xfId="1" applyNumberFormat="1" applyFont="1" applyBorder="1"/>
    <xf numFmtId="166" fontId="4" fillId="0" borderId="0" xfId="1" applyNumberFormat="1" applyFont="1" applyBorder="1" applyAlignment="1">
      <alignment horizontal="left" indent="1"/>
    </xf>
    <xf numFmtId="166" fontId="7" fillId="0" borderId="0" xfId="1" applyNumberFormat="1" applyFont="1"/>
    <xf numFmtId="166" fontId="3" fillId="0" borderId="0" xfId="1" applyNumberFormat="1" applyFont="1" applyBorder="1"/>
    <xf numFmtId="0" fontId="3" fillId="0" borderId="2" xfId="0" applyFont="1" applyBorder="1"/>
    <xf numFmtId="0" fontId="3" fillId="0" borderId="2" xfId="0" applyFont="1" applyBorder="1" applyAlignment="1">
      <alignment horizontal="left" indent="1"/>
    </xf>
    <xf numFmtId="0" fontId="3" fillId="0" borderId="0" xfId="0" applyFont="1"/>
    <xf numFmtId="9" fontId="3" fillId="0" borderId="0" xfId="3" applyFont="1" applyBorder="1"/>
    <xf numFmtId="165" fontId="3" fillId="0" borderId="0" xfId="1" applyNumberFormat="1" applyFont="1" applyBorder="1"/>
    <xf numFmtId="167" fontId="3" fillId="0" borderId="0" xfId="1" applyNumberFormat="1" applyFont="1" applyBorder="1"/>
    <xf numFmtId="168" fontId="3" fillId="0" borderId="0" xfId="3" applyNumberFormat="1" applyFont="1" applyBorder="1"/>
    <xf numFmtId="9" fontId="4" fillId="0" borderId="0" xfId="3" applyFont="1"/>
    <xf numFmtId="166" fontId="2" fillId="0" borderId="0" xfId="1" applyNumberFormat="1" applyFont="1"/>
    <xf numFmtId="166" fontId="2" fillId="0" borderId="0" xfId="1" applyNumberFormat="1" applyFont="1" applyBorder="1"/>
    <xf numFmtId="166" fontId="2" fillId="0" borderId="0" xfId="1" applyNumberFormat="1" applyFont="1" applyBorder="1" applyAlignment="1">
      <alignment horizontal="left" indent="1"/>
    </xf>
    <xf numFmtId="168" fontId="10" fillId="2" borderId="0" xfId="3" applyNumberFormat="1" applyFont="1" applyFill="1" applyBorder="1"/>
    <xf numFmtId="168" fontId="10" fillId="3" borderId="0" xfId="3" applyNumberFormat="1" applyFont="1" applyFill="1" applyBorder="1"/>
    <xf numFmtId="168" fontId="10" fillId="4" borderId="0" xfId="3" applyNumberFormat="1" applyFont="1" applyFill="1" applyBorder="1"/>
    <xf numFmtId="168" fontId="11" fillId="2" borderId="0" xfId="3" applyNumberFormat="1" applyFont="1" applyFill="1" applyBorder="1"/>
    <xf numFmtId="168" fontId="11" fillId="3" borderId="0" xfId="3" applyNumberFormat="1" applyFont="1" applyFill="1" applyBorder="1"/>
    <xf numFmtId="168" fontId="11" fillId="4" borderId="0" xfId="3" applyNumberFormat="1" applyFont="1" applyFill="1" applyBorder="1"/>
    <xf numFmtId="168" fontId="11" fillId="2" borderId="4" xfId="3" applyNumberFormat="1" applyFont="1" applyFill="1" applyBorder="1"/>
    <xf numFmtId="168" fontId="11" fillId="3" borderId="4" xfId="3" applyNumberFormat="1" applyFont="1" applyFill="1" applyBorder="1"/>
    <xf numFmtId="168" fontId="11" fillId="4" borderId="4" xfId="3" applyNumberFormat="1" applyFont="1" applyFill="1" applyBorder="1"/>
    <xf numFmtId="0" fontId="2" fillId="0" borderId="2" xfId="0" applyFont="1" applyBorder="1"/>
    <xf numFmtId="0" fontId="12" fillId="0" borderId="0" xfId="0" applyFont="1"/>
    <xf numFmtId="0" fontId="13" fillId="0" borderId="0" xfId="0" applyFont="1"/>
    <xf numFmtId="0" fontId="14" fillId="0" borderId="0" xfId="0" applyFont="1" applyAlignment="1">
      <alignment horizontal="right"/>
    </xf>
    <xf numFmtId="10" fontId="9" fillId="0" borderId="0" xfId="3" applyNumberFormat="1" applyFont="1"/>
    <xf numFmtId="169" fontId="9" fillId="0" borderId="0" xfId="0" applyNumberFormat="1" applyFont="1"/>
    <xf numFmtId="2" fontId="9" fillId="0" borderId="0" xfId="0" applyNumberFormat="1" applyFont="1"/>
    <xf numFmtId="0" fontId="9" fillId="0" borderId="0" xfId="0" applyFont="1" applyAlignment="1">
      <alignment horizontal="right"/>
    </xf>
    <xf numFmtId="9" fontId="1" fillId="0" borderId="0" xfId="3" applyFont="1" applyBorder="1"/>
    <xf numFmtId="168" fontId="15" fillId="5" borderId="0" xfId="3" applyNumberFormat="1" applyFont="1" applyFill="1" applyBorder="1"/>
    <xf numFmtId="168" fontId="16" fillId="5" borderId="0" xfId="3" applyNumberFormat="1" applyFont="1" applyFill="1" applyBorder="1"/>
    <xf numFmtId="168" fontId="15" fillId="5" borderId="4" xfId="3" applyNumberFormat="1" applyFont="1" applyFill="1" applyBorder="1"/>
    <xf numFmtId="44" fontId="2" fillId="0" borderId="0" xfId="2" applyFont="1" applyBorder="1"/>
  </cellXfs>
  <cellStyles count="4">
    <cellStyle name="Comma" xfId="1" builtinId="3"/>
    <cellStyle name="Currency" xfId="2" builtinId="4"/>
    <cellStyle name="Normal" xfId="0" builtinId="0"/>
    <cellStyle name="Percent" xfId="3" builtinId="5"/>
  </cellStyles>
  <dxfs count="34">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border diagonalUp="0" diagonalDown="0">
        <left/>
        <right/>
        <top/>
        <bottom/>
      </border>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35" formatCode="_(* #,##0.00_);_(* \(#,##0.00\);_(* &quot;-&quot;??_);_(@_)"/>
      <border diagonalUp="0" diagonalDown="0" outline="0">
        <left/>
        <right/>
        <top/>
        <bottom/>
      </border>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35" formatCode="_(* #,##0.00_);_(* \(#,##0.00\);_(* &quot;-&quot;??_);_(@_)"/>
      <border diagonalUp="0" diagonalDown="0" outline="0">
        <left/>
        <right/>
        <top/>
        <bottom/>
      </border>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35" formatCode="_(* #,##0.00_);_(* \(#,##0.00\);_(* &quot;-&quot;??_);_(@_)"/>
      <border diagonalUp="0" diagonalDown="0" outline="0">
        <left/>
        <right/>
        <top/>
        <bottom/>
      </border>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35" formatCode="_(* #,##0.00_);_(* \(#,##0.00\);_(* &quot;-&quot;??_);_(@_)"/>
      <border diagonalUp="0" diagonalDown="0" outline="0">
        <left/>
        <right/>
        <top/>
        <bottom/>
      </border>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35" formatCode="_(* #,##0.00_);_(* \(#,##0.00\);_(* &quot;-&quot;??_);_(@_)"/>
      <border diagonalUp="0" diagonalDown="0" outline="0">
        <left/>
        <right/>
        <top/>
        <bottom/>
      </border>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35" formatCode="_(* #,##0.00_);_(* \(#,##0.00\);_(* &quot;-&quot;??_);_(@_)"/>
      <border diagonalUp="0" diagonalDown="0" outline="0">
        <left/>
        <right/>
        <top/>
        <bottom/>
      </border>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s>
  <tableStyles count="0" defaultTableStyle="TableStyleMedium2" defaultPivotStyle="PivotStyleLight16"/>
  <colors>
    <mruColors>
      <color rgb="FFB5E6A2"/>
      <color rgb="FFB5E600"/>
      <color rgb="FF94DCF8"/>
      <color rgb="FF94D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ustomXml" Target="../customXml/item1.xml"/><Relationship Id="rId10" Type="http://schemas.microsoft.com/office/2017/06/relationships/richStyles" Target="richData/richStyles.xml"/><Relationship Id="rId19" Type="http://schemas.microsoft.com/office/2006/relationships/vbaProject" Target="vbaProject.bin"/><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a:solidFill>
                  <a:sysClr val="windowText" lastClr="000000"/>
                </a:solidFill>
              </a:rPr>
              <a:t>Rev Breakdown</a:t>
            </a:r>
            <a:r>
              <a:rPr lang="en-US" baseline="0">
                <a:solidFill>
                  <a:sysClr val="windowText" lastClr="000000"/>
                </a:solidFill>
              </a:rPr>
              <a:t> by Passenger-Geography</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Analysis!$C$4</c:f>
              <c:strCache>
                <c:ptCount val="1"/>
                <c:pt idx="0">
                  <c:v>Domestic</c:v>
                </c:pt>
              </c:strCache>
            </c:strRef>
          </c:tx>
          <c:spPr>
            <a:ln w="28575" cap="rnd">
              <a:solidFill>
                <a:schemeClr val="accent1"/>
              </a:solidFill>
              <a:round/>
            </a:ln>
            <a:effectLst/>
          </c:spPr>
          <c:marker>
            <c:symbol val="none"/>
          </c:marker>
          <c:dLbls>
            <c:dLbl>
              <c:idx val="1"/>
              <c:layout>
                <c:manualLayout>
                  <c:x val="-2.6511146106736657E-2"/>
                  <c:y val="-8.37351100343226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A80-4014-B57E-005E765ED497}"/>
                </c:ext>
              </c:extLst>
            </c:dLbl>
            <c:dLbl>
              <c:idx val="2"/>
              <c:layout>
                <c:manualLayout>
                  <c:x val="-4.9622257217847771E-2"/>
                  <c:y val="-6.3222289521502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A80-4014-B57E-005E765ED4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Analysis!$B$5:$B$10</c:f>
              <c:numCache>
                <c:formatCode>General</c:formatCode>
                <c:ptCount val="6"/>
                <c:pt idx="0">
                  <c:v>2019</c:v>
                </c:pt>
                <c:pt idx="1">
                  <c:v>2020</c:v>
                </c:pt>
                <c:pt idx="2">
                  <c:v>2021</c:v>
                </c:pt>
                <c:pt idx="3">
                  <c:v>2022</c:v>
                </c:pt>
                <c:pt idx="4">
                  <c:v>2023</c:v>
                </c:pt>
                <c:pt idx="5">
                  <c:v>2024</c:v>
                </c:pt>
              </c:numCache>
            </c:numRef>
          </c:cat>
          <c:val>
            <c:numRef>
              <c:f>Analysis!$C$5:$C$10</c:f>
              <c:numCache>
                <c:formatCode>_(* #,##0_);_(* \(#,##0\);_(* "-"??_);_(@_)</c:formatCode>
                <c:ptCount val="6"/>
                <c:pt idx="0">
                  <c:v>30465</c:v>
                </c:pt>
                <c:pt idx="1">
                  <c:v>10041</c:v>
                </c:pt>
                <c:pt idx="2">
                  <c:v>18468</c:v>
                </c:pt>
                <c:pt idx="3">
                  <c:v>30197</c:v>
                </c:pt>
                <c:pt idx="4">
                  <c:v>33968</c:v>
                </c:pt>
                <c:pt idx="5">
                  <c:v>35226</c:v>
                </c:pt>
              </c:numCache>
            </c:numRef>
          </c:val>
          <c:smooth val="0"/>
          <c:extLst>
            <c:ext xmlns:c16="http://schemas.microsoft.com/office/drawing/2014/chart" uri="{C3380CC4-5D6E-409C-BE32-E72D297353CC}">
              <c16:uniqueId val="{00000000-508B-4EA8-A861-0F5641A5A3AE}"/>
            </c:ext>
          </c:extLst>
        </c:ser>
        <c:ser>
          <c:idx val="1"/>
          <c:order val="1"/>
          <c:tx>
            <c:strRef>
              <c:f>Analysis!$D$4</c:f>
              <c:strCache>
                <c:ptCount val="1"/>
                <c:pt idx="0">
                  <c:v>Atlantic</c:v>
                </c:pt>
              </c:strCache>
            </c:strRef>
          </c:tx>
          <c:spPr>
            <a:ln w="28575" cap="rnd">
              <a:solidFill>
                <a:srgbClr val="E97132"/>
              </a:solidFill>
              <a:round/>
            </a:ln>
            <a:effectLst/>
          </c:spPr>
          <c:marker>
            <c:symbol val="none"/>
          </c:marker>
          <c:cat>
            <c:numRef>
              <c:f>Analysis!$B$5:$B$10</c:f>
              <c:numCache>
                <c:formatCode>General</c:formatCode>
                <c:ptCount val="6"/>
                <c:pt idx="0">
                  <c:v>2019</c:v>
                </c:pt>
                <c:pt idx="1">
                  <c:v>2020</c:v>
                </c:pt>
                <c:pt idx="2">
                  <c:v>2021</c:v>
                </c:pt>
                <c:pt idx="3">
                  <c:v>2022</c:v>
                </c:pt>
                <c:pt idx="4">
                  <c:v>2023</c:v>
                </c:pt>
                <c:pt idx="5">
                  <c:v>2024</c:v>
                </c:pt>
              </c:numCache>
            </c:numRef>
          </c:cat>
          <c:val>
            <c:numRef>
              <c:f>Analysis!$D$5:$D$10</c:f>
              <c:numCache>
                <c:formatCode>_(* #,##0_);_(* \(#,##0\);_(* "-"??_);_(@_)</c:formatCode>
                <c:ptCount val="6"/>
                <c:pt idx="0">
                  <c:v>6326</c:v>
                </c:pt>
                <c:pt idx="1">
                  <c:v>1171</c:v>
                </c:pt>
                <c:pt idx="2">
                  <c:v>1777</c:v>
                </c:pt>
                <c:pt idx="3">
                  <c:v>6093</c:v>
                </c:pt>
                <c:pt idx="4">
                  <c:v>9057</c:v>
                </c:pt>
                <c:pt idx="5">
                  <c:v>9133</c:v>
                </c:pt>
              </c:numCache>
            </c:numRef>
          </c:val>
          <c:smooth val="0"/>
          <c:extLst>
            <c:ext xmlns:c16="http://schemas.microsoft.com/office/drawing/2014/chart" uri="{C3380CC4-5D6E-409C-BE32-E72D297353CC}">
              <c16:uniqueId val="{00000001-508B-4EA8-A861-0F5641A5A3AE}"/>
            </c:ext>
          </c:extLst>
        </c:ser>
        <c:ser>
          <c:idx val="2"/>
          <c:order val="2"/>
          <c:tx>
            <c:strRef>
              <c:f>Analysis!$E$4</c:f>
              <c:strCache>
                <c:ptCount val="1"/>
                <c:pt idx="0">
                  <c:v>Latin America</c:v>
                </c:pt>
              </c:strCache>
            </c:strRef>
          </c:tx>
          <c:spPr>
            <a:ln w="28575" cap="rnd">
              <a:solidFill>
                <a:srgbClr val="EE0000"/>
              </a:solidFill>
              <a:round/>
            </a:ln>
            <a:effectLst/>
          </c:spPr>
          <c:marker>
            <c:symbol val="none"/>
          </c:marker>
          <c:cat>
            <c:numRef>
              <c:f>Analysis!$B$5:$B$10</c:f>
              <c:numCache>
                <c:formatCode>General</c:formatCode>
                <c:ptCount val="6"/>
                <c:pt idx="0">
                  <c:v>2019</c:v>
                </c:pt>
                <c:pt idx="1">
                  <c:v>2020</c:v>
                </c:pt>
                <c:pt idx="2">
                  <c:v>2021</c:v>
                </c:pt>
                <c:pt idx="3">
                  <c:v>2022</c:v>
                </c:pt>
                <c:pt idx="4">
                  <c:v>2023</c:v>
                </c:pt>
                <c:pt idx="5">
                  <c:v>2024</c:v>
                </c:pt>
              </c:numCache>
            </c:numRef>
          </c:cat>
          <c:val>
            <c:numRef>
              <c:f>Analysis!$E$5:$E$10</c:f>
              <c:numCache>
                <c:formatCode>_(* #,##0_);_(* \(#,##0\);_(* "-"??_);_(@_)</c:formatCode>
                <c:ptCount val="6"/>
                <c:pt idx="0">
                  <c:v>2985</c:v>
                </c:pt>
                <c:pt idx="1">
                  <c:v>1113</c:v>
                </c:pt>
                <c:pt idx="2">
                  <c:v>1873</c:v>
                </c:pt>
                <c:pt idx="3">
                  <c:v>2889</c:v>
                </c:pt>
                <c:pt idx="4">
                  <c:v>3798</c:v>
                </c:pt>
                <c:pt idx="5">
                  <c:v>3995</c:v>
                </c:pt>
              </c:numCache>
            </c:numRef>
          </c:val>
          <c:smooth val="0"/>
          <c:extLst>
            <c:ext xmlns:c16="http://schemas.microsoft.com/office/drawing/2014/chart" uri="{C3380CC4-5D6E-409C-BE32-E72D297353CC}">
              <c16:uniqueId val="{00000005-86CB-4D5D-818E-09D31C26513F}"/>
            </c:ext>
          </c:extLst>
        </c:ser>
        <c:ser>
          <c:idx val="3"/>
          <c:order val="3"/>
          <c:tx>
            <c:strRef>
              <c:f>Analysis!$F$4</c:f>
              <c:strCache>
                <c:ptCount val="1"/>
                <c:pt idx="0">
                  <c:v>Pacific</c:v>
                </c:pt>
              </c:strCache>
            </c:strRef>
          </c:tx>
          <c:spPr>
            <a:ln w="28575" cap="rnd">
              <a:solidFill>
                <a:schemeClr val="accent4"/>
              </a:solidFill>
              <a:round/>
            </a:ln>
            <a:effectLst/>
          </c:spPr>
          <c:marker>
            <c:symbol val="none"/>
          </c:marker>
          <c:cat>
            <c:numRef>
              <c:f>Analysis!$B$5:$B$10</c:f>
              <c:numCache>
                <c:formatCode>General</c:formatCode>
                <c:ptCount val="6"/>
                <c:pt idx="0">
                  <c:v>2019</c:v>
                </c:pt>
                <c:pt idx="1">
                  <c:v>2020</c:v>
                </c:pt>
                <c:pt idx="2">
                  <c:v>2021</c:v>
                </c:pt>
                <c:pt idx="3">
                  <c:v>2022</c:v>
                </c:pt>
                <c:pt idx="4">
                  <c:v>2023</c:v>
                </c:pt>
                <c:pt idx="5">
                  <c:v>2024</c:v>
                </c:pt>
              </c:numCache>
            </c:numRef>
          </c:cat>
          <c:val>
            <c:numRef>
              <c:f>Analysis!$F$5:$F$10</c:f>
              <c:numCache>
                <c:formatCode>_(* #,##0_);_(* \(#,##0\);_(* "-"??_);_(@_)</c:formatCode>
                <c:ptCount val="6"/>
                <c:pt idx="0">
                  <c:v>2501</c:v>
                </c:pt>
                <c:pt idx="1">
                  <c:v>558</c:v>
                </c:pt>
                <c:pt idx="2">
                  <c:v>401</c:v>
                </c:pt>
                <c:pt idx="3">
                  <c:v>1039</c:v>
                </c:pt>
                <c:pt idx="4">
                  <c:v>2086</c:v>
                </c:pt>
                <c:pt idx="5">
                  <c:v>2540</c:v>
                </c:pt>
              </c:numCache>
            </c:numRef>
          </c:val>
          <c:smooth val="0"/>
          <c:extLst>
            <c:ext xmlns:c16="http://schemas.microsoft.com/office/drawing/2014/chart" uri="{C3380CC4-5D6E-409C-BE32-E72D297353CC}">
              <c16:uniqueId val="{00000007-BA80-4014-B57E-005E765ED497}"/>
            </c:ext>
          </c:extLst>
        </c:ser>
        <c:dLbls>
          <c:showLegendKey val="0"/>
          <c:showVal val="0"/>
          <c:showCatName val="0"/>
          <c:showSerName val="0"/>
          <c:showPercent val="0"/>
          <c:showBubbleSize val="0"/>
        </c:dLbls>
        <c:smooth val="0"/>
        <c:axId val="1503623167"/>
        <c:axId val="1503625087"/>
      </c:lineChart>
      <c:catAx>
        <c:axId val="1503623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625087"/>
        <c:crosses val="autoZero"/>
        <c:auto val="1"/>
        <c:lblAlgn val="ctr"/>
        <c:lblOffset val="100"/>
        <c:noMultiLvlLbl val="0"/>
      </c:catAx>
      <c:valAx>
        <c:axId val="1503625087"/>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6231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a:solidFill>
                  <a:sysClr val="windowText" lastClr="000000"/>
                </a:solidFill>
              </a:rPr>
              <a:t>Rev Breakdown by Geography</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Analysis!$P$4</c:f>
              <c:strCache>
                <c:ptCount val="1"/>
                <c:pt idx="0">
                  <c:v>Domestic</c:v>
                </c:pt>
              </c:strCache>
            </c:strRef>
          </c:tx>
          <c:spPr>
            <a:ln w="28575" cap="rnd">
              <a:solidFill>
                <a:schemeClr val="accent1"/>
              </a:solidFill>
              <a:round/>
            </a:ln>
            <a:effectLst/>
          </c:spPr>
          <c:marker>
            <c:symbol val="none"/>
          </c:marker>
          <c:dLbls>
            <c:dLbl>
              <c:idx val="1"/>
              <c:layout>
                <c:manualLayout>
                  <c:x val="-2.6511146106736657E-2"/>
                  <c:y val="-7.347869977791238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7EA-4527-AABB-0CEFBB521E5D}"/>
                </c:ext>
              </c:extLst>
            </c:dLbl>
            <c:dLbl>
              <c:idx val="2"/>
              <c:layout>
                <c:manualLayout>
                  <c:x val="-5.1400034995625545E-2"/>
                  <c:y val="-4.27094690086816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7EA-4527-AABB-0CEFBB521E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Analysis!$O$5:$O$10</c:f>
              <c:numCache>
                <c:formatCode>General</c:formatCode>
                <c:ptCount val="6"/>
                <c:pt idx="0">
                  <c:v>2019</c:v>
                </c:pt>
                <c:pt idx="1">
                  <c:v>2020</c:v>
                </c:pt>
                <c:pt idx="2">
                  <c:v>2021</c:v>
                </c:pt>
                <c:pt idx="3">
                  <c:v>2022</c:v>
                </c:pt>
                <c:pt idx="4">
                  <c:v>2023</c:v>
                </c:pt>
                <c:pt idx="5">
                  <c:v>2024</c:v>
                </c:pt>
              </c:numCache>
            </c:numRef>
          </c:cat>
          <c:val>
            <c:numRef>
              <c:f>Analysis!$P$5:$P$10</c:f>
              <c:numCache>
                <c:formatCode>_(* #,##0_);_(* \(#,##0\);_(* "-"??_);_(@_)</c:formatCode>
                <c:ptCount val="6"/>
                <c:pt idx="0">
                  <c:v>33382</c:v>
                </c:pt>
                <c:pt idx="1">
                  <c:v>13339</c:v>
                </c:pt>
                <c:pt idx="2">
                  <c:v>24320</c:v>
                </c:pt>
                <c:pt idx="3">
                  <c:v>38478</c:v>
                </c:pt>
                <c:pt idx="4">
                  <c:v>40845</c:v>
                </c:pt>
                <c:pt idx="5">
                  <c:v>43508</c:v>
                </c:pt>
              </c:numCache>
            </c:numRef>
          </c:val>
          <c:smooth val="0"/>
          <c:extLst>
            <c:ext xmlns:c16="http://schemas.microsoft.com/office/drawing/2014/chart" uri="{C3380CC4-5D6E-409C-BE32-E72D297353CC}">
              <c16:uniqueId val="{00000000-508B-4EA8-A861-0F5641A5A3AE}"/>
            </c:ext>
          </c:extLst>
        </c:ser>
        <c:ser>
          <c:idx val="1"/>
          <c:order val="1"/>
          <c:tx>
            <c:strRef>
              <c:f>Analysis!$Q$4</c:f>
              <c:strCache>
                <c:ptCount val="1"/>
                <c:pt idx="0">
                  <c:v>Atlantic</c:v>
                </c:pt>
              </c:strCache>
            </c:strRef>
          </c:tx>
          <c:spPr>
            <a:ln w="28575" cap="rnd">
              <a:solidFill>
                <a:srgbClr val="E97132"/>
              </a:solidFill>
              <a:round/>
            </a:ln>
            <a:effectLst/>
          </c:spPr>
          <c:marker>
            <c:symbol val="none"/>
          </c:marker>
          <c:cat>
            <c:numRef>
              <c:f>Analysis!$O$5:$O$10</c:f>
              <c:numCache>
                <c:formatCode>General</c:formatCode>
                <c:ptCount val="6"/>
                <c:pt idx="0">
                  <c:v>2019</c:v>
                </c:pt>
                <c:pt idx="1">
                  <c:v>2020</c:v>
                </c:pt>
                <c:pt idx="2">
                  <c:v>2021</c:v>
                </c:pt>
                <c:pt idx="3">
                  <c:v>2022</c:v>
                </c:pt>
                <c:pt idx="4">
                  <c:v>2023</c:v>
                </c:pt>
                <c:pt idx="5">
                  <c:v>2024</c:v>
                </c:pt>
              </c:numCache>
            </c:numRef>
          </c:cat>
          <c:val>
            <c:numRef>
              <c:f>Analysis!$Q$5:$Q$10</c:f>
              <c:numCache>
                <c:formatCode>_(* #,##0_);_(* \(#,##0\);_(* "-"??_);_(@_)</c:formatCode>
                <c:ptCount val="6"/>
                <c:pt idx="0">
                  <c:v>7308</c:v>
                </c:pt>
                <c:pt idx="1">
                  <c:v>1649</c:v>
                </c:pt>
                <c:pt idx="2">
                  <c:v>2537</c:v>
                </c:pt>
                <c:pt idx="3">
                  <c:v>7429</c:v>
                </c:pt>
                <c:pt idx="4">
                  <c:v>10458</c:v>
                </c:pt>
                <c:pt idx="5">
                  <c:v>10535</c:v>
                </c:pt>
              </c:numCache>
            </c:numRef>
          </c:val>
          <c:smooth val="0"/>
          <c:extLst>
            <c:ext xmlns:c16="http://schemas.microsoft.com/office/drawing/2014/chart" uri="{C3380CC4-5D6E-409C-BE32-E72D297353CC}">
              <c16:uniqueId val="{00000001-508B-4EA8-A861-0F5641A5A3AE}"/>
            </c:ext>
          </c:extLst>
        </c:ser>
        <c:ser>
          <c:idx val="2"/>
          <c:order val="2"/>
          <c:tx>
            <c:strRef>
              <c:f>Analysis!$R$4</c:f>
              <c:strCache>
                <c:ptCount val="1"/>
                <c:pt idx="0">
                  <c:v>Latin America</c:v>
                </c:pt>
              </c:strCache>
            </c:strRef>
          </c:tx>
          <c:spPr>
            <a:ln w="28575" cap="rnd">
              <a:solidFill>
                <a:srgbClr val="EE0000"/>
              </a:solidFill>
              <a:round/>
            </a:ln>
            <a:effectLst/>
          </c:spPr>
          <c:marker>
            <c:symbol val="none"/>
          </c:marker>
          <c:cat>
            <c:numRef>
              <c:f>Analysis!$O$5:$O$10</c:f>
              <c:numCache>
                <c:formatCode>General</c:formatCode>
                <c:ptCount val="6"/>
                <c:pt idx="0">
                  <c:v>2019</c:v>
                </c:pt>
                <c:pt idx="1">
                  <c:v>2020</c:v>
                </c:pt>
                <c:pt idx="2">
                  <c:v>2021</c:v>
                </c:pt>
                <c:pt idx="3">
                  <c:v>2022</c:v>
                </c:pt>
                <c:pt idx="4">
                  <c:v>2023</c:v>
                </c:pt>
                <c:pt idx="5">
                  <c:v>2024</c:v>
                </c:pt>
              </c:numCache>
            </c:numRef>
          </c:cat>
          <c:val>
            <c:numRef>
              <c:f>Analysis!$R$5:$R$10</c:f>
              <c:numCache>
                <c:formatCode>_(* #,##0_);_(* \(#,##0\);_(* "-"??_);_(@_)</c:formatCode>
                <c:ptCount val="6"/>
                <c:pt idx="0">
                  <c:v>3326</c:v>
                </c:pt>
                <c:pt idx="1">
                  <c:v>1321</c:v>
                </c:pt>
                <c:pt idx="2">
                  <c:v>2284</c:v>
                </c:pt>
                <c:pt idx="3">
                  <c:v>3334</c:v>
                </c:pt>
                <c:pt idx="4">
                  <c:v>4292</c:v>
                </c:pt>
                <c:pt idx="5">
                  <c:v>4564</c:v>
                </c:pt>
              </c:numCache>
            </c:numRef>
          </c:val>
          <c:smooth val="0"/>
          <c:extLst>
            <c:ext xmlns:c16="http://schemas.microsoft.com/office/drawing/2014/chart" uri="{C3380CC4-5D6E-409C-BE32-E72D297353CC}">
              <c16:uniqueId val="{00000005-86CB-4D5D-818E-09D31C26513F}"/>
            </c:ext>
          </c:extLst>
        </c:ser>
        <c:ser>
          <c:idx val="3"/>
          <c:order val="3"/>
          <c:tx>
            <c:strRef>
              <c:f>Analysis!$S$4</c:f>
              <c:strCache>
                <c:ptCount val="1"/>
                <c:pt idx="0">
                  <c:v>Pacific</c:v>
                </c:pt>
              </c:strCache>
            </c:strRef>
          </c:tx>
          <c:spPr>
            <a:ln w="28575" cap="rnd">
              <a:solidFill>
                <a:schemeClr val="accent4"/>
              </a:solidFill>
              <a:round/>
            </a:ln>
            <a:effectLst/>
          </c:spPr>
          <c:marker>
            <c:symbol val="none"/>
          </c:marker>
          <c:cat>
            <c:numRef>
              <c:f>Analysis!$O$5:$O$10</c:f>
              <c:numCache>
                <c:formatCode>General</c:formatCode>
                <c:ptCount val="6"/>
                <c:pt idx="0">
                  <c:v>2019</c:v>
                </c:pt>
                <c:pt idx="1">
                  <c:v>2020</c:v>
                </c:pt>
                <c:pt idx="2">
                  <c:v>2021</c:v>
                </c:pt>
                <c:pt idx="3">
                  <c:v>2022</c:v>
                </c:pt>
                <c:pt idx="4">
                  <c:v>2023</c:v>
                </c:pt>
                <c:pt idx="5">
                  <c:v>2024</c:v>
                </c:pt>
              </c:numCache>
            </c:numRef>
          </c:cat>
          <c:val>
            <c:numRef>
              <c:f>Analysis!$S$5:$S$10</c:f>
              <c:numCache>
                <c:formatCode>_(* #,##0_);_(* \(#,##0\);_(* "-"??_);_(@_)</c:formatCode>
                <c:ptCount val="6"/>
                <c:pt idx="0">
                  <c:v>2991</c:v>
                </c:pt>
                <c:pt idx="1">
                  <c:v>786</c:v>
                </c:pt>
                <c:pt idx="2">
                  <c:v>758</c:v>
                </c:pt>
                <c:pt idx="3">
                  <c:v>1341</c:v>
                </c:pt>
                <c:pt idx="4">
                  <c:v>3036</c:v>
                </c:pt>
                <c:pt idx="5">
                  <c:v>3036</c:v>
                </c:pt>
              </c:numCache>
            </c:numRef>
          </c:val>
          <c:smooth val="0"/>
          <c:extLst>
            <c:ext xmlns:c16="http://schemas.microsoft.com/office/drawing/2014/chart" uri="{C3380CC4-5D6E-409C-BE32-E72D297353CC}">
              <c16:uniqueId val="{00000007-F7EA-4527-AABB-0CEFBB521E5D}"/>
            </c:ext>
          </c:extLst>
        </c:ser>
        <c:dLbls>
          <c:showLegendKey val="0"/>
          <c:showVal val="0"/>
          <c:showCatName val="0"/>
          <c:showSerName val="0"/>
          <c:showPercent val="0"/>
          <c:showBubbleSize val="0"/>
        </c:dLbls>
        <c:smooth val="0"/>
        <c:axId val="1503623167"/>
        <c:axId val="1503625087"/>
      </c:lineChart>
      <c:catAx>
        <c:axId val="1503623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625087"/>
        <c:crosses val="autoZero"/>
        <c:auto val="1"/>
        <c:lblAlgn val="ctr"/>
        <c:lblOffset val="100"/>
        <c:noMultiLvlLbl val="0"/>
      </c:catAx>
      <c:valAx>
        <c:axId val="1503625087"/>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6231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aseline="0">
                <a:solidFill>
                  <a:sysClr val="windowText" lastClr="000000"/>
                </a:solidFill>
              </a:rPr>
              <a:t>Geography % Breakdown on Passenger Rev </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Analysis!$C$27</c:f>
              <c:strCache>
                <c:ptCount val="1"/>
                <c:pt idx="0">
                  <c:v>Domestic</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Analysis!$B$28:$B$33</c:f>
              <c:numCache>
                <c:formatCode>General</c:formatCode>
                <c:ptCount val="6"/>
                <c:pt idx="0">
                  <c:v>2019</c:v>
                </c:pt>
                <c:pt idx="1">
                  <c:v>2020</c:v>
                </c:pt>
                <c:pt idx="2">
                  <c:v>2021</c:v>
                </c:pt>
                <c:pt idx="3">
                  <c:v>2022</c:v>
                </c:pt>
                <c:pt idx="4">
                  <c:v>2023</c:v>
                </c:pt>
                <c:pt idx="5">
                  <c:v>2024</c:v>
                </c:pt>
              </c:numCache>
            </c:numRef>
          </c:cat>
          <c:val>
            <c:numRef>
              <c:f>Analysis!$C$28:$C$33</c:f>
              <c:numCache>
                <c:formatCode>0%</c:formatCode>
                <c:ptCount val="6"/>
                <c:pt idx="0">
                  <c:v>0.72060458405279471</c:v>
                </c:pt>
                <c:pt idx="1">
                  <c:v>0.77939920825894593</c:v>
                </c:pt>
                <c:pt idx="2">
                  <c:v>0.82010746480749586</c:v>
                </c:pt>
                <c:pt idx="3">
                  <c:v>0.75083296036600522</c:v>
                </c:pt>
                <c:pt idx="4">
                  <c:v>0.69451430207119347</c:v>
                </c:pt>
                <c:pt idx="5">
                  <c:v>0.69214445710692818</c:v>
                </c:pt>
              </c:numCache>
            </c:numRef>
          </c:val>
          <c:smooth val="0"/>
          <c:extLst>
            <c:ext xmlns:c16="http://schemas.microsoft.com/office/drawing/2014/chart" uri="{C3380CC4-5D6E-409C-BE32-E72D297353CC}">
              <c16:uniqueId val="{00000000-508B-4EA8-A861-0F5641A5A3AE}"/>
            </c:ext>
          </c:extLst>
        </c:ser>
        <c:ser>
          <c:idx val="1"/>
          <c:order val="1"/>
          <c:tx>
            <c:strRef>
              <c:f>Analysis!$D$27</c:f>
              <c:strCache>
                <c:ptCount val="1"/>
                <c:pt idx="0">
                  <c:v>Atlantic</c:v>
                </c:pt>
              </c:strCache>
            </c:strRef>
          </c:tx>
          <c:spPr>
            <a:ln w="28575" cap="rnd">
              <a:solidFill>
                <a:srgbClr val="E9713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Analysis!$B$28:$B$33</c:f>
              <c:numCache>
                <c:formatCode>General</c:formatCode>
                <c:ptCount val="6"/>
                <c:pt idx="0">
                  <c:v>2019</c:v>
                </c:pt>
                <c:pt idx="1">
                  <c:v>2020</c:v>
                </c:pt>
                <c:pt idx="2">
                  <c:v>2021</c:v>
                </c:pt>
                <c:pt idx="3">
                  <c:v>2022</c:v>
                </c:pt>
                <c:pt idx="4">
                  <c:v>2023</c:v>
                </c:pt>
                <c:pt idx="5">
                  <c:v>2024</c:v>
                </c:pt>
              </c:numCache>
            </c:numRef>
          </c:cat>
          <c:val>
            <c:numRef>
              <c:f>Analysis!$D$28:$D$33</c:f>
              <c:numCache>
                <c:formatCode>0%</c:formatCode>
                <c:ptCount val="6"/>
                <c:pt idx="0">
                  <c:v>0.14963218771436004</c:v>
                </c:pt>
                <c:pt idx="1">
                  <c:v>9.0894977877823482E-2</c:v>
                </c:pt>
                <c:pt idx="2">
                  <c:v>7.8911141702562276E-2</c:v>
                </c:pt>
                <c:pt idx="3">
                  <c:v>0.1514993286588095</c:v>
                </c:pt>
                <c:pt idx="4">
                  <c:v>0.18518064159970557</c:v>
                </c:pt>
                <c:pt idx="5">
                  <c:v>0.17945140881046881</c:v>
                </c:pt>
              </c:numCache>
            </c:numRef>
          </c:val>
          <c:smooth val="0"/>
          <c:extLst>
            <c:ext xmlns:c16="http://schemas.microsoft.com/office/drawing/2014/chart" uri="{C3380CC4-5D6E-409C-BE32-E72D297353CC}">
              <c16:uniqueId val="{00000001-508B-4EA8-A861-0F5641A5A3AE}"/>
            </c:ext>
          </c:extLst>
        </c:ser>
        <c:ser>
          <c:idx val="2"/>
          <c:order val="2"/>
          <c:tx>
            <c:strRef>
              <c:f>Analysis!$E$27</c:f>
              <c:strCache>
                <c:ptCount val="1"/>
                <c:pt idx="0">
                  <c:v>Latin America</c:v>
                </c:pt>
              </c:strCache>
            </c:strRef>
          </c:tx>
          <c:spPr>
            <a:ln w="28575" cap="rnd">
              <a:solidFill>
                <a:srgbClr val="EE0000"/>
              </a:solidFill>
              <a:round/>
            </a:ln>
            <a:effectLst/>
          </c:spPr>
          <c:marker>
            <c:symbol val="none"/>
          </c:marker>
          <c:dLbls>
            <c:delete val="1"/>
          </c:dLbls>
          <c:cat>
            <c:numRef>
              <c:f>Analysis!$B$28:$B$33</c:f>
              <c:numCache>
                <c:formatCode>General</c:formatCode>
                <c:ptCount val="6"/>
                <c:pt idx="0">
                  <c:v>2019</c:v>
                </c:pt>
                <c:pt idx="1">
                  <c:v>2020</c:v>
                </c:pt>
                <c:pt idx="2">
                  <c:v>2021</c:v>
                </c:pt>
                <c:pt idx="3">
                  <c:v>2022</c:v>
                </c:pt>
                <c:pt idx="4">
                  <c:v>2023</c:v>
                </c:pt>
                <c:pt idx="5">
                  <c:v>2024</c:v>
                </c:pt>
              </c:numCache>
            </c:numRef>
          </c:cat>
          <c:val>
            <c:numRef>
              <c:f>Analysis!$E$28:$E$33</c:f>
              <c:numCache>
                <c:formatCode>0%</c:formatCode>
                <c:ptCount val="6"/>
                <c:pt idx="0">
                  <c:v>7.0605766728954272E-2</c:v>
                </c:pt>
                <c:pt idx="1">
                  <c:v>8.639292090351626E-2</c:v>
                </c:pt>
                <c:pt idx="2">
                  <c:v>8.3174208446200992E-2</c:v>
                </c:pt>
                <c:pt idx="3">
                  <c:v>7.1833507384753095E-2</c:v>
                </c:pt>
                <c:pt idx="4">
                  <c:v>7.7654419432006377E-2</c:v>
                </c:pt>
                <c:pt idx="5">
                  <c:v>7.849648288599835E-2</c:v>
                </c:pt>
              </c:numCache>
            </c:numRef>
          </c:val>
          <c:smooth val="0"/>
          <c:extLst>
            <c:ext xmlns:c16="http://schemas.microsoft.com/office/drawing/2014/chart" uri="{C3380CC4-5D6E-409C-BE32-E72D297353CC}">
              <c16:uniqueId val="{00000005-86CB-4D5D-818E-09D31C26513F}"/>
            </c:ext>
          </c:extLst>
        </c:ser>
        <c:ser>
          <c:idx val="3"/>
          <c:order val="3"/>
          <c:tx>
            <c:strRef>
              <c:f>Analysis!$F$27</c:f>
              <c:strCache>
                <c:ptCount val="1"/>
                <c:pt idx="0">
                  <c:v>Pacific</c:v>
                </c:pt>
              </c:strCache>
            </c:strRef>
          </c:tx>
          <c:spPr>
            <a:ln w="28575" cap="rnd">
              <a:solidFill>
                <a:schemeClr val="accent4"/>
              </a:solidFill>
              <a:round/>
            </a:ln>
            <a:effectLst/>
          </c:spPr>
          <c:marker>
            <c:symbol val="none"/>
          </c:marker>
          <c:dLbls>
            <c:delete val="1"/>
          </c:dLbls>
          <c:cat>
            <c:numRef>
              <c:f>Analysis!$B$28:$B$33</c:f>
              <c:numCache>
                <c:formatCode>General</c:formatCode>
                <c:ptCount val="6"/>
                <c:pt idx="0">
                  <c:v>2019</c:v>
                </c:pt>
                <c:pt idx="1">
                  <c:v>2020</c:v>
                </c:pt>
                <c:pt idx="2">
                  <c:v>2021</c:v>
                </c:pt>
                <c:pt idx="3">
                  <c:v>2022</c:v>
                </c:pt>
                <c:pt idx="4">
                  <c:v>2023</c:v>
                </c:pt>
                <c:pt idx="5">
                  <c:v>2024</c:v>
                </c:pt>
              </c:numCache>
            </c:numRef>
          </c:cat>
          <c:val>
            <c:numRef>
              <c:f>Analysis!$F$28:$F$33</c:f>
              <c:numCache>
                <c:formatCode>0%</c:formatCode>
                <c:ptCount val="6"/>
                <c:pt idx="0">
                  <c:v>5.9157461503891007E-2</c:v>
                </c:pt>
                <c:pt idx="1">
                  <c:v>4.3312892959714355E-2</c:v>
                </c:pt>
                <c:pt idx="2">
                  <c:v>1.780718504374084E-2</c:v>
                </c:pt>
                <c:pt idx="3">
                  <c:v>2.5834203590432144E-2</c:v>
                </c:pt>
                <c:pt idx="4">
                  <c:v>4.2650636897094606E-2</c:v>
                </c:pt>
                <c:pt idx="5">
                  <c:v>4.9907651196604709E-2</c:v>
                </c:pt>
              </c:numCache>
            </c:numRef>
          </c:val>
          <c:smooth val="0"/>
          <c:extLst>
            <c:ext xmlns:c16="http://schemas.microsoft.com/office/drawing/2014/chart" uri="{C3380CC4-5D6E-409C-BE32-E72D297353CC}">
              <c16:uniqueId val="{00000007-81F6-49BA-9ACC-7EB850F06997}"/>
            </c:ext>
          </c:extLst>
        </c:ser>
        <c:dLbls>
          <c:dLblPos val="t"/>
          <c:showLegendKey val="0"/>
          <c:showVal val="1"/>
          <c:showCatName val="0"/>
          <c:showSerName val="0"/>
          <c:showPercent val="0"/>
          <c:showBubbleSize val="0"/>
        </c:dLbls>
        <c:smooth val="0"/>
        <c:axId val="1503623167"/>
        <c:axId val="1503625087"/>
      </c:lineChart>
      <c:catAx>
        <c:axId val="1503623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625087"/>
        <c:crosses val="autoZero"/>
        <c:auto val="1"/>
        <c:lblAlgn val="ctr"/>
        <c:lblOffset val="100"/>
        <c:noMultiLvlLbl val="0"/>
      </c:catAx>
      <c:valAx>
        <c:axId val="150362508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6231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85724</xdr:colOff>
      <xdr:row>1</xdr:row>
      <xdr:rowOff>19050</xdr:rowOff>
    </xdr:from>
    <xdr:to>
      <xdr:col>10</xdr:col>
      <xdr:colOff>522659</xdr:colOff>
      <xdr:row>5</xdr:row>
      <xdr:rowOff>91305</xdr:rowOff>
    </xdr:to>
    <xdr:pic>
      <xdr:nvPicPr>
        <xdr:cNvPr id="3" name="Picture 2">
          <a:extLst>
            <a:ext uri="{FF2B5EF4-FFF2-40B4-BE49-F238E27FC236}">
              <a16:creationId xmlns:a16="http://schemas.microsoft.com/office/drawing/2014/main" id="{3395DB1A-BA28-064E-87F5-DD16B2CB540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49" y="180975"/>
          <a:ext cx="4666035" cy="7199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11</xdr:col>
      <xdr:colOff>0</xdr:colOff>
      <xdr:row>24</xdr:row>
      <xdr:rowOff>152400</xdr:rowOff>
    </xdr:to>
    <xdr:graphicFrame macro="">
      <xdr:nvGraphicFramePr>
        <xdr:cNvPr id="2" name="Chart 1">
          <a:extLst>
            <a:ext uri="{FF2B5EF4-FFF2-40B4-BE49-F238E27FC236}">
              <a16:creationId xmlns:a16="http://schemas.microsoft.com/office/drawing/2014/main" id="{2B9247C4-CBBF-94DD-CA65-54B5536322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xdr:row>
      <xdr:rowOff>0</xdr:rowOff>
    </xdr:from>
    <xdr:to>
      <xdr:col>21</xdr:col>
      <xdr:colOff>0</xdr:colOff>
      <xdr:row>24</xdr:row>
      <xdr:rowOff>152400</xdr:rowOff>
    </xdr:to>
    <xdr:graphicFrame macro="">
      <xdr:nvGraphicFramePr>
        <xdr:cNvPr id="3" name="Chart 2">
          <a:extLst>
            <a:ext uri="{FF2B5EF4-FFF2-40B4-BE49-F238E27FC236}">
              <a16:creationId xmlns:a16="http://schemas.microsoft.com/office/drawing/2014/main" id="{F65E3D60-30B5-A4CD-F1E7-545A3CBC0A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24</xdr:row>
      <xdr:rowOff>133349</xdr:rowOff>
    </xdr:from>
    <xdr:to>
      <xdr:col>11</xdr:col>
      <xdr:colOff>0</xdr:colOff>
      <xdr:row>47</xdr:row>
      <xdr:rowOff>152400</xdr:rowOff>
    </xdr:to>
    <xdr:graphicFrame macro="">
      <xdr:nvGraphicFramePr>
        <xdr:cNvPr id="4" name="Chart 3">
          <a:extLst>
            <a:ext uri="{FF2B5EF4-FFF2-40B4-BE49-F238E27FC236}">
              <a16:creationId xmlns:a16="http://schemas.microsoft.com/office/drawing/2014/main" id="{DFC8236C-5D01-B5E1-4919-5B7B3F000A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https://www.bing.com/financeapi/forcetrigger?t=a1qqbh&amp;q=XNYS%3aDAL&amp;form=skydnc</v>
    <v>Learn more on Bing</v>
  </rv>
  <rv s="1">
    <v>en-US</v>
    <v>a1qqbh</v>
    <v>268435456</v>
    <v>1</v>
    <v>Powered by Refinitiv</v>
    <v>0</v>
    <v>DELTA AIR LINES, INC. (XNYS:DAL)</v>
    <v>2</v>
    <v>3</v>
    <v>Finance</v>
    <v>4</v>
    <v>95.14</v>
    <v>48.24</v>
    <v>1.2625</v>
    <v>0.57499999999999996</v>
    <v>-2.147E-3</v>
    <v>6.2119999999999996E-3</v>
    <v>-0.2</v>
    <v>USD</v>
    <v>Delta Air Lines, Inc. provides scheduled air transportation for passengers and cargo throughout the United States and around the world. The Company has hubs and markets in Amsterdam, Atlanta, Bogota, Boston, Detroit, Lima, London-Heathrow, Los Angeles, Mexico City, Minneapolis-St. Paul, New York-JFK and LaGuardia, Paris-Charles de Gaulle, Salt Lake City, Santiago (Chile), Sao Paulo, Seattle, Seoul-Incheon, and Tokyo. Its segments include Airline and Refinery. Its airline segment is managed as a single business unit that provides scheduled air transportation for passengers and cargo throughout the United States and around the world and includes its loyalty program, as well as other ancillary businesses.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v>
    <v>103000</v>
    <v>New York Stock Exchange</v>
    <v>XNYS</v>
    <v>XNYS</v>
    <v>1030 DELTA BLVD, HARTSFIELD ATLANTA INTL AIRPORT, ATLANTA, GA, 30354-1989 US</v>
    <v>93.27</v>
    <v>Passenger Transportation Services</v>
    <v>Stock</v>
    <v>46202.914235740624</v>
    <v>0</v>
    <v>91.65</v>
    <v>61195734073</v>
    <v>DELTA AIR LINES, INC.</v>
    <v>DELTA AIR LINES, INC.</v>
    <v>91.84</v>
    <v>13.606400000000001</v>
    <v>92.57</v>
    <v>93.144999999999996</v>
    <v>92.97</v>
    <v>656994300</v>
    <v>DAL</v>
    <v>DELTA AIR LINES, INC. (XNYS:DAL)</v>
    <v>6367358</v>
    <v>8250271</v>
    <v>1967</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836D17-CF5B-4D77-8F3B-A3DD174F8D54}" name="Table1" displayName="Table1" ref="B8:I61" totalsRowShown="0" headerRowDxfId="33" dataDxfId="31" headerRowBorderDxfId="32" dataCellStyle="Comma">
  <autoFilter ref="B8:I61" xr:uid="{23836D17-CF5B-4D77-8F3B-A3DD174F8D54}"/>
  <tableColumns count="8">
    <tableColumn id="1" xr3:uid="{C56CB535-0884-4EB6-8247-BC7076E0F9ED}" name="." dataDxfId="30" totalsRowDxfId="29"/>
    <tableColumn id="2" xr3:uid="{5CB05335-81A4-4F9E-91AE-D7275C95F89C}" name="2019" dataDxfId="28" totalsRowDxfId="27" dataCellStyle="Comma"/>
    <tableColumn id="3" xr3:uid="{A67758F4-C8A9-49AB-B402-3C6C6623F38E}" name="2020" dataDxfId="26" totalsRowDxfId="25" dataCellStyle="Comma"/>
    <tableColumn id="4" xr3:uid="{D2EB0291-4E53-45C5-9A55-496776298FCF}" name="2021" dataDxfId="24" totalsRowDxfId="23" dataCellStyle="Comma"/>
    <tableColumn id="5" xr3:uid="{8BBF933F-D97B-42BA-9EF9-C011F65930FC}" name="2022" dataDxfId="22" totalsRowDxfId="21" dataCellStyle="Comma"/>
    <tableColumn id="6" xr3:uid="{5B24A045-0943-4881-8988-3CC50E6754BD}" name="2023" dataDxfId="20" totalsRowDxfId="19" dataCellStyle="Comma"/>
    <tableColumn id="7" xr3:uid="{0F4D0575-18E6-42CA-A6D9-2FCC3DD18D8B}" name="2024" dataDxfId="18" totalsRowDxfId="17" dataCellStyle="Comma"/>
    <tableColumn id="8" xr3:uid="{7AF9E853-F320-49A7-AB97-EF4B2F640801}" name="2025" dataDxfId="16" totalsRowDxfId="15"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0BF547-D843-4B46-A130-6CFC2B9CD1F8}" name="Table2" displayName="Table2" ref="N8:U56" totalsRowShown="0" headerRowDxfId="14" dataDxfId="12" headerRowBorderDxfId="13" dataCellStyle="Comma">
  <autoFilter ref="N8:U56" xr:uid="{120BF547-D843-4B46-A130-6CFC2B9CD1F8}"/>
  <tableColumns count="8">
    <tableColumn id="1" xr3:uid="{DB29C79D-FAB6-484C-9815-A2E8E1E77194}" name="."/>
    <tableColumn id="2" xr3:uid="{3C41FD2C-CF3B-45B9-83D3-DF70DA3F9D5A}" name="2019" dataDxfId="11" dataCellStyle="Comma"/>
    <tableColumn id="3" xr3:uid="{2DFCE98E-C0C8-42EE-BB58-7255714974F0}" name="2020" dataDxfId="10" dataCellStyle="Comma"/>
    <tableColumn id="4" xr3:uid="{44C5D0A9-3EFA-4FEC-93F4-6F50F976863F}" name="2021" dataDxfId="9" dataCellStyle="Comma"/>
    <tableColumn id="5" xr3:uid="{4743886E-940B-4EE9-A1FC-1D090FB5B393}" name="2022" dataDxfId="8" dataCellStyle="Comma"/>
    <tableColumn id="6" xr3:uid="{64A6DC66-AB43-4E0F-8986-3CD831887B8C}" name="2023" dataDxfId="7" dataCellStyle="Comma"/>
    <tableColumn id="7" xr3:uid="{3B18363B-4162-4DCB-B417-6622816301E4}" name="2024" dataDxfId="6" dataCellStyle="Comma"/>
    <tableColumn id="8" xr3:uid="{2F4E87D6-CE27-47AE-9502-2025411CDA8D}" name="2025" dataDxfId="5"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58F54C-6AB8-4725-AA93-6E4E6803EBA8}" name="Table810" displayName="Table810" ref="B3:D11" totalsRowShown="0" headerRowDxfId="4" dataDxfId="3">
  <autoFilter ref="B3:D11" xr:uid="{3D58F54C-6AB8-4725-AA93-6E4E6803EBA8}">
    <filterColumn colId="0" hiddenButton="1"/>
    <filterColumn colId="1" hiddenButton="1"/>
    <filterColumn colId="2" hiddenButton="1"/>
  </autoFilter>
  <tableColumns count="3">
    <tableColumn id="1" xr3:uid="{9B98DEE3-BA41-4E0C-A77C-DC2918B00A33}" name="Screening Score" dataDxfId="2"/>
    <tableColumn id="2" xr3:uid="{E1D85A4A-AF1C-4D1A-8C63-17BFD5BC07BE}" name="Column1" dataDxfId="1"/>
    <tableColumn id="3" xr3:uid="{0C64D124-F903-4E65-81F6-B012DF33767B}" name="2025"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32568-5640-4B84-AC29-1C6BDB0C1A0A}">
  <sheetPr>
    <pageSetUpPr fitToPage="1"/>
  </sheetPr>
  <dimension ref="A1:X65"/>
  <sheetViews>
    <sheetView tabSelected="1" topLeftCell="E1" zoomScale="115" zoomScaleNormal="115" workbookViewId="0">
      <selection activeCell="M7" sqref="M7"/>
    </sheetView>
  </sheetViews>
  <sheetFormatPr defaultColWidth="10.5703125" defaultRowHeight="12.75" x14ac:dyDescent="0.2"/>
  <cols>
    <col min="1" max="1" width="10.5703125" style="1"/>
    <col min="2" max="2" width="28.7109375" style="15" customWidth="1"/>
    <col min="3" max="3" width="10.5703125" style="16" customWidth="1"/>
    <col min="4" max="9" width="10.5703125" style="16"/>
    <col min="10" max="12" width="10.5703125" style="15"/>
    <col min="13" max="13" width="5.5703125" style="1" customWidth="1"/>
    <col min="14" max="14" width="25.5703125" style="1" customWidth="1"/>
    <col min="15" max="21" width="10.5703125" style="13"/>
    <col min="22" max="16384" width="10.5703125" style="1"/>
  </cols>
  <sheetData>
    <row r="1" spans="2:24" x14ac:dyDescent="0.2">
      <c r="B1" s="1"/>
      <c r="C1" s="1"/>
      <c r="D1" s="1"/>
      <c r="E1" s="1"/>
      <c r="F1" s="1"/>
      <c r="G1" s="1"/>
      <c r="H1" s="1"/>
      <c r="I1" s="1"/>
      <c r="J1" s="1"/>
      <c r="K1" s="1"/>
      <c r="L1" s="1"/>
      <c r="O1" s="1"/>
      <c r="P1" s="1"/>
      <c r="Q1" s="1"/>
      <c r="R1" s="1"/>
      <c r="S1" s="1"/>
      <c r="T1" s="1"/>
      <c r="U1" s="1"/>
    </row>
    <row r="2" spans="2:24" x14ac:dyDescent="0.2">
      <c r="B2" s="1"/>
      <c r="C2" s="1"/>
      <c r="D2" s="1"/>
      <c r="E2" s="1"/>
      <c r="F2" s="1"/>
      <c r="G2" s="1"/>
      <c r="H2" s="1"/>
      <c r="I2" s="1"/>
      <c r="J2" s="1"/>
      <c r="K2" s="1"/>
      <c r="L2" s="1"/>
      <c r="O2" s="1"/>
      <c r="P2" s="1"/>
      <c r="Q2" s="1"/>
      <c r="R2" s="1"/>
      <c r="S2" s="1"/>
      <c r="T2" s="1"/>
      <c r="U2" s="1"/>
    </row>
    <row r="3" spans="2:24" x14ac:dyDescent="0.2">
      <c r="B3" s="15" t="e" vm="1">
        <v>#VALUE!</v>
      </c>
      <c r="C3" s="1"/>
      <c r="D3" s="1"/>
      <c r="E3" s="1"/>
      <c r="F3" s="1"/>
      <c r="G3" s="1"/>
      <c r="H3" s="1"/>
      <c r="I3" s="1"/>
      <c r="J3" s="1"/>
      <c r="K3" s="1"/>
      <c r="L3" s="1"/>
      <c r="O3" s="1"/>
      <c r="P3" s="1"/>
      <c r="Q3" s="1"/>
      <c r="R3" s="1"/>
      <c r="S3" s="1"/>
      <c r="T3" s="1"/>
      <c r="U3" s="1"/>
    </row>
    <row r="4" spans="2:24" x14ac:dyDescent="0.2">
      <c r="B4" s="1" t="s">
        <v>0</v>
      </c>
      <c r="C4" s="2" cm="1">
        <f t="array" aca="1" ref="C4" ca="1">_FV(B3,"Price")</f>
        <v>93.144999999999996</v>
      </c>
      <c r="D4" s="1"/>
      <c r="E4" s="1"/>
      <c r="F4" s="1"/>
      <c r="G4" s="1"/>
      <c r="H4" s="1"/>
      <c r="I4" s="1"/>
      <c r="J4" s="1"/>
      <c r="K4" s="1"/>
      <c r="L4" s="1"/>
      <c r="O4" s="1"/>
      <c r="P4" s="1"/>
      <c r="Q4" s="1"/>
      <c r="R4" s="1"/>
      <c r="S4" s="1"/>
      <c r="T4" s="1"/>
      <c r="U4" s="1"/>
    </row>
    <row r="5" spans="2:24" x14ac:dyDescent="0.2">
      <c r="B5" s="1" t="s">
        <v>1</v>
      </c>
      <c r="C5" s="3">
        <v>653</v>
      </c>
      <c r="D5" s="1"/>
      <c r="E5" s="1"/>
      <c r="F5" s="1"/>
      <c r="G5" s="1"/>
      <c r="H5" s="1"/>
      <c r="I5" s="1"/>
      <c r="J5" s="1"/>
      <c r="K5" s="1"/>
      <c r="L5" s="1"/>
      <c r="O5" s="1"/>
      <c r="P5" s="1"/>
      <c r="Q5" s="1"/>
      <c r="R5" s="1"/>
      <c r="S5" s="1"/>
      <c r="T5" s="1"/>
      <c r="U5" s="1"/>
    </row>
    <row r="6" spans="2:24" x14ac:dyDescent="0.2">
      <c r="B6" s="1" t="s">
        <v>2</v>
      </c>
      <c r="C6" s="3">
        <f ca="1">C4*C5</f>
        <v>60823.684999999998</v>
      </c>
      <c r="D6" s="1"/>
      <c r="E6" s="1"/>
      <c r="F6" s="1"/>
      <c r="G6" s="1"/>
      <c r="H6" s="1"/>
      <c r="I6" s="1"/>
      <c r="J6" s="1"/>
      <c r="K6" s="1"/>
      <c r="L6" s="1"/>
      <c r="O6" s="1"/>
      <c r="P6" s="1"/>
      <c r="Q6" s="1"/>
      <c r="R6" s="1"/>
      <c r="S6" s="1"/>
      <c r="T6" s="1"/>
      <c r="U6" s="1"/>
    </row>
    <row r="7" spans="2:24" x14ac:dyDescent="0.2">
      <c r="B7" s="1"/>
      <c r="C7" s="1"/>
      <c r="D7" s="1"/>
      <c r="E7" s="1"/>
      <c r="F7" s="1"/>
      <c r="G7" s="1"/>
      <c r="H7" s="1"/>
      <c r="I7" s="1"/>
      <c r="J7" s="1"/>
      <c r="K7" s="1"/>
      <c r="L7" s="1"/>
      <c r="O7" s="1"/>
      <c r="P7" s="1"/>
      <c r="Q7" s="1"/>
      <c r="R7" s="1"/>
      <c r="S7" s="1"/>
      <c r="T7" s="1"/>
      <c r="U7" s="1"/>
    </row>
    <row r="8" spans="2:24" x14ac:dyDescent="0.2">
      <c r="B8" s="12" t="s">
        <v>14</v>
      </c>
      <c r="C8" s="4" t="s">
        <v>8</v>
      </c>
      <c r="D8" s="4" t="s">
        <v>9</v>
      </c>
      <c r="E8" s="4" t="s">
        <v>10</v>
      </c>
      <c r="F8" s="4" t="s">
        <v>11</v>
      </c>
      <c r="G8" s="4" t="s">
        <v>12</v>
      </c>
      <c r="H8" s="4" t="s">
        <v>13</v>
      </c>
      <c r="I8" s="4" t="s">
        <v>101</v>
      </c>
      <c r="J8" s="9" t="s">
        <v>4</v>
      </c>
      <c r="K8" s="10" t="s">
        <v>5</v>
      </c>
      <c r="L8" s="11" t="s">
        <v>114</v>
      </c>
      <c r="N8" s="12" t="s">
        <v>14</v>
      </c>
      <c r="O8" s="4" t="s">
        <v>8</v>
      </c>
      <c r="P8" s="4" t="s">
        <v>9</v>
      </c>
      <c r="Q8" s="4" t="s">
        <v>10</v>
      </c>
      <c r="R8" s="4" t="s">
        <v>11</v>
      </c>
      <c r="S8" s="4" t="s">
        <v>12</v>
      </c>
      <c r="T8" s="4" t="s">
        <v>13</v>
      </c>
      <c r="U8" s="4" t="s">
        <v>101</v>
      </c>
      <c r="V8" s="9" t="s">
        <v>4</v>
      </c>
      <c r="W8" s="10" t="s">
        <v>5</v>
      </c>
      <c r="X8" s="11" t="s">
        <v>114</v>
      </c>
    </row>
    <row r="9" spans="2:24" ht="15" x14ac:dyDescent="0.25">
      <c r="B9" s="7" t="s">
        <v>3</v>
      </c>
      <c r="C9" s="23"/>
      <c r="D9" s="24"/>
      <c r="E9" s="23"/>
      <c r="F9" s="23"/>
      <c r="G9" s="23"/>
      <c r="H9" s="23"/>
      <c r="I9" s="53"/>
      <c r="J9" s="32"/>
      <c r="K9" s="33"/>
      <c r="L9" s="34"/>
      <c r="N9" s="7" t="s">
        <v>6</v>
      </c>
      <c r="O9" s="23"/>
      <c r="P9" s="24"/>
      <c r="Q9" s="23"/>
      <c r="R9" s="23"/>
      <c r="S9" s="23"/>
      <c r="T9" s="23"/>
      <c r="U9" s="53"/>
      <c r="V9" s="32"/>
      <c r="W9" s="33"/>
      <c r="X9" s="34"/>
    </row>
    <row r="10" spans="2:24" x14ac:dyDescent="0.2">
      <c r="B10" s="22" t="s">
        <v>23</v>
      </c>
      <c r="C10" s="19"/>
      <c r="D10" s="19"/>
      <c r="E10" s="19"/>
      <c r="F10" s="19"/>
      <c r="G10" s="19"/>
      <c r="H10" s="19"/>
      <c r="I10" s="54"/>
      <c r="J10" s="35"/>
      <c r="K10" s="36"/>
      <c r="L10" s="37"/>
      <c r="N10" s="5" t="s">
        <v>7</v>
      </c>
      <c r="O10" s="23"/>
      <c r="P10" s="23"/>
      <c r="Q10" s="23"/>
      <c r="R10" s="23"/>
      <c r="S10" s="23"/>
      <c r="T10" s="23"/>
      <c r="U10" s="53"/>
      <c r="V10" s="38"/>
      <c r="W10" s="39"/>
      <c r="X10" s="40"/>
    </row>
    <row r="11" spans="2:24" x14ac:dyDescent="0.2">
      <c r="B11" s="17" t="s">
        <v>15</v>
      </c>
      <c r="C11" s="19">
        <v>21919</v>
      </c>
      <c r="D11" s="19">
        <v>6676</v>
      </c>
      <c r="E11" s="19">
        <v>11393</v>
      </c>
      <c r="F11" s="19">
        <v>20396</v>
      </c>
      <c r="G11" s="19">
        <v>24477</v>
      </c>
      <c r="H11" s="19">
        <v>24497</v>
      </c>
      <c r="I11" s="54">
        <v>23391</v>
      </c>
      <c r="J11" s="74">
        <f>LN(Table1[[#This Row],[2025]]/Table1[[#This Row],[2024]])</f>
        <v>-4.6199328078028491E-2</v>
      </c>
      <c r="K11" s="57">
        <f>LN(Table1[[#This Row],[2025]]/Table1[[#This Row],[2023]])</f>
        <v>-4.538256811920021E-2</v>
      </c>
      <c r="L11" s="58">
        <f>LN(Table1[[#This Row],[2025]]/Table1[[#This Row],[2019]])</f>
        <v>6.4997492394357759E-2</v>
      </c>
      <c r="N11" s="17" t="s">
        <v>55</v>
      </c>
      <c r="O11" s="41">
        <v>2882</v>
      </c>
      <c r="P11" s="41">
        <v>8307</v>
      </c>
      <c r="Q11" s="41">
        <v>7933</v>
      </c>
      <c r="R11" s="41">
        <v>3266</v>
      </c>
      <c r="S11" s="41">
        <v>2741</v>
      </c>
      <c r="T11" s="41">
        <v>3069</v>
      </c>
      <c r="U11" s="54">
        <v>4310</v>
      </c>
      <c r="V11" s="74">
        <f>LN(Table2[[#This Row],[2025]]/Table2[[#This Row],[2024]])</f>
        <v>0.3395861284780573</v>
      </c>
      <c r="W11" s="57">
        <f>LN(Table2[[#This Row],[2025]]/Table2[[#This Row],[2023]])</f>
        <v>0.45261508679500773</v>
      </c>
      <c r="X11" s="58">
        <f>LN(Table2[[#This Row],[2025]]/Table2[[#This Row],[2019]])</f>
        <v>0.40245340653832612</v>
      </c>
    </row>
    <row r="12" spans="2:24" x14ac:dyDescent="0.2">
      <c r="B12" s="17" t="s">
        <v>16</v>
      </c>
      <c r="C12" s="19">
        <v>14989</v>
      </c>
      <c r="D12" s="19">
        <v>4294</v>
      </c>
      <c r="E12" s="19">
        <v>7946</v>
      </c>
      <c r="F12" s="19">
        <v>15230</v>
      </c>
      <c r="G12" s="19">
        <v>19119</v>
      </c>
      <c r="H12" s="19">
        <v>20599</v>
      </c>
      <c r="I12" s="54">
        <v>22097</v>
      </c>
      <c r="J12" s="74">
        <f>LN(Table1[[#This Row],[2025]]/Table1[[#This Row],[2024]])</f>
        <v>7.0199321775035836E-2</v>
      </c>
      <c r="K12" s="74">
        <f>LN(Table1[[#This Row],[2025]]/Table1[[#This Row],[2023]])</f>
        <v>0.14475924770270107</v>
      </c>
      <c r="L12" s="74">
        <f>LN(Table1[[#This Row],[2025]]/Table1[[#This Row],[2019]])</f>
        <v>0.38812525395450909</v>
      </c>
      <c r="N12" s="17" t="s">
        <v>56</v>
      </c>
      <c r="O12" s="41">
        <v>0</v>
      </c>
      <c r="P12" s="41">
        <v>5789</v>
      </c>
      <c r="Q12" s="41">
        <v>3386</v>
      </c>
      <c r="R12" s="41">
        <v>3268</v>
      </c>
      <c r="S12" s="41">
        <v>1127</v>
      </c>
      <c r="T12" s="41">
        <v>0</v>
      </c>
      <c r="U12" s="54">
        <v>0</v>
      </c>
      <c r="V12" s="56" t="e">
        <f>LN(Table2[[#This Row],[2025]]/Table2[[#This Row],[2024]])</f>
        <v>#DIV/0!</v>
      </c>
      <c r="W12" s="57" t="e">
        <f>LN(Table2[[#This Row],[2025]]/Table2[[#This Row],[2023]])</f>
        <v>#NUM!</v>
      </c>
      <c r="X12" s="58" t="e">
        <f>LN(Table2[[#This Row],[2025]]/Table2[[#This Row],[2019]])</f>
        <v>#DIV/0!</v>
      </c>
    </row>
    <row r="13" spans="2:24" x14ac:dyDescent="0.2">
      <c r="B13" s="17" t="s">
        <v>17</v>
      </c>
      <c r="C13" s="19">
        <v>2900</v>
      </c>
      <c r="D13" s="19">
        <v>935</v>
      </c>
      <c r="E13" s="19">
        <v>1786</v>
      </c>
      <c r="F13" s="19">
        <v>2898</v>
      </c>
      <c r="G13" s="19">
        <v>3462</v>
      </c>
      <c r="H13" s="19">
        <v>3841</v>
      </c>
      <c r="I13" s="54">
        <v>4237</v>
      </c>
      <c r="J13" s="74">
        <f>LN(Table1[[#This Row],[2025]]/Table1[[#This Row],[2024]])</f>
        <v>9.8122722280654454E-2</v>
      </c>
      <c r="K13" s="74">
        <f>LN(Table1[[#This Row],[2025]]/Table1[[#This Row],[2023]])</f>
        <v>0.20200901489040468</v>
      </c>
      <c r="L13" s="74">
        <f>LN(Table1[[#This Row],[2025]]/Table1[[#This Row],[2019]])</f>
        <v>0.37914473465199389</v>
      </c>
      <c r="N13" s="17" t="s">
        <v>57</v>
      </c>
      <c r="O13" s="41">
        <v>2854</v>
      </c>
      <c r="P13" s="41">
        <v>1396</v>
      </c>
      <c r="Q13" s="41">
        <v>2404</v>
      </c>
      <c r="R13" s="41">
        <v>3176</v>
      </c>
      <c r="S13" s="41">
        <v>3130</v>
      </c>
      <c r="T13" s="19">
        <v>3224</v>
      </c>
      <c r="U13" s="54">
        <v>2850</v>
      </c>
      <c r="V13" s="74">
        <f>LN(Table2[[#This Row],[2025]]/Table2[[#This Row],[2024]])</f>
        <v>-0.12330383036382266</v>
      </c>
      <c r="W13" s="57">
        <f>LN(Table2[[#This Row],[2025]]/Table2[[#This Row],[2023]])</f>
        <v>-9.3714010271502751E-2</v>
      </c>
      <c r="X13" s="58">
        <f>LN(Table2[[#This Row],[2025]]/Table2[[#This Row],[2019]])</f>
        <v>-1.4025247740855468E-3</v>
      </c>
    </row>
    <row r="14" spans="2:24" x14ac:dyDescent="0.2">
      <c r="B14" s="17" t="s">
        <v>18</v>
      </c>
      <c r="C14" s="19">
        <v>2469</v>
      </c>
      <c r="D14" s="19">
        <v>978</v>
      </c>
      <c r="E14" s="19">
        <v>1394</v>
      </c>
      <c r="F14" s="19">
        <v>1694</v>
      </c>
      <c r="G14" s="19">
        <v>1851</v>
      </c>
      <c r="H14" s="19">
        <v>1957</v>
      </c>
      <c r="I14" s="54">
        <v>2043</v>
      </c>
      <c r="J14" s="56">
        <f>LN(Table1[[#This Row],[2025]]/Table1[[#This Row],[2024]])</f>
        <v>4.3006627421545818E-2</v>
      </c>
      <c r="K14" s="74">
        <f>LN(Table1[[#This Row],[2025]]/Table1[[#This Row],[2023]])</f>
        <v>9.8693282244124617E-2</v>
      </c>
      <c r="L14" s="58">
        <f>LN(Table1[[#This Row],[2025]]/Table1[[#This Row],[2019]])</f>
        <v>-0.1893938945275575</v>
      </c>
      <c r="N14" s="46" t="s">
        <v>83</v>
      </c>
      <c r="O14" s="41">
        <f>521+730</f>
        <v>1251</v>
      </c>
      <c r="P14" s="41">
        <f>377+355</f>
        <v>732</v>
      </c>
      <c r="Q14" s="41">
        <v>1098</v>
      </c>
      <c r="R14" s="41">
        <v>1424</v>
      </c>
      <c r="S14" s="41">
        <v>1314</v>
      </c>
      <c r="T14" s="41">
        <v>1428</v>
      </c>
      <c r="U14" s="54">
        <v>1601</v>
      </c>
      <c r="V14" s="74">
        <f>LN(Table2[[#This Row],[2025]]/Table2[[#This Row],[2024]])</f>
        <v>0.114353570097185</v>
      </c>
      <c r="W14" s="74">
        <f>LN(Table2[[#This Row],[2025]]/Table2[[#This Row],[2023]])</f>
        <v>0.19755251395215884</v>
      </c>
      <c r="X14" s="58">
        <f>LN(Table2[[#This Row],[2025]]/Table2[[#This Row],[2019]])</f>
        <v>0.24668520252980353</v>
      </c>
    </row>
    <row r="15" spans="2:24" ht="13.5" thickBot="1" x14ac:dyDescent="0.25">
      <c r="B15" s="21" t="s">
        <v>19</v>
      </c>
      <c r="C15" s="25">
        <f t="shared" ref="C15:G15" si="0">SUM(C11:C14)</f>
        <v>42277</v>
      </c>
      <c r="D15" s="25">
        <f t="shared" si="0"/>
        <v>12883</v>
      </c>
      <c r="E15" s="25">
        <f t="shared" si="0"/>
        <v>22519</v>
      </c>
      <c r="F15" s="25">
        <f t="shared" si="0"/>
        <v>40218</v>
      </c>
      <c r="G15" s="25">
        <f t="shared" si="0"/>
        <v>48909</v>
      </c>
      <c r="H15" s="25">
        <f>SUM(H11:H14)</f>
        <v>50894</v>
      </c>
      <c r="I15" s="25">
        <f>SUM(I11:I14)</f>
        <v>51768</v>
      </c>
      <c r="J15" s="62">
        <f>LN(Table1[[#This Row],[2025]]/Table1[[#This Row],[2024]])</f>
        <v>1.7027159339202395E-2</v>
      </c>
      <c r="K15" s="63">
        <f>LN(Table1[[#This Row],[2025]]/Table1[[#This Row],[2023]])</f>
        <v>5.6810769129337919E-2</v>
      </c>
      <c r="L15" s="64">
        <f>LN(Table1[[#This Row],[2025]]/Table1[[#This Row],[2019]])</f>
        <v>0.20252899480492287</v>
      </c>
      <c r="N15" s="17" t="s">
        <v>58</v>
      </c>
      <c r="O15" s="19">
        <v>1262</v>
      </c>
      <c r="P15" s="19">
        <v>1180</v>
      </c>
      <c r="Q15" s="19">
        <v>1118</v>
      </c>
      <c r="R15" s="19">
        <v>1877</v>
      </c>
      <c r="S15" s="19">
        <v>1957</v>
      </c>
      <c r="T15" s="19">
        <v>2123</v>
      </c>
      <c r="U15" s="54">
        <v>2207</v>
      </c>
      <c r="V15" s="56">
        <f>LN(Table2[[#This Row],[2025]]/Table2[[#This Row],[2024]])</f>
        <v>3.8803944553480345E-2</v>
      </c>
      <c r="W15" s="57">
        <f>LN(Table2[[#This Row],[2025]]/Table2[[#This Row],[2023]])</f>
        <v>0.12022143886066018</v>
      </c>
      <c r="X15" s="58">
        <f>LN(Table2[[#This Row],[2025]]/Table2[[#This Row],[2019]])</f>
        <v>0.55893636315557793</v>
      </c>
    </row>
    <row r="16" spans="2:24" ht="13.5" thickBot="1" x14ac:dyDescent="0.25">
      <c r="B16" s="14" t="s">
        <v>20</v>
      </c>
      <c r="C16" s="19">
        <v>753</v>
      </c>
      <c r="D16" s="19">
        <v>608</v>
      </c>
      <c r="E16" s="19">
        <v>1032</v>
      </c>
      <c r="F16" s="19">
        <v>1050</v>
      </c>
      <c r="G16" s="19">
        <v>723</v>
      </c>
      <c r="H16" s="19">
        <v>822</v>
      </c>
      <c r="I16" s="54">
        <v>900</v>
      </c>
      <c r="J16" s="74">
        <f>LN(Table1[[#This Row],[2025]]/Table1[[#This Row],[2024]])</f>
        <v>9.0654368268130836E-2</v>
      </c>
      <c r="K16" s="74">
        <f>LN(Table1[[#This Row],[2025]]/Table1[[#This Row],[2023]])</f>
        <v>0.21898554116554608</v>
      </c>
      <c r="L16" s="58">
        <f>LN(Table1[[#This Row],[2025]]/Table1[[#This Row],[2019]])</f>
        <v>0.17832953552441722</v>
      </c>
      <c r="N16" s="21" t="s">
        <v>59</v>
      </c>
      <c r="O16" s="25">
        <f t="shared" ref="O16:S16" si="1">SUM(O11:O15)</f>
        <v>8249</v>
      </c>
      <c r="P16" s="25">
        <f t="shared" si="1"/>
        <v>17404</v>
      </c>
      <c r="Q16" s="25">
        <f t="shared" si="1"/>
        <v>15939</v>
      </c>
      <c r="R16" s="25">
        <f t="shared" si="1"/>
        <v>13011</v>
      </c>
      <c r="S16" s="25">
        <f t="shared" si="1"/>
        <v>10269</v>
      </c>
      <c r="T16" s="25">
        <f>SUM(T11:T15)</f>
        <v>9844</v>
      </c>
      <c r="U16" s="25">
        <f>SUM(U11:U15)</f>
        <v>10968</v>
      </c>
      <c r="V16" s="76">
        <f>LN(Table2[[#This Row],[2025]]/Table2[[#This Row],[2024]])</f>
        <v>0.1081198097312039</v>
      </c>
      <c r="W16" s="63">
        <f>LN(Table2[[#This Row],[2025]]/Table2[[#This Row],[2023]])</f>
        <v>6.58522940438553E-2</v>
      </c>
      <c r="X16" s="64">
        <f>LN(Table2[[#This Row],[2025]]/Table2[[#This Row],[2019]])</f>
        <v>0.28488996138141864</v>
      </c>
    </row>
    <row r="17" spans="1:24" x14ac:dyDescent="0.2">
      <c r="B17" s="14" t="s">
        <v>21</v>
      </c>
      <c r="C17" s="19">
        <v>3977</v>
      </c>
      <c r="D17" s="19">
        <v>3604</v>
      </c>
      <c r="E17" s="19">
        <v>6348</v>
      </c>
      <c r="F17" s="19">
        <v>9314</v>
      </c>
      <c r="G17" s="19">
        <v>8416</v>
      </c>
      <c r="H17" s="19">
        <v>9927</v>
      </c>
      <c r="I17" s="54">
        <v>10696</v>
      </c>
      <c r="J17" s="74">
        <f>LN(Table1[[#This Row],[2025]]/Table1[[#This Row],[2024]])</f>
        <v>7.4611522192057161E-2</v>
      </c>
      <c r="K17" s="74">
        <f>LN(Table1[[#This Row],[2025]]/Table1[[#This Row],[2023]])</f>
        <v>0.23973518380428793</v>
      </c>
      <c r="L17" s="58">
        <f>LN(Table1[[#This Row],[2025]]/Table1[[#This Row],[2019]])</f>
        <v>0.98934207357408854</v>
      </c>
      <c r="N17" s="22" t="s">
        <v>60</v>
      </c>
      <c r="O17" s="41">
        <v>31310</v>
      </c>
      <c r="P17" s="41">
        <v>26529</v>
      </c>
      <c r="Q17" s="41">
        <v>28749</v>
      </c>
      <c r="R17" s="41">
        <v>33109</v>
      </c>
      <c r="S17" s="41">
        <v>35486</v>
      </c>
      <c r="T17" s="41">
        <v>37595</v>
      </c>
      <c r="U17" s="54">
        <v>39743</v>
      </c>
      <c r="V17" s="56">
        <f>LN(Table2[[#This Row],[2025]]/Table2[[#This Row],[2024]])</f>
        <v>5.5562662133883577E-2</v>
      </c>
      <c r="W17" s="57">
        <f>LN(Table2[[#This Row],[2025]]/Table2[[#This Row],[2023]])</f>
        <v>0.11329547246248613</v>
      </c>
      <c r="X17" s="58">
        <f>LN(Table2[[#This Row],[2025]]/Table2[[#This Row],[2019]])</f>
        <v>0.23849618962555941</v>
      </c>
    </row>
    <row r="18" spans="1:24" ht="13.5" thickBot="1" x14ac:dyDescent="0.25">
      <c r="B18" s="21" t="s">
        <v>22</v>
      </c>
      <c r="C18" s="25">
        <f t="shared" ref="C18:G18" si="2">SUM(C15:C17)</f>
        <v>47007</v>
      </c>
      <c r="D18" s="25">
        <f t="shared" si="2"/>
        <v>17095</v>
      </c>
      <c r="E18" s="25">
        <f t="shared" si="2"/>
        <v>29899</v>
      </c>
      <c r="F18" s="25">
        <f t="shared" si="2"/>
        <v>50582</v>
      </c>
      <c r="G18" s="25">
        <f t="shared" si="2"/>
        <v>58048</v>
      </c>
      <c r="H18" s="25">
        <f>SUM(H15:H17)</f>
        <v>61643</v>
      </c>
      <c r="I18" s="25">
        <f>SUM(I15:I17)</f>
        <v>63364</v>
      </c>
      <c r="J18" s="62">
        <f>LN(Table1[[#This Row],[2025]]/Table1[[#This Row],[2024]])</f>
        <v>2.7536197864017113E-2</v>
      </c>
      <c r="K18" s="63">
        <f>LN(Table1[[#This Row],[2025]]/Table1[[#This Row],[2023]])</f>
        <v>8.7625622333932798E-2</v>
      </c>
      <c r="L18" s="64">
        <f>LN(Table1[[#This Row],[2025]]/Table1[[#This Row],[2019]])</f>
        <v>0.29859935003622312</v>
      </c>
      <c r="N18" s="22" t="s">
        <v>61</v>
      </c>
      <c r="O18" s="41">
        <v>5627</v>
      </c>
      <c r="P18" s="41">
        <v>5733</v>
      </c>
      <c r="Q18" s="41">
        <v>7237</v>
      </c>
      <c r="R18" s="41">
        <v>7036</v>
      </c>
      <c r="S18" s="41">
        <v>7004</v>
      </c>
      <c r="T18" s="41">
        <v>6644</v>
      </c>
      <c r="U18" s="54">
        <v>6244</v>
      </c>
      <c r="V18" s="56">
        <f>LN(Table2[[#This Row],[2025]]/Table2[[#This Row],[2024]])</f>
        <v>-6.2093189097862857E-2</v>
      </c>
      <c r="W18" s="57">
        <f>LN(Table2[[#This Row],[2025]]/Table2[[#This Row],[2023]])</f>
        <v>-0.11486041177041974</v>
      </c>
      <c r="X18" s="58">
        <f>LN(Table2[[#This Row],[2025]]/Table2[[#This Row],[2019]])</f>
        <v>0.10404456220204365</v>
      </c>
    </row>
    <row r="19" spans="1:24" x14ac:dyDescent="0.2">
      <c r="B19" s="14"/>
      <c r="C19" s="19"/>
      <c r="D19" s="19"/>
      <c r="E19" s="19"/>
      <c r="F19" s="19"/>
      <c r="G19" s="19"/>
      <c r="H19" s="19"/>
      <c r="I19" s="54"/>
      <c r="J19" s="35"/>
      <c r="K19" s="36"/>
      <c r="L19" s="37"/>
      <c r="N19" s="22" t="s">
        <v>62</v>
      </c>
      <c r="O19" s="41">
        <v>9781</v>
      </c>
      <c r="P19" s="41">
        <v>9753</v>
      </c>
      <c r="Q19" s="41">
        <v>9753</v>
      </c>
      <c r="R19" s="41">
        <v>9753</v>
      </c>
      <c r="S19" s="41">
        <v>9753</v>
      </c>
      <c r="T19" s="41">
        <v>9753</v>
      </c>
      <c r="U19" s="54">
        <v>9753</v>
      </c>
      <c r="V19" s="56">
        <f>LN(Table2[[#This Row],[2025]]/Table2[[#This Row],[2024]])</f>
        <v>0</v>
      </c>
      <c r="W19" s="57">
        <f>LN(Table2[[#This Row],[2025]]/Table2[[#This Row],[2023]])</f>
        <v>0</v>
      </c>
      <c r="X19" s="58">
        <f>LN(Table2[[#This Row],[2025]]/Table2[[#This Row],[2019]])</f>
        <v>-2.866798318477934E-3</v>
      </c>
    </row>
    <row r="20" spans="1:24" s="8" customFormat="1" x14ac:dyDescent="0.2">
      <c r="A20" s="1"/>
      <c r="B20" s="5" t="s">
        <v>31</v>
      </c>
      <c r="C20" s="19"/>
      <c r="D20" s="19"/>
      <c r="E20" s="19"/>
      <c r="F20" s="19"/>
      <c r="G20" s="19"/>
      <c r="H20" s="19"/>
      <c r="I20" s="54"/>
      <c r="J20" s="35"/>
      <c r="K20" s="36"/>
      <c r="L20" s="37"/>
      <c r="M20" s="1"/>
      <c r="N20" s="22" t="s">
        <v>63</v>
      </c>
      <c r="O20" s="41">
        <v>5163</v>
      </c>
      <c r="P20" s="41">
        <v>6011</v>
      </c>
      <c r="Q20" s="41">
        <v>6001</v>
      </c>
      <c r="R20" s="41">
        <v>5992</v>
      </c>
      <c r="S20" s="41">
        <v>5983</v>
      </c>
      <c r="T20" s="41">
        <v>5975</v>
      </c>
      <c r="U20" s="54">
        <v>5966</v>
      </c>
      <c r="V20" s="56">
        <f>LN(Table2[[#This Row],[2025]]/Table2[[#This Row],[2024]])</f>
        <v>-1.5074117250175687E-3</v>
      </c>
      <c r="W20" s="57">
        <f>LN(Table2[[#This Row],[2025]]/Table2[[#This Row],[2023]])</f>
        <v>-2.8454283153379343E-3</v>
      </c>
      <c r="X20" s="58">
        <f>LN(Table2[[#This Row],[2025]]/Table2[[#This Row],[2019]])</f>
        <v>0.14455888019504479</v>
      </c>
    </row>
    <row r="21" spans="1:24" x14ac:dyDescent="0.2">
      <c r="B21" s="17" t="s">
        <v>33</v>
      </c>
      <c r="C21" s="19">
        <v>11225</v>
      </c>
      <c r="D21" s="19">
        <v>9001</v>
      </c>
      <c r="E21" s="19">
        <v>9728</v>
      </c>
      <c r="F21" s="19">
        <v>11902</v>
      </c>
      <c r="G21" s="19">
        <v>14607</v>
      </c>
      <c r="H21" s="19">
        <v>16161</v>
      </c>
      <c r="I21" s="54">
        <v>17520</v>
      </c>
      <c r="J21" s="74">
        <f>LN(Table1[[#This Row],[2025]]/Table1[[#This Row],[2024]])</f>
        <v>8.074215314173902E-2</v>
      </c>
      <c r="K21" s="74">
        <f>LN(Table1[[#This Row],[2025]]/Table1[[#This Row],[2023]])</f>
        <v>0.18184221963957192</v>
      </c>
      <c r="L21" s="74">
        <f>LN(Table1[[#This Row],[2025]]/Table1[[#This Row],[2019]])</f>
        <v>0.44519965187992738</v>
      </c>
      <c r="N21" s="22" t="s">
        <v>64</v>
      </c>
      <c r="O21" s="42">
        <v>2568</v>
      </c>
      <c r="P21" s="42">
        <v>1665</v>
      </c>
      <c r="Q21" s="42">
        <v>1712</v>
      </c>
      <c r="R21" s="42">
        <v>2128</v>
      </c>
      <c r="S21" s="41">
        <v>3457</v>
      </c>
      <c r="T21" s="42">
        <v>2846</v>
      </c>
      <c r="U21" s="55">
        <v>4222</v>
      </c>
      <c r="V21" s="74">
        <f>LN(Table2[[#This Row],[2025]]/Table2[[#This Row],[2024]])</f>
        <v>0.39439444975846827</v>
      </c>
      <c r="W21" s="57">
        <f>LN(Table2[[#This Row],[2025]]/Table2[[#This Row],[2023]])</f>
        <v>0.19990778848664145</v>
      </c>
      <c r="X21" s="58">
        <f>LN(Table2[[#This Row],[2025]]/Table2[[#This Row],[2019]])</f>
        <v>0.49718156359841414</v>
      </c>
    </row>
    <row r="22" spans="1:24" x14ac:dyDescent="0.2">
      <c r="B22" s="17" t="s">
        <v>32</v>
      </c>
      <c r="C22" s="19">
        <v>8519</v>
      </c>
      <c r="D22" s="19">
        <v>3176</v>
      </c>
      <c r="E22" s="19">
        <v>5633</v>
      </c>
      <c r="F22" s="19">
        <v>11482</v>
      </c>
      <c r="G22" s="19">
        <v>11069</v>
      </c>
      <c r="H22" s="19">
        <v>10566</v>
      </c>
      <c r="I22" s="54">
        <v>9819</v>
      </c>
      <c r="J22" s="75">
        <f>LN(Table1[[#This Row],[2025]]/Table1[[#This Row],[2024]])</f>
        <v>-7.3322014554970935E-2</v>
      </c>
      <c r="K22" s="57">
        <f>LN(Table1[[#This Row],[2025]]/Table1[[#This Row],[2023]])</f>
        <v>-0.11982912421633371</v>
      </c>
      <c r="L22" s="58">
        <f>LN(Table1[[#This Row],[2025]]/Table1[[#This Row],[2019]])</f>
        <v>0.14202032112644969</v>
      </c>
      <c r="N22" s="14" t="s">
        <v>21</v>
      </c>
      <c r="O22" s="41">
        <f>1078+120+636</f>
        <v>1834</v>
      </c>
      <c r="P22" s="41">
        <f>1357+1556+1988</f>
        <v>4901</v>
      </c>
      <c r="Q22" s="41">
        <f>1294+1773</f>
        <v>3067</v>
      </c>
      <c r="R22" s="41">
        <f>325+934</f>
        <v>1259</v>
      </c>
      <c r="S22" s="41">
        <v>1692</v>
      </c>
      <c r="T22" s="41">
        <v>2715</v>
      </c>
      <c r="U22" s="54">
        <v>4421</v>
      </c>
      <c r="V22" s="74">
        <f>LN(Table2[[#This Row],[2025]]/Table2[[#This Row],[2024]])</f>
        <v>0.48757396145820736</v>
      </c>
      <c r="W22" s="57">
        <f>LN(Table2[[#This Row],[2025]]/Table2[[#This Row],[2023]])</f>
        <v>0.96045465366007465</v>
      </c>
      <c r="X22" s="58">
        <f>LN(Table2[[#This Row],[2025]]/Table2[[#This Row],[2019]])</f>
        <v>0.87986654100983297</v>
      </c>
    </row>
    <row r="23" spans="1:24" ht="13.5" thickBot="1" x14ac:dyDescent="0.25">
      <c r="B23" s="17" t="s">
        <v>34</v>
      </c>
      <c r="C23" s="19">
        <v>1245</v>
      </c>
      <c r="D23" s="19">
        <v>1785</v>
      </c>
      <c r="E23" s="19">
        <v>3957</v>
      </c>
      <c r="F23" s="19">
        <v>5756</v>
      </c>
      <c r="G23" s="19">
        <v>4172</v>
      </c>
      <c r="H23" s="19">
        <v>5416</v>
      </c>
      <c r="I23" s="54">
        <v>5987</v>
      </c>
      <c r="J23" s="74">
        <f>LN(Table1[[#This Row],[2025]]/Table1[[#This Row],[2024]])</f>
        <v>0.10023291633324104</v>
      </c>
      <c r="K23" s="74">
        <f>LN(Table1[[#This Row],[2025]]/Table1[[#This Row],[2023]])</f>
        <v>0.3611949148046889</v>
      </c>
      <c r="L23" s="74">
        <f>LN(Table1[[#This Row],[2025]]/Table1[[#This Row],[2019]])</f>
        <v>1.570454922026544</v>
      </c>
      <c r="N23" s="21" t="s">
        <v>65</v>
      </c>
      <c r="O23" s="25">
        <f t="shared" ref="O23:S23" si="3">SUM(O16:O22)</f>
        <v>64532</v>
      </c>
      <c r="P23" s="25">
        <f t="shared" si="3"/>
        <v>71996</v>
      </c>
      <c r="Q23" s="25">
        <f t="shared" si="3"/>
        <v>72458</v>
      </c>
      <c r="R23" s="25">
        <f t="shared" si="3"/>
        <v>72288</v>
      </c>
      <c r="S23" s="25">
        <f t="shared" si="3"/>
        <v>73644</v>
      </c>
      <c r="T23" s="25">
        <f>SUM(T16:T22)</f>
        <v>75372</v>
      </c>
      <c r="U23" s="25">
        <f>SUM(U16:U22)</f>
        <v>81317</v>
      </c>
      <c r="V23" s="62">
        <f>LN(Table2[[#This Row],[2025]]/Table2[[#This Row],[2024]])</f>
        <v>7.5919243525746638E-2</v>
      </c>
      <c r="W23" s="63">
        <f>LN(Table2[[#This Row],[2025]]/Table2[[#This Row],[2023]])</f>
        <v>9.9112423591030341E-2</v>
      </c>
      <c r="X23" s="64">
        <f>LN(Table2[[#This Row],[2025]]/Table2[[#This Row],[2019]])</f>
        <v>0.23119387198209312</v>
      </c>
    </row>
    <row r="24" spans="1:24" x14ac:dyDescent="0.2">
      <c r="B24" s="17" t="s">
        <v>35</v>
      </c>
      <c r="C24" s="19">
        <v>2641</v>
      </c>
      <c r="D24" s="19">
        <v>1953</v>
      </c>
      <c r="E24" s="19">
        <v>2420</v>
      </c>
      <c r="F24" s="19">
        <v>3345</v>
      </c>
      <c r="G24" s="19">
        <v>4041</v>
      </c>
      <c r="H24" s="19">
        <v>4228</v>
      </c>
      <c r="I24" s="54">
        <v>4617</v>
      </c>
      <c r="J24" s="56">
        <f>LN(Table1[[#This Row],[2025]]/Table1[[#This Row],[2024]])</f>
        <v>8.8016075516860706E-2</v>
      </c>
      <c r="K24" s="57">
        <f>LN(Table1[[#This Row],[2025]]/Table1[[#This Row],[2023]])</f>
        <v>0.13325295742851517</v>
      </c>
      <c r="L24" s="58">
        <f>LN(Table1[[#This Row],[2025]]/Table1[[#This Row],[2019]])</f>
        <v>0.55858751020985675</v>
      </c>
      <c r="N24" s="14"/>
      <c r="O24" s="41"/>
      <c r="P24" s="41"/>
      <c r="Q24" s="41"/>
      <c r="R24" s="41"/>
      <c r="S24" s="41"/>
      <c r="T24" s="41"/>
      <c r="U24" s="54"/>
      <c r="V24" s="35"/>
      <c r="W24" s="36"/>
      <c r="X24" s="37"/>
    </row>
    <row r="25" spans="1:24" x14ac:dyDescent="0.2">
      <c r="B25" s="17" t="s">
        <v>36</v>
      </c>
      <c r="C25" s="19">
        <v>1762</v>
      </c>
      <c r="D25" s="19">
        <v>1833</v>
      </c>
      <c r="E25" s="19">
        <v>2019</v>
      </c>
      <c r="F25" s="19">
        <v>2181</v>
      </c>
      <c r="G25" s="19">
        <v>2563</v>
      </c>
      <c r="H25" s="19">
        <v>3150</v>
      </c>
      <c r="I25" s="54">
        <v>3564</v>
      </c>
      <c r="J25" s="74">
        <f>LN(Table1[[#This Row],[2025]]/Table1[[#This Row],[2024]])</f>
        <v>0.1234810567710212</v>
      </c>
      <c r="K25" s="74">
        <f>LN(Table1[[#This Row],[2025]]/Table1[[#This Row],[2023]])</f>
        <v>0.32970506222662876</v>
      </c>
      <c r="L25" s="74">
        <f>LN(Table1[[#This Row],[2025]]/Table1[[#This Row],[2019]])</f>
        <v>0.7044339820945752</v>
      </c>
      <c r="N25" s="7" t="s">
        <v>66</v>
      </c>
      <c r="O25" s="41"/>
      <c r="P25" s="41"/>
      <c r="Q25" s="41"/>
      <c r="R25" s="41"/>
      <c r="S25" s="41"/>
      <c r="T25" s="41"/>
      <c r="U25" s="54"/>
      <c r="V25" s="35"/>
      <c r="W25" s="36"/>
      <c r="X25" s="37"/>
    </row>
    <row r="26" spans="1:24" x14ac:dyDescent="0.2">
      <c r="B26" s="17" t="s">
        <v>37</v>
      </c>
      <c r="C26" s="19">
        <v>1751</v>
      </c>
      <c r="D26" s="19">
        <v>822</v>
      </c>
      <c r="E26" s="44">
        <v>1401</v>
      </c>
      <c r="F26" s="19">
        <v>1982</v>
      </c>
      <c r="G26" s="19">
        <v>2432</v>
      </c>
      <c r="H26" s="19">
        <v>2616</v>
      </c>
      <c r="I26" s="54">
        <v>2553</v>
      </c>
      <c r="J26" s="56">
        <f>LN(Table1[[#This Row],[2025]]/Table1[[#This Row],[2024]])</f>
        <v>-2.4377295335605544E-2</v>
      </c>
      <c r="K26" s="57">
        <f>LN(Table1[[#This Row],[2025]]/Table1[[#This Row],[2023]])</f>
        <v>4.8555174155426276E-2</v>
      </c>
      <c r="L26" s="58">
        <f>LN(Table1[[#This Row],[2025]]/Table1[[#This Row],[2019]])</f>
        <v>0.37708208495563189</v>
      </c>
      <c r="N26" s="7" t="s">
        <v>7</v>
      </c>
      <c r="O26" s="41"/>
      <c r="P26" s="41"/>
      <c r="Q26" s="41"/>
      <c r="R26" s="41"/>
      <c r="S26" s="41"/>
      <c r="T26" s="41"/>
      <c r="U26" s="54"/>
      <c r="V26" s="35"/>
      <c r="W26" s="36"/>
      <c r="X26" s="37"/>
    </row>
    <row r="27" spans="1:24" s="8" customFormat="1" x14ac:dyDescent="0.2">
      <c r="A27" s="1"/>
      <c r="B27" s="17" t="s">
        <v>38</v>
      </c>
      <c r="C27" s="19">
        <v>2581</v>
      </c>
      <c r="D27" s="19">
        <v>2312</v>
      </c>
      <c r="E27" s="19">
        <v>1998</v>
      </c>
      <c r="F27" s="19">
        <v>2107</v>
      </c>
      <c r="G27" s="19">
        <v>2341</v>
      </c>
      <c r="H27" s="19">
        <v>2513</v>
      </c>
      <c r="I27" s="54">
        <v>2485</v>
      </c>
      <c r="J27" s="56">
        <f>LN(Table1[[#This Row],[2025]]/Table1[[#This Row],[2024]])</f>
        <v>-1.1204599012863132E-2</v>
      </c>
      <c r="K27" s="57">
        <f>LN(Table1[[#This Row],[2025]]/Table1[[#This Row],[2023]])</f>
        <v>5.9694471039818273E-2</v>
      </c>
      <c r="L27" s="58">
        <f>LN(Table1[[#This Row],[2025]]/Table1[[#This Row],[2019]])</f>
        <v>-3.7904261187884786E-2</v>
      </c>
      <c r="M27" s="1"/>
      <c r="N27" s="17" t="s">
        <v>67</v>
      </c>
      <c r="O27" s="41">
        <v>2287</v>
      </c>
      <c r="P27" s="41">
        <v>1732</v>
      </c>
      <c r="Q27" s="41">
        <v>1782</v>
      </c>
      <c r="R27" s="41">
        <v>2359</v>
      </c>
      <c r="S27" s="41">
        <v>2983</v>
      </c>
      <c r="T27" s="41">
        <v>2175</v>
      </c>
      <c r="U27" s="54">
        <v>1605</v>
      </c>
      <c r="V27" s="74">
        <f>LN(Table2[[#This Row],[2025]]/Table2[[#This Row],[2024]])</f>
        <v>-0.3039049079586682</v>
      </c>
      <c r="W27" s="74">
        <f>LN(Table2[[#This Row],[2025]]/Table2[[#This Row],[2023]])</f>
        <v>-0.61980574895063234</v>
      </c>
      <c r="X27" s="58">
        <f>LN(Table2[[#This Row],[2025]]/Table2[[#This Row],[2019]])</f>
        <v>-0.35411715845866487</v>
      </c>
    </row>
    <row r="28" spans="1:24" x14ac:dyDescent="0.2">
      <c r="B28" s="17" t="s">
        <v>39</v>
      </c>
      <c r="C28" s="19">
        <v>1993</v>
      </c>
      <c r="D28" s="19">
        <v>643</v>
      </c>
      <c r="E28" s="19">
        <v>953</v>
      </c>
      <c r="F28" s="19">
        <v>1891</v>
      </c>
      <c r="G28" s="19">
        <v>2334</v>
      </c>
      <c r="H28" s="19">
        <v>2485</v>
      </c>
      <c r="I28" s="54">
        <v>2443</v>
      </c>
      <c r="J28" s="56">
        <f>LN(Table1[[#This Row],[2025]]/Table1[[#This Row],[2024]])</f>
        <v>-1.704586727298861E-2</v>
      </c>
      <c r="K28" s="57">
        <f>LN(Table1[[#This Row],[2025]]/Table1[[#This Row],[2023]])</f>
        <v>4.5643258411239104E-2</v>
      </c>
      <c r="L28" s="58">
        <f>LN(Table1[[#This Row],[2025]]/Table1[[#This Row],[2019]])</f>
        <v>0.2035857510449457</v>
      </c>
      <c r="N28" s="17" t="s">
        <v>61</v>
      </c>
      <c r="O28" s="19">
        <v>801</v>
      </c>
      <c r="P28" s="19">
        <v>678</v>
      </c>
      <c r="Q28" s="19">
        <v>703</v>
      </c>
      <c r="R28" s="19">
        <v>714</v>
      </c>
      <c r="S28" s="19">
        <v>759</v>
      </c>
      <c r="T28" s="19">
        <v>763</v>
      </c>
      <c r="U28" s="54">
        <v>809</v>
      </c>
      <c r="V28" s="56">
        <f>LN(Table2[[#This Row],[2025]]/Table2[[#This Row],[2024]])</f>
        <v>5.8540885774034671E-2</v>
      </c>
      <c r="W28" s="57">
        <f>LN(Table2[[#This Row],[2025]]/Table2[[#This Row],[2023]])</f>
        <v>6.3797139662861754E-2</v>
      </c>
      <c r="X28" s="58">
        <f>LN(Table2[[#This Row],[2025]]/Table2[[#This Row],[2019]])</f>
        <v>9.937969990132493E-3</v>
      </c>
    </row>
    <row r="29" spans="1:24" x14ac:dyDescent="0.2">
      <c r="B29" s="17" t="s">
        <v>40</v>
      </c>
      <c r="C29" s="19">
        <v>3584</v>
      </c>
      <c r="D29" s="19">
        <v>1584</v>
      </c>
      <c r="E29" s="19">
        <v>1736</v>
      </c>
      <c r="F29" s="19">
        <v>2051</v>
      </c>
      <c r="G29" s="19">
        <v>2200</v>
      </c>
      <c r="H29" s="19">
        <v>2328</v>
      </c>
      <c r="I29" s="54">
        <v>2432</v>
      </c>
      <c r="J29" s="56">
        <f>LN(Table1[[#This Row],[2025]]/Table1[[#This Row],[2024]])</f>
        <v>4.3704434234729243E-2</v>
      </c>
      <c r="K29" s="57">
        <f>LN(Table1[[#This Row],[2025]]/Table1[[#This Row],[2023]])</f>
        <v>0.10025660373965041</v>
      </c>
      <c r="L29" s="74">
        <f>LN(Table1[[#This Row],[2025]]/Table1[[#This Row],[2019]])</f>
        <v>-0.38776553100876343</v>
      </c>
      <c r="N29" s="17" t="s">
        <v>68</v>
      </c>
      <c r="O29" s="19">
        <v>5116</v>
      </c>
      <c r="P29" s="19">
        <v>4044</v>
      </c>
      <c r="Q29" s="19">
        <v>6228</v>
      </c>
      <c r="R29" s="19">
        <v>8160</v>
      </c>
      <c r="S29" s="19">
        <v>7044</v>
      </c>
      <c r="T29" s="19">
        <v>7094</v>
      </c>
      <c r="U29" s="54">
        <v>7157</v>
      </c>
      <c r="V29" s="56">
        <f>LN(Table2[[#This Row],[2025]]/Table2[[#This Row],[2024]])</f>
        <v>8.8415424050304631E-3</v>
      </c>
      <c r="W29" s="57">
        <f>LN(Table2[[#This Row],[2025]]/Table2[[#This Row],[2023]])</f>
        <v>1.591470812250078E-2</v>
      </c>
      <c r="X29" s="58">
        <f>LN(Table2[[#This Row],[2025]]/Table2[[#This Row],[2019]])</f>
        <v>0.33571801503986426</v>
      </c>
    </row>
    <row r="30" spans="1:24" x14ac:dyDescent="0.2">
      <c r="B30" s="17" t="s">
        <v>41</v>
      </c>
      <c r="C30" s="19">
        <v>1251</v>
      </c>
      <c r="D30" s="19">
        <v>551</v>
      </c>
      <c r="E30" s="19">
        <v>756</v>
      </c>
      <c r="F30" s="19">
        <v>1453</v>
      </c>
      <c r="G30" s="19">
        <v>1750</v>
      </c>
      <c r="H30" s="19">
        <v>1788</v>
      </c>
      <c r="I30" s="54">
        <v>1855</v>
      </c>
      <c r="J30" s="56">
        <f>LN(Table1[[#This Row],[2025]]/Table1[[#This Row],[2024]])</f>
        <v>3.6787019308075965E-2</v>
      </c>
      <c r="K30" s="57">
        <f>LN(Table1[[#This Row],[2025]]/Table1[[#This Row],[2023]])</f>
        <v>5.8268908123975824E-2</v>
      </c>
      <c r="L30" s="58">
        <f>LN(Table1[[#This Row],[2025]]/Table1[[#This Row],[2019]])</f>
        <v>0.39394146457462437</v>
      </c>
      <c r="N30" s="17" t="s">
        <v>69</v>
      </c>
      <c r="O30" s="19">
        <v>3266</v>
      </c>
      <c r="P30" s="19">
        <v>2840</v>
      </c>
      <c r="Q30" s="19">
        <v>4240</v>
      </c>
      <c r="R30" s="19">
        <v>5106</v>
      </c>
      <c r="S30" s="19">
        <v>4446</v>
      </c>
      <c r="T30" s="19">
        <v>4650</v>
      </c>
      <c r="U30" s="54">
        <v>5226</v>
      </c>
      <c r="V30" s="74">
        <f>LN(Table2[[#This Row],[2025]]/Table2[[#This Row],[2024]])</f>
        <v>0.11677894749915572</v>
      </c>
      <c r="W30" s="74">
        <f>LN(Table2[[#This Row],[2025]]/Table2[[#This Row],[2023]])</f>
        <v>0.16164135155641599</v>
      </c>
      <c r="X30" s="74">
        <f>LN(Table2[[#This Row],[2025]]/Table2[[#This Row],[2019]])</f>
        <v>0.47008017255014745</v>
      </c>
    </row>
    <row r="31" spans="1:24" x14ac:dyDescent="0.2">
      <c r="B31" s="17" t="s">
        <v>42</v>
      </c>
      <c r="C31" s="19">
        <v>0</v>
      </c>
      <c r="D31" s="19">
        <v>0</v>
      </c>
      <c r="E31" s="19">
        <v>108</v>
      </c>
      <c r="F31" s="19">
        <v>563</v>
      </c>
      <c r="G31" s="19">
        <v>1383</v>
      </c>
      <c r="H31" s="19">
        <v>1389</v>
      </c>
      <c r="I31" s="54">
        <v>1337</v>
      </c>
      <c r="J31" s="56">
        <f>LN(Table1[[#This Row],[2025]]/Table1[[#This Row],[2024]])</f>
        <v>-3.8155765652400545E-2</v>
      </c>
      <c r="K31" s="57">
        <f>LN(Table1[[#This Row],[2025]]/Table1[[#This Row],[2023]])</f>
        <v>-3.3826754562815031E-2</v>
      </c>
      <c r="L31" s="58" t="e">
        <f>LN(Table1[[#This Row],[2025]]/Table1[[#This Row],[2019]])</f>
        <v>#DIV/0!</v>
      </c>
      <c r="N31" s="17" t="s">
        <v>70</v>
      </c>
      <c r="O31" s="19">
        <v>3701</v>
      </c>
      <c r="P31" s="19">
        <v>2086</v>
      </c>
      <c r="Q31" s="19">
        <v>2457</v>
      </c>
      <c r="R31" s="19">
        <v>3288</v>
      </c>
      <c r="S31" s="19">
        <v>4561</v>
      </c>
      <c r="T31" s="19">
        <v>4762</v>
      </c>
      <c r="U31" s="54">
        <v>4906</v>
      </c>
      <c r="V31" s="56">
        <f>LN(Table2[[#This Row],[2025]]/Table2[[#This Row],[2024]])</f>
        <v>2.9791197771626605E-2</v>
      </c>
      <c r="W31" s="57">
        <f>LN(Table2[[#This Row],[2025]]/Table2[[#This Row],[2023]])</f>
        <v>7.2917048106734147E-2</v>
      </c>
      <c r="X31" s="58">
        <f>LN(Table2[[#This Row],[2025]]/Table2[[#This Row],[2019]])</f>
        <v>0.28185589243227871</v>
      </c>
    </row>
    <row r="32" spans="1:24" x14ac:dyDescent="0.2">
      <c r="B32" s="17" t="s">
        <v>43</v>
      </c>
      <c r="C32" s="19">
        <v>423</v>
      </c>
      <c r="D32" s="19">
        <v>399</v>
      </c>
      <c r="E32" s="19">
        <v>430</v>
      </c>
      <c r="F32" s="19">
        <v>508</v>
      </c>
      <c r="G32" s="19">
        <v>532</v>
      </c>
      <c r="H32" s="19">
        <v>548</v>
      </c>
      <c r="I32" s="54">
        <v>542</v>
      </c>
      <c r="J32" s="56">
        <f>LN(Table1[[#This Row],[2025]]/Table1[[#This Row],[2024]])</f>
        <v>-1.1009285508369368E-2</v>
      </c>
      <c r="K32" s="57">
        <f>LN(Table1[[#This Row],[2025]]/Table1[[#This Row],[2023]])</f>
        <v>1.862251209800185E-2</v>
      </c>
      <c r="L32" s="58">
        <f>LN(Table1[[#This Row],[2025]]/Table1[[#This Row],[2019]])</f>
        <v>0.2478938223933683</v>
      </c>
      <c r="N32" s="17" t="s">
        <v>71</v>
      </c>
      <c r="O32" s="19">
        <v>3219</v>
      </c>
      <c r="P32" s="19">
        <v>1777</v>
      </c>
      <c r="Q32" s="19">
        <v>2710</v>
      </c>
      <c r="R32" s="19">
        <v>3434</v>
      </c>
      <c r="S32" s="19">
        <v>3908</v>
      </c>
      <c r="T32" s="19">
        <v>4314</v>
      </c>
      <c r="U32" s="54">
        <v>4876</v>
      </c>
      <c r="V32" s="74">
        <f>LN(Table2[[#This Row],[2025]]/Table2[[#This Row],[2024]])</f>
        <v>0.12245966365206036</v>
      </c>
      <c r="W32" s="74">
        <f>LN(Table2[[#This Row],[2025]]/Table2[[#This Row],[2023]])</f>
        <v>0.2212994774384888</v>
      </c>
      <c r="X32" s="74">
        <f>LN(Table2[[#This Row],[2025]]/Table2[[#This Row],[2019]])</f>
        <v>0.41525445930235394</v>
      </c>
    </row>
    <row r="33" spans="1:24" s="8" customFormat="1" x14ac:dyDescent="0.2">
      <c r="A33" s="1"/>
      <c r="B33" s="17" t="s">
        <v>44</v>
      </c>
      <c r="C33" s="19">
        <v>0</v>
      </c>
      <c r="D33" s="19">
        <v>0</v>
      </c>
      <c r="E33" s="19">
        <v>0</v>
      </c>
      <c r="F33" s="19">
        <v>0</v>
      </c>
      <c r="G33" s="19">
        <v>864</v>
      </c>
      <c r="H33" s="19">
        <v>0</v>
      </c>
      <c r="I33" s="54">
        <v>0</v>
      </c>
      <c r="J33" s="56" t="e">
        <f>LN(Table1[[#This Row],[2025]]/Table1[[#This Row],[2024]])</f>
        <v>#DIV/0!</v>
      </c>
      <c r="K33" s="57" t="e">
        <f>LN(Table1[[#This Row],[2025]]/Table1[[#This Row],[2023]])</f>
        <v>#NUM!</v>
      </c>
      <c r="L33" s="58" t="e">
        <f>LN(Table1[[#This Row],[2025]]/Table1[[#This Row],[2019]])</f>
        <v>#DIV/0!</v>
      </c>
      <c r="M33" s="1"/>
      <c r="N33" s="17" t="s">
        <v>72</v>
      </c>
      <c r="O33" s="19">
        <v>736</v>
      </c>
      <c r="P33" s="19">
        <v>1100</v>
      </c>
      <c r="Q33" s="19">
        <v>1100</v>
      </c>
      <c r="R33" s="19">
        <v>1100</v>
      </c>
      <c r="S33" s="19">
        <v>1100</v>
      </c>
      <c r="T33" s="19">
        <v>1100</v>
      </c>
      <c r="U33" s="54">
        <v>1100</v>
      </c>
      <c r="V33" s="56">
        <f>LN(Table2[[#This Row],[2025]]/Table2[[#This Row],[2024]])</f>
        <v>0</v>
      </c>
      <c r="W33" s="57">
        <f>LN(Table2[[#This Row],[2025]]/Table2[[#This Row],[2023]])</f>
        <v>0</v>
      </c>
      <c r="X33" s="58">
        <f>LN(Table2[[#This Row],[2025]]/Table2[[#This Row],[2019]])</f>
        <v>0.40183534005758575</v>
      </c>
    </row>
    <row r="34" spans="1:24" x14ac:dyDescent="0.2">
      <c r="B34" s="17" t="s">
        <v>21</v>
      </c>
      <c r="C34" s="19">
        <f>1643+1771</f>
        <v>3414</v>
      </c>
      <c r="D34" s="19">
        <f>8219-3946+1232</f>
        <v>5505</v>
      </c>
      <c r="E34" s="19">
        <f>-19-4512+1405</f>
        <v>-3126</v>
      </c>
      <c r="F34" s="19">
        <v>1700</v>
      </c>
      <c r="G34" s="19">
        <v>2239</v>
      </c>
      <c r="H34" s="19">
        <v>2460</v>
      </c>
      <c r="I34" s="54">
        <v>2388</v>
      </c>
      <c r="J34" s="56">
        <f>LN(Table1[[#This Row],[2025]]/Table1[[#This Row],[2024]])</f>
        <v>-2.9705154413915809E-2</v>
      </c>
      <c r="K34" s="57">
        <f>LN(Table1[[#This Row],[2025]]/Table1[[#This Row],[2023]])</f>
        <v>6.4426857913737937E-2</v>
      </c>
      <c r="L34" s="58">
        <f>LN(Table1[[#This Row],[2025]]/Table1[[#This Row],[2019]])</f>
        <v>-0.3574284288418933</v>
      </c>
      <c r="N34" s="17" t="s">
        <v>21</v>
      </c>
      <c r="O34" s="19">
        <v>1078</v>
      </c>
      <c r="P34" s="19">
        <v>1670</v>
      </c>
      <c r="Q34" s="19">
        <v>1746</v>
      </c>
      <c r="R34" s="19">
        <v>1779</v>
      </c>
      <c r="S34" s="19">
        <v>1617</v>
      </c>
      <c r="T34" s="19">
        <v>1812</v>
      </c>
      <c r="U34" s="54">
        <v>1945</v>
      </c>
      <c r="V34" s="56">
        <f>LN(Table2[[#This Row],[2025]]/Table2[[#This Row],[2024]])</f>
        <v>7.0830769449622022E-2</v>
      </c>
      <c r="W34" s="57">
        <f>LN(Table2[[#This Row],[2025]]/Table2[[#This Row],[2023]])</f>
        <v>0.1846893964754398</v>
      </c>
      <c r="X34" s="58">
        <f>LN(Table2[[#This Row],[2025]]/Table2[[#This Row],[2019]])</f>
        <v>0.59015450458360419</v>
      </c>
    </row>
    <row r="35" spans="1:24" ht="13.5" thickBot="1" x14ac:dyDescent="0.25">
      <c r="B35" s="21" t="s">
        <v>45</v>
      </c>
      <c r="C35" s="25">
        <f t="shared" ref="C35:G35" si="4">SUM(C21:C34)</f>
        <v>40389</v>
      </c>
      <c r="D35" s="25">
        <f t="shared" si="4"/>
        <v>29564</v>
      </c>
      <c r="E35" s="25">
        <f t="shared" si="4"/>
        <v>28013</v>
      </c>
      <c r="F35" s="25">
        <f t="shared" si="4"/>
        <v>46921</v>
      </c>
      <c r="G35" s="25">
        <f t="shared" si="4"/>
        <v>52527</v>
      </c>
      <c r="H35" s="25">
        <f>SUM(H21:H34)</f>
        <v>55648</v>
      </c>
      <c r="I35" s="25">
        <f>SUM(I21:I34)</f>
        <v>57542</v>
      </c>
      <c r="J35" s="62">
        <f>LN(Table1[[#This Row],[2025]]/Table1[[#This Row],[2024]])</f>
        <v>3.3468977776388083E-2</v>
      </c>
      <c r="K35" s="76">
        <f>LN(Table1[[#This Row],[2025]]/Table1[[#This Row],[2023]])</f>
        <v>9.1187792835971226E-2</v>
      </c>
      <c r="L35" s="76">
        <f>LN(Table1[[#This Row],[2025]]/Table1[[#This Row],[2019]])</f>
        <v>0.35395764528305323</v>
      </c>
      <c r="N35" s="21" t="s">
        <v>73</v>
      </c>
      <c r="O35" s="25">
        <f t="shared" ref="O35:S35" si="5">SUM(O27:O34)</f>
        <v>20204</v>
      </c>
      <c r="P35" s="25">
        <f t="shared" si="5"/>
        <v>15927</v>
      </c>
      <c r="Q35" s="25">
        <f t="shared" si="5"/>
        <v>20966</v>
      </c>
      <c r="R35" s="25">
        <f t="shared" si="5"/>
        <v>25940</v>
      </c>
      <c r="S35" s="25">
        <f t="shared" si="5"/>
        <v>26418</v>
      </c>
      <c r="T35" s="25">
        <f>SUM(T27:T34)</f>
        <v>26670</v>
      </c>
      <c r="U35" s="25">
        <f>SUM(U27:U34)</f>
        <v>27624</v>
      </c>
      <c r="V35" s="62">
        <f>LN(Table2[[#This Row],[2025]]/Table2[[#This Row],[2024]])</f>
        <v>3.5145621893768304E-2</v>
      </c>
      <c r="W35" s="63">
        <f>LN(Table2[[#This Row],[2025]]/Table2[[#This Row],[2023]])</f>
        <v>4.4639364086019359E-2</v>
      </c>
      <c r="X35" s="64">
        <f>LN(Table2[[#This Row],[2025]]/Table2[[#This Row],[2019]])</f>
        <v>0.31280435548188507</v>
      </c>
    </row>
    <row r="36" spans="1:24" x14ac:dyDescent="0.2">
      <c r="B36" s="14"/>
      <c r="C36" s="19"/>
      <c r="D36" s="19"/>
      <c r="E36" s="19"/>
      <c r="F36" s="19"/>
      <c r="G36" s="19"/>
      <c r="H36" s="19"/>
      <c r="I36" s="54"/>
      <c r="J36" s="35"/>
      <c r="K36" s="36"/>
      <c r="L36" s="37"/>
      <c r="N36" s="14" t="s">
        <v>74</v>
      </c>
      <c r="O36" s="19">
        <v>8873</v>
      </c>
      <c r="P36" s="19">
        <v>27425</v>
      </c>
      <c r="Q36" s="19">
        <v>25138</v>
      </c>
      <c r="R36" s="19">
        <v>20671</v>
      </c>
      <c r="S36" s="19">
        <v>17071</v>
      </c>
      <c r="T36" s="19">
        <v>14019</v>
      </c>
      <c r="U36" s="54">
        <v>12507</v>
      </c>
      <c r="V36" s="56">
        <f>LN(Table2[[#This Row],[2025]]/Table2[[#This Row],[2024]])</f>
        <v>-0.11412506481962932</v>
      </c>
      <c r="W36" s="57">
        <f>LN(Table2[[#This Row],[2025]]/Table2[[#This Row],[2023]])</f>
        <v>-0.31109262983184621</v>
      </c>
      <c r="X36" s="58">
        <f>LN(Table2[[#This Row],[2025]]/Table2[[#This Row],[2019]])</f>
        <v>0.34327552971356884</v>
      </c>
    </row>
    <row r="37" spans="1:24" x14ac:dyDescent="0.2">
      <c r="B37" s="5" t="s">
        <v>46</v>
      </c>
      <c r="C37" s="30">
        <f t="shared" ref="C37:G37" si="6">C18-C35</f>
        <v>6618</v>
      </c>
      <c r="D37" s="30">
        <f t="shared" si="6"/>
        <v>-12469</v>
      </c>
      <c r="E37" s="30">
        <f t="shared" si="6"/>
        <v>1886</v>
      </c>
      <c r="F37" s="30">
        <f t="shared" si="6"/>
        <v>3661</v>
      </c>
      <c r="G37" s="30">
        <f t="shared" si="6"/>
        <v>5521</v>
      </c>
      <c r="H37" s="30">
        <f>H18-H35</f>
        <v>5995</v>
      </c>
      <c r="I37" s="30">
        <f>I18-I35</f>
        <v>5822</v>
      </c>
      <c r="J37" s="59">
        <f>LN(Table1[[#This Row],[2025]]/Table1[[#This Row],[2024]])</f>
        <v>-2.9281943156046101E-2</v>
      </c>
      <c r="K37" s="60">
        <f>LN(Table1[[#This Row],[2025]]/Table1[[#This Row],[2023]])</f>
        <v>5.3084842021523922E-2</v>
      </c>
      <c r="L37" s="61">
        <f>LN(Table1[[#This Row],[2025]]/Table1[[#This Row],[2019]])</f>
        <v>-0.12814936417598896</v>
      </c>
      <c r="N37" s="14" t="s">
        <v>75</v>
      </c>
      <c r="O37" s="19">
        <v>8452</v>
      </c>
      <c r="P37" s="19">
        <v>10630</v>
      </c>
      <c r="Q37" s="19">
        <v>6035</v>
      </c>
      <c r="R37" s="19">
        <v>3707</v>
      </c>
      <c r="S37" s="19">
        <v>3601</v>
      </c>
      <c r="T37" s="19">
        <v>3144</v>
      </c>
      <c r="U37" s="54">
        <v>5353</v>
      </c>
      <c r="V37" s="74">
        <f>LN(Table2[[#This Row],[2025]]/Table2[[#This Row],[2024]])</f>
        <v>0.53216127684428416</v>
      </c>
      <c r="W37" s="74">
        <f>LN(Table2[[#This Row],[2025]]/Table2[[#This Row],[2023]])</f>
        <v>0.39644556674450604</v>
      </c>
      <c r="X37" s="74">
        <f>LN(Table2[[#This Row],[2025]]/Table2[[#This Row],[2019]])</f>
        <v>-0.4567459483425661</v>
      </c>
    </row>
    <row r="38" spans="1:24" x14ac:dyDescent="0.2">
      <c r="B38" s="14" t="s">
        <v>47</v>
      </c>
      <c r="C38" s="19">
        <v>-301</v>
      </c>
      <c r="D38" s="19">
        <v>-929</v>
      </c>
      <c r="E38" s="19">
        <v>-1279</v>
      </c>
      <c r="F38" s="19">
        <v>-1029</v>
      </c>
      <c r="G38" s="19">
        <v>-834</v>
      </c>
      <c r="H38" s="19">
        <v>-747</v>
      </c>
      <c r="I38" s="54">
        <v>-679</v>
      </c>
      <c r="J38" s="74">
        <f>LN(Table1[[#This Row],[2025]]/Table1[[#This Row],[2024]])</f>
        <v>-9.5444057574121208E-2</v>
      </c>
      <c r="K38" s="74">
        <f>LN(Table1[[#This Row],[2025]]/Table1[[#This Row],[2023]])</f>
        <v>-0.20561227480005057</v>
      </c>
      <c r="L38" s="74">
        <f>LN(Table1[[#This Row],[2025]]/Table1[[#This Row],[2019]])</f>
        <v>0.81351086280982043</v>
      </c>
      <c r="N38" s="14" t="s">
        <v>71</v>
      </c>
      <c r="O38" s="19">
        <v>3509</v>
      </c>
      <c r="P38" s="19">
        <v>5405</v>
      </c>
      <c r="Q38" s="19">
        <v>4849</v>
      </c>
      <c r="R38" s="19">
        <v>4448</v>
      </c>
      <c r="S38" s="19">
        <v>4512</v>
      </c>
      <c r="T38" s="19">
        <v>4512</v>
      </c>
      <c r="U38" s="54">
        <v>3156</v>
      </c>
      <c r="V38" s="74">
        <f>LN(Table2[[#This Row],[2025]]/Table2[[#This Row],[2024]])</f>
        <v>-0.3574351112121299</v>
      </c>
      <c r="W38" s="57">
        <f>LN(Table2[[#This Row],[2025]]/Table2[[#This Row],[2023]])</f>
        <v>-0.3574351112121299</v>
      </c>
      <c r="X38" s="58">
        <f>LN(Table2[[#This Row],[2025]]/Table2[[#This Row],[2019]])</f>
        <v>-0.10602569361745021</v>
      </c>
    </row>
    <row r="39" spans="1:24" x14ac:dyDescent="0.2">
      <c r="B39" s="45" t="s">
        <v>81</v>
      </c>
      <c r="C39" s="26">
        <v>-62</v>
      </c>
      <c r="D39" s="26">
        <v>-2432</v>
      </c>
      <c r="E39" s="26">
        <v>-337</v>
      </c>
      <c r="F39" s="26">
        <v>0</v>
      </c>
      <c r="G39" s="26">
        <v>0</v>
      </c>
      <c r="H39" s="26">
        <v>0</v>
      </c>
      <c r="I39" s="54">
        <v>0</v>
      </c>
      <c r="J39" s="56" t="e">
        <f>LN(Table1[[#This Row],[2025]]/Table1[[#This Row],[2024]])</f>
        <v>#DIV/0!</v>
      </c>
      <c r="K39" s="57" t="e">
        <f>LN(Table1[[#This Row],[2025]]/Table1[[#This Row],[2023]])</f>
        <v>#DIV/0!</v>
      </c>
      <c r="L39" s="58" t="e">
        <f>LN(Table1[[#This Row],[2025]]/Table1[[#This Row],[2019]])</f>
        <v>#NUM!</v>
      </c>
      <c r="N39" s="14" t="s">
        <v>61</v>
      </c>
      <c r="O39" s="19">
        <v>5294</v>
      </c>
      <c r="P39" s="19">
        <v>5713</v>
      </c>
      <c r="Q39" s="19">
        <v>7056</v>
      </c>
      <c r="R39" s="19">
        <v>6866</v>
      </c>
      <c r="S39" s="19">
        <v>6468</v>
      </c>
      <c r="T39" s="19">
        <v>5814</v>
      </c>
      <c r="U39" s="54">
        <v>4386</v>
      </c>
      <c r="V39" s="56">
        <f>LN(Table2[[#This Row],[2025]]/Table2[[#This Row],[2024]])</f>
        <v>-0.28185115214098772</v>
      </c>
      <c r="W39" s="57">
        <f>LN(Table2[[#This Row],[2025]]/Table2[[#This Row],[2023]])</f>
        <v>-0.38844929171916398</v>
      </c>
      <c r="X39" s="58">
        <f>LN(Table2[[#This Row],[2025]]/Table2[[#This Row],[2019]])</f>
        <v>-0.18815645380921303</v>
      </c>
    </row>
    <row r="40" spans="1:24" x14ac:dyDescent="0.2">
      <c r="B40" s="14" t="s">
        <v>49</v>
      </c>
      <c r="C40" s="27">
        <v>0</v>
      </c>
      <c r="D40" s="27">
        <v>-8</v>
      </c>
      <c r="E40" s="27">
        <v>-319</v>
      </c>
      <c r="F40" s="26">
        <v>-100</v>
      </c>
      <c r="G40" s="26">
        <v>-63</v>
      </c>
      <c r="H40" s="26">
        <v>-39</v>
      </c>
      <c r="I40" s="54">
        <v>-26</v>
      </c>
      <c r="J40" s="56">
        <f>LN(Table1[[#This Row],[2025]]/Table1[[#This Row],[2024]])</f>
        <v>-0.40546510810816444</v>
      </c>
      <c r="K40" s="57">
        <f>LN(Table1[[#This Row],[2025]]/Table1[[#This Row],[2023]])</f>
        <v>-0.88503818837005066</v>
      </c>
      <c r="L40" s="58" t="e">
        <f>LN(Table1[[#This Row],[2025]]/Table1[[#This Row],[2019]])</f>
        <v>#DIV/0!</v>
      </c>
      <c r="N40" s="14" t="s">
        <v>76</v>
      </c>
      <c r="O40" s="29">
        <v>1456</v>
      </c>
      <c r="P40" s="29">
        <v>0</v>
      </c>
      <c r="Q40" s="29">
        <v>0</v>
      </c>
      <c r="R40" s="29">
        <v>0</v>
      </c>
      <c r="S40" s="29">
        <v>908</v>
      </c>
      <c r="T40" s="29">
        <v>2176</v>
      </c>
      <c r="U40" s="53">
        <v>3444</v>
      </c>
      <c r="V40" s="74">
        <f>LN(Table2[[#This Row],[2025]]/Table2[[#This Row],[2024]])</f>
        <v>0.4591452575717882</v>
      </c>
      <c r="W40" s="74">
        <f>LN(Table2[[#This Row],[2025]]/Table2[[#This Row],[2023]])</f>
        <v>1.333144486946328</v>
      </c>
      <c r="X40" s="58">
        <f>LN(Table2[[#This Row],[2025]]/Table2[[#This Row],[2019]])</f>
        <v>0.8609406367909902</v>
      </c>
    </row>
    <row r="41" spans="1:24" x14ac:dyDescent="0.2">
      <c r="B41" s="14" t="s">
        <v>48</v>
      </c>
      <c r="C41" s="26">
        <v>119</v>
      </c>
      <c r="D41" s="26">
        <v>-105</v>
      </c>
      <c r="E41" s="27">
        <v>56</v>
      </c>
      <c r="F41" s="26">
        <v>-783</v>
      </c>
      <c r="G41" s="26">
        <v>1263</v>
      </c>
      <c r="H41" s="26">
        <v>-319</v>
      </c>
      <c r="I41" s="54">
        <v>1212</v>
      </c>
      <c r="J41" s="56" t="e">
        <f>LN(Table1[[#This Row],[2025]]/Table1[[#This Row],[2024]])</f>
        <v>#NUM!</v>
      </c>
      <c r="K41" s="57">
        <f>LN(Table1[[#This Row],[2025]]/Table1[[#This Row],[2023]])</f>
        <v>-4.1217955721231374E-2</v>
      </c>
      <c r="L41" s="58">
        <f>LN(Table1[[#This Row],[2025]]/Table1[[#This Row],[2019]])</f>
        <v>2.3209036735177304</v>
      </c>
      <c r="N41" s="14" t="s">
        <v>21</v>
      </c>
      <c r="O41" s="29">
        <f>1386</f>
        <v>1386</v>
      </c>
      <c r="P41" s="29">
        <f>4862+500</f>
        <v>5362</v>
      </c>
      <c r="Q41" s="29">
        <f>130+4398</f>
        <v>4528</v>
      </c>
      <c r="R41" s="29">
        <f>3974+100</f>
        <v>4074</v>
      </c>
      <c r="S41" s="29">
        <v>3561</v>
      </c>
      <c r="T41" s="29">
        <v>3744</v>
      </c>
      <c r="U41" s="53">
        <v>3994</v>
      </c>
      <c r="V41" s="56">
        <f>LN(Table2[[#This Row],[2025]]/Table2[[#This Row],[2024]])</f>
        <v>6.4638676378277846E-2</v>
      </c>
      <c r="W41" s="57">
        <f>LN(Table2[[#This Row],[2025]]/Table2[[#This Row],[2023]])</f>
        <v>0.1147518306979828</v>
      </c>
      <c r="X41" s="58">
        <f>LN(Table2[[#This Row],[2025]]/Table2[[#This Row],[2019]])</f>
        <v>1.058371334225912</v>
      </c>
    </row>
    <row r="42" spans="1:24" ht="13.5" thickBot="1" x14ac:dyDescent="0.25">
      <c r="B42" s="45" t="s">
        <v>82</v>
      </c>
      <c r="C42" s="27">
        <v>0</v>
      </c>
      <c r="D42" s="27">
        <v>219</v>
      </c>
      <c r="E42" s="27">
        <v>451</v>
      </c>
      <c r="F42" s="27">
        <v>0</v>
      </c>
      <c r="G42" s="27">
        <v>0</v>
      </c>
      <c r="H42" s="27">
        <v>0</v>
      </c>
      <c r="I42" s="54">
        <v>0</v>
      </c>
      <c r="J42" s="56" t="e">
        <f>LN(Table1[[#This Row],[2025]]/Table1[[#This Row],[2024]])</f>
        <v>#DIV/0!</v>
      </c>
      <c r="K42" s="57" t="e">
        <f>LN(Table1[[#This Row],[2025]]/Table1[[#This Row],[2023]])</f>
        <v>#DIV/0!</v>
      </c>
      <c r="L42" s="58" t="e">
        <f>LN(Table1[[#This Row],[2025]]/Table1[[#This Row],[2019]])</f>
        <v>#DIV/0!</v>
      </c>
      <c r="N42" s="21" t="s">
        <v>77</v>
      </c>
      <c r="O42" s="25">
        <f t="shared" ref="O42:S42" si="7">SUM(O35:O41)</f>
        <v>49174</v>
      </c>
      <c r="P42" s="25">
        <f t="shared" si="7"/>
        <v>70462</v>
      </c>
      <c r="Q42" s="25">
        <f t="shared" si="7"/>
        <v>68572</v>
      </c>
      <c r="R42" s="25">
        <f t="shared" si="7"/>
        <v>65706</v>
      </c>
      <c r="S42" s="25">
        <f t="shared" si="7"/>
        <v>62539</v>
      </c>
      <c r="T42" s="25">
        <f>SUM(T35:T41)</f>
        <v>60079</v>
      </c>
      <c r="U42" s="25">
        <f>SUM(U35:U41)</f>
        <v>60464</v>
      </c>
      <c r="V42" s="62">
        <f>LN(Table2[[#This Row],[2025]]/Table2[[#This Row],[2024]])</f>
        <v>6.3877837638092036E-3</v>
      </c>
      <c r="W42" s="63">
        <f>LN(Table2[[#This Row],[2025]]/Table2[[#This Row],[2023]])</f>
        <v>-3.3742215528175037E-2</v>
      </c>
      <c r="X42" s="64">
        <f>LN(Table2[[#This Row],[2025]]/Table2[[#This Row],[2019]])</f>
        <v>0.2066831180751299</v>
      </c>
    </row>
    <row r="43" spans="1:24" x14ac:dyDescent="0.2">
      <c r="B43" s="14" t="s">
        <v>50</v>
      </c>
      <c r="C43" s="27">
        <v>-176</v>
      </c>
      <c r="D43" s="27">
        <v>137</v>
      </c>
      <c r="E43" s="27">
        <v>-60</v>
      </c>
      <c r="F43" s="27">
        <v>165</v>
      </c>
      <c r="G43" s="27">
        <v>-279</v>
      </c>
      <c r="H43" s="27">
        <v>-232</v>
      </c>
      <c r="I43" s="54">
        <v>-144</v>
      </c>
      <c r="J43" s="56">
        <f>LN(Table1[[#This Row],[2025]]/Table1[[#This Row],[2024]])</f>
        <v>-0.47692407209030929</v>
      </c>
      <c r="K43" s="57">
        <f>LN(Table1[[#This Row],[2025]]/Table1[[#This Row],[2023]])</f>
        <v>-0.66139848224536502</v>
      </c>
      <c r="L43" s="58">
        <f>LN(Table1[[#This Row],[2025]]/Table1[[#This Row],[2019]])</f>
        <v>-0.20067069546215111</v>
      </c>
      <c r="N43" s="6"/>
      <c r="O43" s="29"/>
      <c r="P43" s="29"/>
      <c r="Q43" s="29"/>
      <c r="R43" s="29"/>
      <c r="S43" s="29"/>
      <c r="T43" s="29"/>
      <c r="U43" s="53"/>
      <c r="V43" s="35"/>
      <c r="W43" s="36"/>
      <c r="X43" s="37"/>
    </row>
    <row r="44" spans="1:24" ht="13.5" thickBot="1" x14ac:dyDescent="0.25">
      <c r="B44" s="20" t="s">
        <v>51</v>
      </c>
      <c r="C44" s="31">
        <f t="shared" ref="C44:G44" si="8">SUM(C37:C43)</f>
        <v>6198</v>
      </c>
      <c r="D44" s="31">
        <f t="shared" si="8"/>
        <v>-15587</v>
      </c>
      <c r="E44" s="31">
        <f t="shared" si="8"/>
        <v>398</v>
      </c>
      <c r="F44" s="31">
        <f t="shared" si="8"/>
        <v>1914</v>
      </c>
      <c r="G44" s="31">
        <f t="shared" si="8"/>
        <v>5608</v>
      </c>
      <c r="H44" s="31">
        <f>SUM(H37:H43)</f>
        <v>4658</v>
      </c>
      <c r="I44" s="31">
        <f>SUM(I37:I43)</f>
        <v>6185</v>
      </c>
      <c r="J44" s="76">
        <f>LN(Table1[[#This Row],[2025]]/Table1[[#This Row],[2024]])</f>
        <v>0.28354083438230193</v>
      </c>
      <c r="K44" s="63">
        <f>LN(Table1[[#This Row],[2025]]/Table1[[#This Row],[2023]])</f>
        <v>9.7932856112162209E-2</v>
      </c>
      <c r="L44" s="64">
        <f>LN(Table1[[#This Row],[2025]]/Table1[[#This Row],[2019]])</f>
        <v>-2.0996535211053272E-3</v>
      </c>
      <c r="N44" s="5" t="s">
        <v>78</v>
      </c>
      <c r="O44" s="43">
        <f t="shared" ref="O44:S44" si="9">O23-O42</f>
        <v>15358</v>
      </c>
      <c r="P44" s="43">
        <f t="shared" si="9"/>
        <v>1534</v>
      </c>
      <c r="Q44" s="43">
        <f t="shared" si="9"/>
        <v>3886</v>
      </c>
      <c r="R44" s="43">
        <f t="shared" si="9"/>
        <v>6582</v>
      </c>
      <c r="S44" s="43">
        <f t="shared" si="9"/>
        <v>11105</v>
      </c>
      <c r="T44" s="43">
        <f>T23-T42</f>
        <v>15293</v>
      </c>
      <c r="U44" s="43">
        <f>U23-U42</f>
        <v>20853</v>
      </c>
      <c r="V44" s="74">
        <f>LN(Table2[[#This Row],[2025]]/Table2[[#This Row],[2024]])</f>
        <v>0.31010261542047224</v>
      </c>
      <c r="W44" s="74">
        <f>LN(Table2[[#This Row],[2025]]/Table2[[#This Row],[2023]])</f>
        <v>0.6301023654400677</v>
      </c>
      <c r="X44" s="61">
        <f>LN(Table2[[#This Row],[2025]]/Table2[[#This Row],[2019]])</f>
        <v>0.30586131187810672</v>
      </c>
    </row>
    <row r="45" spans="1:24" x14ac:dyDescent="0.2">
      <c r="B45" s="17" t="s">
        <v>52</v>
      </c>
      <c r="C45" s="27">
        <v>1431</v>
      </c>
      <c r="D45" s="27">
        <v>-3202</v>
      </c>
      <c r="E45" s="27">
        <v>118</v>
      </c>
      <c r="F45" s="27">
        <v>596</v>
      </c>
      <c r="G45" s="27">
        <v>999</v>
      </c>
      <c r="H45" s="27">
        <v>1201</v>
      </c>
      <c r="I45" s="54">
        <v>1180</v>
      </c>
      <c r="J45" s="56">
        <f>LN(Table1[[#This Row],[2025]]/Table1[[#This Row],[2024]])</f>
        <v>-1.7640104620273111E-2</v>
      </c>
      <c r="K45" s="57">
        <f>LN(Table1[[#This Row],[2025]]/Table1[[#This Row],[2023]])</f>
        <v>0.16651493881115695</v>
      </c>
      <c r="L45" s="58">
        <f>LN(Table1[[#This Row],[2025]]/Table1[[#This Row],[2019]])</f>
        <v>-0.1928590620967405</v>
      </c>
      <c r="N45" s="14" t="s">
        <v>55</v>
      </c>
      <c r="O45" s="29">
        <f>O11+O12+O21+636</f>
        <v>6086</v>
      </c>
      <c r="P45" s="29">
        <f>P11+P12+P21+1556</f>
        <v>17317</v>
      </c>
      <c r="Q45" s="29">
        <f t="shared" ref="Q45:S45" si="10">Q11+Q12+Q21</f>
        <v>13031</v>
      </c>
      <c r="R45" s="29">
        <f t="shared" si="10"/>
        <v>8662</v>
      </c>
      <c r="S45" s="29">
        <f t="shared" si="10"/>
        <v>7325</v>
      </c>
      <c r="T45" s="29">
        <f>T11+T12+T21</f>
        <v>5915</v>
      </c>
      <c r="U45" s="29">
        <f t="shared" ref="U45" si="11">U11+U12+U21</f>
        <v>8532</v>
      </c>
      <c r="V45" s="74">
        <f>LN(Table2[[#This Row],[2025]]/Table2[[#This Row],[2024]])</f>
        <v>0.36633230317875398</v>
      </c>
      <c r="W45" s="57">
        <f>LN(Table2[[#This Row],[2025]]/Table2[[#This Row],[2023]])</f>
        <v>0.15253064570597305</v>
      </c>
      <c r="X45" s="58">
        <f>LN(Table2[[#This Row],[2025]]/Table2[[#This Row],[2019]])</f>
        <v>0.33783274913432476</v>
      </c>
    </row>
    <row r="46" spans="1:24" ht="13.5" thickBot="1" x14ac:dyDescent="0.25">
      <c r="B46" s="21" t="s">
        <v>53</v>
      </c>
      <c r="C46" s="25">
        <f t="shared" ref="C46:H46" si="12">C44-C45</f>
        <v>4767</v>
      </c>
      <c r="D46" s="25">
        <f t="shared" si="12"/>
        <v>-12385</v>
      </c>
      <c r="E46" s="25">
        <f t="shared" si="12"/>
        <v>280</v>
      </c>
      <c r="F46" s="25">
        <f t="shared" si="12"/>
        <v>1318</v>
      </c>
      <c r="G46" s="25">
        <f t="shared" si="12"/>
        <v>4609</v>
      </c>
      <c r="H46" s="25">
        <f t="shared" si="12"/>
        <v>3457</v>
      </c>
      <c r="I46" s="25">
        <f>I44-I45</f>
        <v>5005</v>
      </c>
      <c r="J46" s="76">
        <f>LN(Table1[[#This Row],[2025]]/Table1[[#This Row],[2024]])</f>
        <v>0.37003625182769645</v>
      </c>
      <c r="K46" s="63">
        <f>LN(Table1[[#This Row],[2025]]/Table1[[#This Row],[2023]])</f>
        <v>8.2426499028812689E-2</v>
      </c>
      <c r="L46" s="64">
        <f>LN(Table1[[#This Row],[2025]]/Table1[[#This Row],[2019]])</f>
        <v>4.8720236544495234E-2</v>
      </c>
      <c r="N46" s="14" t="s">
        <v>79</v>
      </c>
      <c r="O46" s="29">
        <f t="shared" ref="O46:S46" si="13">O27+O36</f>
        <v>11160</v>
      </c>
      <c r="P46" s="29">
        <f t="shared" si="13"/>
        <v>29157</v>
      </c>
      <c r="Q46" s="29">
        <f t="shared" si="13"/>
        <v>26920</v>
      </c>
      <c r="R46" s="29">
        <f t="shared" si="13"/>
        <v>23030</v>
      </c>
      <c r="S46" s="29">
        <f t="shared" si="13"/>
        <v>20054</v>
      </c>
      <c r="T46" s="29">
        <f>T27+T36</f>
        <v>16194</v>
      </c>
      <c r="U46" s="29">
        <f t="shared" ref="U46" si="14">U27+U36</f>
        <v>14112</v>
      </c>
      <c r="V46" s="74">
        <f>LN(Table2[[#This Row],[2025]]/Table2[[#This Row],[2024]])</f>
        <v>-0.1376153039994871</v>
      </c>
      <c r="W46" s="74">
        <f>LN(Table2[[#This Row],[2025]]/Table2[[#This Row],[2023]])</f>
        <v>-0.35140313583729815</v>
      </c>
      <c r="X46" s="58">
        <f>LN(Table2[[#This Row],[2025]]/Table2[[#This Row],[2019]])</f>
        <v>0.23468954231127054</v>
      </c>
    </row>
    <row r="47" spans="1:24" x14ac:dyDescent="0.2">
      <c r="B47" s="14"/>
      <c r="C47" s="19"/>
      <c r="D47" s="19"/>
      <c r="E47" s="19"/>
      <c r="F47" s="19"/>
      <c r="G47" s="19"/>
      <c r="H47" s="19"/>
      <c r="I47" s="54"/>
      <c r="J47" s="35"/>
      <c r="K47" s="36"/>
      <c r="L47" s="37"/>
      <c r="N47" s="14" t="s">
        <v>80</v>
      </c>
      <c r="O47" s="29">
        <f t="shared" ref="O47:T47" si="15">C51-O45+O46</f>
        <v>41184.9</v>
      </c>
      <c r="P47" s="29">
        <f t="shared" si="15"/>
        <v>36885.68</v>
      </c>
      <c r="Q47" s="29">
        <f t="shared" si="15"/>
        <v>38420.070000000007</v>
      </c>
      <c r="R47" s="29">
        <f t="shared" si="15"/>
        <v>34995.380000000005</v>
      </c>
      <c r="S47" s="29">
        <f t="shared" si="15"/>
        <v>38185.370000000003</v>
      </c>
      <c r="T47" s="29">
        <f t="shared" si="15"/>
        <v>49275.64</v>
      </c>
      <c r="U47" s="29">
        <f t="shared" ref="U47" si="16">I51-U45+U46</f>
        <v>48443.16</v>
      </c>
      <c r="V47" s="56">
        <f>LN(Table2[[#This Row],[2025]]/Table2[[#This Row],[2024]])</f>
        <v>-1.7038689385381715E-2</v>
      </c>
      <c r="W47" s="57">
        <f>LN(Table2[[#This Row],[2025]]/Table2[[#This Row],[2023]])</f>
        <v>0.23793869393773004</v>
      </c>
      <c r="X47" s="58">
        <f>LN(Table2[[#This Row],[2025]]/Table2[[#This Row],[2019]])</f>
        <v>0.16231946757805826</v>
      </c>
    </row>
    <row r="48" spans="1:24" x14ac:dyDescent="0.2">
      <c r="B48" s="14" t="s">
        <v>1</v>
      </c>
      <c r="C48" s="19">
        <v>653</v>
      </c>
      <c r="D48" s="19">
        <v>636</v>
      </c>
      <c r="E48" s="19">
        <v>641</v>
      </c>
      <c r="F48" s="19">
        <v>641</v>
      </c>
      <c r="G48" s="19">
        <v>643</v>
      </c>
      <c r="H48" s="19">
        <v>648</v>
      </c>
      <c r="I48" s="54">
        <v>654</v>
      </c>
      <c r="J48" s="56">
        <f>LN(Table1[[#This Row],[2025]]/Table1[[#This Row],[2024]])</f>
        <v>9.2166551049240476E-3</v>
      </c>
      <c r="K48" s="57">
        <f>LN(Table1[[#This Row],[2025]]/Table1[[#This Row],[2023]])</f>
        <v>1.6962627219579231E-2</v>
      </c>
      <c r="L48" s="58">
        <f>LN(Table1[[#This Row],[2025]]/Table1[[#This Row],[2019]])</f>
        <v>1.5302221807675365E-3</v>
      </c>
      <c r="N48" s="45" t="s">
        <v>89</v>
      </c>
      <c r="O48" s="50">
        <f t="shared" ref="O48:T48" si="17">C18/O23</f>
        <v>0.72842930639062786</v>
      </c>
      <c r="P48" s="50">
        <f t="shared" si="17"/>
        <v>0.23744374687482639</v>
      </c>
      <c r="Q48" s="50">
        <f t="shared" si="17"/>
        <v>0.41263904606806701</v>
      </c>
      <c r="R48" s="50">
        <f t="shared" si="17"/>
        <v>0.69972886232846387</v>
      </c>
      <c r="S48" s="50">
        <f t="shared" si="17"/>
        <v>0.78822443104665685</v>
      </c>
      <c r="T48" s="50">
        <f t="shared" si="17"/>
        <v>0.81785013002175877</v>
      </c>
      <c r="U48" s="50">
        <f t="shared" ref="U48" si="18">I18/U23</f>
        <v>0.77922205688847346</v>
      </c>
      <c r="V48" s="56">
        <f>LN(Table2[[#This Row],[2025]]/Table2[[#This Row],[2024]])</f>
        <v>-4.838304566172956E-2</v>
      </c>
      <c r="W48" s="57">
        <f>LN(Table2[[#This Row],[2025]]/Table2[[#This Row],[2023]])</f>
        <v>-1.148680125709761E-2</v>
      </c>
      <c r="X48" s="58">
        <f>LN(Table2[[#This Row],[2025]]/Table2[[#This Row],[2019]])</f>
        <v>6.7405478054129997E-2</v>
      </c>
    </row>
    <row r="49" spans="2:24" x14ac:dyDescent="0.2">
      <c r="B49" s="14" t="s">
        <v>54</v>
      </c>
      <c r="C49" s="18">
        <f t="shared" ref="C49:G49" si="19">C46/C48</f>
        <v>7.3001531393568149</v>
      </c>
      <c r="D49" s="18">
        <f t="shared" si="19"/>
        <v>-19.473270440251572</v>
      </c>
      <c r="E49" s="18">
        <f t="shared" si="19"/>
        <v>0.43681747269890797</v>
      </c>
      <c r="F49" s="18">
        <f t="shared" si="19"/>
        <v>2.0561622464898597</v>
      </c>
      <c r="G49" s="18">
        <f t="shared" si="19"/>
        <v>7.1679626749611201</v>
      </c>
      <c r="H49" s="18">
        <f>H46/H48</f>
        <v>5.3348765432098766</v>
      </c>
      <c r="I49" s="18">
        <f>I46/I48</f>
        <v>7.6529051987767582</v>
      </c>
      <c r="J49" s="74">
        <f>LN(Table1[[#This Row],[2025]]/Table1[[#This Row],[2024]])</f>
        <v>0.36081959672277231</v>
      </c>
      <c r="K49" s="57">
        <f>LN(Table1[[#This Row],[2025]]/Table1[[#This Row],[2023]])</f>
        <v>6.5463871809233368E-2</v>
      </c>
      <c r="L49" s="58">
        <f>LN(Table1[[#This Row],[2025]]/Table1[[#This Row],[2019]])</f>
        <v>4.7190014363727661E-2</v>
      </c>
      <c r="N49" s="45" t="s">
        <v>90</v>
      </c>
      <c r="O49" s="50">
        <f>O23/O44</f>
        <v>4.2018491991144682</v>
      </c>
      <c r="P49" s="50">
        <f t="shared" ref="P49:T49" si="20">P23/P44</f>
        <v>46.933507170795309</v>
      </c>
      <c r="Q49" s="50">
        <f t="shared" si="20"/>
        <v>18.645908389089037</v>
      </c>
      <c r="R49" s="50">
        <f t="shared" si="20"/>
        <v>10.982680036463082</v>
      </c>
      <c r="S49" s="50">
        <f t="shared" si="20"/>
        <v>6.6316073840612333</v>
      </c>
      <c r="T49" s="50">
        <f t="shared" si="20"/>
        <v>4.9285293925325311</v>
      </c>
      <c r="U49" s="50">
        <f t="shared" ref="U49" si="21">U23/U44</f>
        <v>3.8995348391118783</v>
      </c>
      <c r="V49" s="74">
        <f>LN(Table2[[#This Row],[2025]]/Table2[[#This Row],[2024]])</f>
        <v>-0.23418337189472563</v>
      </c>
      <c r="W49" s="74">
        <f>LN(Table2[[#This Row],[2025]]/Table2[[#This Row],[2023]])</f>
        <v>-0.53098994184903736</v>
      </c>
      <c r="X49" s="58">
        <f>LN(Table2[[#This Row],[2025]]/Table2[[#This Row],[2019]])</f>
        <v>-7.466743989601364E-2</v>
      </c>
    </row>
    <row r="50" spans="2:24" x14ac:dyDescent="0.2">
      <c r="B50" s="14" t="s">
        <v>0</v>
      </c>
      <c r="C50" s="18">
        <v>55.3</v>
      </c>
      <c r="D50" s="18">
        <v>39.380000000000003</v>
      </c>
      <c r="E50" s="18">
        <v>38.270000000000003</v>
      </c>
      <c r="F50" s="18">
        <v>32.18</v>
      </c>
      <c r="G50" s="18">
        <v>39.590000000000003</v>
      </c>
      <c r="H50" s="18">
        <v>60.18</v>
      </c>
      <c r="I50" s="77">
        <v>65.540000000000006</v>
      </c>
      <c r="J50" s="56">
        <f>LN(Table1[[#This Row],[2025]]/Table1[[#This Row],[2024]])</f>
        <v>8.5320572068769432E-2</v>
      </c>
      <c r="K50" s="74">
        <f>LN(Table1[[#This Row],[2025]]/Table1[[#This Row],[2023]])</f>
        <v>0.50408408215262923</v>
      </c>
      <c r="L50" s="58">
        <f>LN(Table1[[#This Row],[2025]]/Table1[[#This Row],[2019]])</f>
        <v>0.16988773474237959</v>
      </c>
      <c r="N50" s="45" t="s">
        <v>91</v>
      </c>
      <c r="O50" s="51">
        <f t="shared" ref="O50:T50" si="22">C53*O48*O49</f>
        <v>0.3103919781221513</v>
      </c>
      <c r="P50" s="51">
        <f t="shared" si="22"/>
        <v>-8.0736636245110827</v>
      </c>
      <c r="Q50" s="51">
        <f t="shared" si="22"/>
        <v>7.2053525476067942E-2</v>
      </c>
      <c r="R50" s="51">
        <f t="shared" si="22"/>
        <v>0.20024308720753572</v>
      </c>
      <c r="S50" s="51">
        <f t="shared" si="22"/>
        <v>0.41503827104907698</v>
      </c>
      <c r="T50" s="51">
        <f t="shared" si="22"/>
        <v>0.2260511345059831</v>
      </c>
      <c r="U50" s="51">
        <f t="shared" ref="U50" si="23">I53*U48*U49</f>
        <v>0.24001342732460557</v>
      </c>
      <c r="V50" s="56">
        <f>LN(Table2[[#This Row],[2025]]/Table2[[#This Row],[2024]])</f>
        <v>5.9933636407224267E-2</v>
      </c>
      <c r="W50" s="57">
        <f>LN(Table2[[#This Row],[2025]]/Table2[[#This Row],[2023]])</f>
        <v>-0.54767586641125499</v>
      </c>
      <c r="X50" s="58">
        <f>LN(Table2[[#This Row],[2025]]/Table2[[#This Row],[2019]])</f>
        <v>-0.25714107533361136</v>
      </c>
    </row>
    <row r="51" spans="2:24" x14ac:dyDescent="0.2">
      <c r="B51" s="14" t="s">
        <v>2</v>
      </c>
      <c r="C51" s="19">
        <f t="shared" ref="C51:G51" si="24">C48*C50</f>
        <v>36110.9</v>
      </c>
      <c r="D51" s="19">
        <f t="shared" si="24"/>
        <v>25045.68</v>
      </c>
      <c r="E51" s="19">
        <f t="shared" si="24"/>
        <v>24531.070000000003</v>
      </c>
      <c r="F51" s="19">
        <f t="shared" si="24"/>
        <v>20627.38</v>
      </c>
      <c r="G51" s="19">
        <f t="shared" si="24"/>
        <v>25456.370000000003</v>
      </c>
      <c r="H51" s="19">
        <f>H48*H50</f>
        <v>38996.639999999999</v>
      </c>
      <c r="I51" s="19">
        <f>I48*I50</f>
        <v>42863.16</v>
      </c>
      <c r="J51" s="74">
        <f>LN(Table1[[#This Row],[2025]]/Table1[[#This Row],[2024]])</f>
        <v>9.4537227173693492E-2</v>
      </c>
      <c r="K51" s="74">
        <f>LN(Table1[[#This Row],[2025]]/Table1[[#This Row],[2023]])</f>
        <v>0.52104670937220865</v>
      </c>
      <c r="L51" s="58">
        <f>LN(Table1[[#This Row],[2025]]/Table1[[#This Row],[2019]])</f>
        <v>0.1714179569231471</v>
      </c>
      <c r="N51" s="45" t="s">
        <v>92</v>
      </c>
      <c r="O51" s="48">
        <f>O46/O42</f>
        <v>0.22694920079716924</v>
      </c>
      <c r="P51" s="48">
        <f t="shared" ref="P51:T51" si="25">P46/P42</f>
        <v>0.41379750787658598</v>
      </c>
      <c r="Q51" s="48">
        <f t="shared" si="25"/>
        <v>0.39258006183281807</v>
      </c>
      <c r="R51" s="48">
        <f t="shared" si="25"/>
        <v>0.35050071530758226</v>
      </c>
      <c r="S51" s="48">
        <f t="shared" si="25"/>
        <v>0.32066390572282893</v>
      </c>
      <c r="T51" s="48">
        <f t="shared" si="25"/>
        <v>0.26954509895304518</v>
      </c>
      <c r="U51" s="48">
        <f t="shared" ref="U51" si="26">U46/U42</f>
        <v>0.23339507806297963</v>
      </c>
      <c r="V51" s="74">
        <f>LN(Table2[[#This Row],[2025]]/Table2[[#This Row],[2024]])</f>
        <v>-0.14400308776329646</v>
      </c>
      <c r="W51" s="74">
        <f>LN(Table2[[#This Row],[2025]]/Table2[[#This Row],[2023]])</f>
        <v>-0.31766092030912307</v>
      </c>
      <c r="X51" s="58">
        <f>LN(Table2[[#This Row],[2025]]/Table2[[#This Row],[2019]])</f>
        <v>2.8006424236140543E-2</v>
      </c>
    </row>
    <row r="52" spans="2:24" x14ac:dyDescent="0.2">
      <c r="B52" s="45" t="s">
        <v>84</v>
      </c>
      <c r="C52" s="48">
        <f>C37/C18</f>
        <v>0.14078754228093687</v>
      </c>
      <c r="D52" s="48">
        <f t="shared" ref="D52:H52" si="27">D37/D18</f>
        <v>-0.72939455981281076</v>
      </c>
      <c r="E52" s="48">
        <f t="shared" si="27"/>
        <v>6.3079032743570018E-2</v>
      </c>
      <c r="F52" s="48">
        <f t="shared" si="27"/>
        <v>7.2377525601992801E-2</v>
      </c>
      <c r="G52" s="48">
        <f t="shared" si="27"/>
        <v>9.5110942668136716E-2</v>
      </c>
      <c r="H52" s="48">
        <f t="shared" si="27"/>
        <v>9.7253540547994094E-2</v>
      </c>
      <c r="I52" s="48">
        <f t="shared" ref="I52" si="28">I37/I18</f>
        <v>9.1881825642320558E-2</v>
      </c>
      <c r="J52" s="56">
        <f>LN(Table1[[#This Row],[2025]]/Table1[[#This Row],[2024]])</f>
        <v>-5.6818141020063287E-2</v>
      </c>
      <c r="K52" s="57">
        <f>LN(Table1[[#This Row],[2025]]/Table1[[#This Row],[2023]])</f>
        <v>-3.4540780312408995E-2</v>
      </c>
      <c r="L52" s="58">
        <f>LN(Table1[[#This Row],[2025]]/Table1[[#This Row],[2019]])</f>
        <v>-0.42674871421221211</v>
      </c>
      <c r="N52" s="45" t="s">
        <v>93</v>
      </c>
      <c r="O52" s="50">
        <f t="shared" ref="O52:T52" si="29">C18/O17</f>
        <v>1.5013414244650272</v>
      </c>
      <c r="P52" s="50">
        <f t="shared" si="29"/>
        <v>0.64438915903351046</v>
      </c>
      <c r="Q52" s="50">
        <f t="shared" si="29"/>
        <v>1.0400013913527426</v>
      </c>
      <c r="R52" s="50">
        <f t="shared" si="29"/>
        <v>1.5277417016521189</v>
      </c>
      <c r="S52" s="50">
        <f t="shared" si="29"/>
        <v>1.6358000338161529</v>
      </c>
      <c r="T52" s="50">
        <f t="shared" si="29"/>
        <v>1.6396595291927119</v>
      </c>
      <c r="U52" s="50">
        <f t="shared" ref="U52" si="30">I18/U17</f>
        <v>1.5943436580026671</v>
      </c>
      <c r="V52" s="56">
        <f>LN(Table2[[#This Row],[2025]]/Table2[[#This Row],[2024]])</f>
        <v>-2.8026464269866335E-2</v>
      </c>
      <c r="W52" s="57">
        <f>LN(Table2[[#This Row],[2025]]/Table2[[#This Row],[2023]])</f>
        <v>-2.5669850128553238E-2</v>
      </c>
      <c r="X52" s="58">
        <f>LN(Table2[[#This Row],[2025]]/Table2[[#This Row],[2019]])</f>
        <v>6.0103160410663735E-2</v>
      </c>
    </row>
    <row r="53" spans="2:24" x14ac:dyDescent="0.2">
      <c r="B53" s="45" t="s">
        <v>85</v>
      </c>
      <c r="C53" s="48">
        <f>C46/C18</f>
        <v>0.1014104282340928</v>
      </c>
      <c r="D53" s="48">
        <f t="shared" ref="D53:H53" si="31">D46/D18</f>
        <v>-0.72448084235156474</v>
      </c>
      <c r="E53" s="48">
        <f t="shared" si="31"/>
        <v>9.3648617010602363E-3</v>
      </c>
      <c r="F53" s="48">
        <f t="shared" si="31"/>
        <v>2.6056700011861927E-2</v>
      </c>
      <c r="G53" s="48">
        <f t="shared" si="31"/>
        <v>7.939980705622933E-2</v>
      </c>
      <c r="H53" s="48">
        <f t="shared" si="31"/>
        <v>5.6080982431095175E-2</v>
      </c>
      <c r="I53" s="48">
        <f t="shared" ref="I53" si="32">I46/I18</f>
        <v>7.8988068935041983E-2</v>
      </c>
      <c r="J53" s="74">
        <f>LN(Table1[[#This Row],[2025]]/Table1[[#This Row],[2024]])</f>
        <v>0.34250005396367939</v>
      </c>
      <c r="K53" s="57">
        <f>LN(Table1[[#This Row],[2025]]/Table1[[#This Row],[2023]])</f>
        <v>-5.1991233051201296E-3</v>
      </c>
      <c r="L53" s="58">
        <f>LN(Table1[[#This Row],[2025]]/Table1[[#This Row],[2019]])</f>
        <v>-0.24987911349172789</v>
      </c>
      <c r="N53" s="46" t="s">
        <v>94</v>
      </c>
      <c r="O53" s="44">
        <f>365/O52</f>
        <v>243.11591890569488</v>
      </c>
      <c r="P53" s="44">
        <f t="shared" ref="P53:T53" si="33">365/P52</f>
        <v>566.42790289558354</v>
      </c>
      <c r="Q53" s="44">
        <f t="shared" si="33"/>
        <v>350.96106893207133</v>
      </c>
      <c r="R53" s="44">
        <f t="shared" si="33"/>
        <v>238.91473251354236</v>
      </c>
      <c r="S53" s="44">
        <f t="shared" si="33"/>
        <v>223.13240766262402</v>
      </c>
      <c r="T53" s="44">
        <f t="shared" si="33"/>
        <v>222.60718978635043</v>
      </c>
      <c r="U53" s="44">
        <f t="shared" ref="U53" si="34">365/U52</f>
        <v>228.93433179723502</v>
      </c>
      <c r="V53" s="56">
        <f>LN(Table2[[#This Row],[2025]]/Table2[[#This Row],[2024]])</f>
        <v>2.8026464269866391E-2</v>
      </c>
      <c r="W53" s="57">
        <f>LN(Table2[[#This Row],[2025]]/Table2[[#This Row],[2023]])</f>
        <v>2.5669850128553214E-2</v>
      </c>
      <c r="X53" s="58">
        <f>LN(Table2[[#This Row],[2025]]/Table2[[#This Row],[2019]])</f>
        <v>-6.0103160410663735E-2</v>
      </c>
    </row>
    <row r="54" spans="2:24" x14ac:dyDescent="0.2">
      <c r="B54" s="45" t="s">
        <v>86</v>
      </c>
      <c r="C54" s="48">
        <f>C15/C18</f>
        <v>0.89937668857829689</v>
      </c>
      <c r="D54" s="48">
        <f t="shared" ref="D54:H54" si="35">D15/D18</f>
        <v>0.75361216730038028</v>
      </c>
      <c r="E54" s="48">
        <f t="shared" si="35"/>
        <v>0.75316900230776951</v>
      </c>
      <c r="F54" s="48">
        <f t="shared" si="35"/>
        <v>0.79510497805543479</v>
      </c>
      <c r="G54" s="48">
        <f t="shared" si="35"/>
        <v>0.84256132855567811</v>
      </c>
      <c r="H54" s="48">
        <f t="shared" si="35"/>
        <v>0.82562496958292098</v>
      </c>
      <c r="I54" s="48">
        <f t="shared" ref="I54" si="36">I15/I18</f>
        <v>0.81699387664920142</v>
      </c>
      <c r="J54" s="56">
        <f>LN(Table1[[#This Row],[2025]]/Table1[[#This Row],[2024]])</f>
        <v>-1.0509038524814772E-2</v>
      </c>
      <c r="K54" s="57">
        <f>LN(Table1[[#This Row],[2025]]/Table1[[#This Row],[2023]])</f>
        <v>-3.0814853204594869E-2</v>
      </c>
      <c r="L54" s="58">
        <f>LN(Table1[[#This Row],[2025]]/Table1[[#This Row],[2019]])</f>
        <v>-9.6070355231300406E-2</v>
      </c>
      <c r="N54" s="45" t="s">
        <v>95</v>
      </c>
      <c r="O54" s="49">
        <f t="shared" ref="O54:T54" si="37">O47/C37</f>
        <v>6.2231640979147782</v>
      </c>
      <c r="P54" s="49">
        <f t="shared" si="37"/>
        <v>-2.9581907129681611</v>
      </c>
      <c r="Q54" s="49">
        <f t="shared" si="37"/>
        <v>20.371193001060448</v>
      </c>
      <c r="R54" s="49">
        <f t="shared" si="37"/>
        <v>9.5589674952198873</v>
      </c>
      <c r="S54" s="49">
        <f t="shared" si="37"/>
        <v>6.9163865241804023</v>
      </c>
      <c r="T54" s="49">
        <f t="shared" si="37"/>
        <v>8.2194562135112594</v>
      </c>
      <c r="U54" s="49">
        <f t="shared" ref="U54" si="38">U47/I37</f>
        <v>8.3207076605977335</v>
      </c>
      <c r="V54" s="56">
        <f>LN(Table2[[#This Row],[2025]]/Table2[[#This Row],[2024]])</f>
        <v>1.2243253770664344E-2</v>
      </c>
      <c r="W54" s="57">
        <f>LN(Table2[[#This Row],[2025]]/Table2[[#This Row],[2023]])</f>
        <v>0.18485385191620626</v>
      </c>
      <c r="X54" s="58">
        <f>LN(Table2[[#This Row],[2025]]/Table2[[#This Row],[2019]])</f>
        <v>0.29046883175404731</v>
      </c>
    </row>
    <row r="55" spans="2:24" x14ac:dyDescent="0.2">
      <c r="B55" s="45" t="s">
        <v>87</v>
      </c>
      <c r="C55" s="48">
        <f>C16/C18</f>
        <v>1.6018890803497353E-2</v>
      </c>
      <c r="D55" s="48">
        <f t="shared" ref="D55:H55" si="39">D16/D18</f>
        <v>3.5565954957589942E-2</v>
      </c>
      <c r="E55" s="48">
        <f t="shared" si="39"/>
        <v>3.4516204555336299E-2</v>
      </c>
      <c r="F55" s="48">
        <f t="shared" si="39"/>
        <v>2.0758372543592581E-2</v>
      </c>
      <c r="G55" s="48">
        <f t="shared" si="39"/>
        <v>1.2455209481808159E-2</v>
      </c>
      <c r="H55" s="48">
        <f t="shared" si="39"/>
        <v>1.3334847427931801E-2</v>
      </c>
      <c r="I55" s="48">
        <f t="shared" ref="I55" si="40">I16/I18</f>
        <v>1.4203648759548009E-2</v>
      </c>
      <c r="J55" s="56">
        <f>LN(Table1[[#This Row],[2025]]/Table1[[#This Row],[2024]])</f>
        <v>6.3118170404113605E-2</v>
      </c>
      <c r="K55" s="57">
        <f>LN(Table1[[#This Row],[2025]]/Table1[[#This Row],[2023]])</f>
        <v>0.13135991883161313</v>
      </c>
      <c r="L55" s="58">
        <f>LN(Table1[[#This Row],[2025]]/Table1[[#This Row],[2019]])</f>
        <v>-0.1202698145118061</v>
      </c>
      <c r="N55" s="45" t="s">
        <v>96</v>
      </c>
      <c r="O55" s="51">
        <f t="shared" ref="O55:T55" si="41">C37/O47</f>
        <v>0.16068996161214424</v>
      </c>
      <c r="P55" s="51">
        <f t="shared" si="41"/>
        <v>-0.33804446603668414</v>
      </c>
      <c r="Q55" s="51">
        <f t="shared" si="41"/>
        <v>4.908892669898831E-2</v>
      </c>
      <c r="R55" s="51">
        <f t="shared" si="41"/>
        <v>0.10461380902279099</v>
      </c>
      <c r="S55" s="51">
        <f t="shared" si="41"/>
        <v>0.14458416927739601</v>
      </c>
      <c r="T55" s="51">
        <f t="shared" si="41"/>
        <v>0.12166254968986705</v>
      </c>
      <c r="U55" s="51">
        <f t="shared" ref="U55" si="42">I37/U47</f>
        <v>0.1201820855617181</v>
      </c>
      <c r="V55" s="56">
        <f>LN(Table2[[#This Row],[2025]]/Table2[[#This Row],[2024]])</f>
        <v>-1.2243253770664455E-2</v>
      </c>
      <c r="W55" s="57">
        <f>LN(Table2[[#This Row],[2025]]/Table2[[#This Row],[2023]])</f>
        <v>-0.18485385191620607</v>
      </c>
      <c r="X55" s="58">
        <f>LN(Table2[[#This Row],[2025]]/Table2[[#This Row],[2019]])</f>
        <v>-0.29046883175404725</v>
      </c>
    </row>
    <row r="56" spans="2:24" x14ac:dyDescent="0.2">
      <c r="B56" s="45" t="s">
        <v>88</v>
      </c>
      <c r="C56" s="48">
        <f>C17/C18</f>
        <v>8.4604420618205806E-2</v>
      </c>
      <c r="D56" s="48">
        <f t="shared" ref="D56:H56" si="43">D17/D18</f>
        <v>0.21082187774202985</v>
      </c>
      <c r="E56" s="48">
        <f t="shared" si="43"/>
        <v>0.21231479313689422</v>
      </c>
      <c r="F56" s="48">
        <f t="shared" si="43"/>
        <v>0.18413664940097269</v>
      </c>
      <c r="G56" s="48">
        <f t="shared" si="43"/>
        <v>0.14498346196251377</v>
      </c>
      <c r="H56" s="48">
        <f t="shared" si="43"/>
        <v>0.16104018298914718</v>
      </c>
      <c r="I56" s="73" t="s">
        <v>115</v>
      </c>
      <c r="J56" s="35" t="s">
        <v>115</v>
      </c>
      <c r="K56" s="36" t="s">
        <v>115</v>
      </c>
      <c r="L56" s="37" t="s">
        <v>115</v>
      </c>
      <c r="N56" s="65" t="s">
        <v>102</v>
      </c>
      <c r="O56" s="54">
        <f>O16-O35+O17+O19+O21</f>
        <v>31704</v>
      </c>
      <c r="P56" s="54">
        <f t="shared" ref="P56:U56" si="44">P16-P35+P17+P19+P21</f>
        <v>39424</v>
      </c>
      <c r="Q56" s="54">
        <f t="shared" si="44"/>
        <v>35187</v>
      </c>
      <c r="R56" s="54">
        <f t="shared" si="44"/>
        <v>32061</v>
      </c>
      <c r="S56" s="54">
        <f t="shared" si="44"/>
        <v>32547</v>
      </c>
      <c r="T56" s="54">
        <f t="shared" si="44"/>
        <v>33368</v>
      </c>
      <c r="U56" s="54">
        <f t="shared" si="44"/>
        <v>37062</v>
      </c>
      <c r="V56" s="74">
        <f>LN(Table2[[#This Row],[2025]]/Table2[[#This Row],[2024]])</f>
        <v>0.10499482904717299</v>
      </c>
      <c r="W56" s="57">
        <f>LN(Table2[[#This Row],[2025]]/Table2[[#This Row],[2023]])</f>
        <v>0.12990698743339382</v>
      </c>
      <c r="X56" s="58">
        <f>LN(Table2[[#This Row],[2025]]/Table2[[#This Row],[2019]])</f>
        <v>0.15614933005368312</v>
      </c>
    </row>
    <row r="57" spans="2:24" x14ac:dyDescent="0.2">
      <c r="B57" s="45" t="s">
        <v>97</v>
      </c>
      <c r="C57" s="48">
        <f>Analysis!C5/Analysis!G5</f>
        <v>0.72060458405279471</v>
      </c>
      <c r="D57" s="48">
        <f>Analysis!C6/Analysis!G6</f>
        <v>0.77939920825894593</v>
      </c>
      <c r="E57" s="48">
        <f>Analysis!C7/Analysis!G7</f>
        <v>0.82010746480749586</v>
      </c>
      <c r="F57" s="48">
        <f>Analysis!C8/Analysis!G8</f>
        <v>0.75083296036600522</v>
      </c>
      <c r="G57" s="48">
        <f>Analysis!C9/Analysis!G9</f>
        <v>0.69451430207119347</v>
      </c>
      <c r="H57" s="48">
        <f>Analysis!C10/Analysis!G10</f>
        <v>0.69214445710692818</v>
      </c>
      <c r="I57" s="48" t="s">
        <v>115</v>
      </c>
      <c r="J57" s="35" t="s">
        <v>115</v>
      </c>
      <c r="K57" s="36" t="s">
        <v>115</v>
      </c>
      <c r="L57" s="37" t="s">
        <v>115</v>
      </c>
    </row>
    <row r="58" spans="2:24" x14ac:dyDescent="0.2">
      <c r="B58" s="45" t="s">
        <v>98</v>
      </c>
      <c r="C58" s="48">
        <f>Analysis!D5/Analysis!G5</f>
        <v>0.14963218771436004</v>
      </c>
      <c r="D58" s="48">
        <v>9.0894977877823482E-2</v>
      </c>
      <c r="E58" s="48">
        <v>7.8911141702562276E-2</v>
      </c>
      <c r="F58" s="48">
        <v>0.1514993286588095</v>
      </c>
      <c r="G58" s="48">
        <v>0.18518064159970557</v>
      </c>
      <c r="H58" s="48">
        <f>Analysis!D10/Analysis!G10</f>
        <v>0.17945140881046881</v>
      </c>
      <c r="I58" s="48" t="s">
        <v>115</v>
      </c>
      <c r="J58" s="35" t="s">
        <v>115</v>
      </c>
      <c r="K58" s="36" t="s">
        <v>115</v>
      </c>
      <c r="L58" s="37" t="s">
        <v>115</v>
      </c>
    </row>
    <row r="59" spans="2:24" x14ac:dyDescent="0.2">
      <c r="B59" s="45" t="s">
        <v>99</v>
      </c>
      <c r="C59" s="48">
        <f>Analysis!E5/Analysis!G5</f>
        <v>7.0605766728954272E-2</v>
      </c>
      <c r="D59" s="48">
        <v>8.639292090351626E-2</v>
      </c>
      <c r="E59" s="48">
        <v>8.3174208446200992E-2</v>
      </c>
      <c r="F59" s="48">
        <v>7.1833507384753095E-2</v>
      </c>
      <c r="G59" s="48">
        <v>7.7654419432006377E-2</v>
      </c>
      <c r="H59" s="48">
        <v>7.849648288599835E-2</v>
      </c>
      <c r="I59" s="48" t="s">
        <v>115</v>
      </c>
      <c r="J59" s="35" t="s">
        <v>115</v>
      </c>
      <c r="K59" s="36" t="s">
        <v>115</v>
      </c>
      <c r="L59" s="37" t="s">
        <v>115</v>
      </c>
    </row>
    <row r="60" spans="2:24" x14ac:dyDescent="0.2">
      <c r="B60" s="45" t="s">
        <v>100</v>
      </c>
      <c r="C60" s="48">
        <f>Analysis!F5/Analysis!G5</f>
        <v>5.9157461503891007E-2</v>
      </c>
      <c r="D60" s="48">
        <v>4.3312892959714355E-2</v>
      </c>
      <c r="E60" s="48">
        <v>1.780718504374084E-2</v>
      </c>
      <c r="F60" s="48">
        <v>2.5834203590432144E-2</v>
      </c>
      <c r="G60" s="48">
        <v>4.2650636897094606E-2</v>
      </c>
      <c r="H60" s="48">
        <v>4.9907651196604709E-2</v>
      </c>
      <c r="I60" s="48" t="s">
        <v>115</v>
      </c>
      <c r="J60" s="35" t="s">
        <v>115</v>
      </c>
      <c r="K60" s="36" t="s">
        <v>115</v>
      </c>
      <c r="L60" s="37" t="s">
        <v>115</v>
      </c>
    </row>
    <row r="61" spans="2:24" x14ac:dyDescent="0.2">
      <c r="B61" s="65" t="s">
        <v>103</v>
      </c>
      <c r="C61" s="54">
        <f>(C44+C38)*(1-(C45/C44))</f>
        <v>4535.4951597289446</v>
      </c>
      <c r="D61" s="54">
        <f t="shared" ref="D61:I61" si="45">(D44+D38)*(1-(D45/D44))</f>
        <v>-13123.157759671521</v>
      </c>
      <c r="E61" s="54">
        <f t="shared" si="45"/>
        <v>-619.79899497487429</v>
      </c>
      <c r="F61" s="54">
        <f t="shared" si="45"/>
        <v>609.4200626959248</v>
      </c>
      <c r="G61" s="54">
        <f t="shared" si="45"/>
        <v>3923.5674037089871</v>
      </c>
      <c r="H61" s="54">
        <f t="shared" si="45"/>
        <v>2902.6034778875055</v>
      </c>
      <c r="I61" s="54">
        <f t="shared" si="45"/>
        <v>4455.5424413904611</v>
      </c>
      <c r="J61" s="74">
        <f>LN(Table1[[#This Row],[2025]]/Table1[[#This Row],[2024]])</f>
        <v>0.42854072839243296</v>
      </c>
      <c r="K61" s="57">
        <f>LN(Table1[[#This Row],[2025]]/Table1[[#This Row],[2023]])</f>
        <v>0.12714752172042779</v>
      </c>
      <c r="L61" s="58">
        <f>LN(Table1[[#This Row],[2025]]/Table1[[#This Row],[2019]])</f>
        <v>-1.7785450232350862E-2</v>
      </c>
    </row>
    <row r="62" spans="2:24" x14ac:dyDescent="0.2">
      <c r="B62" s="47"/>
      <c r="C62" s="44"/>
      <c r="D62" s="44"/>
      <c r="E62" s="44"/>
      <c r="F62" s="44"/>
      <c r="G62" s="44"/>
      <c r="H62" s="44"/>
      <c r="I62" s="44"/>
    </row>
    <row r="63" spans="2:24" x14ac:dyDescent="0.2">
      <c r="B63" s="47"/>
      <c r="C63" s="44"/>
      <c r="D63" s="44"/>
      <c r="E63" s="44"/>
      <c r="F63" s="44"/>
      <c r="G63" s="44"/>
      <c r="H63" s="44"/>
      <c r="I63" s="44"/>
    </row>
    <row r="64" spans="2:24" x14ac:dyDescent="0.2">
      <c r="B64" s="47"/>
      <c r="C64" s="44"/>
      <c r="D64" s="44"/>
      <c r="E64" s="44"/>
      <c r="F64" s="44"/>
      <c r="G64" s="44"/>
      <c r="H64" s="44"/>
      <c r="I64" s="44"/>
    </row>
    <row r="65" spans="2:9" x14ac:dyDescent="0.2">
      <c r="B65" s="47"/>
      <c r="C65" s="44"/>
      <c r="D65" s="44"/>
      <c r="E65" s="44"/>
      <c r="F65" s="44"/>
      <c r="G65" s="44"/>
      <c r="H65" s="44"/>
      <c r="I65" s="44"/>
    </row>
  </sheetData>
  <pageMargins left="0.25" right="0.25" top="0.75" bottom="0.75" header="0.3" footer="0.3"/>
  <pageSetup paperSize="9" scale="55" orientation="landscape"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64193-8616-4CEA-8FF2-DD4224586175}">
  <dimension ref="B1:T33"/>
  <sheetViews>
    <sheetView topLeftCell="A7" workbookViewId="0">
      <selection activeCell="O36" sqref="O36"/>
    </sheetView>
  </sheetViews>
  <sheetFormatPr defaultColWidth="10.7109375" defaultRowHeight="12.75" x14ac:dyDescent="0.2"/>
  <cols>
    <col min="1" max="15" width="10.7109375" style="15"/>
    <col min="16" max="20" width="10.7109375" style="29"/>
    <col min="21" max="16384" width="10.7109375" style="15"/>
  </cols>
  <sheetData>
    <row r="1" spans="2:20" x14ac:dyDescent="0.2">
      <c r="P1" s="15"/>
      <c r="Q1" s="15"/>
      <c r="R1" s="15"/>
      <c r="S1" s="15"/>
      <c r="T1" s="15"/>
    </row>
    <row r="2" spans="2:20" x14ac:dyDescent="0.2">
      <c r="P2" s="15"/>
      <c r="Q2" s="15"/>
      <c r="R2" s="15"/>
      <c r="S2" s="15"/>
      <c r="T2" s="15"/>
    </row>
    <row r="3" spans="2:20" x14ac:dyDescent="0.2">
      <c r="E3" s="15" t="s">
        <v>30</v>
      </c>
      <c r="P3" s="15"/>
      <c r="Q3" s="15"/>
      <c r="R3" s="15" t="s">
        <v>29</v>
      </c>
      <c r="S3" s="15"/>
      <c r="T3" s="15"/>
    </row>
    <row r="4" spans="2:20" x14ac:dyDescent="0.2">
      <c r="C4" s="15" t="s">
        <v>24</v>
      </c>
      <c r="D4" s="15" t="s">
        <v>25</v>
      </c>
      <c r="E4" s="15" t="s">
        <v>26</v>
      </c>
      <c r="F4" s="15" t="s">
        <v>27</v>
      </c>
      <c r="G4" s="15" t="s">
        <v>28</v>
      </c>
      <c r="P4" s="15" t="s">
        <v>24</v>
      </c>
      <c r="Q4" s="15" t="s">
        <v>25</v>
      </c>
      <c r="R4" s="15" t="s">
        <v>26</v>
      </c>
      <c r="S4" s="15" t="s">
        <v>27</v>
      </c>
      <c r="T4" s="15" t="s">
        <v>28</v>
      </c>
    </row>
    <row r="5" spans="2:20" x14ac:dyDescent="0.2">
      <c r="B5" s="15">
        <v>2019</v>
      </c>
      <c r="C5" s="29">
        <v>30465</v>
      </c>
      <c r="D5" s="29">
        <v>6326</v>
      </c>
      <c r="E5" s="29">
        <v>2985</v>
      </c>
      <c r="F5" s="29">
        <v>2501</v>
      </c>
      <c r="G5" s="29">
        <f t="shared" ref="G5:G9" si="0">SUM(C5:F5)</f>
        <v>42277</v>
      </c>
      <c r="O5" s="15">
        <v>2019</v>
      </c>
      <c r="P5" s="29">
        <v>33382</v>
      </c>
      <c r="Q5" s="29">
        <v>7308</v>
      </c>
      <c r="R5" s="29">
        <v>3326</v>
      </c>
      <c r="S5" s="29">
        <v>2991</v>
      </c>
      <c r="T5" s="29">
        <f t="shared" ref="T5:T9" si="1">SUM(P5:S5)</f>
        <v>47007</v>
      </c>
    </row>
    <row r="6" spans="2:20" x14ac:dyDescent="0.2">
      <c r="B6" s="15">
        <v>2020</v>
      </c>
      <c r="C6" s="29">
        <v>10041</v>
      </c>
      <c r="D6" s="29">
        <v>1171</v>
      </c>
      <c r="E6" s="29">
        <v>1113</v>
      </c>
      <c r="F6" s="29">
        <v>558</v>
      </c>
      <c r="G6" s="29">
        <f t="shared" si="0"/>
        <v>12883</v>
      </c>
      <c r="O6" s="15">
        <v>2020</v>
      </c>
      <c r="P6" s="29">
        <v>13339</v>
      </c>
      <c r="Q6" s="29">
        <v>1649</v>
      </c>
      <c r="R6" s="29">
        <v>1321</v>
      </c>
      <c r="S6" s="29">
        <v>786</v>
      </c>
      <c r="T6" s="29">
        <f t="shared" si="1"/>
        <v>17095</v>
      </c>
    </row>
    <row r="7" spans="2:20" x14ac:dyDescent="0.2">
      <c r="B7" s="15">
        <v>2021</v>
      </c>
      <c r="C7" s="29">
        <v>18468</v>
      </c>
      <c r="D7" s="29">
        <v>1777</v>
      </c>
      <c r="E7" s="29">
        <v>1873</v>
      </c>
      <c r="F7" s="29">
        <v>401</v>
      </c>
      <c r="G7" s="29">
        <f t="shared" si="0"/>
        <v>22519</v>
      </c>
      <c r="O7" s="15">
        <v>2021</v>
      </c>
      <c r="P7" s="29">
        <v>24320</v>
      </c>
      <c r="Q7" s="29">
        <v>2537</v>
      </c>
      <c r="R7" s="29">
        <v>2284</v>
      </c>
      <c r="S7" s="29">
        <v>758</v>
      </c>
      <c r="T7" s="29">
        <f t="shared" si="1"/>
        <v>29899</v>
      </c>
    </row>
    <row r="8" spans="2:20" x14ac:dyDescent="0.2">
      <c r="B8" s="15">
        <v>2022</v>
      </c>
      <c r="C8" s="29">
        <v>30197</v>
      </c>
      <c r="D8" s="29">
        <v>6093</v>
      </c>
      <c r="E8" s="29">
        <v>2889</v>
      </c>
      <c r="F8" s="29">
        <v>1039</v>
      </c>
      <c r="G8" s="29">
        <f t="shared" si="0"/>
        <v>40218</v>
      </c>
      <c r="O8" s="15">
        <v>2022</v>
      </c>
      <c r="P8" s="29">
        <v>38478</v>
      </c>
      <c r="Q8" s="29">
        <v>7429</v>
      </c>
      <c r="R8" s="29">
        <v>3334</v>
      </c>
      <c r="S8" s="29">
        <v>1341</v>
      </c>
      <c r="T8" s="29">
        <f t="shared" si="1"/>
        <v>50582</v>
      </c>
    </row>
    <row r="9" spans="2:20" x14ac:dyDescent="0.2">
      <c r="B9" s="15">
        <v>2023</v>
      </c>
      <c r="C9" s="29">
        <v>33968</v>
      </c>
      <c r="D9" s="29">
        <v>9057</v>
      </c>
      <c r="E9" s="29">
        <v>3798</v>
      </c>
      <c r="F9" s="29">
        <v>2086</v>
      </c>
      <c r="G9" s="29">
        <f t="shared" si="0"/>
        <v>48909</v>
      </c>
      <c r="O9" s="15">
        <v>2023</v>
      </c>
      <c r="P9" s="29">
        <v>40845</v>
      </c>
      <c r="Q9" s="29">
        <v>10458</v>
      </c>
      <c r="R9" s="29">
        <v>4292</v>
      </c>
      <c r="S9" s="29">
        <v>3036</v>
      </c>
      <c r="T9" s="29">
        <f t="shared" si="1"/>
        <v>58631</v>
      </c>
    </row>
    <row r="10" spans="2:20" x14ac:dyDescent="0.2">
      <c r="B10" s="15">
        <v>2024</v>
      </c>
      <c r="C10" s="29">
        <v>35226</v>
      </c>
      <c r="D10" s="29">
        <v>9133</v>
      </c>
      <c r="E10" s="29">
        <v>3995</v>
      </c>
      <c r="F10" s="29">
        <v>2540</v>
      </c>
      <c r="G10" s="29">
        <f>SUM(C10:F10)</f>
        <v>50894</v>
      </c>
      <c r="O10" s="15">
        <v>2024</v>
      </c>
      <c r="P10" s="29">
        <v>43508</v>
      </c>
      <c r="Q10" s="29">
        <v>10535</v>
      </c>
      <c r="R10" s="29">
        <v>4564</v>
      </c>
      <c r="S10" s="29">
        <v>3036</v>
      </c>
      <c r="T10" s="29">
        <f>SUM(P10:S10)</f>
        <v>61643</v>
      </c>
    </row>
    <row r="27" spans="2:6" x14ac:dyDescent="0.2">
      <c r="C27" s="47" t="s">
        <v>24</v>
      </c>
      <c r="D27" s="47" t="s">
        <v>25</v>
      </c>
      <c r="E27" s="47" t="s">
        <v>26</v>
      </c>
      <c r="F27" s="47" t="s">
        <v>27</v>
      </c>
    </row>
    <row r="28" spans="2:6" x14ac:dyDescent="0.2">
      <c r="B28" s="15">
        <v>2019</v>
      </c>
      <c r="C28" s="52" cm="1">
        <f t="array" ref="C28:C33">TRANSPOSE(Statements!C57:H57)</f>
        <v>0.72060458405279471</v>
      </c>
      <c r="D28" s="52" cm="1">
        <f t="array" ref="D28:D33">TRANSPOSE(Statements!C58:H58)</f>
        <v>0.14963218771436004</v>
      </c>
      <c r="E28" s="52" cm="1">
        <f t="array" ref="E28:E33">TRANSPOSE(Statements!C59:H59)</f>
        <v>7.0605766728954272E-2</v>
      </c>
      <c r="F28" s="52" cm="1">
        <f t="array" ref="F28:F33">TRANSPOSE(Statements!C60:H60)</f>
        <v>5.9157461503891007E-2</v>
      </c>
    </row>
    <row r="29" spans="2:6" x14ac:dyDescent="0.2">
      <c r="B29" s="15">
        <v>2020</v>
      </c>
      <c r="C29" s="52">
        <v>0.77939920825894593</v>
      </c>
      <c r="D29" s="52">
        <v>9.0894977877823482E-2</v>
      </c>
      <c r="E29" s="52">
        <v>8.639292090351626E-2</v>
      </c>
      <c r="F29" s="52">
        <v>4.3312892959714355E-2</v>
      </c>
    </row>
    <row r="30" spans="2:6" x14ac:dyDescent="0.2">
      <c r="B30" s="15">
        <v>2021</v>
      </c>
      <c r="C30" s="52">
        <v>0.82010746480749586</v>
      </c>
      <c r="D30" s="52">
        <v>7.8911141702562276E-2</v>
      </c>
      <c r="E30" s="52">
        <v>8.3174208446200992E-2</v>
      </c>
      <c r="F30" s="52">
        <v>1.780718504374084E-2</v>
      </c>
    </row>
    <row r="31" spans="2:6" x14ac:dyDescent="0.2">
      <c r="B31" s="15">
        <v>2022</v>
      </c>
      <c r="C31" s="52">
        <v>0.75083296036600522</v>
      </c>
      <c r="D31" s="52">
        <v>0.1514993286588095</v>
      </c>
      <c r="E31" s="52">
        <v>7.1833507384753095E-2</v>
      </c>
      <c r="F31" s="52">
        <v>2.5834203590432144E-2</v>
      </c>
    </row>
    <row r="32" spans="2:6" x14ac:dyDescent="0.2">
      <c r="B32" s="15">
        <v>2023</v>
      </c>
      <c r="C32" s="52">
        <v>0.69451430207119347</v>
      </c>
      <c r="D32" s="52">
        <v>0.18518064159970557</v>
      </c>
      <c r="E32" s="52">
        <v>7.7654419432006377E-2</v>
      </c>
      <c r="F32" s="52">
        <v>4.2650636897094606E-2</v>
      </c>
    </row>
    <row r="33" spans="2:6" x14ac:dyDescent="0.2">
      <c r="B33" s="15">
        <v>2024</v>
      </c>
      <c r="C33" s="52">
        <v>0.69214445710692818</v>
      </c>
      <c r="D33" s="52">
        <v>0.17945140881046881</v>
      </c>
      <c r="E33" s="52">
        <v>7.849648288599835E-2</v>
      </c>
      <c r="F33" s="52">
        <v>4.9907651196604709E-2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EEADE-B239-4928-8F90-46A142A326CC}">
  <dimension ref="B3:D11"/>
  <sheetViews>
    <sheetView showGridLines="0" showRowColHeaders="0" zoomScale="140" zoomScaleNormal="140" workbookViewId="0">
      <selection activeCell="E11" sqref="E11"/>
    </sheetView>
  </sheetViews>
  <sheetFormatPr defaultRowHeight="15" x14ac:dyDescent="0.2"/>
  <cols>
    <col min="1" max="1" width="9.140625" style="28"/>
    <col min="2" max="2" width="19.28515625" style="28" customWidth="1"/>
    <col min="3" max="4" width="11.7109375" style="28" customWidth="1"/>
    <col min="5" max="16384" width="9.140625" style="28"/>
  </cols>
  <sheetData>
    <row r="3" spans="2:4" ht="15.75" x14ac:dyDescent="0.25">
      <c r="B3" s="66" t="s">
        <v>104</v>
      </c>
      <c r="C3" s="67" t="s">
        <v>105</v>
      </c>
      <c r="D3" s="68" t="s">
        <v>101</v>
      </c>
    </row>
    <row r="4" spans="2:4" x14ac:dyDescent="0.2">
      <c r="B4" s="28" t="s">
        <v>106</v>
      </c>
      <c r="D4" s="69">
        <f>((Statements!I18/Statements!C18)^(1/7))-1</f>
        <v>4.3579937739178787E-2</v>
      </c>
    </row>
    <row r="5" spans="2:4" x14ac:dyDescent="0.2">
      <c r="B5" s="28" t="s">
        <v>107</v>
      </c>
      <c r="D5" s="69">
        <f>Statements!I37/Statements!I18</f>
        <v>9.1881825642320558E-2</v>
      </c>
    </row>
    <row r="6" spans="2:4" x14ac:dyDescent="0.2">
      <c r="B6" s="28" t="s">
        <v>91</v>
      </c>
      <c r="D6" s="69">
        <f>Statements!I46/Statements!U44</f>
        <v>0.24001342732460557</v>
      </c>
    </row>
    <row r="7" spans="2:4" x14ac:dyDescent="0.2">
      <c r="B7" s="28" t="s">
        <v>108</v>
      </c>
      <c r="D7" s="69">
        <f>Statements!I61/Statements!U56</f>
        <v>0.1202186185686272</v>
      </c>
    </row>
    <row r="8" spans="2:4" x14ac:dyDescent="0.2">
      <c r="B8" s="28" t="s">
        <v>109</v>
      </c>
      <c r="D8" s="70">
        <f>Statements!U46/Statements!I37</f>
        <v>2.4239093095156306</v>
      </c>
    </row>
    <row r="9" spans="2:4" x14ac:dyDescent="0.2">
      <c r="B9" s="28" t="s">
        <v>110</v>
      </c>
      <c r="D9" s="71">
        <f>_xlfn.STDEV.S(Statements!C49:I49)</f>
        <v>9.6578962452015045</v>
      </c>
    </row>
    <row r="10" spans="2:4" x14ac:dyDescent="0.2">
      <c r="B10" s="28" t="s">
        <v>111</v>
      </c>
      <c r="D10" s="71">
        <f>Statements!U54</f>
        <v>8.3207076605977335</v>
      </c>
    </row>
    <row r="11" spans="2:4" x14ac:dyDescent="0.2">
      <c r="B11" s="28" t="s">
        <v>112</v>
      </c>
      <c r="D11" s="72" t="s">
        <v>113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6" ma:contentTypeDescription="Create a new document." ma:contentTypeScope="" ma:versionID="5914cc59b3ac3e0af91e183125dbf667">
  <xsd:schema xmlns:xsd="http://www.w3.org/2001/XMLSchema" xmlns:xs="http://www.w3.org/2001/XMLSchema" xmlns:p="http://schemas.microsoft.com/office/2006/metadata/properties" xmlns:ns3="36567613-e428-4167-ab55-a4f66cede826" targetNamespace="http://schemas.microsoft.com/office/2006/metadata/properties" ma:root="true" ma:fieldsID="3f536e8bcdade1d0b1324d4e87301424"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scriptIds xmlns="http://schemas.microsoft.com/office/extensibility/maker/v1.0" id="script-ids-node-id">
  <scriptId id="ms-officescript%3A%2F%2Fonedrive_business_itemlink%2F015GZNGIFWWM75CB5U5JDIZ463SE5DI453:ms-officescript%3A%2F%2Fonedrive_business_sharinglink%2Fu!aHR0cHM6Ly9zamVjY2QtbXkuc2hhcmVwb2ludC5jb20vOnU6L2cvcGVyc29uYWwvYWJnbzY0NzZfc3R1X2V2Y19lZHUvRWJhelA5RUh0T3BHalBQYmtUbzBjN3NCcFR0RHZRTGdlNjlZOWVEaWtxVDAydw"/>
</scriptIds>
</file>

<file path=customXml/itemProps1.xml><?xml version="1.0" encoding="utf-8"?>
<ds:datastoreItem xmlns:ds="http://schemas.openxmlformats.org/officeDocument/2006/customXml" ds:itemID="{80F213C5-F071-4E9E-9963-FC20199506E0}">
  <ds:schemaRefs>
    <ds:schemaRef ds:uri="http://purl.org/dc/terms/"/>
    <ds:schemaRef ds:uri="http://www.w3.org/XML/1998/namespace"/>
    <ds:schemaRef ds:uri="http://schemas.openxmlformats.org/package/2006/metadata/core-properties"/>
    <ds:schemaRef ds:uri="http://purl.org/dc/elements/1.1/"/>
    <ds:schemaRef ds:uri="http://schemas.microsoft.com/office/2006/documentManagement/types"/>
    <ds:schemaRef ds:uri="http://purl.org/dc/dcmitype/"/>
    <ds:schemaRef ds:uri="http://schemas.microsoft.com/office/infopath/2007/PartnerControls"/>
    <ds:schemaRef ds:uri="36567613-e428-4167-ab55-a4f66cede826"/>
    <ds:schemaRef ds:uri="http://schemas.microsoft.com/office/2006/metadata/properties"/>
  </ds:schemaRefs>
</ds:datastoreItem>
</file>

<file path=customXml/itemProps2.xml><?xml version="1.0" encoding="utf-8"?>
<ds:datastoreItem xmlns:ds="http://schemas.openxmlformats.org/officeDocument/2006/customXml" ds:itemID="{69CA9D73-4B12-4830-B86F-A2C93BFFF30D}">
  <ds:schemaRefs>
    <ds:schemaRef ds:uri="http://schemas.microsoft.com/sharepoint/v3/contenttype/forms"/>
  </ds:schemaRefs>
</ds:datastoreItem>
</file>

<file path=customXml/itemProps3.xml><?xml version="1.0" encoding="utf-8"?>
<ds:datastoreItem xmlns:ds="http://schemas.openxmlformats.org/officeDocument/2006/customXml" ds:itemID="{F17312E7-BDAF-44C5-9DBF-26FD12E4B8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9CC3DFF-8066-43A7-80F7-D82830EC8647}">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Statements</vt:lpstr>
      <vt:lpstr>Analysis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cp:lastPrinted>2025-06-20T18:38:11Z</cp:lastPrinted>
  <dcterms:created xsi:type="dcterms:W3CDTF">2025-02-19T20:24:26Z</dcterms:created>
  <dcterms:modified xsi:type="dcterms:W3CDTF">2026-06-29T22:00:25Z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y fmtid="{D5CDD505-2E9C-101B-9397-08002B2CF9AE}" pid="3" name="MSIP_Label_bc50c7b0-9e53-455f-9b3f-deab1aa8a41e_Enabled">
    <vt:lpwstr>true</vt:lpwstr>
  </property>
  <property fmtid="{D5CDD505-2E9C-101B-9397-08002B2CF9AE}" pid="4" name="MSIP_Label_bc50c7b0-9e53-455f-9b3f-deab1aa8a41e_SetDate">
    <vt:lpwstr>2025-06-20T18:35:59Z</vt:lpwstr>
  </property>
  <property fmtid="{D5CDD505-2E9C-101B-9397-08002B2CF9AE}" pid="5" name="MSIP_Label_bc50c7b0-9e53-455f-9b3f-deab1aa8a41e_Method">
    <vt:lpwstr>Standard</vt:lpwstr>
  </property>
  <property fmtid="{D5CDD505-2E9C-101B-9397-08002B2CF9AE}" pid="6" name="MSIP_Label_bc50c7b0-9e53-455f-9b3f-deab1aa8a41e_Name">
    <vt:lpwstr>defa4170-0d19-0005-0004-bc88714345d2</vt:lpwstr>
  </property>
  <property fmtid="{D5CDD505-2E9C-101B-9397-08002B2CF9AE}" pid="7" name="MSIP_Label_bc50c7b0-9e53-455f-9b3f-deab1aa8a41e_SiteId">
    <vt:lpwstr>7cc8e357-468d-472c-a6fc-c5600e789b55</vt:lpwstr>
  </property>
  <property fmtid="{D5CDD505-2E9C-101B-9397-08002B2CF9AE}" pid="8" name="MSIP_Label_bc50c7b0-9e53-455f-9b3f-deab1aa8a41e_ActionId">
    <vt:lpwstr>ee67d891-9c3e-44d0-a65b-82553e022ac4</vt:lpwstr>
  </property>
  <property fmtid="{D5CDD505-2E9C-101B-9397-08002B2CF9AE}" pid="9" name="MSIP_Label_bc50c7b0-9e53-455f-9b3f-deab1aa8a41e_ContentBits">
    <vt:lpwstr>0</vt:lpwstr>
  </property>
  <property fmtid="{D5CDD505-2E9C-101B-9397-08002B2CF9AE}" pid="10" name="MSIP_Label_bc50c7b0-9e53-455f-9b3f-deab1aa8a41e_Tag">
    <vt:lpwstr>10, 3, 0, 1</vt:lpwstr>
  </property>
</Properties>
</file>