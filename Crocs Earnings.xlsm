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defaultThemeVersion="166925"/>
  <mc:AlternateContent xmlns:mc="http://schemas.openxmlformats.org/markup-compatibility/2006">
    <mc:Choice Requires="x15">
      <x15ac:absPath xmlns:x15ac="http://schemas.microsoft.com/office/spreadsheetml/2010/11/ac" url="https://sjeccd-my.sharepoint.com/personal/abgo6476_stu_evc_edu/Documents/Earnings Models/"/>
    </mc:Choice>
  </mc:AlternateContent>
  <xr:revisionPtr revIDLastSave="947" documentId="8_{434AC74E-F24F-464B-B267-56289466F15E}" xr6:coauthVersionLast="47" xr6:coauthVersionMax="47" xr10:uidLastSave="{3475E255-B60C-4BF3-BBEC-C3059259B11E}"/>
  <bookViews>
    <workbookView xWindow="-98" yWindow="-98" windowWidth="21795" windowHeight="12975" xr2:uid="{50AFD217-7D81-4691-B9C0-B521A06431ED}"/>
  </bookViews>
  <sheets>
    <sheet name="Sheet1"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C58" i="1" l="1"/>
  <c r="AC57" i="1"/>
  <c r="AC56" i="1"/>
  <c r="AC55" i="1"/>
  <c r="AC54" i="1"/>
  <c r="AC52" i="1"/>
  <c r="AC51" i="1"/>
  <c r="AC50" i="1"/>
  <c r="AC49" i="1"/>
  <c r="AC48" i="1"/>
  <c r="AC43" i="1"/>
  <c r="AC42" i="1"/>
  <c r="AC41" i="1"/>
  <c r="AC40" i="1"/>
  <c r="AC39" i="1"/>
  <c r="AC38" i="1"/>
  <c r="AC37" i="1"/>
  <c r="AC35" i="1"/>
  <c r="AC34" i="1"/>
  <c r="AC33" i="1"/>
  <c r="AC32" i="1"/>
  <c r="AC31" i="1"/>
  <c r="AC30" i="1"/>
  <c r="AC29" i="1"/>
  <c r="AC24" i="1"/>
  <c r="AC22" i="1"/>
  <c r="AC21" i="1"/>
  <c r="AC20" i="1"/>
  <c r="AC19" i="1"/>
  <c r="AC16" i="1"/>
  <c r="AC15" i="1"/>
  <c r="AC13" i="1"/>
  <c r="AC12" i="1"/>
  <c r="AC11" i="1"/>
  <c r="AC8" i="1"/>
  <c r="AC6" i="1"/>
  <c r="AC5" i="1"/>
  <c r="Y16" i="1"/>
  <c r="Z16" i="1"/>
  <c r="AA24" i="1"/>
  <c r="AA22" i="1"/>
  <c r="AA21" i="1"/>
  <c r="AA20" i="1"/>
  <c r="AA19" i="1"/>
  <c r="AA15" i="1"/>
  <c r="AA12" i="1"/>
  <c r="AA11" i="1"/>
  <c r="AA13" i="1" s="1"/>
  <c r="Y5" i="1"/>
  <c r="Z5" i="1"/>
  <c r="Y6" i="1"/>
  <c r="Z6" i="1"/>
  <c r="Y11" i="1"/>
  <c r="Z11" i="1"/>
  <c r="Y12" i="1"/>
  <c r="Z12" i="1"/>
  <c r="Y15" i="1"/>
  <c r="Z15" i="1"/>
  <c r="Y19" i="1"/>
  <c r="Z19" i="1"/>
  <c r="Y20" i="1"/>
  <c r="Z20" i="1"/>
  <c r="Y21" i="1"/>
  <c r="Z21" i="1"/>
  <c r="Y22" i="1"/>
  <c r="Z22" i="1"/>
  <c r="Y24" i="1"/>
  <c r="Z24" i="1"/>
  <c r="Y29" i="1"/>
  <c r="Z29" i="1"/>
  <c r="Y30" i="1"/>
  <c r="Z30" i="1"/>
  <c r="Y31" i="1"/>
  <c r="Z31" i="1"/>
  <c r="Y32" i="1"/>
  <c r="Z32" i="1"/>
  <c r="Y33" i="1"/>
  <c r="Z33" i="1"/>
  <c r="Y34" i="1"/>
  <c r="Z34" i="1"/>
  <c r="Y35" i="1"/>
  <c r="Z35" i="1"/>
  <c r="Y37" i="1"/>
  <c r="Z37" i="1"/>
  <c r="Y38" i="1"/>
  <c r="Z38" i="1"/>
  <c r="Y39" i="1"/>
  <c r="Z39" i="1"/>
  <c r="Y40" i="1"/>
  <c r="Z40" i="1"/>
  <c r="Y41" i="1"/>
  <c r="Z41" i="1"/>
  <c r="Y42" i="1"/>
  <c r="Z42" i="1"/>
  <c r="Y43" i="1"/>
  <c r="Z43" i="1"/>
  <c r="Y48" i="1"/>
  <c r="Z48" i="1"/>
  <c r="Y49" i="1"/>
  <c r="Z49" i="1"/>
  <c r="Y50" i="1"/>
  <c r="Z50" i="1"/>
  <c r="Y51" i="1"/>
  <c r="Z51" i="1"/>
  <c r="Y52" i="1"/>
  <c r="Z52" i="1"/>
  <c r="Y54" i="1"/>
  <c r="Z54" i="1"/>
  <c r="Y55" i="1"/>
  <c r="Z55" i="1"/>
  <c r="Y56" i="1"/>
  <c r="Z56" i="1"/>
  <c r="Y57" i="1"/>
  <c r="Z57" i="1"/>
  <c r="Y58" i="1"/>
  <c r="Z58" i="1"/>
  <c r="AD53" i="1"/>
  <c r="AD59" i="1" s="1"/>
  <c r="AD36" i="1"/>
  <c r="AD44" i="1" s="1"/>
  <c r="AD13" i="1"/>
  <c r="AD18" i="1" s="1"/>
  <c r="AD23" i="1" s="1"/>
  <c r="AD25" i="1" s="1"/>
  <c r="AD9" i="1"/>
  <c r="AD8" i="1"/>
  <c r="AD7" i="1"/>
  <c r="G9" i="1"/>
  <c r="H9" i="1"/>
  <c r="I9" i="1"/>
  <c r="J9" i="1"/>
  <c r="K9" i="1"/>
  <c r="L9" i="1"/>
  <c r="M9" i="1"/>
  <c r="N9" i="1"/>
  <c r="O9" i="1"/>
  <c r="P9" i="1"/>
  <c r="Q9" i="1"/>
  <c r="R9" i="1"/>
  <c r="S9" i="1"/>
  <c r="T9" i="1"/>
  <c r="U9" i="1"/>
  <c r="F9" i="1"/>
  <c r="E9" i="1"/>
  <c r="D9" i="1"/>
  <c r="C9" i="1"/>
  <c r="B9" i="1"/>
  <c r="U8" i="1"/>
  <c r="T8" i="1"/>
  <c r="S8" i="1"/>
  <c r="R8" i="1"/>
  <c r="Q8" i="1"/>
  <c r="P8" i="1"/>
  <c r="O8" i="1"/>
  <c r="N8" i="1"/>
  <c r="M8" i="1"/>
  <c r="L8" i="1"/>
  <c r="K8" i="1"/>
  <c r="J8" i="1"/>
  <c r="I8" i="1"/>
  <c r="H8" i="1"/>
  <c r="G8" i="1"/>
  <c r="F8" i="1"/>
  <c r="E8" i="1"/>
  <c r="D8" i="1"/>
  <c r="C8" i="1"/>
  <c r="B8" i="1"/>
  <c r="U7" i="1"/>
  <c r="T7" i="1"/>
  <c r="S7" i="1"/>
  <c r="R7" i="1"/>
  <c r="Q7" i="1"/>
  <c r="P7" i="1"/>
  <c r="O7" i="1"/>
  <c r="N7" i="1"/>
  <c r="M7" i="1"/>
  <c r="L7" i="1"/>
  <c r="K7" i="1"/>
  <c r="J7" i="1"/>
  <c r="I7" i="1"/>
  <c r="H7" i="1"/>
  <c r="G7" i="1"/>
  <c r="F7" i="1"/>
  <c r="E7" i="1"/>
  <c r="D7" i="1"/>
  <c r="C7" i="1"/>
  <c r="B7" i="1"/>
  <c r="AB53" i="1"/>
  <c r="AB59" i="1" s="1"/>
  <c r="AA53" i="1"/>
  <c r="AA59" i="1" s="1"/>
  <c r="X53" i="1"/>
  <c r="X59" i="1" s="1"/>
  <c r="W53" i="1"/>
  <c r="W59" i="1" s="1"/>
  <c r="AB36" i="1"/>
  <c r="AB44" i="1" s="1"/>
  <c r="AC44" i="1" s="1"/>
  <c r="AA36" i="1"/>
  <c r="AA44" i="1" s="1"/>
  <c r="X36" i="1"/>
  <c r="X44" i="1" s="1"/>
  <c r="W36" i="1"/>
  <c r="W44" i="1" s="1"/>
  <c r="AB13" i="1"/>
  <c r="AB18" i="1" s="1"/>
  <c r="AB23" i="1" s="1"/>
  <c r="AB25" i="1" s="1"/>
  <c r="AB63" i="1" s="1"/>
  <c r="AB64" i="1" s="1"/>
  <c r="AC64" i="1" s="1"/>
  <c r="X13" i="1"/>
  <c r="X18" i="1" s="1"/>
  <c r="X23" i="1" s="1"/>
  <c r="X25" i="1" s="1"/>
  <c r="X63" i="1" s="1"/>
  <c r="X64" i="1" s="1"/>
  <c r="W13" i="1"/>
  <c r="W18" i="1" s="1"/>
  <c r="W23" i="1" s="1"/>
  <c r="W25" i="1" s="1"/>
  <c r="W66" i="1" s="1"/>
  <c r="AB9" i="1"/>
  <c r="AC9" i="1" s="1"/>
  <c r="AA9" i="1"/>
  <c r="X9" i="1"/>
  <c r="W9" i="1"/>
  <c r="AB8" i="1"/>
  <c r="AA8" i="1"/>
  <c r="X8" i="1"/>
  <c r="W8" i="1"/>
  <c r="AB7" i="1"/>
  <c r="AA7" i="1"/>
  <c r="X7" i="1"/>
  <c r="W7" i="1"/>
  <c r="V9" i="1"/>
  <c r="V8" i="1"/>
  <c r="V7" i="1"/>
  <c r="A4" i="1" a="1"/>
  <c r="A4" i="1" s="1"/>
  <c r="V53" i="1"/>
  <c r="V59" i="1" s="1"/>
  <c r="AC59" i="1" s="1"/>
  <c r="V36" i="1"/>
  <c r="V44" i="1" s="1"/>
  <c r="V13" i="1"/>
  <c r="V18" i="1" s="1"/>
  <c r="V23" i="1" s="1"/>
  <c r="V25" i="1" s="1"/>
  <c r="V63" i="1" s="1"/>
  <c r="V64" i="1" s="1"/>
  <c r="U53" i="1"/>
  <c r="U59" i="1" s="1"/>
  <c r="U36" i="1"/>
  <c r="U44" i="1" s="1"/>
  <c r="U24" i="1"/>
  <c r="U22" i="1"/>
  <c r="U21" i="1"/>
  <c r="U20" i="1"/>
  <c r="U19" i="1"/>
  <c r="U15" i="1"/>
  <c r="U12" i="1"/>
  <c r="U11" i="1"/>
  <c r="AC53" i="1" l="1"/>
  <c r="AC18" i="1"/>
  <c r="AC7" i="1"/>
  <c r="Y8" i="1"/>
  <c r="AC36" i="1"/>
  <c r="AC23" i="1"/>
  <c r="AC63" i="1"/>
  <c r="AC25" i="1"/>
  <c r="Z59" i="1"/>
  <c r="U62" i="1"/>
  <c r="W61" i="1"/>
  <c r="F62" i="1"/>
  <c r="W62" i="1"/>
  <c r="J62" i="1"/>
  <c r="Z7" i="1"/>
  <c r="K62" i="1"/>
  <c r="L62" i="1"/>
  <c r="Z53" i="1"/>
  <c r="Q62" i="1"/>
  <c r="Y9" i="1"/>
  <c r="AA18" i="1"/>
  <c r="AA23" i="1" s="1"/>
  <c r="AA25" i="1" s="1"/>
  <c r="AA61" i="1"/>
  <c r="AA62" i="1"/>
  <c r="E62" i="1"/>
  <c r="Y7" i="1"/>
  <c r="Z18" i="1"/>
  <c r="H62" i="1"/>
  <c r="Z44" i="1"/>
  <c r="Z36" i="1"/>
  <c r="Z25" i="1"/>
  <c r="G62" i="1"/>
  <c r="I62" i="1"/>
  <c r="Z13" i="1"/>
  <c r="Z23" i="1"/>
  <c r="AB61" i="1"/>
  <c r="AC61" i="1" s="1"/>
  <c r="N62" i="1"/>
  <c r="O62" i="1"/>
  <c r="P62" i="1"/>
  <c r="Z9" i="1"/>
  <c r="B62" i="1"/>
  <c r="Z8" i="1"/>
  <c r="C62" i="1"/>
  <c r="S62" i="1"/>
  <c r="U61" i="1"/>
  <c r="V61" i="1"/>
  <c r="M62" i="1"/>
  <c r="AA67" i="1"/>
  <c r="V62" i="1"/>
  <c r="D62" i="1"/>
  <c r="T62" i="1"/>
  <c r="W67" i="1"/>
  <c r="R62" i="1"/>
  <c r="AB67" i="1"/>
  <c r="AC67" i="1" s="1"/>
  <c r="U67" i="1"/>
  <c r="V65" i="1"/>
  <c r="V67" i="1"/>
  <c r="AD67" i="1"/>
  <c r="X61" i="1"/>
  <c r="X62" i="1"/>
  <c r="X67" i="1"/>
  <c r="AD63" i="1"/>
  <c r="AD64" i="1" s="1"/>
  <c r="AD66" i="1"/>
  <c r="AD62" i="1"/>
  <c r="AA65" i="1"/>
  <c r="AB65" i="1"/>
  <c r="AC65" i="1" s="1"/>
  <c r="AD65" i="1"/>
  <c r="X65" i="1"/>
  <c r="AD61" i="1"/>
  <c r="V66" i="1"/>
  <c r="W65" i="1"/>
  <c r="W63" i="1"/>
  <c r="X66" i="1"/>
  <c r="AB62" i="1"/>
  <c r="AB66" i="1"/>
  <c r="U13" i="1"/>
  <c r="B53" i="1"/>
  <c r="B59" i="1" s="1"/>
  <c r="B36" i="1"/>
  <c r="B13" i="1"/>
  <c r="C53" i="1"/>
  <c r="C59" i="1" s="1"/>
  <c r="C36" i="1"/>
  <c r="C13" i="1"/>
  <c r="D13" i="1"/>
  <c r="D53" i="1"/>
  <c r="D59" i="1" s="1"/>
  <c r="D36" i="1"/>
  <c r="E53" i="1"/>
  <c r="E59" i="1" s="1"/>
  <c r="E36" i="1"/>
  <c r="E24" i="1"/>
  <c r="E22" i="1"/>
  <c r="E21" i="1"/>
  <c r="E20" i="1"/>
  <c r="E19" i="1"/>
  <c r="E15" i="1"/>
  <c r="E12" i="1"/>
  <c r="E11" i="1"/>
  <c r="F13" i="1"/>
  <c r="F36" i="1"/>
  <c r="F53" i="1"/>
  <c r="F59" i="1" s="1"/>
  <c r="G53" i="1"/>
  <c r="G59" i="1" s="1"/>
  <c r="G36" i="1"/>
  <c r="G13" i="1"/>
  <c r="H53" i="1"/>
  <c r="H59" i="1" s="1"/>
  <c r="H36" i="1"/>
  <c r="H13" i="1"/>
  <c r="I53" i="1"/>
  <c r="I59" i="1" s="1"/>
  <c r="I36" i="1"/>
  <c r="I24" i="1"/>
  <c r="I21" i="1"/>
  <c r="I20" i="1"/>
  <c r="I19" i="1"/>
  <c r="I15" i="1"/>
  <c r="I12" i="1"/>
  <c r="I11" i="1"/>
  <c r="J13" i="1"/>
  <c r="J36" i="1"/>
  <c r="J53" i="1"/>
  <c r="J59" i="1" s="1"/>
  <c r="K53" i="1"/>
  <c r="K59" i="1" s="1"/>
  <c r="K36" i="1"/>
  <c r="K13" i="1"/>
  <c r="L53" i="1"/>
  <c r="L59" i="1" s="1"/>
  <c r="L36" i="1"/>
  <c r="L13" i="1"/>
  <c r="M53" i="1"/>
  <c r="M59" i="1" s="1"/>
  <c r="N53" i="1"/>
  <c r="N59" i="1" s="1"/>
  <c r="O53" i="1"/>
  <c r="O59" i="1" s="1"/>
  <c r="M36" i="1"/>
  <c r="M24" i="1"/>
  <c r="M22" i="1"/>
  <c r="M21" i="1"/>
  <c r="M20" i="1"/>
  <c r="M19" i="1"/>
  <c r="M15" i="1"/>
  <c r="M12" i="1"/>
  <c r="M11" i="1"/>
  <c r="N36" i="1"/>
  <c r="N13" i="1"/>
  <c r="O36" i="1"/>
  <c r="O13" i="1"/>
  <c r="P53" i="1"/>
  <c r="P59" i="1" s="1"/>
  <c r="P36" i="1"/>
  <c r="P13" i="1"/>
  <c r="Q53" i="1"/>
  <c r="Q59" i="1" s="1"/>
  <c r="Q36" i="1"/>
  <c r="Q24" i="1"/>
  <c r="Q22" i="1"/>
  <c r="Q21" i="1"/>
  <c r="Q20" i="1"/>
  <c r="Q19" i="1"/>
  <c r="Q15" i="1"/>
  <c r="Q12" i="1"/>
  <c r="Q11" i="1"/>
  <c r="R53" i="1"/>
  <c r="R59" i="1" s="1"/>
  <c r="R36" i="1"/>
  <c r="R13" i="1"/>
  <c r="S53" i="1"/>
  <c r="S59" i="1" s="1"/>
  <c r="S36" i="1"/>
  <c r="S13" i="1"/>
  <c r="T53" i="1"/>
  <c r="T59" i="1" s="1"/>
  <c r="Y59" i="1" s="1"/>
  <c r="T36" i="1"/>
  <c r="Y36" i="1" s="1"/>
  <c r="AC66" i="1" l="1"/>
  <c r="AC62" i="1"/>
  <c r="Z63" i="1"/>
  <c r="Z64" i="1" s="1"/>
  <c r="W64" i="1"/>
  <c r="AA66" i="1"/>
  <c r="AA63" i="1"/>
  <c r="AA64" i="1" s="1"/>
  <c r="Y53" i="1"/>
  <c r="Z65" i="1"/>
  <c r="Z61" i="1"/>
  <c r="Z62" i="1"/>
  <c r="Y62" i="1"/>
  <c r="Z66" i="1"/>
  <c r="Z67" i="1"/>
  <c r="D44" i="1"/>
  <c r="D61" i="1" s="1"/>
  <c r="D67" i="1"/>
  <c r="C44" i="1"/>
  <c r="C61" i="1" s="1"/>
  <c r="C67" i="1"/>
  <c r="G44" i="1"/>
  <c r="G61" i="1" s="1"/>
  <c r="G67" i="1"/>
  <c r="T44" i="1"/>
  <c r="T67" i="1"/>
  <c r="Y67" i="1" s="1"/>
  <c r="Q44" i="1"/>
  <c r="Q61" i="1" s="1"/>
  <c r="Q67" i="1"/>
  <c r="N44" i="1"/>
  <c r="N61" i="1" s="1"/>
  <c r="N67" i="1"/>
  <c r="J44" i="1"/>
  <c r="J67" i="1"/>
  <c r="H44" i="1"/>
  <c r="H61" i="1" s="1"/>
  <c r="H67" i="1"/>
  <c r="E44" i="1"/>
  <c r="E61" i="1" s="1"/>
  <c r="E67" i="1"/>
  <c r="R44" i="1"/>
  <c r="R61" i="1" s="1"/>
  <c r="R67" i="1"/>
  <c r="O44" i="1"/>
  <c r="O61" i="1" s="1"/>
  <c r="O67" i="1"/>
  <c r="L44" i="1"/>
  <c r="L61" i="1" s="1"/>
  <c r="L67" i="1"/>
  <c r="F44" i="1"/>
  <c r="F61" i="1" s="1"/>
  <c r="F67" i="1"/>
  <c r="S44" i="1"/>
  <c r="S61" i="1" s="1"/>
  <c r="S67" i="1"/>
  <c r="P44" i="1"/>
  <c r="P61" i="1" s="1"/>
  <c r="P67" i="1"/>
  <c r="M44" i="1"/>
  <c r="M61" i="1" s="1"/>
  <c r="M67" i="1"/>
  <c r="K44" i="1"/>
  <c r="K61" i="1" s="1"/>
  <c r="K67" i="1"/>
  <c r="I44" i="1"/>
  <c r="I61" i="1" s="1"/>
  <c r="I67" i="1"/>
  <c r="U18" i="1"/>
  <c r="U23" i="1" s="1"/>
  <c r="U25" i="1" s="1"/>
  <c r="U65" i="1"/>
  <c r="R18" i="1"/>
  <c r="R23" i="1" s="1"/>
  <c r="R25" i="1" s="1"/>
  <c r="R65" i="1"/>
  <c r="H18" i="1"/>
  <c r="H23" i="1" s="1"/>
  <c r="H25" i="1" s="1"/>
  <c r="H65" i="1"/>
  <c r="G18" i="1"/>
  <c r="G23" i="1" s="1"/>
  <c r="G25" i="1" s="1"/>
  <c r="G65" i="1"/>
  <c r="N18" i="1"/>
  <c r="N23" i="1" s="1"/>
  <c r="N25" i="1" s="1"/>
  <c r="N65" i="1"/>
  <c r="J61" i="1"/>
  <c r="D18" i="1"/>
  <c r="D23" i="1" s="1"/>
  <c r="D25" i="1" s="1"/>
  <c r="D65" i="1"/>
  <c r="J18" i="1"/>
  <c r="J23" i="1" s="1"/>
  <c r="J25" i="1" s="1"/>
  <c r="J65" i="1"/>
  <c r="C18" i="1"/>
  <c r="C23" i="1" s="1"/>
  <c r="C25" i="1" s="1"/>
  <c r="C65" i="1"/>
  <c r="F18" i="1"/>
  <c r="F23" i="1" s="1"/>
  <c r="F25" i="1" s="1"/>
  <c r="F65" i="1"/>
  <c r="O18" i="1"/>
  <c r="O23" i="1" s="1"/>
  <c r="O25" i="1" s="1"/>
  <c r="O65" i="1"/>
  <c r="B18" i="1"/>
  <c r="B23" i="1" s="1"/>
  <c r="B25" i="1" s="1"/>
  <c r="B65" i="1"/>
  <c r="L18" i="1"/>
  <c r="L23" i="1" s="1"/>
  <c r="L25" i="1" s="1"/>
  <c r="L65" i="1"/>
  <c r="K18" i="1"/>
  <c r="K23" i="1" s="1"/>
  <c r="K25" i="1" s="1"/>
  <c r="K65" i="1"/>
  <c r="B44" i="1"/>
  <c r="B61" i="1" s="1"/>
  <c r="B67" i="1"/>
  <c r="S18" i="1"/>
  <c r="S23" i="1" s="1"/>
  <c r="S25" i="1" s="1"/>
  <c r="S65" i="1"/>
  <c r="P18" i="1"/>
  <c r="P23" i="1" s="1"/>
  <c r="P25" i="1" s="1"/>
  <c r="P65" i="1"/>
  <c r="E13" i="1"/>
  <c r="I13" i="1"/>
  <c r="M13" i="1"/>
  <c r="Q13" i="1"/>
  <c r="T13" i="1"/>
  <c r="Y13" i="1" s="1"/>
  <c r="T61" i="1" l="1"/>
  <c r="Y61" i="1" s="1"/>
  <c r="Y44" i="1"/>
  <c r="N63" i="1"/>
  <c r="N64" i="1" s="1"/>
  <c r="N66" i="1"/>
  <c r="E18" i="1"/>
  <c r="E23" i="1" s="1"/>
  <c r="E25" i="1" s="1"/>
  <c r="E65" i="1"/>
  <c r="D63" i="1"/>
  <c r="D64" i="1" s="1"/>
  <c r="D66" i="1"/>
  <c r="Q18" i="1"/>
  <c r="Q23" i="1" s="1"/>
  <c r="Q25" i="1" s="1"/>
  <c r="Q65" i="1"/>
  <c r="H63" i="1"/>
  <c r="H64" i="1" s="1"/>
  <c r="H66" i="1"/>
  <c r="L66" i="1"/>
  <c r="L63" i="1"/>
  <c r="L64" i="1" s="1"/>
  <c r="I18" i="1"/>
  <c r="I23" i="1" s="1"/>
  <c r="I25" i="1" s="1"/>
  <c r="I65" i="1"/>
  <c r="P63" i="1"/>
  <c r="P64" i="1" s="1"/>
  <c r="P66" i="1"/>
  <c r="R63" i="1"/>
  <c r="R64" i="1" s="1"/>
  <c r="R66" i="1"/>
  <c r="C63" i="1"/>
  <c r="C64" i="1" s="1"/>
  <c r="C66" i="1"/>
  <c r="K66" i="1"/>
  <c r="K63" i="1"/>
  <c r="K64" i="1" s="1"/>
  <c r="B66" i="1"/>
  <c r="B63" i="1"/>
  <c r="B64" i="1" s="1"/>
  <c r="M18" i="1"/>
  <c r="M23" i="1" s="1"/>
  <c r="M25" i="1" s="1"/>
  <c r="M65" i="1"/>
  <c r="F66" i="1"/>
  <c r="F63" i="1"/>
  <c r="F64" i="1" s="1"/>
  <c r="J66" i="1"/>
  <c r="J63" i="1"/>
  <c r="J64" i="1" s="1"/>
  <c r="T18" i="1"/>
  <c r="T65" i="1"/>
  <c r="Y65" i="1" s="1"/>
  <c r="G66" i="1"/>
  <c r="G63" i="1"/>
  <c r="G64" i="1" s="1"/>
  <c r="O66" i="1"/>
  <c r="O63" i="1"/>
  <c r="O64" i="1" s="1"/>
  <c r="S63" i="1"/>
  <c r="S64" i="1" s="1"/>
  <c r="S66" i="1"/>
  <c r="U63" i="1"/>
  <c r="U64" i="1" s="1"/>
  <c r="U66" i="1"/>
  <c r="T23" i="1" l="1"/>
  <c r="Y18" i="1"/>
  <c r="I66" i="1"/>
  <c r="I63" i="1"/>
  <c r="I64" i="1" s="1"/>
  <c r="Q63" i="1"/>
  <c r="Q64" i="1" s="1"/>
  <c r="Q66" i="1"/>
  <c r="E63" i="1"/>
  <c r="E64" i="1" s="1"/>
  <c r="E66" i="1"/>
  <c r="M63" i="1"/>
  <c r="M64" i="1" s="1"/>
  <c r="M66" i="1"/>
  <c r="T25" i="1" l="1"/>
  <c r="Y23" i="1"/>
  <c r="Y25" i="1" l="1"/>
  <c r="T66" i="1"/>
  <c r="Y66" i="1" s="1"/>
  <c r="T63" i="1"/>
  <c r="Y63" i="1" l="1"/>
  <c r="Y64" i="1" s="1"/>
  <c r="T64"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2"/>
        </ext>
      </extLst>
    </bk>
  </futureMetadata>
  <cellMetadata count="1">
    <bk>
      <rc t="1" v="0"/>
    </bk>
  </cellMetadata>
  <valueMetadata count="1">
    <bk>
      <rc t="2" v="0"/>
    </bk>
  </valueMetadata>
</metadata>
</file>

<file path=xl/sharedStrings.xml><?xml version="1.0" encoding="utf-8"?>
<sst xmlns="http://schemas.openxmlformats.org/spreadsheetml/2006/main" count="91" uniqueCount="87">
  <si>
    <t>Reporting Date</t>
  </si>
  <si>
    <t>Quarter and Year</t>
  </si>
  <si>
    <t>Q322</t>
  </si>
  <si>
    <t>Revenues</t>
  </si>
  <si>
    <t>Cost of sales</t>
  </si>
  <si>
    <t>Gross profit</t>
  </si>
  <si>
    <t>Selling, general &amp; administrative expenses</t>
  </si>
  <si>
    <t>Foreign currency gains (losses), net</t>
  </si>
  <si>
    <t>Interest income</t>
  </si>
  <si>
    <t>Interest expense</t>
  </si>
  <si>
    <t>Other income (expense), net</t>
  </si>
  <si>
    <t>Income before income taxes</t>
  </si>
  <si>
    <t>Income tax expense (benefit)</t>
  </si>
  <si>
    <t>Net income</t>
  </si>
  <si>
    <t>Assets</t>
  </si>
  <si>
    <t>Current assets</t>
  </si>
  <si>
    <t>Cash &amp; cash equivalents</t>
  </si>
  <si>
    <t>Restricted cash</t>
  </si>
  <si>
    <t>Accounts receivable</t>
  </si>
  <si>
    <t>Inventories</t>
  </si>
  <si>
    <t>Income taxes receivable</t>
  </si>
  <si>
    <t>Other receivables</t>
  </si>
  <si>
    <t>Prepaid expenses &amp; other</t>
  </si>
  <si>
    <t>Total current assets</t>
  </si>
  <si>
    <t>Property &amp; equipment</t>
  </si>
  <si>
    <t>Intangible assets</t>
  </si>
  <si>
    <t>Goodwill</t>
  </si>
  <si>
    <t>Deferred tax assets</t>
  </si>
  <si>
    <t>Right-of-use assets</t>
  </si>
  <si>
    <t>Other assets</t>
  </si>
  <si>
    <t>Total assets</t>
  </si>
  <si>
    <t>Liabilities</t>
  </si>
  <si>
    <t>Current liabilities</t>
  </si>
  <si>
    <t>Accounts payable</t>
  </si>
  <si>
    <t>Accrued expenses &amp; other</t>
  </si>
  <si>
    <t>Income taxes payable</t>
  </si>
  <si>
    <t>Current borrowings</t>
  </si>
  <si>
    <t>Current operating lease liabilities</t>
  </si>
  <si>
    <t>Total current liabilities</t>
  </si>
  <si>
    <t>Deferred tax liabilities</t>
  </si>
  <si>
    <t>Long-term income taxes payable</t>
  </si>
  <si>
    <t>Long-term borrowings</t>
  </si>
  <si>
    <t>Long-term operating lease liabilities</t>
  </si>
  <si>
    <t>Other liabilities</t>
  </si>
  <si>
    <t>Total liabilities</t>
  </si>
  <si>
    <t>Q222</t>
  </si>
  <si>
    <t>Q122</t>
  </si>
  <si>
    <t>Q421</t>
  </si>
  <si>
    <t>Q321</t>
  </si>
  <si>
    <t>Q221</t>
  </si>
  <si>
    <t>Q121</t>
  </si>
  <si>
    <t>Q420</t>
  </si>
  <si>
    <t>Q320</t>
  </si>
  <si>
    <t>Q220</t>
  </si>
  <si>
    <t>Q120</t>
  </si>
  <si>
    <t>Q419</t>
  </si>
  <si>
    <t>Q319</t>
  </si>
  <si>
    <t>Q219</t>
  </si>
  <si>
    <t>Q119</t>
  </si>
  <si>
    <t>Q418</t>
  </si>
  <si>
    <t>Q318</t>
  </si>
  <si>
    <t>Q218</t>
  </si>
  <si>
    <t>Q118</t>
  </si>
  <si>
    <t>Q422</t>
  </si>
  <si>
    <t>Q123</t>
  </si>
  <si>
    <t>Shares outstanding</t>
  </si>
  <si>
    <t>Market cap</t>
  </si>
  <si>
    <t>Cash</t>
  </si>
  <si>
    <t>Debt</t>
  </si>
  <si>
    <t>Q223</t>
  </si>
  <si>
    <t>Q323</t>
  </si>
  <si>
    <t>Q423</t>
  </si>
  <si>
    <t>Q124</t>
  </si>
  <si>
    <t>Price</t>
  </si>
  <si>
    <t>Equity</t>
  </si>
  <si>
    <t>Enterprise value</t>
  </si>
  <si>
    <t>EPS</t>
  </si>
  <si>
    <t>Q224</t>
  </si>
  <si>
    <t>Operating income</t>
  </si>
  <si>
    <t>Gross profit margin</t>
  </si>
  <si>
    <t>Net profit margin</t>
  </si>
  <si>
    <t>Current ratio</t>
  </si>
  <si>
    <t>% Change</t>
  </si>
  <si>
    <t>YoY</t>
  </si>
  <si>
    <t>QoQ</t>
  </si>
  <si>
    <t>Asset impairments</t>
  </si>
  <si>
    <t>Price to Earnings Ratio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</si>
</sst>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43" formatCode="_(* #,##0.00_);_(* \(#,##0.00\);_(* &quot;-&quot;??_);_(@_)"/>
    <numFmt numFmtId="164" formatCode="_(* #,##0.0_);_(* \(#,##0.0\);_(* &quot;-&quot;??_);_(@_)"/>
    <numFmt numFmtId="165" formatCode="0.0%"/>
    <numFmt numFmtId="166" formatCode="_([$$-409]* #,##0.00_);_([$$-409]* \(#,##0.00\);_([$$-409]* &quot;-&quot;??_);_(@_)"/>
    <numFmt numFmtId="167" formatCode="_(* #,##0_);_(* \(#,##0\);_(* &quot;-&quot;??_);_(@_)"/>
    <numFmt numFmtId="168" formatCode="_(* #,##0.000_);_(* \(#,##0.000\);_(* &quot;-&quot;??_);_(@_)"/>
  </numFmts>
  <fonts count="5" x14ac:knownFonts="1">
    <font>
      <sz val="10"/>
      <color theme="1"/>
      <name val="Arial"/>
      <family val="2"/>
    </font>
    <font>
      <sz val="10"/>
      <color theme="1"/>
      <name val="Arial"/>
      <family val="2"/>
    </font>
    <font>
      <b/>
      <sz val="10"/>
      <color theme="0"/>
      <name val="Arial"/>
      <family val="2"/>
    </font>
    <font>
      <b/>
      <sz val="10"/>
      <color theme="1"/>
      <name val="Arial"/>
      <family val="2"/>
    </font>
    <font>
      <u/>
      <sz val="10"/>
      <color theme="1"/>
      <name val="Arial"/>
      <family val="2"/>
    </font>
  </fonts>
  <fills count="4">
    <fill>
      <patternFill patternType="none"/>
    </fill>
    <fill>
      <patternFill patternType="gray125"/>
    </fill>
    <fill>
      <patternFill patternType="solid">
        <fgColor theme="1"/>
        <bgColor indexed="64"/>
      </patternFill>
    </fill>
    <fill>
      <patternFill patternType="solid">
        <fgColor rgb="FFFFFF00"/>
        <bgColor indexed="64"/>
      </patternFill>
    </fill>
  </fills>
  <borders count="1">
    <border>
      <left/>
      <right/>
      <top/>
      <bottom/>
      <diagonal/>
    </border>
  </borders>
  <cellStyleXfs count="4">
    <xf numFmtId="0" fontId="0"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cellStyleXfs>
  <cellXfs count="46">
    <xf numFmtId="0" fontId="0" fillId="0" borderId="0" xfId="0"/>
    <xf numFmtId="0" fontId="2" fillId="2" borderId="0" xfId="0" applyFont="1" applyFill="1" applyAlignment="1">
      <alignment horizontal="center" vertical="center"/>
    </xf>
    <xf numFmtId="0" fontId="2" fillId="2" borderId="0" xfId="0" applyFont="1" applyFill="1" applyAlignment="1">
      <alignment horizontal="left" vertical="center"/>
    </xf>
    <xf numFmtId="14" fontId="2" fillId="2" borderId="0" xfId="0" applyNumberFormat="1" applyFont="1" applyFill="1" applyAlignment="1">
      <alignment horizontal="center" vertical="center"/>
    </xf>
    <xf numFmtId="0" fontId="0" fillId="0" borderId="0" xfId="0" applyAlignment="1">
      <alignment horizontal="left" indent="1"/>
    </xf>
    <xf numFmtId="0" fontId="0" fillId="0" borderId="0" xfId="0" applyAlignment="1">
      <alignment horizontal="left"/>
    </xf>
    <xf numFmtId="0" fontId="3" fillId="0" borderId="0" xfId="0" applyFont="1"/>
    <xf numFmtId="0" fontId="3" fillId="0" borderId="0" xfId="0" applyFont="1" applyAlignment="1">
      <alignment horizontal="left" indent="1"/>
    </xf>
    <xf numFmtId="0" fontId="0" fillId="0" borderId="0" xfId="0" applyAlignment="1">
      <alignment horizontal="left" indent="2"/>
    </xf>
    <xf numFmtId="0" fontId="3" fillId="0" borderId="0" xfId="0" applyFont="1" applyAlignment="1">
      <alignment horizontal="left" indent="2"/>
    </xf>
    <xf numFmtId="164" fontId="0" fillId="0" borderId="0" xfId="1" applyNumberFormat="1" applyFont="1"/>
    <xf numFmtId="164" fontId="3" fillId="0" borderId="0" xfId="1" applyNumberFormat="1" applyFont="1"/>
    <xf numFmtId="0" fontId="3" fillId="0" borderId="0" xfId="0" applyFont="1" applyAlignment="1">
      <alignment horizontal="left" indent="3"/>
    </xf>
    <xf numFmtId="164" fontId="3" fillId="0" borderId="0" xfId="1" applyNumberFormat="1" applyFont="1" applyAlignment="1">
      <alignment horizontal="left" indent="1"/>
    </xf>
    <xf numFmtId="0" fontId="3" fillId="0" borderId="0" xfId="0" applyFont="1" applyAlignment="1">
      <alignment horizontal="left" indent="4"/>
    </xf>
    <xf numFmtId="0" fontId="3" fillId="0" borderId="0" xfId="0" applyFont="1" applyAlignment="1">
      <alignment horizontal="left"/>
    </xf>
    <xf numFmtId="164" fontId="3" fillId="0" borderId="0" xfId="1" applyNumberFormat="1" applyFont="1" applyAlignment="1">
      <alignment horizontal="right"/>
    </xf>
    <xf numFmtId="164" fontId="0" fillId="0" borderId="0" xfId="1" applyNumberFormat="1" applyFont="1" applyAlignment="1">
      <alignment horizontal="right"/>
    </xf>
    <xf numFmtId="164" fontId="3" fillId="0" borderId="0" xfId="1" applyNumberFormat="1" applyFont="1" applyAlignment="1">
      <alignment horizontal="right" indent="1"/>
    </xf>
    <xf numFmtId="164" fontId="0" fillId="0" borderId="0" xfId="1" applyNumberFormat="1" applyFont="1" applyAlignment="1">
      <alignment horizontal="right" indent="1"/>
    </xf>
    <xf numFmtId="164" fontId="0" fillId="0" borderId="0" xfId="1" applyNumberFormat="1" applyFont="1" applyAlignment="1">
      <alignment horizontal="right" indent="2"/>
    </xf>
    <xf numFmtId="164" fontId="0" fillId="0" borderId="0" xfId="1" applyNumberFormat="1" applyFont="1" applyAlignment="1">
      <alignment horizontal="left"/>
    </xf>
    <xf numFmtId="164" fontId="0" fillId="0" borderId="0" xfId="1" applyNumberFormat="1" applyFont="1" applyAlignment="1">
      <alignment horizontal="left" indent="1"/>
    </xf>
    <xf numFmtId="164" fontId="0" fillId="0" borderId="0" xfId="1" applyNumberFormat="1" applyFont="1" applyAlignment="1">
      <alignment horizontal="left" indent="2"/>
    </xf>
    <xf numFmtId="164" fontId="3" fillId="0" borderId="0" xfId="1" applyNumberFormat="1" applyFont="1" applyAlignment="1">
      <alignment horizontal="left"/>
    </xf>
    <xf numFmtId="164" fontId="1" fillId="0" borderId="0" xfId="1" applyNumberFormat="1" applyFont="1"/>
    <xf numFmtId="0" fontId="2" fillId="2" borderId="0" xfId="0" applyFont="1" applyFill="1" applyAlignment="1">
      <alignment horizontal="center"/>
    </xf>
    <xf numFmtId="14" fontId="2" fillId="2" borderId="0" xfId="0" applyNumberFormat="1" applyFont="1" applyFill="1" applyAlignment="1">
      <alignment horizontal="center"/>
    </xf>
    <xf numFmtId="164" fontId="3" fillId="0" borderId="0" xfId="0" applyNumberFormat="1" applyFont="1"/>
    <xf numFmtId="164" fontId="0" fillId="0" borderId="0" xfId="0" applyNumberFormat="1"/>
    <xf numFmtId="164" fontId="3" fillId="0" borderId="0" xfId="0" applyNumberFormat="1" applyFont="1" applyAlignment="1">
      <alignment horizontal="left" indent="1"/>
    </xf>
    <xf numFmtId="0" fontId="0" fillId="0" borderId="0" xfId="0" applyAlignment="1">
      <alignment horizontal="left" vertical="center"/>
    </xf>
    <xf numFmtId="166" fontId="0" fillId="0" borderId="0" xfId="0" applyNumberFormat="1" applyAlignment="1">
      <alignment horizontal="left" vertical="center"/>
    </xf>
    <xf numFmtId="44" fontId="0" fillId="0" borderId="0" xfId="3" applyFont="1" applyFill="1" applyAlignment="1">
      <alignment horizontal="left" vertical="center"/>
    </xf>
    <xf numFmtId="44" fontId="0" fillId="0" borderId="0" xfId="3" applyFont="1" applyFill="1" applyAlignment="1">
      <alignment horizontal="left"/>
    </xf>
    <xf numFmtId="164" fontId="0" fillId="0" borderId="0" xfId="1" applyNumberFormat="1" applyFont="1" applyFill="1" applyAlignment="1">
      <alignment horizontal="right"/>
    </xf>
    <xf numFmtId="43" fontId="0" fillId="0" borderId="0" xfId="0" applyNumberFormat="1"/>
    <xf numFmtId="167" fontId="0" fillId="0" borderId="0" xfId="0" applyNumberFormat="1" applyAlignment="1">
      <alignment horizontal="left" vertical="center"/>
    </xf>
    <xf numFmtId="167" fontId="0" fillId="0" borderId="0" xfId="1" applyNumberFormat="1" applyFont="1" applyFill="1" applyAlignment="1">
      <alignment horizontal="right" vertical="center"/>
    </xf>
    <xf numFmtId="167" fontId="0" fillId="0" borderId="0" xfId="1" applyNumberFormat="1" applyFont="1" applyFill="1" applyAlignment="1">
      <alignment horizontal="right"/>
    </xf>
    <xf numFmtId="165" fontId="0" fillId="0" borderId="0" xfId="2" applyNumberFormat="1" applyFont="1"/>
    <xf numFmtId="168" fontId="0" fillId="0" borderId="0" xfId="1" applyNumberFormat="1" applyFont="1"/>
    <xf numFmtId="9" fontId="4" fillId="0" borderId="0" xfId="2" applyFont="1" applyFill="1" applyAlignment="1">
      <alignment horizontal="center"/>
    </xf>
    <xf numFmtId="165" fontId="4" fillId="0" borderId="0" xfId="2" applyNumberFormat="1" applyFont="1" applyFill="1" applyAlignment="1">
      <alignment horizontal="center"/>
    </xf>
    <xf numFmtId="44" fontId="1" fillId="0" borderId="0" xfId="3" applyFont="1" applyFill="1" applyAlignment="1">
      <alignment horizontal="left"/>
    </xf>
    <xf numFmtId="0" fontId="0" fillId="3" borderId="0" xfId="0" applyFill="1" applyAlignment="1">
      <alignment horizontal="left"/>
    </xf>
  </cellXfs>
  <cellStyles count="4">
    <cellStyle name="Comma" xfId="1" builtinId="3"/>
    <cellStyle name="Currency" xfId="3" builtinId="4"/>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ichStyles" Target="richData/richStyles.xml"/><Relationship Id="rId13" Type="http://schemas.openxmlformats.org/officeDocument/2006/relationships/customXml" Target="../customXml/item1.xml"/><Relationship Id="rId3" Type="http://schemas.openxmlformats.org/officeDocument/2006/relationships/styles" Target="styles.xml"/><Relationship Id="rId7" Type="http://schemas.microsoft.com/office/2017/06/relationships/rdRichValueStructure" Target="richData/rdrichvaluestructure.xml"/><Relationship Id="rId12" Type="http://schemas.openxmlformats.org/officeDocument/2006/relationships/calcChain" Target="calcChain.xml"/><Relationship Id="rId2" Type="http://schemas.openxmlformats.org/officeDocument/2006/relationships/theme" Target="theme/theme1.xml"/><Relationship Id="rId16" Type="http://schemas.microsoft.com/office/2006/relationships/vbaProject" Target="vbaProject.bin"/><Relationship Id="rId1" Type="http://schemas.openxmlformats.org/officeDocument/2006/relationships/worksheet" Target="worksheets/sheet1.xml"/><Relationship Id="rId6" Type="http://schemas.microsoft.com/office/2017/06/relationships/rdRichValue" Target="richData/rdrichvalue.xml"/><Relationship Id="rId11" Type="http://schemas.microsoft.com/office/2017/06/relationships/rdRichValueTypes" Target="richData/rdRichValueTypes.xml"/><Relationship Id="rId5" Type="http://schemas.openxmlformats.org/officeDocument/2006/relationships/sheetMetadata" Target="metadata.xml"/><Relationship Id="rId15" Type="http://schemas.openxmlformats.org/officeDocument/2006/relationships/customXml" Target="../customXml/item3.xml"/><Relationship Id="rId10" Type="http://schemas.microsoft.com/office/2017/06/relationships/rdSupportingPropertyBag" Target="richData/rdsupportingpropertybag.xml"/><Relationship Id="rId4" Type="http://schemas.openxmlformats.org/officeDocument/2006/relationships/sharedStrings" Target="sharedStrings.xml"/><Relationship Id="rId9" Type="http://schemas.microsoft.com/office/2017/06/relationships/rdSupportingPropertyBagStructure" Target="richData/rdsupportingpropertybagstructure.xml"/><Relationship Id="rId14" Type="http://schemas.openxmlformats.org/officeDocument/2006/relationships/customXml" Target="../customXml/item2.xm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3">
  <rv s="0">
    <v>https://www.bing.com/financeapi/forcetrigger?t=a1qclh&amp;q=XNAS%3aCROX&amp;form=skydnc</v>
    <v>Learn more on Bing</v>
  </rv>
  <rv s="1">
    <v>en-US</v>
    <v>a1qclh</v>
    <v>268435456</v>
    <v>1</v>
    <v>Powered by Refinitiv</v>
    <v>0</v>
    <v>CROCS, INC. (XNAS:CROX)</v>
    <v>2</v>
    <v>3</v>
    <v>Finance</v>
    <v>4</v>
    <v>146.79</v>
    <v>74</v>
    <v>1.9541999999999999</v>
    <v>-1.3149999999999999</v>
    <v>-9.1779999999999987E-3</v>
    <v>USD</v>
    <v>Crocs, Inc. is engaged in the design, development, worldwide marketing, distribution, and sale of casual lifestyle footwear and accessories for women, men, and children. The Company’s segments include Crocs Brand and the HEYDUDE Brand. The Company’s Crocs Brand collection contains Croslite material, a molded footwear technology, delivering extraordinary comfort with each step. Its Croslite materials are formulated to create soft, comfortable, lightweight, non-marking, and odor-resistant footwear. The HEYDUDE Brand offers shoes with a versatile silhouette. It sells its products in more than 80 countries, through two distribution channels: wholesale and direct-to-consumer. Its wholesale channel includes domestic and international multi-brand retailers, mono-branded partner stores, e-tailers, and distributors; its direct-to-consumer channel includes Company-operated retail stores, Company-operated e-commerce sites, and third-party marketplaces.</v>
    <v>7030</v>
    <v>Nasdaq Stock Market</v>
    <v>XNAS</v>
    <v>XNAS</v>
    <v>500 Eldorado Boulevard, Building 5, BROOMFIELD, CO, 80021 US</v>
    <v>144.7799</v>
    <v>Textiles &amp; Apparel</v>
    <v>Stock</v>
    <v>45425.748940185156</v>
    <v>0</v>
    <v>141.02000000000001</v>
    <v>8617023387</v>
    <v>CROCS, INC.</v>
    <v>CROCS, INC.</v>
    <v>144.59</v>
    <v>11.0869</v>
    <v>143.27000000000001</v>
    <v>141.95500000000001</v>
    <v>60702500</v>
    <v>CROX</v>
    <v>CROCS, INC. (XNAS:CROX)</v>
    <v>493992</v>
    <v>1263741</v>
    <v>2005</v>
  </rv>
  <rv s="2">
    <v>1</v>
  </rv>
</rvData>
</file>

<file path=xl/richData/rdrichvaluestructure.xml><?xml version="1.0" encoding="utf-8"?>
<rvStructures xmlns="http://schemas.microsoft.com/office/spreadsheetml/2017/richdata" count="3">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rvStructures>
</file>

<file path=xl/richData/rdsupportingpropertybag.xml><?xml version="1.0" encoding="utf-8"?>
<supportingPropertyBags xmlns="http://schemas.microsoft.com/office/spreadsheetml/2017/richdata2">
  <spbArrays count="1">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5">
    <spb s="0">
      <v>0</v>
      <v>Name</v>
      <v>LearnMoreOnLink</v>
    </spb>
    <spb s="1">
      <v>0</v>
      <v>0</v>
      <v>0</v>
    </spb>
    <spb s="2">
      <v>1</v>
      <v>1</v>
      <v>1</v>
      <v>1</v>
    </spb>
    <spb s="3">
      <v>1</v>
      <v>2</v>
      <v>2</v>
      <v>1</v>
      <v>3</v>
      <v>1</v>
      <v>1</v>
      <v>1</v>
      <v>4</v>
      <v>4</v>
      <v>5</v>
      <v>6</v>
      <v>1</v>
      <v>1</v>
      <v>1</v>
      <v>4</v>
      <v>7</v>
      <v>8</v>
      <v>9</v>
      <v>4</v>
    </spb>
    <spb s="4">
      <v>Real-Time Nasdaq Last Sale</v>
      <v>from previous close</v>
      <v>from previous close</v>
      <v>Source: Nasdaq Last Sale</v>
      <v>GMT</v>
    </spb>
  </spbData>
</supportingPropertyBags>
</file>

<file path=xl/richData/rdsupportingpropertybagstructure.xml><?xml version="1.0" encoding="utf-8"?>
<spbStructures xmlns="http://schemas.microsoft.com/office/spreadsheetml/2017/richdata2" count="5">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m/d/yyyy\ h:mm"/>
    </x:dxf>
    <x:dxf>
      <x:numFmt numFmtId="14" formatCode="0.00%"/>
    </x:dxf>
    <x:dxf>
      <x:numFmt numFmtId="3" formatCode="#,##0"/>
    </x:dxf>
    <x:dxf>
      <x:numFmt numFmtId="4" formatCode="#,##0.00"/>
    </x:dxf>
    <x:dxf>
      <x:numFmt numFmtId="1" formatCode="0"/>
    </x:dxf>
  </dxfs>
  <richProperties>
    <rPr n="NumberFormat" t="s"/>
    <rPr n="IsTitle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ichStyles>
</richStyleShee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4CC1E5-23ED-4514-B662-AF578F1958B5}">
  <dimension ref="A1:AD68"/>
  <sheetViews>
    <sheetView tabSelected="1" topLeftCell="A9" zoomScale="125" zoomScaleNormal="125" workbookViewId="0">
      <pane xSplit="1" topLeftCell="S1" activePane="topRight" state="frozen"/>
      <selection pane="topRight" activeCell="AA8" sqref="AA8"/>
    </sheetView>
  </sheetViews>
  <sheetFormatPr defaultColWidth="9.1328125" defaultRowHeight="12.75" x14ac:dyDescent="0.35"/>
  <cols>
    <col min="1" max="1" width="39.59765625" customWidth="1"/>
    <col min="2" max="17" width="12.73046875" style="10" customWidth="1"/>
    <col min="18" max="19" width="12.73046875" style="17" customWidth="1"/>
    <col min="20" max="20" width="12.73046875" style="10" customWidth="1"/>
    <col min="21" max="21" width="12.73046875" customWidth="1"/>
    <col min="22" max="24" width="12.73046875" style="29" customWidth="1"/>
    <col min="25" max="26" width="10.59765625" style="29" hidden="1" customWidth="1"/>
    <col min="27" max="28" width="12.73046875" style="29" customWidth="1"/>
    <col min="29" max="29" width="10.59765625" style="29" customWidth="1"/>
    <col min="30" max="76" width="12.73046875" style="29" customWidth="1"/>
    <col min="77" max="16384" width="9.1328125" style="29"/>
  </cols>
  <sheetData>
    <row r="1" spans="1:30" s="26" customFormat="1" ht="15" customHeight="1" x14ac:dyDescent="0.4">
      <c r="A1" s="2" t="s">
        <v>0</v>
      </c>
      <c r="B1" s="3">
        <v>43190</v>
      </c>
      <c r="C1" s="3">
        <v>43281</v>
      </c>
      <c r="D1" s="3">
        <v>43373</v>
      </c>
      <c r="E1" s="3">
        <v>43465</v>
      </c>
      <c r="F1" s="3">
        <v>43555</v>
      </c>
      <c r="G1" s="3">
        <v>43646</v>
      </c>
      <c r="H1" s="3">
        <v>43738</v>
      </c>
      <c r="I1" s="3">
        <v>43830</v>
      </c>
      <c r="J1" s="3">
        <v>43921</v>
      </c>
      <c r="K1" s="3">
        <v>44012</v>
      </c>
      <c r="L1" s="3">
        <v>44104</v>
      </c>
      <c r="M1" s="3">
        <v>44196</v>
      </c>
      <c r="N1" s="3">
        <v>44286</v>
      </c>
      <c r="O1" s="3">
        <v>44377</v>
      </c>
      <c r="P1" s="3">
        <v>44469</v>
      </c>
      <c r="Q1" s="3">
        <v>44561</v>
      </c>
      <c r="R1" s="3">
        <v>44651</v>
      </c>
      <c r="S1" s="3">
        <v>44742</v>
      </c>
      <c r="T1" s="3">
        <v>44834</v>
      </c>
      <c r="U1" s="27">
        <v>44926</v>
      </c>
      <c r="V1" s="27">
        <v>45016</v>
      </c>
      <c r="W1" s="27">
        <v>45107</v>
      </c>
      <c r="X1" s="27">
        <v>45199</v>
      </c>
      <c r="Y1" s="27" t="s">
        <v>82</v>
      </c>
      <c r="Z1" s="27" t="s">
        <v>82</v>
      </c>
      <c r="AA1" s="27">
        <v>45291</v>
      </c>
      <c r="AB1" s="27">
        <v>45382</v>
      </c>
      <c r="AC1" s="27" t="s">
        <v>82</v>
      </c>
      <c r="AD1" s="27">
        <v>45473</v>
      </c>
    </row>
    <row r="2" spans="1:30" s="26" customFormat="1" ht="15" customHeight="1" x14ac:dyDescent="0.4">
      <c r="A2" s="2" t="s">
        <v>1</v>
      </c>
      <c r="B2" s="1" t="s">
        <v>62</v>
      </c>
      <c r="C2" s="1" t="s">
        <v>61</v>
      </c>
      <c r="D2" s="1" t="s">
        <v>60</v>
      </c>
      <c r="E2" s="1" t="s">
        <v>59</v>
      </c>
      <c r="F2" s="1" t="s">
        <v>58</v>
      </c>
      <c r="G2" s="1" t="s">
        <v>57</v>
      </c>
      <c r="H2" s="1" t="s">
        <v>56</v>
      </c>
      <c r="I2" s="1" t="s">
        <v>55</v>
      </c>
      <c r="J2" s="1" t="s">
        <v>54</v>
      </c>
      <c r="K2" s="1" t="s">
        <v>53</v>
      </c>
      <c r="L2" s="1" t="s">
        <v>52</v>
      </c>
      <c r="M2" s="1" t="s">
        <v>51</v>
      </c>
      <c r="N2" s="1" t="s">
        <v>50</v>
      </c>
      <c r="O2" s="1" t="s">
        <v>49</v>
      </c>
      <c r="P2" s="1" t="s">
        <v>48</v>
      </c>
      <c r="Q2" s="1" t="s">
        <v>47</v>
      </c>
      <c r="R2" s="1" t="s">
        <v>46</v>
      </c>
      <c r="S2" s="1" t="s">
        <v>45</v>
      </c>
      <c r="T2" s="1" t="s">
        <v>2</v>
      </c>
      <c r="U2" s="26" t="s">
        <v>63</v>
      </c>
      <c r="V2" s="26" t="s">
        <v>64</v>
      </c>
      <c r="W2" s="26" t="s">
        <v>69</v>
      </c>
      <c r="X2" s="26" t="s">
        <v>70</v>
      </c>
      <c r="Y2" s="26" t="s">
        <v>83</v>
      </c>
      <c r="Z2" s="26" t="s">
        <v>84</v>
      </c>
      <c r="AA2" s="26" t="s">
        <v>71</v>
      </c>
      <c r="AB2" s="26" t="s">
        <v>72</v>
      </c>
      <c r="AC2" s="26" t="s">
        <v>83</v>
      </c>
      <c r="AD2" s="26" t="s">
        <v>77</v>
      </c>
    </row>
    <row r="3" spans="1:30" s="5" customFormat="1" ht="12.75" customHeight="1" x14ac:dyDescent="0.35">
      <c r="A3" s="31" t="e" vm="1">
        <v>#VALUE!</v>
      </c>
      <c r="B3" s="31"/>
      <c r="C3" s="31"/>
      <c r="D3" s="31"/>
      <c r="E3" s="31"/>
      <c r="F3" s="31"/>
      <c r="G3" s="31"/>
      <c r="H3" s="31"/>
      <c r="I3" s="31"/>
      <c r="J3" s="31"/>
      <c r="K3" s="31"/>
      <c r="L3" s="31"/>
      <c r="M3" s="31"/>
      <c r="N3" s="31"/>
      <c r="O3" s="31"/>
      <c r="P3" s="31"/>
      <c r="Q3" s="31"/>
      <c r="R3" s="31"/>
      <c r="S3" s="31"/>
      <c r="T3" s="31"/>
    </row>
    <row r="4" spans="1:30" s="5" customFormat="1" ht="12.75" customHeight="1" x14ac:dyDescent="0.35">
      <c r="A4" s="32" cm="1">
        <f t="array" ref="A4">_FV(A3,"Price")</f>
        <v>141.95500000000001</v>
      </c>
      <c r="B4" s="31"/>
      <c r="C4" s="31"/>
      <c r="D4" s="31"/>
      <c r="E4" s="31"/>
      <c r="F4" s="31"/>
      <c r="G4" s="31"/>
      <c r="H4" s="31"/>
      <c r="I4" s="31"/>
      <c r="J4" s="31"/>
      <c r="K4" s="31"/>
      <c r="L4" s="31"/>
      <c r="M4" s="31"/>
      <c r="N4" s="31"/>
      <c r="O4" s="31"/>
      <c r="P4" s="31"/>
      <c r="Q4" s="31"/>
      <c r="R4" s="31"/>
      <c r="S4" s="31"/>
      <c r="T4" s="31"/>
      <c r="AB4" s="45"/>
    </row>
    <row r="5" spans="1:30" s="34" customFormat="1" ht="12.75" customHeight="1" x14ac:dyDescent="0.35">
      <c r="A5" s="31" t="s">
        <v>73</v>
      </c>
      <c r="B5" s="33">
        <v>16.25</v>
      </c>
      <c r="C5" s="33">
        <v>17.61</v>
      </c>
      <c r="D5" s="33">
        <v>21.29</v>
      </c>
      <c r="E5" s="33">
        <v>25.98</v>
      </c>
      <c r="F5" s="33">
        <v>25.75</v>
      </c>
      <c r="G5" s="33">
        <v>19.75</v>
      </c>
      <c r="H5" s="33">
        <v>27.76</v>
      </c>
      <c r="I5" s="33">
        <v>41.89</v>
      </c>
      <c r="J5" s="33">
        <v>16.989999999999998</v>
      </c>
      <c r="K5" s="33">
        <v>36.82</v>
      </c>
      <c r="L5" s="33">
        <v>42.73</v>
      </c>
      <c r="M5" s="33">
        <v>62.66</v>
      </c>
      <c r="N5" s="33">
        <v>80.45</v>
      </c>
      <c r="O5" s="33">
        <v>116.52</v>
      </c>
      <c r="P5" s="33">
        <v>143.47999999999999</v>
      </c>
      <c r="Q5" s="33">
        <v>128.22</v>
      </c>
      <c r="R5" s="33">
        <v>76.400000000000006</v>
      </c>
      <c r="S5" s="33">
        <v>48.67</v>
      </c>
      <c r="T5" s="33">
        <v>68.66</v>
      </c>
      <c r="U5" s="34">
        <v>108.43</v>
      </c>
      <c r="V5" s="34">
        <v>126.44</v>
      </c>
      <c r="W5" s="34">
        <v>112.44</v>
      </c>
      <c r="X5" s="34">
        <v>88.23</v>
      </c>
      <c r="Y5" s="42">
        <f>(X5-T5)/T5</f>
        <v>0.2850276725895719</v>
      </c>
      <c r="Z5" s="42">
        <f>(X5-W5)/W5</f>
        <v>-0.21531483457844178</v>
      </c>
      <c r="AA5" s="34">
        <v>93.4</v>
      </c>
      <c r="AB5" s="44">
        <v>143.91</v>
      </c>
      <c r="AC5" s="43">
        <f>(AB5-V5)/V5</f>
        <v>0.13816830117051565</v>
      </c>
    </row>
    <row r="6" spans="1:30" s="35" customFormat="1" ht="12.75" customHeight="1" x14ac:dyDescent="0.35">
      <c r="A6" s="37" t="s">
        <v>65</v>
      </c>
      <c r="B6" s="38">
        <v>72</v>
      </c>
      <c r="C6" s="38">
        <v>71</v>
      </c>
      <c r="D6" s="38">
        <v>73</v>
      </c>
      <c r="E6" s="38">
        <v>68</v>
      </c>
      <c r="F6" s="38">
        <v>75</v>
      </c>
      <c r="G6" s="38">
        <v>72</v>
      </c>
      <c r="H6" s="38">
        <v>70</v>
      </c>
      <c r="I6" s="38">
        <v>72</v>
      </c>
      <c r="J6" s="38">
        <v>69</v>
      </c>
      <c r="K6" s="38">
        <v>68</v>
      </c>
      <c r="L6" s="38">
        <v>68</v>
      </c>
      <c r="M6" s="38">
        <v>69</v>
      </c>
      <c r="N6" s="38">
        <v>67</v>
      </c>
      <c r="O6" s="38">
        <v>65</v>
      </c>
      <c r="P6" s="38">
        <v>63</v>
      </c>
      <c r="Q6" s="38">
        <v>64</v>
      </c>
      <c r="R6" s="38">
        <v>61</v>
      </c>
      <c r="S6" s="39">
        <v>62</v>
      </c>
      <c r="T6" s="39">
        <v>62</v>
      </c>
      <c r="U6" s="39">
        <v>62</v>
      </c>
      <c r="V6" s="39">
        <v>62.628999999999998</v>
      </c>
      <c r="W6" s="39">
        <v>62.6</v>
      </c>
      <c r="X6" s="35">
        <v>62</v>
      </c>
      <c r="Y6" s="42">
        <f t="shared" ref="Y6:Y67" si="0">(X6-T6)/T6</f>
        <v>0</v>
      </c>
      <c r="Z6" s="42">
        <f t="shared" ref="Z6:Z67" si="1">(X6-W6)/W6</f>
        <v>-9.5846645367412362E-3</v>
      </c>
      <c r="AA6" s="35">
        <v>61.95</v>
      </c>
      <c r="AB6" s="35">
        <v>61.1</v>
      </c>
      <c r="AC6" s="43">
        <f t="shared" ref="AC6:AC9" si="2">(AB6-V6)/V6</f>
        <v>-2.4413610308323563E-2</v>
      </c>
    </row>
    <row r="7" spans="1:30" s="35" customFormat="1" ht="12.75" customHeight="1" x14ac:dyDescent="0.35">
      <c r="A7" s="31" t="s">
        <v>66</v>
      </c>
      <c r="B7" s="35">
        <f t="shared" ref="B7:U7" si="3">B5*B6</f>
        <v>1170</v>
      </c>
      <c r="C7" s="35">
        <f t="shared" si="3"/>
        <v>1250.31</v>
      </c>
      <c r="D7" s="35">
        <f t="shared" si="3"/>
        <v>1554.1699999999998</v>
      </c>
      <c r="E7" s="35">
        <f t="shared" si="3"/>
        <v>1766.64</v>
      </c>
      <c r="F7" s="35">
        <f t="shared" si="3"/>
        <v>1931.25</v>
      </c>
      <c r="G7" s="35">
        <f t="shared" si="3"/>
        <v>1422</v>
      </c>
      <c r="H7" s="35">
        <f t="shared" si="3"/>
        <v>1943.2</v>
      </c>
      <c r="I7" s="35">
        <f t="shared" si="3"/>
        <v>3016.08</v>
      </c>
      <c r="J7" s="35">
        <f t="shared" si="3"/>
        <v>1172.31</v>
      </c>
      <c r="K7" s="35">
        <f t="shared" si="3"/>
        <v>2503.7600000000002</v>
      </c>
      <c r="L7" s="35">
        <f t="shared" si="3"/>
        <v>2905.64</v>
      </c>
      <c r="M7" s="35">
        <f t="shared" si="3"/>
        <v>4323.54</v>
      </c>
      <c r="N7" s="35">
        <f t="shared" si="3"/>
        <v>5390.1500000000005</v>
      </c>
      <c r="O7" s="35">
        <f t="shared" si="3"/>
        <v>7573.8</v>
      </c>
      <c r="P7" s="35">
        <f t="shared" si="3"/>
        <v>9039.24</v>
      </c>
      <c r="Q7" s="35">
        <f t="shared" si="3"/>
        <v>8206.08</v>
      </c>
      <c r="R7" s="35">
        <f t="shared" si="3"/>
        <v>4660.4000000000005</v>
      </c>
      <c r="S7" s="35">
        <f t="shared" si="3"/>
        <v>3017.54</v>
      </c>
      <c r="T7" s="35">
        <f t="shared" si="3"/>
        <v>4256.92</v>
      </c>
      <c r="U7" s="35">
        <f t="shared" si="3"/>
        <v>6722.6600000000008</v>
      </c>
      <c r="V7" s="35">
        <f>V5*V6</f>
        <v>7918.8107599999994</v>
      </c>
      <c r="W7" s="35">
        <f t="shared" ref="W7:AD7" si="4">W5*W6</f>
        <v>7038.7439999999997</v>
      </c>
      <c r="X7" s="35">
        <f t="shared" si="4"/>
        <v>5470.26</v>
      </c>
      <c r="Y7" s="42">
        <f t="shared" si="0"/>
        <v>0.28502767258957185</v>
      </c>
      <c r="Z7" s="42">
        <f t="shared" si="1"/>
        <v>-0.22283577865596468</v>
      </c>
      <c r="AA7" s="35">
        <f t="shared" si="4"/>
        <v>5786.130000000001</v>
      </c>
      <c r="AB7" s="35">
        <f>AB5*AB6</f>
        <v>8792.9009999999998</v>
      </c>
      <c r="AC7" s="43">
        <f t="shared" si="2"/>
        <v>0.11038150380045204</v>
      </c>
      <c r="AD7" s="35">
        <f t="shared" si="4"/>
        <v>0</v>
      </c>
    </row>
    <row r="8" spans="1:30" s="35" customFormat="1" ht="12.75" customHeight="1" x14ac:dyDescent="0.35">
      <c r="A8" s="31" t="s">
        <v>67</v>
      </c>
      <c r="B8" s="35">
        <f t="shared" ref="B8:U8" si="5">B29+B30+B41</f>
        <v>106.80000000000001</v>
      </c>
      <c r="C8" s="35">
        <f t="shared" si="5"/>
        <v>175.6</v>
      </c>
      <c r="D8" s="35">
        <f t="shared" si="5"/>
        <v>207.1</v>
      </c>
      <c r="E8" s="35">
        <f t="shared" si="5"/>
        <v>127.50000000000001</v>
      </c>
      <c r="F8" s="35">
        <f t="shared" si="5"/>
        <v>90.3</v>
      </c>
      <c r="G8" s="35">
        <f t="shared" si="5"/>
        <v>111.60000000000001</v>
      </c>
      <c r="H8" s="35">
        <f t="shared" si="5"/>
        <v>91.2</v>
      </c>
      <c r="I8" s="35">
        <f t="shared" si="5"/>
        <v>112</v>
      </c>
      <c r="J8" s="35">
        <f t="shared" si="5"/>
        <v>110.6</v>
      </c>
      <c r="K8" s="35">
        <f t="shared" si="5"/>
        <v>154.79999999999998</v>
      </c>
      <c r="L8" s="35">
        <f t="shared" si="5"/>
        <v>126.99999999999999</v>
      </c>
      <c r="M8" s="35">
        <f t="shared" si="5"/>
        <v>139.20000000000002</v>
      </c>
      <c r="N8" s="35">
        <f t="shared" si="5"/>
        <v>261.29999999999995</v>
      </c>
      <c r="O8" s="35">
        <f t="shared" si="5"/>
        <v>203.10000000000002</v>
      </c>
      <c r="P8" s="35">
        <f t="shared" si="5"/>
        <v>441.7</v>
      </c>
      <c r="Q8" s="35">
        <f t="shared" si="5"/>
        <v>216.99999999999997</v>
      </c>
      <c r="R8" s="35">
        <f t="shared" si="5"/>
        <v>175.4</v>
      </c>
      <c r="S8" s="35">
        <f t="shared" si="5"/>
        <v>190.6</v>
      </c>
      <c r="T8" s="35">
        <f t="shared" si="5"/>
        <v>146</v>
      </c>
      <c r="U8" s="35">
        <f t="shared" si="5"/>
        <v>194.88299999999998</v>
      </c>
      <c r="V8" s="35">
        <f>V29+V30+V41</f>
        <v>128.887</v>
      </c>
      <c r="W8" s="35">
        <f t="shared" ref="W8:AD8" si="6">W29+W30+W41</f>
        <v>169.58200000000002</v>
      </c>
      <c r="X8" s="35">
        <f t="shared" si="6"/>
        <v>131</v>
      </c>
      <c r="Y8" s="42">
        <f t="shared" si="0"/>
        <v>-0.10273972602739725</v>
      </c>
      <c r="Z8" s="42">
        <f t="shared" si="1"/>
        <v>-0.22751235390548535</v>
      </c>
      <c r="AA8" s="35">
        <f t="shared" si="6"/>
        <v>153.10000000000002</v>
      </c>
      <c r="AB8" s="35">
        <f t="shared" si="6"/>
        <v>163</v>
      </c>
      <c r="AC8" s="43">
        <f t="shared" si="2"/>
        <v>0.26467370642500793</v>
      </c>
      <c r="AD8" s="35">
        <f t="shared" si="6"/>
        <v>0</v>
      </c>
    </row>
    <row r="9" spans="1:30" s="35" customFormat="1" ht="12.75" customHeight="1" x14ac:dyDescent="0.35">
      <c r="A9" s="31" t="s">
        <v>68</v>
      </c>
      <c r="B9" s="35">
        <f t="shared" ref="B9:U9" si="7">B51+B56</f>
        <v>0.3</v>
      </c>
      <c r="C9" s="35">
        <f t="shared" si="7"/>
        <v>0</v>
      </c>
      <c r="D9" s="35">
        <f t="shared" si="7"/>
        <v>0</v>
      </c>
      <c r="E9" s="35">
        <f t="shared" si="7"/>
        <v>120</v>
      </c>
      <c r="F9" s="35">
        <f t="shared" si="7"/>
        <v>215</v>
      </c>
      <c r="G9" s="35">
        <f t="shared" si="7"/>
        <v>215</v>
      </c>
      <c r="H9" s="35">
        <f t="shared" si="7"/>
        <v>185</v>
      </c>
      <c r="I9" s="35">
        <f t="shared" si="7"/>
        <v>205</v>
      </c>
      <c r="J9" s="35">
        <f t="shared" si="7"/>
        <v>350</v>
      </c>
      <c r="K9" s="35">
        <f t="shared" si="7"/>
        <v>275</v>
      </c>
      <c r="L9" s="35">
        <f t="shared" si="7"/>
        <v>135</v>
      </c>
      <c r="M9" s="35">
        <f t="shared" si="7"/>
        <v>180</v>
      </c>
      <c r="N9" s="35">
        <f t="shared" si="7"/>
        <v>341.1</v>
      </c>
      <c r="O9" s="35">
        <f t="shared" si="7"/>
        <v>386.4</v>
      </c>
      <c r="P9" s="35">
        <f t="shared" si="7"/>
        <v>685.9</v>
      </c>
      <c r="Q9" s="35">
        <f t="shared" si="7"/>
        <v>771.4</v>
      </c>
      <c r="R9" s="35">
        <f t="shared" si="7"/>
        <v>2876.5</v>
      </c>
      <c r="S9" s="35">
        <f t="shared" si="7"/>
        <v>2768.9</v>
      </c>
      <c r="T9" s="35">
        <f t="shared" si="7"/>
        <v>2615.8000000000002</v>
      </c>
      <c r="U9" s="35">
        <f t="shared" si="7"/>
        <v>2322.3890000000001</v>
      </c>
      <c r="V9" s="35">
        <f>V51+V56</f>
        <v>2283.268</v>
      </c>
      <c r="W9" s="35">
        <f t="shared" ref="W9:AD9" si="8">W51+W56</f>
        <v>2027.5</v>
      </c>
      <c r="X9" s="35">
        <f t="shared" si="8"/>
        <v>1938.6659999999999</v>
      </c>
      <c r="Y9" s="42">
        <f t="shared" si="0"/>
        <v>-0.25886306292530015</v>
      </c>
      <c r="Z9" s="42">
        <f t="shared" si="1"/>
        <v>-4.3814549938347748E-2</v>
      </c>
      <c r="AA9" s="35">
        <f t="shared" si="8"/>
        <v>1664.29</v>
      </c>
      <c r="AB9" s="35">
        <f t="shared" si="8"/>
        <v>1727.2</v>
      </c>
      <c r="AC9" s="43">
        <f t="shared" si="2"/>
        <v>-0.24354039911214978</v>
      </c>
      <c r="AD9" s="35">
        <f t="shared" si="8"/>
        <v>0</v>
      </c>
    </row>
    <row r="10" spans="1:30" s="5" customFormat="1" ht="12.75" customHeight="1" x14ac:dyDescent="0.35">
      <c r="A10" s="31"/>
      <c r="B10" s="31"/>
      <c r="C10" s="31"/>
      <c r="D10" s="31"/>
      <c r="E10" s="31"/>
      <c r="F10" s="31"/>
      <c r="G10" s="31"/>
      <c r="H10" s="31"/>
      <c r="I10" s="31"/>
      <c r="J10" s="31"/>
      <c r="K10" s="31"/>
      <c r="L10" s="31"/>
      <c r="M10" s="31"/>
      <c r="N10" s="31"/>
      <c r="O10" s="31"/>
      <c r="P10" s="31"/>
      <c r="Q10" s="31"/>
      <c r="R10" s="31"/>
      <c r="S10" s="31"/>
      <c r="T10" s="31"/>
      <c r="Y10" s="42"/>
      <c r="Z10" s="42"/>
    </row>
    <row r="11" spans="1:30" s="28" customFormat="1" ht="13.15" x14ac:dyDescent="0.4">
      <c r="A11" s="6" t="s">
        <v>3</v>
      </c>
      <c r="B11" s="11">
        <v>283.10000000000002</v>
      </c>
      <c r="C11" s="11">
        <v>328</v>
      </c>
      <c r="D11" s="11">
        <v>261.10000000000002</v>
      </c>
      <c r="E11" s="11">
        <f>1088.2-SUM(B11:D11)</f>
        <v>216</v>
      </c>
      <c r="F11" s="11">
        <v>295.89999999999998</v>
      </c>
      <c r="G11" s="11">
        <v>358.9</v>
      </c>
      <c r="H11" s="11">
        <v>312.7</v>
      </c>
      <c r="I11" s="11">
        <f>1230.6-SUM(F11:H11)</f>
        <v>263.09999999999991</v>
      </c>
      <c r="J11" s="11">
        <v>281.10000000000002</v>
      </c>
      <c r="K11" s="11">
        <v>331.5</v>
      </c>
      <c r="L11" s="11">
        <v>361.7</v>
      </c>
      <c r="M11" s="11">
        <f>1385.9-SUM(J11:L11)</f>
        <v>411.60000000000014</v>
      </c>
      <c r="N11" s="11">
        <v>460.1</v>
      </c>
      <c r="O11" s="11">
        <v>640.79999999999995</v>
      </c>
      <c r="P11" s="11">
        <v>625.9</v>
      </c>
      <c r="Q11" s="11">
        <f>2313.4-SUM(N11:P11)</f>
        <v>586.59999999999991</v>
      </c>
      <c r="R11" s="16">
        <v>660.1</v>
      </c>
      <c r="S11" s="16">
        <v>964.6</v>
      </c>
      <c r="T11" s="11">
        <v>985.1</v>
      </c>
      <c r="U11" s="28">
        <f>3554.985-SUM(R11:T11)</f>
        <v>945.18499999999995</v>
      </c>
      <c r="V11" s="28">
        <v>884.16600000000005</v>
      </c>
      <c r="W11" s="28">
        <v>1072.4000000000001</v>
      </c>
      <c r="X11" s="28">
        <v>1045.7</v>
      </c>
      <c r="Y11" s="42">
        <f t="shared" si="0"/>
        <v>6.1516597299766544E-2</v>
      </c>
      <c r="Z11" s="42">
        <f t="shared" si="1"/>
        <v>-2.4897426333457706E-2</v>
      </c>
      <c r="AA11" s="28">
        <f>3962.3-X11-W11-V11</f>
        <v>960.03400000000022</v>
      </c>
      <c r="AB11" s="28">
        <v>938.6</v>
      </c>
      <c r="AC11" s="43">
        <f t="shared" ref="AC11:AC13" si="9">(AB11-V11)/V11</f>
        <v>6.1565362160499237E-2</v>
      </c>
    </row>
    <row r="12" spans="1:30" s="28" customFormat="1" ht="13.15" x14ac:dyDescent="0.4">
      <c r="A12" s="6" t="s">
        <v>4</v>
      </c>
      <c r="B12" s="11">
        <v>143.30000000000001</v>
      </c>
      <c r="C12" s="11">
        <v>146.6</v>
      </c>
      <c r="D12" s="11">
        <v>122</v>
      </c>
      <c r="E12" s="11">
        <f>528-SUM(B12:D12)</f>
        <v>116.10000000000002</v>
      </c>
      <c r="F12" s="11">
        <v>158.30000000000001</v>
      </c>
      <c r="G12" s="11">
        <v>169.5</v>
      </c>
      <c r="H12" s="11">
        <v>148.9</v>
      </c>
      <c r="I12" s="11">
        <f>613.5-SUM(F12:H12)</f>
        <v>136.79999999999995</v>
      </c>
      <c r="J12" s="11">
        <v>147</v>
      </c>
      <c r="K12" s="11">
        <v>151.6</v>
      </c>
      <c r="L12" s="11">
        <v>155</v>
      </c>
      <c r="M12" s="11">
        <f>636-SUM(J12:L12)</f>
        <v>182.39999999999998</v>
      </c>
      <c r="N12" s="11">
        <v>206.9</v>
      </c>
      <c r="O12" s="11">
        <v>245.6</v>
      </c>
      <c r="P12" s="11">
        <v>226.1</v>
      </c>
      <c r="Q12" s="11">
        <f>893.2-SUM(N12:P12)</f>
        <v>214.60000000000002</v>
      </c>
      <c r="R12" s="16">
        <v>335.2</v>
      </c>
      <c r="S12" s="16">
        <v>466.8</v>
      </c>
      <c r="T12" s="11">
        <v>443.8</v>
      </c>
      <c r="U12" s="28">
        <f>1694.7-SUM(R12:T12)</f>
        <v>448.90000000000009</v>
      </c>
      <c r="V12" s="28">
        <v>407.8</v>
      </c>
      <c r="W12" s="28">
        <v>451.1</v>
      </c>
      <c r="X12" s="28">
        <v>464.1</v>
      </c>
      <c r="Y12" s="42">
        <f t="shared" si="0"/>
        <v>4.5741324921135675E-2</v>
      </c>
      <c r="Z12" s="42">
        <f t="shared" si="1"/>
        <v>2.8818443804034581E-2</v>
      </c>
      <c r="AA12" s="28">
        <f>1752.33-X12-W12-V12</f>
        <v>429.33</v>
      </c>
      <c r="AB12" s="28">
        <v>416.55</v>
      </c>
      <c r="AC12" s="43">
        <f t="shared" si="9"/>
        <v>2.1456596370769986E-2</v>
      </c>
    </row>
    <row r="13" spans="1:30" s="28" customFormat="1" ht="13.15" x14ac:dyDescent="0.4">
      <c r="A13" s="15" t="s">
        <v>5</v>
      </c>
      <c r="B13" s="16">
        <f t="shared" ref="B13:AD13" si="10">B11-B12</f>
        <v>139.80000000000001</v>
      </c>
      <c r="C13" s="16">
        <f t="shared" si="10"/>
        <v>181.4</v>
      </c>
      <c r="D13" s="16">
        <f t="shared" si="10"/>
        <v>139.10000000000002</v>
      </c>
      <c r="E13" s="16">
        <f t="shared" si="10"/>
        <v>99.899999999999977</v>
      </c>
      <c r="F13" s="16">
        <f t="shared" si="10"/>
        <v>137.59999999999997</v>
      </c>
      <c r="G13" s="16">
        <f t="shared" si="10"/>
        <v>189.39999999999998</v>
      </c>
      <c r="H13" s="16">
        <f t="shared" si="10"/>
        <v>163.79999999999998</v>
      </c>
      <c r="I13" s="16">
        <f t="shared" si="10"/>
        <v>126.29999999999995</v>
      </c>
      <c r="J13" s="16">
        <f t="shared" si="10"/>
        <v>134.10000000000002</v>
      </c>
      <c r="K13" s="16">
        <f t="shared" si="10"/>
        <v>179.9</v>
      </c>
      <c r="L13" s="16">
        <f t="shared" si="10"/>
        <v>206.7</v>
      </c>
      <c r="M13" s="16">
        <f t="shared" si="10"/>
        <v>229.20000000000016</v>
      </c>
      <c r="N13" s="16">
        <f t="shared" si="10"/>
        <v>253.20000000000002</v>
      </c>
      <c r="O13" s="16">
        <f t="shared" si="10"/>
        <v>395.19999999999993</v>
      </c>
      <c r="P13" s="16">
        <f t="shared" si="10"/>
        <v>399.79999999999995</v>
      </c>
      <c r="Q13" s="16">
        <f t="shared" si="10"/>
        <v>371.99999999999989</v>
      </c>
      <c r="R13" s="16">
        <f t="shared" si="10"/>
        <v>324.90000000000003</v>
      </c>
      <c r="S13" s="16">
        <f t="shared" si="10"/>
        <v>497.8</v>
      </c>
      <c r="T13" s="11">
        <f t="shared" si="10"/>
        <v>541.29999999999995</v>
      </c>
      <c r="U13" s="11">
        <f t="shared" si="10"/>
        <v>496.28499999999985</v>
      </c>
      <c r="V13" s="11">
        <f t="shared" si="10"/>
        <v>476.36600000000004</v>
      </c>
      <c r="W13" s="11">
        <f t="shared" si="10"/>
        <v>621.30000000000007</v>
      </c>
      <c r="X13" s="11">
        <f t="shared" si="10"/>
        <v>581.6</v>
      </c>
      <c r="Y13" s="42">
        <f t="shared" si="0"/>
        <v>7.4450397191945447E-2</v>
      </c>
      <c r="Z13" s="42">
        <f t="shared" si="1"/>
        <v>-6.3898277804603318E-2</v>
      </c>
      <c r="AA13" s="11">
        <f t="shared" si="10"/>
        <v>530.70400000000018</v>
      </c>
      <c r="AB13" s="11">
        <f t="shared" si="10"/>
        <v>522.04999999999995</v>
      </c>
      <c r="AC13" s="43">
        <f t="shared" si="9"/>
        <v>9.590105087264815E-2</v>
      </c>
      <c r="AD13" s="11">
        <f t="shared" si="10"/>
        <v>0</v>
      </c>
    </row>
    <row r="14" spans="1:30" s="28" customFormat="1" ht="13.15" x14ac:dyDescent="0.4">
      <c r="A14" s="7"/>
      <c r="B14" s="16"/>
      <c r="C14" s="16"/>
      <c r="D14" s="16"/>
      <c r="E14" s="16"/>
      <c r="F14" s="16"/>
      <c r="G14" s="16"/>
      <c r="H14" s="16"/>
      <c r="I14" s="16"/>
      <c r="J14" s="16"/>
      <c r="K14" s="16"/>
      <c r="L14" s="16"/>
      <c r="M14" s="16"/>
      <c r="N14" s="16"/>
      <c r="O14" s="16"/>
      <c r="P14" s="16"/>
      <c r="Q14" s="16"/>
      <c r="R14" s="16"/>
      <c r="S14" s="16"/>
      <c r="T14" s="11"/>
      <c r="U14" s="11"/>
      <c r="V14" s="11"/>
      <c r="W14" s="11"/>
      <c r="X14" s="11"/>
      <c r="Y14" s="42"/>
      <c r="Z14" s="42"/>
      <c r="AA14" s="11"/>
      <c r="AB14" s="11"/>
      <c r="AC14" s="11"/>
    </row>
    <row r="15" spans="1:30" x14ac:dyDescent="0.35">
      <c r="A15" s="5" t="s">
        <v>6</v>
      </c>
      <c r="B15" s="21">
        <v>113.9</v>
      </c>
      <c r="C15" s="21">
        <v>144.30000000000001</v>
      </c>
      <c r="D15" s="21">
        <v>125.1</v>
      </c>
      <c r="E15" s="21">
        <f>497.2-SUM(B15:D15)</f>
        <v>113.89999999999992</v>
      </c>
      <c r="F15" s="21">
        <v>105</v>
      </c>
      <c r="G15" s="21">
        <v>141.5</v>
      </c>
      <c r="H15" s="21">
        <v>123.9</v>
      </c>
      <c r="I15" s="21">
        <f>488.4-SUM(F15:H15)</f>
        <v>118</v>
      </c>
      <c r="J15" s="21">
        <v>113.3</v>
      </c>
      <c r="K15" s="21">
        <v>123.3</v>
      </c>
      <c r="L15" s="21">
        <v>134.69999999999999</v>
      </c>
      <c r="M15" s="21">
        <f>(514.7+21.1)-SUM(J15:L15)</f>
        <v>164.50000000000011</v>
      </c>
      <c r="N15" s="21">
        <v>128.5</v>
      </c>
      <c r="O15" s="21">
        <v>199.8</v>
      </c>
      <c r="P15" s="21">
        <v>196.7</v>
      </c>
      <c r="Q15" s="25">
        <f>737.2-SUM(N15:P15)</f>
        <v>212.20000000000005</v>
      </c>
      <c r="R15" s="17">
        <v>206.2</v>
      </c>
      <c r="S15" s="17">
        <v>249.8</v>
      </c>
      <c r="T15" s="10">
        <v>277.2</v>
      </c>
      <c r="U15" s="29">
        <f>1009.526-SUM(R15:T15)</f>
        <v>276.32599999999991</v>
      </c>
      <c r="V15" s="29">
        <v>241.44</v>
      </c>
      <c r="W15" s="29">
        <v>302.81799999999998</v>
      </c>
      <c r="X15" s="29">
        <v>307.8</v>
      </c>
      <c r="Y15" s="42">
        <f t="shared" si="0"/>
        <v>0.11038961038961048</v>
      </c>
      <c r="Z15" s="42">
        <f t="shared" si="1"/>
        <v>1.6452126359727717E-2</v>
      </c>
      <c r="AA15" s="29">
        <f>1163.94-X15-W15-V15</f>
        <v>311.88200000000012</v>
      </c>
      <c r="AB15" s="29">
        <v>295.64</v>
      </c>
      <c r="AC15" s="43">
        <f t="shared" ref="AC15:AC16" si="11">(AB15-V15)/V15</f>
        <v>0.22448641484426768</v>
      </c>
    </row>
    <row r="16" spans="1:30" x14ac:dyDescent="0.35">
      <c r="A16" s="5" t="s">
        <v>85</v>
      </c>
      <c r="B16" s="21">
        <v>0</v>
      </c>
      <c r="C16" s="21">
        <v>0</v>
      </c>
      <c r="D16" s="21">
        <v>0</v>
      </c>
      <c r="E16" s="21">
        <v>0</v>
      </c>
      <c r="F16" s="21">
        <v>0</v>
      </c>
      <c r="G16" s="21">
        <v>0</v>
      </c>
      <c r="H16" s="21">
        <v>0</v>
      </c>
      <c r="I16" s="21">
        <v>0</v>
      </c>
      <c r="J16" s="21">
        <v>0</v>
      </c>
      <c r="K16" s="21">
        <v>0</v>
      </c>
      <c r="L16" s="21">
        <v>0</v>
      </c>
      <c r="M16" s="21">
        <v>0</v>
      </c>
      <c r="N16" s="21">
        <v>0</v>
      </c>
      <c r="O16" s="21">
        <v>0</v>
      </c>
      <c r="P16" s="21">
        <v>0</v>
      </c>
      <c r="Q16" s="25">
        <v>0</v>
      </c>
      <c r="R16" s="17">
        <v>0</v>
      </c>
      <c r="S16" s="17">
        <v>0</v>
      </c>
      <c r="T16" s="10">
        <v>0</v>
      </c>
      <c r="U16" s="29">
        <v>0</v>
      </c>
      <c r="V16" s="29">
        <v>0</v>
      </c>
      <c r="W16" s="29">
        <v>0</v>
      </c>
      <c r="X16" s="29">
        <v>0</v>
      </c>
      <c r="Y16" s="42" t="e">
        <f t="shared" si="0"/>
        <v>#DIV/0!</v>
      </c>
      <c r="Z16" s="42" t="e">
        <f t="shared" si="1"/>
        <v>#DIV/0!</v>
      </c>
      <c r="AA16" s="29">
        <v>9.3000000000000007</v>
      </c>
      <c r="AB16" s="29">
        <v>0</v>
      </c>
      <c r="AC16" s="43" t="e">
        <f t="shared" si="11"/>
        <v>#DIV/0!</v>
      </c>
    </row>
    <row r="17" spans="1:30" x14ac:dyDescent="0.35">
      <c r="A17" s="5"/>
      <c r="B17" s="21"/>
      <c r="C17" s="21"/>
      <c r="D17" s="21"/>
      <c r="E17" s="21"/>
      <c r="F17" s="21"/>
      <c r="G17" s="21"/>
      <c r="H17" s="21"/>
      <c r="I17" s="21"/>
      <c r="J17" s="21"/>
      <c r="K17" s="21"/>
      <c r="L17" s="21"/>
      <c r="M17" s="21"/>
      <c r="N17" s="21"/>
      <c r="O17" s="21"/>
      <c r="P17" s="21"/>
      <c r="Q17" s="25"/>
      <c r="U17" s="29"/>
      <c r="Y17" s="42"/>
      <c r="Z17" s="42"/>
    </row>
    <row r="18" spans="1:30" ht="13.15" x14ac:dyDescent="0.4">
      <c r="A18" s="15" t="s">
        <v>78</v>
      </c>
      <c r="B18" s="11">
        <f t="shared" ref="B18:AD18" si="12">B13-B15</f>
        <v>25.900000000000006</v>
      </c>
      <c r="C18" s="11">
        <f t="shared" si="12"/>
        <v>37.099999999999994</v>
      </c>
      <c r="D18" s="11">
        <f t="shared" si="12"/>
        <v>14.000000000000028</v>
      </c>
      <c r="E18" s="11">
        <f t="shared" si="12"/>
        <v>-13.999999999999943</v>
      </c>
      <c r="F18" s="11">
        <f t="shared" si="12"/>
        <v>32.599999999999966</v>
      </c>
      <c r="G18" s="11">
        <f t="shared" si="12"/>
        <v>47.899999999999977</v>
      </c>
      <c r="H18" s="11">
        <f t="shared" si="12"/>
        <v>39.899999999999977</v>
      </c>
      <c r="I18" s="11">
        <f t="shared" si="12"/>
        <v>8.2999999999999545</v>
      </c>
      <c r="J18" s="11">
        <f t="shared" si="12"/>
        <v>20.800000000000026</v>
      </c>
      <c r="K18" s="11">
        <f t="shared" si="12"/>
        <v>56.600000000000009</v>
      </c>
      <c r="L18" s="11">
        <f t="shared" si="12"/>
        <v>72</v>
      </c>
      <c r="M18" s="11">
        <f t="shared" si="12"/>
        <v>64.700000000000045</v>
      </c>
      <c r="N18" s="11">
        <f t="shared" si="12"/>
        <v>124.70000000000002</v>
      </c>
      <c r="O18" s="11">
        <f t="shared" si="12"/>
        <v>195.39999999999992</v>
      </c>
      <c r="P18" s="11">
        <f t="shared" si="12"/>
        <v>203.09999999999997</v>
      </c>
      <c r="Q18" s="11">
        <f t="shared" si="12"/>
        <v>159.79999999999984</v>
      </c>
      <c r="R18" s="11">
        <f t="shared" si="12"/>
        <v>118.70000000000005</v>
      </c>
      <c r="S18" s="11">
        <f t="shared" si="12"/>
        <v>248</v>
      </c>
      <c r="T18" s="11">
        <f t="shared" si="12"/>
        <v>264.09999999999997</v>
      </c>
      <c r="U18" s="11">
        <f t="shared" si="12"/>
        <v>219.95899999999995</v>
      </c>
      <c r="V18" s="11">
        <f t="shared" si="12"/>
        <v>234.92600000000004</v>
      </c>
      <c r="W18" s="11">
        <f t="shared" si="12"/>
        <v>318.48200000000008</v>
      </c>
      <c r="X18" s="11">
        <f t="shared" si="12"/>
        <v>273.8</v>
      </c>
      <c r="Y18" s="42">
        <f t="shared" si="0"/>
        <v>3.6728511927300443E-2</v>
      </c>
      <c r="Z18" s="42">
        <f t="shared" si="1"/>
        <v>-0.14029678286370992</v>
      </c>
      <c r="AA18" s="11">
        <f>AA13-AA15-AA16</f>
        <v>209.52200000000005</v>
      </c>
      <c r="AB18" s="11">
        <f t="shared" si="12"/>
        <v>226.40999999999997</v>
      </c>
      <c r="AC18" s="43">
        <f t="shared" ref="AC18:AC25" si="13">(AB18-V18)/V18</f>
        <v>-3.6249712675481105E-2</v>
      </c>
      <c r="AD18" s="11">
        <f t="shared" si="12"/>
        <v>0</v>
      </c>
    </row>
    <row r="19" spans="1:30" x14ac:dyDescent="0.35">
      <c r="A19" t="s">
        <v>7</v>
      </c>
      <c r="B19" s="10">
        <v>1.1000000000000001</v>
      </c>
      <c r="C19" s="10">
        <v>0.3</v>
      </c>
      <c r="D19" s="10">
        <v>0.2</v>
      </c>
      <c r="E19" s="21">
        <f>1.3-SUM(B19:D19)</f>
        <v>-0.30000000000000004</v>
      </c>
      <c r="F19" s="10">
        <v>-1.22</v>
      </c>
      <c r="G19" s="10">
        <v>-0.2</v>
      </c>
      <c r="H19" s="10">
        <v>0.6</v>
      </c>
      <c r="I19" s="21">
        <f>-1.3-SUM(F19:H19)</f>
        <v>-0.48000000000000009</v>
      </c>
      <c r="J19" s="10">
        <v>-0.2</v>
      </c>
      <c r="K19" s="10">
        <v>-0.7</v>
      </c>
      <c r="L19" s="10">
        <v>-0.5</v>
      </c>
      <c r="M19" s="21">
        <f>-1.1-SUM(J19:L19)</f>
        <v>0.29999999999999982</v>
      </c>
      <c r="N19" s="10">
        <v>-0.5</v>
      </c>
      <c r="O19" s="10">
        <v>-0.1</v>
      </c>
      <c r="P19" s="10">
        <v>0.5</v>
      </c>
      <c r="Q19" s="25">
        <f>-0.14-SUM(N19:P19)</f>
        <v>-4.0000000000000036E-2</v>
      </c>
      <c r="R19" s="17">
        <v>0.5</v>
      </c>
      <c r="S19" s="17">
        <v>-1.2</v>
      </c>
      <c r="T19" s="10">
        <v>-0.4</v>
      </c>
      <c r="U19" s="29">
        <f>3.228-SUM(R19:T19)</f>
        <v>4.3280000000000003</v>
      </c>
      <c r="V19" s="29">
        <v>-0.4</v>
      </c>
      <c r="W19" s="29">
        <v>0.55100000000000005</v>
      </c>
      <c r="X19" s="29">
        <v>-1.77</v>
      </c>
      <c r="Y19" s="42">
        <f t="shared" si="0"/>
        <v>3.4250000000000003</v>
      </c>
      <c r="Z19" s="42">
        <f t="shared" si="1"/>
        <v>-4.2123411978221412</v>
      </c>
      <c r="AA19" s="29">
        <f>-1.24-W19-X19-V19</f>
        <v>0.37900000000000011</v>
      </c>
      <c r="AB19" s="29">
        <v>-2.27</v>
      </c>
      <c r="AC19" s="43">
        <f t="shared" si="13"/>
        <v>4.6749999999999998</v>
      </c>
    </row>
    <row r="20" spans="1:30" x14ac:dyDescent="0.35">
      <c r="A20" t="s">
        <v>8</v>
      </c>
      <c r="B20" s="10">
        <v>0.3</v>
      </c>
      <c r="C20" s="10">
        <v>0.1</v>
      </c>
      <c r="D20" s="10">
        <v>0.4</v>
      </c>
      <c r="E20" s="21">
        <f>1.3-SUM(B20:D20)</f>
        <v>0.5</v>
      </c>
      <c r="F20" s="10">
        <v>0.2</v>
      </c>
      <c r="G20" s="10">
        <v>0.1</v>
      </c>
      <c r="H20" s="10">
        <v>0.1</v>
      </c>
      <c r="I20" s="21">
        <f>0.6-SUM(F20:H20)</f>
        <v>0.19999999999999996</v>
      </c>
      <c r="J20" s="10">
        <v>0.1</v>
      </c>
      <c r="K20" s="10">
        <v>0.05</v>
      </c>
      <c r="L20" s="10">
        <v>0</v>
      </c>
      <c r="M20" s="21">
        <f>0.2-SUM(J20:L20)</f>
        <v>4.9999999999999989E-2</v>
      </c>
      <c r="N20" s="10">
        <v>0</v>
      </c>
      <c r="O20" s="10">
        <v>0.1</v>
      </c>
      <c r="P20" s="10">
        <v>0.6</v>
      </c>
      <c r="Q20" s="25">
        <f>0.8-SUM(N20:P20)</f>
        <v>0.10000000000000009</v>
      </c>
      <c r="R20" s="17">
        <v>0.1</v>
      </c>
      <c r="S20" s="17">
        <v>0.1</v>
      </c>
      <c r="T20" s="10">
        <v>0</v>
      </c>
      <c r="U20" s="29">
        <f>1.02-SUM(R20:T20)</f>
        <v>0.82000000000000006</v>
      </c>
      <c r="V20" s="29">
        <v>0.2</v>
      </c>
      <c r="W20" s="29">
        <v>0.54</v>
      </c>
      <c r="X20" s="29">
        <v>0.5</v>
      </c>
      <c r="Y20" s="42" t="e">
        <f t="shared" si="0"/>
        <v>#DIV/0!</v>
      </c>
      <c r="Z20" s="42">
        <f t="shared" si="1"/>
        <v>-7.4074074074074139E-2</v>
      </c>
      <c r="AA20" s="29">
        <f>2.4-X20-W20-V20</f>
        <v>1.1599999999999999</v>
      </c>
      <c r="AB20" s="29">
        <v>0.4</v>
      </c>
      <c r="AC20" s="43">
        <f t="shared" si="13"/>
        <v>1</v>
      </c>
    </row>
    <row r="21" spans="1:30" x14ac:dyDescent="0.35">
      <c r="A21" t="s">
        <v>9</v>
      </c>
      <c r="B21" s="10">
        <v>-0.1</v>
      </c>
      <c r="C21" s="10">
        <v>-0.1</v>
      </c>
      <c r="D21" s="10">
        <v>-0.1</v>
      </c>
      <c r="E21" s="21">
        <f>-1-SUM(B21:D21)</f>
        <v>-0.7</v>
      </c>
      <c r="F21" s="10">
        <v>-1.8</v>
      </c>
      <c r="G21" s="10">
        <v>-2.4</v>
      </c>
      <c r="H21" s="10">
        <v>-2.5</v>
      </c>
      <c r="I21" s="21">
        <f>-8.6-SUM(F21:H21)</f>
        <v>-1.8999999999999995</v>
      </c>
      <c r="J21" s="10">
        <v>-1.9</v>
      </c>
      <c r="K21" s="10">
        <v>-2.2000000000000002</v>
      </c>
      <c r="L21" s="10">
        <v>-1.5</v>
      </c>
      <c r="M21" s="21">
        <f>-6.7-SUM(J21:L21)</f>
        <v>-1.1000000000000005</v>
      </c>
      <c r="N21" s="10">
        <v>-1.6</v>
      </c>
      <c r="O21" s="10">
        <v>-4.7</v>
      </c>
      <c r="P21" s="10">
        <v>-6.5</v>
      </c>
      <c r="Q21" s="25">
        <f>-21.6-SUM(N21:P21)</f>
        <v>-8.8000000000000007</v>
      </c>
      <c r="R21" s="17">
        <v>-19.2</v>
      </c>
      <c r="S21" s="17">
        <v>-32.9</v>
      </c>
      <c r="T21" s="10">
        <v>-34.1</v>
      </c>
      <c r="U21" s="29">
        <f>-136.158-SUM(R21:T21)</f>
        <v>-49.957999999999998</v>
      </c>
      <c r="V21" s="29">
        <v>-42.6</v>
      </c>
      <c r="W21" s="29">
        <v>-43.1</v>
      </c>
      <c r="X21" s="29">
        <v>-39.200000000000003</v>
      </c>
      <c r="Y21" s="42">
        <f t="shared" si="0"/>
        <v>0.14956011730205282</v>
      </c>
      <c r="Z21" s="42">
        <f t="shared" si="1"/>
        <v>-9.0487238979118298E-2</v>
      </c>
      <c r="AA21" s="29">
        <f>-161.4-X21-W21-V21</f>
        <v>-36.499999999999993</v>
      </c>
      <c r="AB21" s="29">
        <v>-30.6</v>
      </c>
      <c r="AC21" s="43">
        <f t="shared" si="13"/>
        <v>-0.28169014084507044</v>
      </c>
    </row>
    <row r="22" spans="1:30" x14ac:dyDescent="0.35">
      <c r="A22" t="s">
        <v>10</v>
      </c>
      <c r="B22" s="10">
        <v>0</v>
      </c>
      <c r="C22" s="10">
        <v>0</v>
      </c>
      <c r="D22" s="10">
        <v>0.2</v>
      </c>
      <c r="E22" s="21">
        <f>0.6-SUM(B22:D22)</f>
        <v>0.39999999999999997</v>
      </c>
      <c r="F22" s="10">
        <v>0.6</v>
      </c>
      <c r="G22" s="10">
        <v>-0.6</v>
      </c>
      <c r="H22" s="10">
        <v>3.4000000000000002E-2</v>
      </c>
      <c r="I22" s="21">
        <v>0.03</v>
      </c>
      <c r="J22" s="10">
        <v>0</v>
      </c>
      <c r="K22" s="10">
        <v>0.9</v>
      </c>
      <c r="L22" s="10">
        <v>0</v>
      </c>
      <c r="M22" s="21">
        <f>0.5-SUM(J22:L22)</f>
        <v>-0.4</v>
      </c>
      <c r="N22" s="10">
        <v>0</v>
      </c>
      <c r="O22" s="10">
        <v>0</v>
      </c>
      <c r="P22" s="10">
        <v>0</v>
      </c>
      <c r="Q22" s="25">
        <f>1.8-SUM(N22:P22)</f>
        <v>1.8</v>
      </c>
      <c r="R22" s="17">
        <v>-1</v>
      </c>
      <c r="S22" s="17">
        <v>0.4</v>
      </c>
      <c r="T22" s="10">
        <v>0</v>
      </c>
      <c r="U22" s="29">
        <f>-0.338-SUM(R22:T22)</f>
        <v>0.26199999999999996</v>
      </c>
      <c r="V22" s="29">
        <v>-0.3</v>
      </c>
      <c r="W22" s="29">
        <v>0.71699999999999997</v>
      </c>
      <c r="X22" s="29">
        <v>0</v>
      </c>
      <c r="Y22" s="42" t="e">
        <f t="shared" si="0"/>
        <v>#DIV/0!</v>
      </c>
      <c r="Z22" s="42">
        <f t="shared" si="1"/>
        <v>-1</v>
      </c>
      <c r="AA22" s="29">
        <f>-0.32-W22-X22-V22</f>
        <v>-0.73699999999999988</v>
      </c>
      <c r="AB22" s="29">
        <v>0.02</v>
      </c>
      <c r="AC22" s="43">
        <f t="shared" si="13"/>
        <v>-1.0666666666666667</v>
      </c>
    </row>
    <row r="23" spans="1:30" x14ac:dyDescent="0.35">
      <c r="A23" s="4" t="s">
        <v>11</v>
      </c>
      <c r="B23" s="10">
        <f t="shared" ref="B23:AB23" si="14">SUM(B18:B22)</f>
        <v>27.200000000000006</v>
      </c>
      <c r="C23" s="10">
        <f t="shared" si="14"/>
        <v>37.399999999999991</v>
      </c>
      <c r="D23" s="10">
        <f t="shared" si="14"/>
        <v>14.700000000000028</v>
      </c>
      <c r="E23" s="10">
        <f t="shared" si="14"/>
        <v>-14.099999999999943</v>
      </c>
      <c r="F23" s="10">
        <f t="shared" si="14"/>
        <v>30.379999999999967</v>
      </c>
      <c r="G23" s="10">
        <f t="shared" si="14"/>
        <v>44.799999999999976</v>
      </c>
      <c r="H23" s="10">
        <f t="shared" si="14"/>
        <v>38.133999999999979</v>
      </c>
      <c r="I23" s="10">
        <f t="shared" si="14"/>
        <v>6.1499999999999542</v>
      </c>
      <c r="J23" s="10">
        <f t="shared" si="14"/>
        <v>18.800000000000029</v>
      </c>
      <c r="K23" s="10">
        <f t="shared" si="14"/>
        <v>54.65</v>
      </c>
      <c r="L23" s="10">
        <f t="shared" si="14"/>
        <v>70</v>
      </c>
      <c r="M23" s="10">
        <f t="shared" si="14"/>
        <v>63.55000000000004</v>
      </c>
      <c r="N23" s="10">
        <f t="shared" si="14"/>
        <v>122.60000000000002</v>
      </c>
      <c r="O23" s="10">
        <f t="shared" si="14"/>
        <v>190.69999999999993</v>
      </c>
      <c r="P23" s="10">
        <f t="shared" si="14"/>
        <v>197.69999999999996</v>
      </c>
      <c r="Q23" s="10">
        <f t="shared" si="14"/>
        <v>152.85999999999984</v>
      </c>
      <c r="R23" s="10">
        <f t="shared" si="14"/>
        <v>99.100000000000037</v>
      </c>
      <c r="S23" s="10">
        <f t="shared" si="14"/>
        <v>214.4</v>
      </c>
      <c r="T23" s="10">
        <f t="shared" si="14"/>
        <v>229.6</v>
      </c>
      <c r="U23" s="10">
        <f t="shared" si="14"/>
        <v>175.41099999999994</v>
      </c>
      <c r="V23" s="10">
        <f t="shared" si="14"/>
        <v>191.82600000000002</v>
      </c>
      <c r="W23" s="10">
        <f t="shared" si="14"/>
        <v>277.19000000000005</v>
      </c>
      <c r="X23" s="10">
        <f t="shared" si="14"/>
        <v>233.33000000000004</v>
      </c>
      <c r="Y23" s="42">
        <f t="shared" si="0"/>
        <v>1.624564459930334E-2</v>
      </c>
      <c r="Z23" s="42">
        <f t="shared" si="1"/>
        <v>-0.15823081640751832</v>
      </c>
      <c r="AA23" s="10">
        <f t="shared" si="14"/>
        <v>173.82400000000004</v>
      </c>
      <c r="AB23" s="10">
        <f t="shared" si="14"/>
        <v>193.95999999999998</v>
      </c>
      <c r="AC23" s="43">
        <f t="shared" si="13"/>
        <v>1.1124665061044684E-2</v>
      </c>
      <c r="AD23" s="10">
        <f t="shared" ref="AD23" si="15">SUM(AD18:AD22)</f>
        <v>0</v>
      </c>
    </row>
    <row r="24" spans="1:30" x14ac:dyDescent="0.35">
      <c r="A24" s="4" t="s">
        <v>12</v>
      </c>
      <c r="B24" s="22">
        <v>10.7</v>
      </c>
      <c r="C24" s="22">
        <v>3</v>
      </c>
      <c r="D24" s="22">
        <v>4.0999999999999996</v>
      </c>
      <c r="E24" s="21">
        <f>14.7-SUM(B24:D24)</f>
        <v>-3.0999999999999979</v>
      </c>
      <c r="F24" s="22">
        <v>5.6</v>
      </c>
      <c r="G24" s="22">
        <v>5.5</v>
      </c>
      <c r="H24" s="22">
        <v>2.4</v>
      </c>
      <c r="I24" s="21">
        <f>-0.2-SUM(F24:H24)</f>
        <v>-13.7</v>
      </c>
      <c r="J24" s="22">
        <v>7.7</v>
      </c>
      <c r="K24" s="22">
        <v>-1.9</v>
      </c>
      <c r="L24" s="22">
        <v>8.1999999999999993</v>
      </c>
      <c r="M24" s="21">
        <f>-105.9-SUM(J24:L24)</f>
        <v>-119.9</v>
      </c>
      <c r="N24" s="22">
        <v>24.2</v>
      </c>
      <c r="O24" s="22">
        <v>-128.4</v>
      </c>
      <c r="P24" s="22">
        <v>44.2</v>
      </c>
      <c r="Q24" s="25">
        <f>-61.8-SUM(N24:P24)</f>
        <v>-1.7999999999999972</v>
      </c>
      <c r="R24" s="19">
        <v>26.3</v>
      </c>
      <c r="S24" s="19">
        <v>54</v>
      </c>
      <c r="T24" s="10">
        <v>60.2</v>
      </c>
      <c r="U24" s="29">
        <f>178.349-SUM(R24:T24)</f>
        <v>37.84899999999999</v>
      </c>
      <c r="V24" s="29">
        <v>42.222999999999999</v>
      </c>
      <c r="W24" s="29">
        <v>64.83</v>
      </c>
      <c r="X24" s="29">
        <v>56.4</v>
      </c>
      <c r="Y24" s="42">
        <f t="shared" si="0"/>
        <v>-6.3122923588039934E-2</v>
      </c>
      <c r="Z24" s="42">
        <f t="shared" si="1"/>
        <v>-0.13003239241092088</v>
      </c>
      <c r="AA24" s="29">
        <f>83.7-X24-W24-V24</f>
        <v>-79.752999999999986</v>
      </c>
      <c r="AB24" s="29">
        <v>41.575000000000003</v>
      </c>
      <c r="AC24" s="43">
        <f t="shared" si="13"/>
        <v>-1.5347085711578907E-2</v>
      </c>
    </row>
    <row r="25" spans="1:30" s="28" customFormat="1" ht="13.15" x14ac:dyDescent="0.4">
      <c r="A25" s="9" t="s">
        <v>13</v>
      </c>
      <c r="B25" s="11">
        <f t="shared" ref="B25:AB25" si="16">B23-B24</f>
        <v>16.500000000000007</v>
      </c>
      <c r="C25" s="11">
        <f t="shared" si="16"/>
        <v>34.399999999999991</v>
      </c>
      <c r="D25" s="11">
        <f t="shared" si="16"/>
        <v>10.600000000000028</v>
      </c>
      <c r="E25" s="11">
        <f t="shared" si="16"/>
        <v>-10.999999999999945</v>
      </c>
      <c r="F25" s="11">
        <f t="shared" si="16"/>
        <v>24.779999999999966</v>
      </c>
      <c r="G25" s="11">
        <f t="shared" si="16"/>
        <v>39.299999999999976</v>
      </c>
      <c r="H25" s="11">
        <f t="shared" si="16"/>
        <v>35.73399999999998</v>
      </c>
      <c r="I25" s="11">
        <f t="shared" si="16"/>
        <v>19.849999999999952</v>
      </c>
      <c r="J25" s="11">
        <f t="shared" si="16"/>
        <v>11.10000000000003</v>
      </c>
      <c r="K25" s="11">
        <f t="shared" si="16"/>
        <v>56.55</v>
      </c>
      <c r="L25" s="11">
        <f t="shared" si="16"/>
        <v>61.8</v>
      </c>
      <c r="M25" s="11">
        <f t="shared" si="16"/>
        <v>183.45000000000005</v>
      </c>
      <c r="N25" s="11">
        <f t="shared" si="16"/>
        <v>98.40000000000002</v>
      </c>
      <c r="O25" s="11">
        <f t="shared" si="16"/>
        <v>319.09999999999991</v>
      </c>
      <c r="P25" s="11">
        <f t="shared" si="16"/>
        <v>153.49999999999994</v>
      </c>
      <c r="Q25" s="11">
        <f t="shared" si="16"/>
        <v>154.65999999999985</v>
      </c>
      <c r="R25" s="11">
        <f t="shared" si="16"/>
        <v>72.80000000000004</v>
      </c>
      <c r="S25" s="11">
        <f t="shared" si="16"/>
        <v>160.4</v>
      </c>
      <c r="T25" s="11">
        <f t="shared" si="16"/>
        <v>169.39999999999998</v>
      </c>
      <c r="U25" s="11">
        <f t="shared" si="16"/>
        <v>137.56199999999995</v>
      </c>
      <c r="V25" s="11">
        <f t="shared" si="16"/>
        <v>149.60300000000001</v>
      </c>
      <c r="W25" s="11">
        <f t="shared" si="16"/>
        <v>212.36000000000007</v>
      </c>
      <c r="X25" s="11">
        <f t="shared" si="16"/>
        <v>176.93000000000004</v>
      </c>
      <c r="Y25" s="42">
        <f t="shared" si="0"/>
        <v>4.4451003541912983E-2</v>
      </c>
      <c r="Z25" s="42">
        <f t="shared" si="1"/>
        <v>-0.16683932944057273</v>
      </c>
      <c r="AA25" s="11">
        <f t="shared" si="16"/>
        <v>253.57700000000003</v>
      </c>
      <c r="AB25" s="11">
        <f t="shared" si="16"/>
        <v>152.38499999999999</v>
      </c>
      <c r="AC25" s="43">
        <f t="shared" si="13"/>
        <v>1.8595883772384122E-2</v>
      </c>
      <c r="AD25" s="11">
        <f t="shared" ref="AD25" si="17">AD23-AD24</f>
        <v>0</v>
      </c>
    </row>
    <row r="26" spans="1:30" x14ac:dyDescent="0.35">
      <c r="U26" s="29"/>
      <c r="Y26" s="42"/>
      <c r="Z26" s="42"/>
    </row>
    <row r="27" spans="1:30" ht="13.15" x14ac:dyDescent="0.4">
      <c r="A27" s="6" t="s">
        <v>14</v>
      </c>
      <c r="B27" s="11"/>
      <c r="C27" s="11"/>
      <c r="D27" s="11"/>
      <c r="E27" s="11"/>
      <c r="F27" s="11"/>
      <c r="G27" s="11"/>
      <c r="H27" s="11"/>
      <c r="I27" s="11"/>
      <c r="J27" s="11"/>
      <c r="K27" s="11"/>
      <c r="L27" s="11"/>
      <c r="M27" s="11"/>
      <c r="N27" s="11"/>
      <c r="O27" s="11"/>
      <c r="P27" s="11"/>
      <c r="Q27" s="11"/>
      <c r="R27" s="16"/>
      <c r="S27" s="16"/>
      <c r="U27" s="29"/>
      <c r="Y27" s="42"/>
      <c r="Z27" s="42"/>
    </row>
    <row r="28" spans="1:30" ht="13.15" x14ac:dyDescent="0.4">
      <c r="A28" s="7" t="s">
        <v>15</v>
      </c>
      <c r="B28" s="13"/>
      <c r="C28" s="13"/>
      <c r="D28" s="13"/>
      <c r="E28" s="13"/>
      <c r="F28" s="13"/>
      <c r="G28" s="13"/>
      <c r="H28" s="13"/>
      <c r="I28" s="13"/>
      <c r="J28" s="13"/>
      <c r="K28" s="13"/>
      <c r="L28" s="13"/>
      <c r="M28" s="13"/>
      <c r="N28" s="13"/>
      <c r="O28" s="13"/>
      <c r="P28" s="13"/>
      <c r="Q28" s="13"/>
      <c r="R28" s="18"/>
      <c r="S28" s="18"/>
      <c r="U28" s="29"/>
      <c r="Y28" s="42"/>
      <c r="Z28" s="42"/>
    </row>
    <row r="29" spans="1:30" x14ac:dyDescent="0.35">
      <c r="A29" s="8" t="s">
        <v>16</v>
      </c>
      <c r="B29" s="23">
        <v>101.9</v>
      </c>
      <c r="C29" s="23">
        <v>171.5</v>
      </c>
      <c r="D29" s="23">
        <v>203</v>
      </c>
      <c r="E29" s="23">
        <v>123.4</v>
      </c>
      <c r="F29" s="23">
        <v>86.3</v>
      </c>
      <c r="G29" s="23">
        <v>107.8</v>
      </c>
      <c r="H29" s="23">
        <v>87.9</v>
      </c>
      <c r="I29" s="23">
        <v>108.2</v>
      </c>
      <c r="J29" s="23">
        <v>107</v>
      </c>
      <c r="K29" s="23">
        <v>151.4</v>
      </c>
      <c r="L29" s="23">
        <v>123.6</v>
      </c>
      <c r="M29" s="23">
        <v>135.80000000000001</v>
      </c>
      <c r="N29" s="23">
        <v>255.9</v>
      </c>
      <c r="O29" s="23">
        <v>197.8</v>
      </c>
      <c r="P29" s="23">
        <v>436.6</v>
      </c>
      <c r="Q29" s="23">
        <v>213.2</v>
      </c>
      <c r="R29" s="20">
        <v>172</v>
      </c>
      <c r="S29" s="20">
        <v>187.4</v>
      </c>
      <c r="T29" s="10">
        <v>143</v>
      </c>
      <c r="U29" s="29">
        <v>191.62899999999999</v>
      </c>
      <c r="V29" s="29">
        <v>125.687</v>
      </c>
      <c r="W29" s="29">
        <v>166.23400000000001</v>
      </c>
      <c r="X29" s="29">
        <v>127.3</v>
      </c>
      <c r="Y29" s="42">
        <f t="shared" si="0"/>
        <v>-0.10979020979020981</v>
      </c>
      <c r="Z29" s="42">
        <f t="shared" si="1"/>
        <v>-0.23421201438935482</v>
      </c>
      <c r="AA29" s="29">
        <v>149.30000000000001</v>
      </c>
      <c r="AB29" s="29">
        <v>159.30000000000001</v>
      </c>
      <c r="AC29" s="43">
        <f t="shared" ref="AC29:AC44" si="18">(AB29-V29)/V29</f>
        <v>0.26743418173717259</v>
      </c>
    </row>
    <row r="30" spans="1:30" x14ac:dyDescent="0.35">
      <c r="A30" s="8" t="s">
        <v>17</v>
      </c>
      <c r="B30" s="23">
        <v>2.4</v>
      </c>
      <c r="C30" s="23">
        <v>2</v>
      </c>
      <c r="D30" s="23">
        <v>1.9</v>
      </c>
      <c r="E30" s="23">
        <v>1.9</v>
      </c>
      <c r="F30" s="23">
        <v>1.9</v>
      </c>
      <c r="G30" s="23">
        <v>1.9</v>
      </c>
      <c r="H30" s="23">
        <v>1.5</v>
      </c>
      <c r="I30" s="23">
        <v>1.5</v>
      </c>
      <c r="J30" s="23">
        <v>1.6</v>
      </c>
      <c r="K30" s="23">
        <v>1.7</v>
      </c>
      <c r="L30" s="23">
        <v>1.6</v>
      </c>
      <c r="M30" s="23">
        <v>1.5</v>
      </c>
      <c r="N30" s="23">
        <v>1.5</v>
      </c>
      <c r="O30" s="23">
        <v>1.5</v>
      </c>
      <c r="P30" s="23">
        <v>1.4</v>
      </c>
      <c r="Q30" s="23">
        <v>0.1</v>
      </c>
      <c r="R30" s="20">
        <v>0</v>
      </c>
      <c r="S30" s="20">
        <v>0</v>
      </c>
      <c r="T30" s="10">
        <v>0</v>
      </c>
      <c r="U30" s="29">
        <v>0</v>
      </c>
      <c r="V30" s="29">
        <v>0</v>
      </c>
      <c r="W30" s="29">
        <v>0</v>
      </c>
      <c r="X30" s="29">
        <v>0</v>
      </c>
      <c r="Y30" s="42" t="e">
        <f t="shared" si="0"/>
        <v>#DIV/0!</v>
      </c>
      <c r="Z30" s="42" t="e">
        <f t="shared" si="1"/>
        <v>#DIV/0!</v>
      </c>
      <c r="AA30" s="29">
        <v>0</v>
      </c>
      <c r="AB30" s="29">
        <v>0</v>
      </c>
      <c r="AC30" s="43" t="e">
        <f t="shared" si="18"/>
        <v>#DIV/0!</v>
      </c>
    </row>
    <row r="31" spans="1:30" x14ac:dyDescent="0.35">
      <c r="A31" s="8" t="s">
        <v>18</v>
      </c>
      <c r="B31" s="23">
        <v>169.9</v>
      </c>
      <c r="C31" s="23">
        <v>149.5</v>
      </c>
      <c r="D31" s="23">
        <v>110.5</v>
      </c>
      <c r="E31" s="23">
        <v>97.6</v>
      </c>
      <c r="F31" s="23">
        <v>176.3</v>
      </c>
      <c r="G31" s="23">
        <v>168.9</v>
      </c>
      <c r="H31" s="23">
        <v>121.7</v>
      </c>
      <c r="I31" s="23">
        <v>108.2</v>
      </c>
      <c r="J31" s="23">
        <v>172.4</v>
      </c>
      <c r="K31" s="23">
        <v>160.30000000000001</v>
      </c>
      <c r="L31" s="23">
        <v>139.5</v>
      </c>
      <c r="M31" s="23">
        <v>149.80000000000001</v>
      </c>
      <c r="N31" s="23">
        <v>228.7</v>
      </c>
      <c r="O31" s="23">
        <v>233.3</v>
      </c>
      <c r="P31" s="23">
        <v>229.3</v>
      </c>
      <c r="Q31" s="23">
        <v>182.6</v>
      </c>
      <c r="R31" s="20">
        <v>375.7</v>
      </c>
      <c r="S31" s="20">
        <v>423.5</v>
      </c>
      <c r="T31" s="10">
        <v>397.7</v>
      </c>
      <c r="U31" s="29">
        <v>295.59399999999999</v>
      </c>
      <c r="V31" s="29">
        <v>418.959</v>
      </c>
      <c r="W31" s="29">
        <v>409.59399999999999</v>
      </c>
      <c r="X31" s="29">
        <v>391.2</v>
      </c>
      <c r="Y31" s="42">
        <f t="shared" si="0"/>
        <v>-1.6343977872768419E-2</v>
      </c>
      <c r="Z31" s="42">
        <f t="shared" si="1"/>
        <v>-4.4907884392837799E-2</v>
      </c>
      <c r="AA31" s="29">
        <v>305.7</v>
      </c>
      <c r="AB31" s="29">
        <v>481.5</v>
      </c>
      <c r="AC31" s="43">
        <f t="shared" si="18"/>
        <v>0.14927713690361108</v>
      </c>
    </row>
    <row r="32" spans="1:30" x14ac:dyDescent="0.35">
      <c r="A32" s="8" t="s">
        <v>19</v>
      </c>
      <c r="B32" s="23">
        <v>148.19999999999999</v>
      </c>
      <c r="C32" s="23">
        <v>129.9</v>
      </c>
      <c r="D32" s="23">
        <v>117.7</v>
      </c>
      <c r="E32" s="23">
        <v>124.5</v>
      </c>
      <c r="F32" s="23">
        <v>139.19999999999999</v>
      </c>
      <c r="G32" s="23">
        <v>134.6</v>
      </c>
      <c r="H32" s="23">
        <v>139.80000000000001</v>
      </c>
      <c r="I32" s="23">
        <v>172</v>
      </c>
      <c r="J32" s="23">
        <v>195.7</v>
      </c>
      <c r="K32" s="23">
        <v>146.80000000000001</v>
      </c>
      <c r="L32" s="23">
        <v>174.1</v>
      </c>
      <c r="M32" s="23">
        <v>175.1</v>
      </c>
      <c r="N32" s="23">
        <v>196.5</v>
      </c>
      <c r="O32" s="23">
        <v>209.1</v>
      </c>
      <c r="P32" s="23">
        <v>212.5</v>
      </c>
      <c r="Q32" s="23">
        <v>213.5</v>
      </c>
      <c r="R32" s="20">
        <v>407.6</v>
      </c>
      <c r="S32" s="20">
        <v>501.5</v>
      </c>
      <c r="T32" s="10">
        <v>513.70000000000005</v>
      </c>
      <c r="U32" s="29">
        <v>471.55099999999999</v>
      </c>
      <c r="V32" s="29">
        <v>476.1</v>
      </c>
      <c r="W32" s="29">
        <v>436.3</v>
      </c>
      <c r="X32" s="29">
        <v>390.2</v>
      </c>
      <c r="Y32" s="42">
        <f t="shared" si="0"/>
        <v>-0.2404126922328208</v>
      </c>
      <c r="Z32" s="42">
        <f t="shared" si="1"/>
        <v>-0.10566124226449695</v>
      </c>
      <c r="AA32" s="29">
        <v>385.1</v>
      </c>
      <c r="AB32" s="29">
        <v>391.95</v>
      </c>
      <c r="AC32" s="43">
        <f t="shared" si="18"/>
        <v>-0.17674858223062387</v>
      </c>
    </row>
    <row r="33" spans="1:30" x14ac:dyDescent="0.35">
      <c r="A33" s="8" t="s">
        <v>20</v>
      </c>
      <c r="B33" s="23">
        <v>7.8</v>
      </c>
      <c r="C33" s="23">
        <v>9.9</v>
      </c>
      <c r="D33" s="23">
        <v>11.9</v>
      </c>
      <c r="E33" s="23">
        <v>3</v>
      </c>
      <c r="F33" s="23">
        <v>3.7</v>
      </c>
      <c r="G33" s="23">
        <v>5.9</v>
      </c>
      <c r="H33" s="23">
        <v>7.4</v>
      </c>
      <c r="I33" s="23">
        <v>1.3</v>
      </c>
      <c r="J33" s="23">
        <v>3.2</v>
      </c>
      <c r="K33" s="23">
        <v>3.8</v>
      </c>
      <c r="L33" s="23">
        <v>8.4</v>
      </c>
      <c r="M33" s="23">
        <v>1.9</v>
      </c>
      <c r="N33" s="23">
        <v>3.8</v>
      </c>
      <c r="O33" s="23">
        <v>1.3</v>
      </c>
      <c r="P33" s="23">
        <v>1.2</v>
      </c>
      <c r="Q33" s="23">
        <v>22.3</v>
      </c>
      <c r="R33" s="20">
        <v>24.5</v>
      </c>
      <c r="S33" s="20">
        <v>2.2000000000000002</v>
      </c>
      <c r="T33" s="10">
        <v>2.4</v>
      </c>
      <c r="U33" s="29">
        <v>14.752000000000001</v>
      </c>
      <c r="V33" s="29">
        <v>3.1</v>
      </c>
      <c r="W33" s="29">
        <v>2.33</v>
      </c>
      <c r="X33" s="29">
        <v>3</v>
      </c>
      <c r="Y33" s="42">
        <f t="shared" si="0"/>
        <v>0.25000000000000006</v>
      </c>
      <c r="Z33" s="42">
        <f t="shared" si="1"/>
        <v>0.28755364806866951</v>
      </c>
      <c r="AA33" s="29">
        <v>4.4000000000000004</v>
      </c>
      <c r="AB33" s="29">
        <v>2.97</v>
      </c>
      <c r="AC33" s="43">
        <f t="shared" si="18"/>
        <v>-4.1935483870967703E-2</v>
      </c>
    </row>
    <row r="34" spans="1:30" x14ac:dyDescent="0.35">
      <c r="A34" s="8" t="s">
        <v>21</v>
      </c>
      <c r="B34" s="23">
        <v>11.5</v>
      </c>
      <c r="C34" s="23">
        <v>13.1</v>
      </c>
      <c r="D34" s="23">
        <v>9.4</v>
      </c>
      <c r="E34" s="23">
        <v>7.7</v>
      </c>
      <c r="F34" s="23">
        <v>9.1</v>
      </c>
      <c r="G34" s="23">
        <v>10.8</v>
      </c>
      <c r="H34" s="23">
        <v>9.5</v>
      </c>
      <c r="I34" s="23">
        <v>8.6999999999999993</v>
      </c>
      <c r="J34" s="23">
        <v>12.5</v>
      </c>
      <c r="K34" s="23">
        <v>10.4</v>
      </c>
      <c r="L34" s="23">
        <v>9.6</v>
      </c>
      <c r="M34" s="23">
        <v>10.8</v>
      </c>
      <c r="N34" s="23">
        <v>19.899999999999999</v>
      </c>
      <c r="O34" s="23">
        <v>14.4</v>
      </c>
      <c r="P34" s="23">
        <v>17</v>
      </c>
      <c r="Q34" s="23">
        <v>12.3</v>
      </c>
      <c r="R34" s="20">
        <v>16.600000000000001</v>
      </c>
      <c r="S34" s="20">
        <v>16.7</v>
      </c>
      <c r="T34" s="10">
        <v>23.6</v>
      </c>
      <c r="U34" s="29">
        <v>18.841999999999999</v>
      </c>
      <c r="V34" s="29">
        <v>31.5</v>
      </c>
      <c r="W34" s="29">
        <v>27.99</v>
      </c>
      <c r="X34" s="29">
        <v>23.4</v>
      </c>
      <c r="Y34" s="42">
        <f t="shared" si="0"/>
        <v>-8.4745762711865603E-3</v>
      </c>
      <c r="Z34" s="42">
        <f t="shared" si="1"/>
        <v>-0.16398713826366559</v>
      </c>
      <c r="AA34" s="29">
        <v>21.1</v>
      </c>
      <c r="AB34" s="29">
        <v>26.35</v>
      </c>
      <c r="AC34" s="43">
        <f t="shared" si="18"/>
        <v>-0.16349206349206344</v>
      </c>
    </row>
    <row r="35" spans="1:30" x14ac:dyDescent="0.35">
      <c r="A35" s="8" t="s">
        <v>22</v>
      </c>
      <c r="B35" s="23">
        <v>22</v>
      </c>
      <c r="C35" s="23">
        <v>25.9</v>
      </c>
      <c r="D35" s="23">
        <v>25.8</v>
      </c>
      <c r="E35" s="23">
        <v>22.1</v>
      </c>
      <c r="F35" s="23">
        <v>15</v>
      </c>
      <c r="G35" s="23">
        <v>19.899999999999999</v>
      </c>
      <c r="H35" s="23">
        <v>23.4</v>
      </c>
      <c r="I35" s="23">
        <v>25.4</v>
      </c>
      <c r="J35" s="23">
        <v>21.5</v>
      </c>
      <c r="K35" s="23">
        <v>19.5</v>
      </c>
      <c r="L35" s="23">
        <v>15.6</v>
      </c>
      <c r="M35" s="23">
        <v>17.899999999999999</v>
      </c>
      <c r="N35" s="23">
        <v>20.9</v>
      </c>
      <c r="O35" s="23">
        <v>21.1</v>
      </c>
      <c r="P35" s="23">
        <v>22</v>
      </c>
      <c r="Q35" s="23">
        <v>22.6</v>
      </c>
      <c r="R35" s="20">
        <v>42.1</v>
      </c>
      <c r="S35" s="20">
        <v>36.9</v>
      </c>
      <c r="T35" s="10">
        <v>42.8</v>
      </c>
      <c r="U35" s="29">
        <v>33.604999999999997</v>
      </c>
      <c r="V35" s="29">
        <v>59.338000000000001</v>
      </c>
      <c r="W35" s="29">
        <v>58.8</v>
      </c>
      <c r="X35" s="29">
        <v>44</v>
      </c>
      <c r="Y35" s="42">
        <f t="shared" si="0"/>
        <v>2.8037383177570162E-2</v>
      </c>
      <c r="Z35" s="42">
        <f t="shared" si="1"/>
        <v>-0.25170068027210879</v>
      </c>
      <c r="AA35" s="29">
        <v>45.12</v>
      </c>
      <c r="AB35" s="29">
        <v>44.3</v>
      </c>
      <c r="AC35" s="43">
        <f t="shared" si="18"/>
        <v>-0.25342950554450777</v>
      </c>
    </row>
    <row r="36" spans="1:30" s="28" customFormat="1" ht="13.15" x14ac:dyDescent="0.4">
      <c r="A36" s="12" t="s">
        <v>23</v>
      </c>
      <c r="B36" s="11">
        <f t="shared" ref="B36:AB36" si="19">SUM(B29:B35)</f>
        <v>463.70000000000005</v>
      </c>
      <c r="C36" s="11">
        <f t="shared" si="19"/>
        <v>501.79999999999995</v>
      </c>
      <c r="D36" s="11">
        <f t="shared" si="19"/>
        <v>480.19999999999993</v>
      </c>
      <c r="E36" s="11">
        <f t="shared" si="19"/>
        <v>380.2</v>
      </c>
      <c r="F36" s="11">
        <f t="shared" si="19"/>
        <v>431.5</v>
      </c>
      <c r="G36" s="11">
        <f t="shared" si="19"/>
        <v>449.8</v>
      </c>
      <c r="H36" s="11">
        <f t="shared" si="19"/>
        <v>391.2</v>
      </c>
      <c r="I36" s="11">
        <f t="shared" si="19"/>
        <v>425.29999999999995</v>
      </c>
      <c r="J36" s="11">
        <f t="shared" si="19"/>
        <v>513.9</v>
      </c>
      <c r="K36" s="11">
        <f t="shared" si="19"/>
        <v>493.9</v>
      </c>
      <c r="L36" s="11">
        <f t="shared" si="19"/>
        <v>472.4</v>
      </c>
      <c r="M36" s="11">
        <f t="shared" si="19"/>
        <v>492.8</v>
      </c>
      <c r="N36" s="11">
        <f t="shared" si="19"/>
        <v>727.19999999999982</v>
      </c>
      <c r="O36" s="11">
        <f t="shared" si="19"/>
        <v>678.5</v>
      </c>
      <c r="P36" s="11">
        <f t="shared" si="19"/>
        <v>920</v>
      </c>
      <c r="Q36" s="11">
        <f t="shared" si="19"/>
        <v>666.59999999999991</v>
      </c>
      <c r="R36" s="11">
        <f t="shared" si="19"/>
        <v>1038.5</v>
      </c>
      <c r="S36" s="11">
        <f t="shared" si="19"/>
        <v>1168.2000000000003</v>
      </c>
      <c r="T36" s="11">
        <f t="shared" si="19"/>
        <v>1123.2</v>
      </c>
      <c r="U36" s="11">
        <f t="shared" si="19"/>
        <v>1025.9729999999997</v>
      </c>
      <c r="V36" s="11">
        <f t="shared" si="19"/>
        <v>1114.684</v>
      </c>
      <c r="W36" s="11">
        <f t="shared" si="19"/>
        <v>1101.2479999999998</v>
      </c>
      <c r="X36" s="11">
        <f t="shared" si="19"/>
        <v>979.1</v>
      </c>
      <c r="Y36" s="42">
        <f t="shared" si="0"/>
        <v>-0.12829415954415957</v>
      </c>
      <c r="Z36" s="42">
        <f t="shared" si="1"/>
        <v>-0.11091779508339612</v>
      </c>
      <c r="AA36" s="11">
        <f t="shared" si="19"/>
        <v>910.72</v>
      </c>
      <c r="AB36" s="11">
        <f t="shared" si="19"/>
        <v>1106.3699999999999</v>
      </c>
      <c r="AC36" s="43">
        <f t="shared" si="18"/>
        <v>-7.4586160741520269E-3</v>
      </c>
      <c r="AD36" s="11">
        <f t="shared" ref="AD36" si="20">SUM(AD29:AD35)</f>
        <v>0</v>
      </c>
    </row>
    <row r="37" spans="1:30" x14ac:dyDescent="0.35">
      <c r="A37" s="8" t="s">
        <v>24</v>
      </c>
      <c r="B37" s="23">
        <v>30.7</v>
      </c>
      <c r="C37" s="23">
        <v>27</v>
      </c>
      <c r="D37" s="23">
        <v>24.2</v>
      </c>
      <c r="E37" s="23">
        <v>22.2</v>
      </c>
      <c r="F37" s="23">
        <v>29.9</v>
      </c>
      <c r="G37" s="23">
        <v>36.200000000000003</v>
      </c>
      <c r="H37" s="23">
        <v>42.3</v>
      </c>
      <c r="I37" s="23">
        <v>47.4</v>
      </c>
      <c r="J37" s="23">
        <v>47</v>
      </c>
      <c r="K37" s="23">
        <v>52.1</v>
      </c>
      <c r="L37" s="23">
        <v>56.3</v>
      </c>
      <c r="M37" s="23">
        <v>57.5</v>
      </c>
      <c r="N37" s="23">
        <v>70.099999999999994</v>
      </c>
      <c r="O37" s="23">
        <v>76.900000000000006</v>
      </c>
      <c r="P37" s="23">
        <v>91.3</v>
      </c>
      <c r="Q37" s="23">
        <v>108.4</v>
      </c>
      <c r="R37" s="20">
        <v>135.6</v>
      </c>
      <c r="S37" s="20">
        <v>140.30000000000001</v>
      </c>
      <c r="T37" s="10">
        <v>163.4</v>
      </c>
      <c r="U37" s="29">
        <v>181.529</v>
      </c>
      <c r="V37" s="29">
        <v>190.5</v>
      </c>
      <c r="W37" s="29">
        <v>213.84399999999999</v>
      </c>
      <c r="X37" s="29">
        <v>223.1</v>
      </c>
      <c r="Y37" s="42">
        <f t="shared" si="0"/>
        <v>0.36536107711138305</v>
      </c>
      <c r="Z37" s="42">
        <f t="shared" si="1"/>
        <v>4.3283889190250842E-2</v>
      </c>
      <c r="AA37" s="29">
        <v>238.3</v>
      </c>
      <c r="AB37" s="29">
        <v>242.9</v>
      </c>
      <c r="AC37" s="43">
        <f t="shared" si="18"/>
        <v>0.27506561679790031</v>
      </c>
    </row>
    <row r="38" spans="1:30" x14ac:dyDescent="0.35">
      <c r="A38" s="8" t="s">
        <v>25</v>
      </c>
      <c r="B38" s="23">
        <v>53</v>
      </c>
      <c r="C38" s="23">
        <v>49.1</v>
      </c>
      <c r="D38" s="23">
        <v>48.2</v>
      </c>
      <c r="E38" s="23">
        <v>45.7</v>
      </c>
      <c r="F38" s="23">
        <v>44.7</v>
      </c>
      <c r="G38" s="23">
        <v>45</v>
      </c>
      <c r="H38" s="23">
        <v>47.2</v>
      </c>
      <c r="I38" s="23">
        <v>47.1</v>
      </c>
      <c r="J38" s="23">
        <v>46.4</v>
      </c>
      <c r="K38" s="23">
        <v>43.8</v>
      </c>
      <c r="L38" s="23">
        <v>40.1</v>
      </c>
      <c r="M38" s="23">
        <v>37.6</v>
      </c>
      <c r="N38" s="23">
        <v>34.799999999999997</v>
      </c>
      <c r="O38" s="23">
        <v>33.700000000000003</v>
      </c>
      <c r="P38" s="23">
        <v>31.6</v>
      </c>
      <c r="Q38" s="23">
        <v>28.8</v>
      </c>
      <c r="R38" s="20">
        <v>1896</v>
      </c>
      <c r="S38" s="20">
        <v>1804.1</v>
      </c>
      <c r="T38" s="10">
        <v>1802.6</v>
      </c>
      <c r="U38" s="29">
        <v>1800.1669999999999</v>
      </c>
      <c r="V38" s="29">
        <v>1798.9</v>
      </c>
      <c r="W38" s="29">
        <v>1795.9</v>
      </c>
      <c r="X38" s="29">
        <v>1793.7</v>
      </c>
      <c r="Y38" s="42">
        <f t="shared" si="0"/>
        <v>-4.9373127704426187E-3</v>
      </c>
      <c r="Z38" s="42">
        <f t="shared" si="1"/>
        <v>-1.2250125285372488E-3</v>
      </c>
      <c r="AA38" s="29">
        <v>1792.6</v>
      </c>
      <c r="AB38" s="29">
        <v>1787.6</v>
      </c>
      <c r="AC38" s="43">
        <f t="shared" si="18"/>
        <v>-6.2816165434433158E-3</v>
      </c>
    </row>
    <row r="39" spans="1:30" x14ac:dyDescent="0.35">
      <c r="A39" s="8" t="s">
        <v>26</v>
      </c>
      <c r="B39" s="23">
        <v>1.7</v>
      </c>
      <c r="C39" s="23">
        <v>1.6</v>
      </c>
      <c r="D39" s="23">
        <v>1.6</v>
      </c>
      <c r="E39" s="23">
        <v>1.6</v>
      </c>
      <c r="F39" s="23">
        <v>1.6</v>
      </c>
      <c r="G39" s="23">
        <v>1.6</v>
      </c>
      <c r="H39" s="23">
        <v>1.54</v>
      </c>
      <c r="I39" s="23">
        <v>1.6</v>
      </c>
      <c r="J39" s="23">
        <v>1.6</v>
      </c>
      <c r="K39" s="23">
        <v>1.6</v>
      </c>
      <c r="L39" s="23">
        <v>1.6</v>
      </c>
      <c r="M39" s="23">
        <v>1.7</v>
      </c>
      <c r="N39" s="23">
        <v>1.6</v>
      </c>
      <c r="O39" s="23">
        <v>1.7</v>
      </c>
      <c r="P39" s="23">
        <v>1.6</v>
      </c>
      <c r="Q39" s="23">
        <v>1.6</v>
      </c>
      <c r="R39" s="20">
        <v>642.5</v>
      </c>
      <c r="S39" s="20">
        <v>714.1</v>
      </c>
      <c r="T39" s="10">
        <v>714.4</v>
      </c>
      <c r="U39" s="29">
        <v>714.81399999999996</v>
      </c>
      <c r="V39" s="29">
        <v>711.56</v>
      </c>
      <c r="W39" s="29">
        <v>711.6</v>
      </c>
      <c r="X39" s="29">
        <v>711.88</v>
      </c>
      <c r="Y39" s="42">
        <f t="shared" si="0"/>
        <v>-3.5274356103023262E-3</v>
      </c>
      <c r="Z39" s="42">
        <f t="shared" si="1"/>
        <v>3.9347948285549844E-4</v>
      </c>
      <c r="AA39" s="29">
        <v>711.6</v>
      </c>
      <c r="AB39" s="29">
        <v>711.55</v>
      </c>
      <c r="AC39" s="43">
        <f t="shared" si="18"/>
        <v>-1.4053628646903853E-5</v>
      </c>
    </row>
    <row r="40" spans="1:30" x14ac:dyDescent="0.35">
      <c r="A40" s="8" t="s">
        <v>27</v>
      </c>
      <c r="B40" s="23">
        <v>10.1</v>
      </c>
      <c r="C40" s="23">
        <v>12.2</v>
      </c>
      <c r="D40" s="23">
        <v>12.6</v>
      </c>
      <c r="E40" s="23">
        <v>8.6999999999999993</v>
      </c>
      <c r="F40" s="23">
        <v>8.5</v>
      </c>
      <c r="G40" s="23">
        <v>8.4</v>
      </c>
      <c r="H40" s="23">
        <v>10.199999999999999</v>
      </c>
      <c r="I40" s="23">
        <v>24.7</v>
      </c>
      <c r="J40" s="23">
        <v>24.1</v>
      </c>
      <c r="K40" s="23">
        <v>24.2</v>
      </c>
      <c r="L40" s="23">
        <v>23.3</v>
      </c>
      <c r="M40" s="23">
        <v>350.8</v>
      </c>
      <c r="N40" s="23">
        <v>336.6</v>
      </c>
      <c r="O40" s="23">
        <v>515.70000000000005</v>
      </c>
      <c r="P40" s="23">
        <v>517.9</v>
      </c>
      <c r="Q40" s="23">
        <v>567.20000000000005</v>
      </c>
      <c r="R40" s="20">
        <v>547.70000000000005</v>
      </c>
      <c r="S40" s="20">
        <v>513.6</v>
      </c>
      <c r="T40" s="10">
        <v>481.9</v>
      </c>
      <c r="U40" s="29">
        <v>528.27800000000002</v>
      </c>
      <c r="V40" s="29">
        <v>533.48</v>
      </c>
      <c r="W40" s="29">
        <v>539.54499999999996</v>
      </c>
      <c r="X40" s="29">
        <v>527.70000000000005</v>
      </c>
      <c r="Y40" s="42">
        <f t="shared" si="0"/>
        <v>9.5040464826727677E-2</v>
      </c>
      <c r="Z40" s="42">
        <f t="shared" si="1"/>
        <v>-2.1953683196026124E-2</v>
      </c>
      <c r="AA40" s="29">
        <v>667.97</v>
      </c>
      <c r="AB40" s="29">
        <v>647.74800000000005</v>
      </c>
      <c r="AC40" s="43">
        <f t="shared" si="18"/>
        <v>0.21419359676089081</v>
      </c>
    </row>
    <row r="41" spans="1:30" x14ac:dyDescent="0.35">
      <c r="A41" s="8" t="s">
        <v>17</v>
      </c>
      <c r="B41" s="23">
        <v>2.5</v>
      </c>
      <c r="C41" s="23">
        <v>2.1</v>
      </c>
      <c r="D41" s="23">
        <v>2.2000000000000002</v>
      </c>
      <c r="E41" s="23">
        <v>2.2000000000000002</v>
      </c>
      <c r="F41" s="23">
        <v>2.1</v>
      </c>
      <c r="G41" s="23">
        <v>1.9</v>
      </c>
      <c r="H41" s="23">
        <v>1.8</v>
      </c>
      <c r="I41" s="23">
        <v>2.2999999999999998</v>
      </c>
      <c r="J41" s="23">
        <v>2</v>
      </c>
      <c r="K41" s="23">
        <v>1.7</v>
      </c>
      <c r="L41" s="23">
        <v>1.8</v>
      </c>
      <c r="M41" s="23">
        <v>1.9</v>
      </c>
      <c r="N41" s="23">
        <v>3.9</v>
      </c>
      <c r="O41" s="23">
        <v>3.8</v>
      </c>
      <c r="P41" s="23">
        <v>3.7</v>
      </c>
      <c r="Q41" s="23">
        <v>3.7</v>
      </c>
      <c r="R41" s="20">
        <v>3.4</v>
      </c>
      <c r="S41" s="20">
        <v>3.2</v>
      </c>
      <c r="T41" s="10">
        <v>3</v>
      </c>
      <c r="U41" s="29">
        <v>3.254</v>
      </c>
      <c r="V41" s="29">
        <v>3.2</v>
      </c>
      <c r="W41" s="29">
        <v>3.3479999999999999</v>
      </c>
      <c r="X41" s="29">
        <v>3.7</v>
      </c>
      <c r="Y41" s="42">
        <f t="shared" si="0"/>
        <v>0.23333333333333339</v>
      </c>
      <c r="Z41" s="42">
        <f t="shared" si="1"/>
        <v>0.1051373954599762</v>
      </c>
      <c r="AA41" s="29">
        <v>3.8</v>
      </c>
      <c r="AB41" s="29">
        <v>3.7</v>
      </c>
      <c r="AC41" s="43">
        <f t="shared" si="18"/>
        <v>0.15625</v>
      </c>
    </row>
    <row r="42" spans="1:30" x14ac:dyDescent="0.35">
      <c r="A42" s="8" t="s">
        <v>28</v>
      </c>
      <c r="B42" s="23">
        <v>0</v>
      </c>
      <c r="C42" s="23">
        <v>0</v>
      </c>
      <c r="D42" s="23">
        <v>0</v>
      </c>
      <c r="E42" s="23">
        <v>0</v>
      </c>
      <c r="F42" s="23">
        <v>163.30000000000001</v>
      </c>
      <c r="G42" s="23">
        <v>163.80000000000001</v>
      </c>
      <c r="H42" s="23">
        <v>183</v>
      </c>
      <c r="I42" s="23">
        <v>182.2</v>
      </c>
      <c r="J42" s="23">
        <v>193.1</v>
      </c>
      <c r="K42" s="23">
        <v>183.5</v>
      </c>
      <c r="L42" s="23">
        <v>197.4</v>
      </c>
      <c r="M42" s="23">
        <v>167.4</v>
      </c>
      <c r="N42" s="23">
        <v>179.8</v>
      </c>
      <c r="O42" s="23">
        <v>175.4</v>
      </c>
      <c r="P42" s="23">
        <v>171</v>
      </c>
      <c r="Q42" s="23">
        <v>160.80000000000001</v>
      </c>
      <c r="R42" s="20">
        <v>199.8</v>
      </c>
      <c r="S42" s="20">
        <v>236.1</v>
      </c>
      <c r="T42" s="10">
        <v>248.5</v>
      </c>
      <c r="U42" s="29">
        <v>239.905</v>
      </c>
      <c r="V42" s="29">
        <v>233.98</v>
      </c>
      <c r="W42" s="29">
        <v>228.1</v>
      </c>
      <c r="X42" s="29">
        <v>313.60000000000002</v>
      </c>
      <c r="Y42" s="42">
        <f t="shared" si="0"/>
        <v>0.26197183098591559</v>
      </c>
      <c r="Z42" s="42">
        <f t="shared" si="1"/>
        <v>0.37483559842174496</v>
      </c>
      <c r="AA42" s="29">
        <v>287.44</v>
      </c>
      <c r="AB42" s="29">
        <v>280.2</v>
      </c>
      <c r="AC42" s="43">
        <f t="shared" si="18"/>
        <v>0.19753825113257545</v>
      </c>
    </row>
    <row r="43" spans="1:30" x14ac:dyDescent="0.35">
      <c r="A43" s="8" t="s">
        <v>29</v>
      </c>
      <c r="B43" s="23">
        <v>11</v>
      </c>
      <c r="C43" s="23">
        <v>10.4</v>
      </c>
      <c r="D43" s="23">
        <v>8.9</v>
      </c>
      <c r="E43" s="23">
        <v>8.1999999999999993</v>
      </c>
      <c r="F43" s="23">
        <v>7.6</v>
      </c>
      <c r="G43" s="23">
        <v>7.4</v>
      </c>
      <c r="H43" s="23">
        <v>8.3000000000000007</v>
      </c>
      <c r="I43" s="23">
        <v>8.1</v>
      </c>
      <c r="J43" s="23">
        <v>8.1</v>
      </c>
      <c r="K43" s="23">
        <v>10</v>
      </c>
      <c r="L43" s="23">
        <v>9.1</v>
      </c>
      <c r="M43" s="23">
        <v>8.9</v>
      </c>
      <c r="N43" s="23">
        <v>8.3000000000000007</v>
      </c>
      <c r="O43" s="23">
        <v>8</v>
      </c>
      <c r="P43" s="23">
        <v>7.8</v>
      </c>
      <c r="Q43" s="23">
        <v>8</v>
      </c>
      <c r="R43" s="20">
        <v>7.1</v>
      </c>
      <c r="S43" s="20">
        <v>7</v>
      </c>
      <c r="T43" s="10">
        <v>6.2</v>
      </c>
      <c r="U43" s="29">
        <v>7.875</v>
      </c>
      <c r="V43" s="29">
        <v>9.3000000000000007</v>
      </c>
      <c r="W43" s="29">
        <v>9.65</v>
      </c>
      <c r="X43" s="29">
        <v>28.5</v>
      </c>
      <c r="Y43" s="42">
        <f t="shared" si="0"/>
        <v>3.596774193548387</v>
      </c>
      <c r="Z43" s="42">
        <f t="shared" si="1"/>
        <v>1.9533678756476685</v>
      </c>
      <c r="AA43" s="29">
        <v>31.44</v>
      </c>
      <c r="AB43" s="29">
        <v>15.5</v>
      </c>
      <c r="AC43" s="43">
        <f t="shared" si="18"/>
        <v>0.66666666666666652</v>
      </c>
    </row>
    <row r="44" spans="1:30" s="30" customFormat="1" ht="13.15" x14ac:dyDescent="0.4">
      <c r="A44" s="14" t="s">
        <v>30</v>
      </c>
      <c r="B44" s="13">
        <f t="shared" ref="B44:AB44" si="21">SUM(B36:B43)</f>
        <v>572.70000000000016</v>
      </c>
      <c r="C44" s="13">
        <f t="shared" si="21"/>
        <v>604.20000000000005</v>
      </c>
      <c r="D44" s="13">
        <f t="shared" si="21"/>
        <v>577.9</v>
      </c>
      <c r="E44" s="13">
        <f t="shared" si="21"/>
        <v>468.79999999999995</v>
      </c>
      <c r="F44" s="13">
        <f t="shared" si="21"/>
        <v>689.20000000000016</v>
      </c>
      <c r="G44" s="13">
        <f t="shared" si="21"/>
        <v>714.1</v>
      </c>
      <c r="H44" s="13">
        <f t="shared" si="21"/>
        <v>685.54</v>
      </c>
      <c r="I44" s="13">
        <f t="shared" si="21"/>
        <v>738.69999999999993</v>
      </c>
      <c r="J44" s="13">
        <f t="shared" si="21"/>
        <v>836.2</v>
      </c>
      <c r="K44" s="13">
        <f t="shared" si="21"/>
        <v>810.80000000000007</v>
      </c>
      <c r="L44" s="13">
        <f t="shared" si="21"/>
        <v>801.99999999999989</v>
      </c>
      <c r="M44" s="13">
        <f t="shared" si="21"/>
        <v>1118.6000000000001</v>
      </c>
      <c r="N44" s="13">
        <f t="shared" si="21"/>
        <v>1362.2999999999997</v>
      </c>
      <c r="O44" s="13">
        <f t="shared" si="21"/>
        <v>1493.7</v>
      </c>
      <c r="P44" s="13">
        <f t="shared" si="21"/>
        <v>1744.8999999999996</v>
      </c>
      <c r="Q44" s="13">
        <f t="shared" si="21"/>
        <v>1545.1</v>
      </c>
      <c r="R44" s="13">
        <f t="shared" si="21"/>
        <v>4470.6000000000004</v>
      </c>
      <c r="S44" s="13">
        <f t="shared" si="21"/>
        <v>4586.6000000000004</v>
      </c>
      <c r="T44" s="13">
        <f t="shared" si="21"/>
        <v>4543.2</v>
      </c>
      <c r="U44" s="13">
        <f t="shared" si="21"/>
        <v>4501.7949999999992</v>
      </c>
      <c r="V44" s="13">
        <f t="shared" si="21"/>
        <v>4595.6039999999994</v>
      </c>
      <c r="W44" s="13">
        <f t="shared" si="21"/>
        <v>4603.2349999999997</v>
      </c>
      <c r="X44" s="13">
        <f t="shared" si="21"/>
        <v>4581.2800000000007</v>
      </c>
      <c r="Y44" s="42">
        <f t="shared" si="0"/>
        <v>8.3817573516466008E-3</v>
      </c>
      <c r="Z44" s="42">
        <f t="shared" si="1"/>
        <v>-4.769471903997736E-3</v>
      </c>
      <c r="AA44" s="13">
        <f t="shared" si="21"/>
        <v>4643.869999999999</v>
      </c>
      <c r="AB44" s="13">
        <f t="shared" si="21"/>
        <v>4795.5679999999993</v>
      </c>
      <c r="AC44" s="43">
        <f t="shared" si="18"/>
        <v>4.351201713637641E-2</v>
      </c>
      <c r="AD44" s="13">
        <f t="shared" ref="AD44" si="22">SUM(AD36:AD43)</f>
        <v>0</v>
      </c>
    </row>
    <row r="45" spans="1:30" x14ac:dyDescent="0.35">
      <c r="U45" s="29"/>
      <c r="Y45" s="42"/>
      <c r="Z45" s="42"/>
    </row>
    <row r="46" spans="1:30" ht="13.15" x14ac:dyDescent="0.4">
      <c r="A46" s="15" t="s">
        <v>31</v>
      </c>
      <c r="B46" s="24"/>
      <c r="C46" s="24"/>
      <c r="D46" s="24"/>
      <c r="E46" s="24"/>
      <c r="F46" s="24"/>
      <c r="G46" s="24"/>
      <c r="H46" s="24"/>
      <c r="I46" s="24"/>
      <c r="J46" s="24"/>
      <c r="K46" s="24"/>
      <c r="L46" s="24"/>
      <c r="M46" s="24"/>
      <c r="N46" s="24"/>
      <c r="O46" s="24"/>
      <c r="P46" s="24"/>
      <c r="Q46" s="24"/>
      <c r="R46" s="16"/>
      <c r="S46" s="16"/>
      <c r="U46" s="29"/>
      <c r="Y46" s="42"/>
      <c r="Z46" s="42"/>
    </row>
    <row r="47" spans="1:30" ht="13.15" x14ac:dyDescent="0.4">
      <c r="A47" s="7" t="s">
        <v>32</v>
      </c>
      <c r="B47" s="13"/>
      <c r="C47" s="13"/>
      <c r="D47" s="13"/>
      <c r="E47" s="13"/>
      <c r="F47" s="13"/>
      <c r="G47" s="13"/>
      <c r="H47" s="13"/>
      <c r="I47" s="13"/>
      <c r="J47" s="13"/>
      <c r="K47" s="13"/>
      <c r="L47" s="13"/>
      <c r="M47" s="13"/>
      <c r="N47" s="13"/>
      <c r="O47" s="13"/>
      <c r="P47" s="13"/>
      <c r="Q47" s="13"/>
      <c r="R47" s="18"/>
      <c r="S47" s="18"/>
      <c r="U47" s="29"/>
      <c r="Y47" s="42"/>
      <c r="Z47" s="42"/>
    </row>
    <row r="48" spans="1:30" x14ac:dyDescent="0.35">
      <c r="A48" s="8" t="s">
        <v>33</v>
      </c>
      <c r="B48" s="23">
        <v>87.7</v>
      </c>
      <c r="C48" s="23">
        <v>79.099999999999994</v>
      </c>
      <c r="D48" s="23">
        <v>57.1</v>
      </c>
      <c r="E48" s="23">
        <v>77.2</v>
      </c>
      <c r="F48" s="23">
        <v>89.5</v>
      </c>
      <c r="G48" s="23">
        <v>100.7</v>
      </c>
      <c r="H48" s="23">
        <v>85.9</v>
      </c>
      <c r="I48" s="23">
        <v>95.7</v>
      </c>
      <c r="J48" s="23">
        <v>104.9</v>
      </c>
      <c r="K48" s="23">
        <v>83.2</v>
      </c>
      <c r="L48" s="23">
        <v>119.1</v>
      </c>
      <c r="M48" s="23">
        <v>112.8</v>
      </c>
      <c r="N48" s="23">
        <v>141.9</v>
      </c>
      <c r="O48" s="23">
        <v>166.8</v>
      </c>
      <c r="P48" s="23">
        <v>133.4</v>
      </c>
      <c r="Q48" s="23">
        <v>162.1</v>
      </c>
      <c r="R48" s="20">
        <v>202.9</v>
      </c>
      <c r="S48" s="20">
        <v>225.3</v>
      </c>
      <c r="T48" s="10">
        <v>190.1</v>
      </c>
      <c r="U48" s="29">
        <v>230.82</v>
      </c>
      <c r="V48" s="29">
        <v>232.4</v>
      </c>
      <c r="W48" s="29">
        <v>261.89999999999998</v>
      </c>
      <c r="X48" s="29">
        <v>209.9</v>
      </c>
      <c r="Y48" s="42">
        <f t="shared" si="0"/>
        <v>0.10415570752235671</v>
      </c>
      <c r="Z48" s="42">
        <f t="shared" si="1"/>
        <v>-0.19854906452844587</v>
      </c>
      <c r="AA48" s="29">
        <v>260.97000000000003</v>
      </c>
      <c r="AB48" s="29">
        <v>236.3</v>
      </c>
      <c r="AC48" s="43">
        <f t="shared" ref="AC48:AC59" si="23">(AB48-V48)/V48</f>
        <v>1.6781411359724639E-2</v>
      </c>
    </row>
    <row r="49" spans="1:30" x14ac:dyDescent="0.35">
      <c r="A49" s="8" t="s">
        <v>34</v>
      </c>
      <c r="B49" s="23">
        <v>85.4</v>
      </c>
      <c r="C49" s="23">
        <v>105.8</v>
      </c>
      <c r="D49" s="23">
        <v>99.8</v>
      </c>
      <c r="E49" s="23">
        <v>102.2</v>
      </c>
      <c r="F49" s="23">
        <v>78.2</v>
      </c>
      <c r="G49" s="23">
        <v>99.9</v>
      </c>
      <c r="H49" s="23">
        <v>88.8</v>
      </c>
      <c r="I49" s="23">
        <v>108.7</v>
      </c>
      <c r="J49" s="23">
        <v>71.3</v>
      </c>
      <c r="K49" s="23">
        <v>94.2</v>
      </c>
      <c r="L49" s="23">
        <v>100.3</v>
      </c>
      <c r="M49" s="23">
        <v>126.7</v>
      </c>
      <c r="N49" s="23">
        <v>111.2</v>
      </c>
      <c r="O49" s="23">
        <v>156.6</v>
      </c>
      <c r="P49" s="23">
        <v>149.19999999999999</v>
      </c>
      <c r="Q49" s="23">
        <v>166.9</v>
      </c>
      <c r="R49" s="20">
        <v>186</v>
      </c>
      <c r="S49" s="20">
        <v>242.7</v>
      </c>
      <c r="T49" s="10">
        <v>229</v>
      </c>
      <c r="U49" s="29">
        <v>239.42400000000001</v>
      </c>
      <c r="V49" s="29">
        <v>201.8</v>
      </c>
      <c r="W49" s="29">
        <v>241.53</v>
      </c>
      <c r="X49" s="29">
        <v>248.2</v>
      </c>
      <c r="Y49" s="42">
        <f t="shared" si="0"/>
        <v>8.3842794759825284E-2</v>
      </c>
      <c r="Z49" s="42">
        <f t="shared" si="1"/>
        <v>2.7615617107605628E-2</v>
      </c>
      <c r="AA49" s="29">
        <v>285.77</v>
      </c>
      <c r="AB49" s="29">
        <v>247.3</v>
      </c>
      <c r="AC49" s="43">
        <f t="shared" si="23"/>
        <v>0.22547076313181366</v>
      </c>
    </row>
    <row r="50" spans="1:30" x14ac:dyDescent="0.35">
      <c r="A50" s="8" t="s">
        <v>35</v>
      </c>
      <c r="B50" s="23">
        <v>15.1</v>
      </c>
      <c r="C50" s="23">
        <v>21.7</v>
      </c>
      <c r="D50" s="23">
        <v>24.7</v>
      </c>
      <c r="E50" s="23">
        <v>5.0999999999999996</v>
      </c>
      <c r="F50" s="23">
        <v>9.5</v>
      </c>
      <c r="G50" s="23">
        <v>12.3</v>
      </c>
      <c r="H50" s="23">
        <v>13.2</v>
      </c>
      <c r="I50" s="23">
        <v>4.2</v>
      </c>
      <c r="J50" s="23">
        <v>9.8000000000000007</v>
      </c>
      <c r="K50" s="23">
        <v>6.4</v>
      </c>
      <c r="L50" s="23">
        <v>9.5</v>
      </c>
      <c r="M50" s="23">
        <v>5</v>
      </c>
      <c r="N50" s="23">
        <v>24.3</v>
      </c>
      <c r="O50" s="23">
        <v>11.8</v>
      </c>
      <c r="P50" s="23">
        <v>22.3</v>
      </c>
      <c r="Q50" s="23">
        <v>16.3</v>
      </c>
      <c r="R50" s="20">
        <v>67.3</v>
      </c>
      <c r="S50" s="20">
        <v>58.7</v>
      </c>
      <c r="T50" s="10">
        <v>77</v>
      </c>
      <c r="U50" s="29">
        <v>89.210999999999999</v>
      </c>
      <c r="V50" s="29">
        <v>109.6</v>
      </c>
      <c r="W50" s="29">
        <v>84.844999999999999</v>
      </c>
      <c r="X50" s="29">
        <v>108.7</v>
      </c>
      <c r="Y50" s="42">
        <f t="shared" si="0"/>
        <v>0.41168831168831171</v>
      </c>
      <c r="Z50" s="42">
        <f t="shared" si="1"/>
        <v>0.28115976191879316</v>
      </c>
      <c r="AA50" s="29">
        <v>65.95</v>
      </c>
      <c r="AB50" s="29">
        <v>82.24</v>
      </c>
      <c r="AC50" s="43">
        <f t="shared" si="23"/>
        <v>-0.24963503649635038</v>
      </c>
    </row>
    <row r="51" spans="1:30" x14ac:dyDescent="0.35">
      <c r="A51" s="8" t="s">
        <v>36</v>
      </c>
      <c r="B51" s="23">
        <v>0.3</v>
      </c>
      <c r="C51" s="23">
        <v>0</v>
      </c>
      <c r="D51" s="23">
        <v>0</v>
      </c>
      <c r="E51" s="23">
        <v>0</v>
      </c>
      <c r="F51" s="23">
        <v>0</v>
      </c>
      <c r="G51" s="23">
        <v>0</v>
      </c>
      <c r="H51" s="23">
        <v>0</v>
      </c>
      <c r="I51" s="23">
        <v>0</v>
      </c>
      <c r="J51" s="23">
        <v>0</v>
      </c>
      <c r="K51" s="23">
        <v>0</v>
      </c>
      <c r="L51" s="23">
        <v>0</v>
      </c>
      <c r="M51" s="23">
        <v>0</v>
      </c>
      <c r="N51" s="23">
        <v>0</v>
      </c>
      <c r="O51" s="23">
        <v>0</v>
      </c>
      <c r="P51" s="23">
        <v>0</v>
      </c>
      <c r="Q51" s="23">
        <v>0</v>
      </c>
      <c r="R51" s="20">
        <v>25.2</v>
      </c>
      <c r="S51" s="20">
        <v>25.4</v>
      </c>
      <c r="T51" s="10">
        <v>20</v>
      </c>
      <c r="U51" s="29">
        <v>24.361999999999998</v>
      </c>
      <c r="V51" s="29">
        <v>32.979999999999997</v>
      </c>
      <c r="W51" s="29">
        <v>20</v>
      </c>
      <c r="X51" s="29">
        <v>20</v>
      </c>
      <c r="Y51" s="42">
        <f t="shared" si="0"/>
        <v>0</v>
      </c>
      <c r="Z51" s="42">
        <f t="shared" si="1"/>
        <v>0</v>
      </c>
      <c r="AA51" s="29">
        <v>23.3</v>
      </c>
      <c r="AB51" s="29">
        <v>0</v>
      </c>
      <c r="AC51" s="43">
        <f t="shared" si="23"/>
        <v>-1</v>
      </c>
    </row>
    <row r="52" spans="1:30" x14ac:dyDescent="0.35">
      <c r="A52" s="8" t="s">
        <v>37</v>
      </c>
      <c r="B52" s="23">
        <v>0</v>
      </c>
      <c r="C52" s="23">
        <v>0</v>
      </c>
      <c r="D52" s="23">
        <v>0</v>
      </c>
      <c r="E52" s="23">
        <v>0</v>
      </c>
      <c r="F52" s="23">
        <v>44.6</v>
      </c>
      <c r="G52" s="23">
        <v>45.4</v>
      </c>
      <c r="H52" s="23">
        <v>45.5</v>
      </c>
      <c r="I52" s="23">
        <v>48.6</v>
      </c>
      <c r="J52" s="23">
        <v>50</v>
      </c>
      <c r="K52" s="23">
        <v>49.2</v>
      </c>
      <c r="L52" s="23">
        <v>49.7</v>
      </c>
      <c r="M52" s="23">
        <v>47.1</v>
      </c>
      <c r="N52" s="23">
        <v>48.3</v>
      </c>
      <c r="O52" s="23">
        <v>45.7</v>
      </c>
      <c r="P52" s="23">
        <v>45.3</v>
      </c>
      <c r="Q52" s="23">
        <v>42.9</v>
      </c>
      <c r="R52" s="20">
        <v>49.4</v>
      </c>
      <c r="S52" s="20">
        <v>50</v>
      </c>
      <c r="T52" s="10">
        <v>55.1</v>
      </c>
      <c r="U52" s="29">
        <v>57.456000000000003</v>
      </c>
      <c r="V52" s="29">
        <v>57.56</v>
      </c>
      <c r="W52" s="29">
        <v>57.655999999999999</v>
      </c>
      <c r="X52" s="29">
        <v>61.1</v>
      </c>
      <c r="Y52" s="42">
        <f t="shared" si="0"/>
        <v>0.10889292196007259</v>
      </c>
      <c r="Z52" s="42">
        <f t="shared" si="1"/>
        <v>5.9733592340779844E-2</v>
      </c>
      <c r="AA52" s="29">
        <v>62.3</v>
      </c>
      <c r="AB52" s="29">
        <v>62.756999999999998</v>
      </c>
      <c r="AC52" s="43">
        <f t="shared" si="23"/>
        <v>9.0288394718554474E-2</v>
      </c>
    </row>
    <row r="53" spans="1:30" s="28" customFormat="1" ht="13.15" x14ac:dyDescent="0.4">
      <c r="A53" s="12" t="s">
        <v>38</v>
      </c>
      <c r="B53" s="11">
        <f t="shared" ref="B53:AB53" si="24">SUM(B48:B52)</f>
        <v>188.50000000000003</v>
      </c>
      <c r="C53" s="11">
        <f t="shared" si="24"/>
        <v>206.59999999999997</v>
      </c>
      <c r="D53" s="11">
        <f t="shared" si="24"/>
        <v>181.6</v>
      </c>
      <c r="E53" s="11">
        <f t="shared" si="24"/>
        <v>184.5</v>
      </c>
      <c r="F53" s="11">
        <f t="shared" si="24"/>
        <v>221.79999999999998</v>
      </c>
      <c r="G53" s="11">
        <f t="shared" si="24"/>
        <v>258.3</v>
      </c>
      <c r="H53" s="11">
        <f t="shared" si="24"/>
        <v>233.39999999999998</v>
      </c>
      <c r="I53" s="11">
        <f t="shared" si="24"/>
        <v>257.2</v>
      </c>
      <c r="J53" s="11">
        <f t="shared" si="24"/>
        <v>236</v>
      </c>
      <c r="K53" s="11">
        <f t="shared" si="24"/>
        <v>233</v>
      </c>
      <c r="L53" s="11">
        <f t="shared" si="24"/>
        <v>278.59999999999997</v>
      </c>
      <c r="M53" s="11">
        <f t="shared" si="24"/>
        <v>291.60000000000002</v>
      </c>
      <c r="N53" s="11">
        <f t="shared" si="24"/>
        <v>325.70000000000005</v>
      </c>
      <c r="O53" s="11">
        <f t="shared" si="24"/>
        <v>380.9</v>
      </c>
      <c r="P53" s="11">
        <f t="shared" si="24"/>
        <v>350.20000000000005</v>
      </c>
      <c r="Q53" s="11">
        <f t="shared" si="24"/>
        <v>388.2</v>
      </c>
      <c r="R53" s="11">
        <f t="shared" si="24"/>
        <v>530.79999999999995</v>
      </c>
      <c r="S53" s="11">
        <f t="shared" si="24"/>
        <v>602.1</v>
      </c>
      <c r="T53" s="11">
        <f t="shared" si="24"/>
        <v>571.20000000000005</v>
      </c>
      <c r="U53" s="11">
        <f t="shared" si="24"/>
        <v>641.27300000000002</v>
      </c>
      <c r="V53" s="11">
        <f t="shared" si="24"/>
        <v>634.34000000000015</v>
      </c>
      <c r="W53" s="11">
        <f t="shared" si="24"/>
        <v>665.93099999999993</v>
      </c>
      <c r="X53" s="11">
        <f t="shared" si="24"/>
        <v>647.90000000000009</v>
      </c>
      <c r="Y53" s="42">
        <f t="shared" si="0"/>
        <v>0.13427871148459392</v>
      </c>
      <c r="Z53" s="42">
        <f t="shared" si="1"/>
        <v>-2.7076378783987887E-2</v>
      </c>
      <c r="AA53" s="11">
        <f t="shared" si="24"/>
        <v>698.29</v>
      </c>
      <c r="AB53" s="11">
        <f t="shared" si="24"/>
        <v>628.59699999999998</v>
      </c>
      <c r="AC53" s="43">
        <f t="shared" si="23"/>
        <v>-9.0535044298013113E-3</v>
      </c>
      <c r="AD53" s="11">
        <f t="shared" ref="AD53" si="25">SUM(AD48:AD52)</f>
        <v>0</v>
      </c>
    </row>
    <row r="54" spans="1:30" x14ac:dyDescent="0.35">
      <c r="A54" s="8" t="s">
        <v>39</v>
      </c>
      <c r="B54" s="23">
        <v>0</v>
      </c>
      <c r="C54" s="23">
        <v>0</v>
      </c>
      <c r="D54" s="23">
        <v>0</v>
      </c>
      <c r="E54" s="23">
        <v>0</v>
      </c>
      <c r="F54" s="23">
        <v>0</v>
      </c>
      <c r="G54" s="23">
        <v>0</v>
      </c>
      <c r="H54" s="23">
        <v>0</v>
      </c>
      <c r="I54" s="23">
        <v>0</v>
      </c>
      <c r="J54" s="23">
        <v>0</v>
      </c>
      <c r="K54" s="23">
        <v>0</v>
      </c>
      <c r="L54" s="23">
        <v>0</v>
      </c>
      <c r="M54" s="23">
        <v>0</v>
      </c>
      <c r="N54" s="23">
        <v>0</v>
      </c>
      <c r="O54" s="23">
        <v>0</v>
      </c>
      <c r="P54" s="23">
        <v>0</v>
      </c>
      <c r="Q54" s="23">
        <v>0</v>
      </c>
      <c r="R54" s="20">
        <v>329.9</v>
      </c>
      <c r="S54" s="20">
        <v>312.8</v>
      </c>
      <c r="T54" s="10">
        <v>312.8</v>
      </c>
      <c r="U54" s="29">
        <v>302.02999999999997</v>
      </c>
      <c r="V54" s="29">
        <v>301.96800000000002</v>
      </c>
      <c r="W54" s="29">
        <v>301.89999999999998</v>
      </c>
      <c r="X54" s="29">
        <v>299.3</v>
      </c>
      <c r="Y54" s="42">
        <f t="shared" si="0"/>
        <v>-4.3158567774936062E-2</v>
      </c>
      <c r="Z54" s="42">
        <f t="shared" si="1"/>
        <v>-8.6121232196090299E-3</v>
      </c>
      <c r="AA54" s="29">
        <v>12.9</v>
      </c>
      <c r="AB54" s="29">
        <v>12.9</v>
      </c>
      <c r="AC54" s="43">
        <f t="shared" si="23"/>
        <v>-0.95728024161500569</v>
      </c>
    </row>
    <row r="55" spans="1:30" x14ac:dyDescent="0.35">
      <c r="A55" s="8" t="s">
        <v>40</v>
      </c>
      <c r="B55" s="23">
        <v>6.2</v>
      </c>
      <c r="C55" s="23">
        <v>4.3</v>
      </c>
      <c r="D55" s="23">
        <v>4.3</v>
      </c>
      <c r="E55" s="23">
        <v>4.7</v>
      </c>
      <c r="F55" s="23">
        <v>4.3</v>
      </c>
      <c r="G55" s="23">
        <v>4.4000000000000004</v>
      </c>
      <c r="H55" s="23">
        <v>5.6</v>
      </c>
      <c r="I55" s="23">
        <v>4.5</v>
      </c>
      <c r="J55" s="23">
        <v>4</v>
      </c>
      <c r="K55" s="23">
        <v>4</v>
      </c>
      <c r="L55" s="23">
        <v>5.0999999999999996</v>
      </c>
      <c r="M55" s="23">
        <v>206</v>
      </c>
      <c r="N55" s="23">
        <v>198.8</v>
      </c>
      <c r="O55" s="23">
        <v>201</v>
      </c>
      <c r="P55" s="23">
        <v>194</v>
      </c>
      <c r="Q55" s="23">
        <v>219.7</v>
      </c>
      <c r="R55" s="20">
        <v>226.2</v>
      </c>
      <c r="S55" s="20">
        <v>216</v>
      </c>
      <c r="T55" s="10">
        <v>204.8</v>
      </c>
      <c r="U55" s="29">
        <v>224.83699999999999</v>
      </c>
      <c r="V55" s="29">
        <v>228.16499999999999</v>
      </c>
      <c r="W55" s="29">
        <v>231.6</v>
      </c>
      <c r="X55" s="29">
        <v>226</v>
      </c>
      <c r="Y55" s="42">
        <f t="shared" si="0"/>
        <v>0.10351562499999994</v>
      </c>
      <c r="Z55" s="42">
        <f t="shared" si="1"/>
        <v>-2.4179620034542292E-2</v>
      </c>
      <c r="AA55" s="29">
        <v>565.20000000000005</v>
      </c>
      <c r="AB55" s="29">
        <v>558.9</v>
      </c>
      <c r="AC55" s="43">
        <f t="shared" si="23"/>
        <v>1.4495430938136875</v>
      </c>
    </row>
    <row r="56" spans="1:30" x14ac:dyDescent="0.35">
      <c r="A56" s="8" t="s">
        <v>41</v>
      </c>
      <c r="B56" s="23">
        <v>0</v>
      </c>
      <c r="C56" s="23">
        <v>0</v>
      </c>
      <c r="D56" s="23">
        <v>0</v>
      </c>
      <c r="E56" s="23">
        <v>120</v>
      </c>
      <c r="F56" s="23">
        <v>215</v>
      </c>
      <c r="G56" s="23">
        <v>215</v>
      </c>
      <c r="H56" s="23">
        <v>185</v>
      </c>
      <c r="I56" s="23">
        <v>205</v>
      </c>
      <c r="J56" s="23">
        <v>350</v>
      </c>
      <c r="K56" s="23">
        <v>275</v>
      </c>
      <c r="L56" s="23">
        <v>135</v>
      </c>
      <c r="M56" s="23">
        <v>180</v>
      </c>
      <c r="N56" s="23">
        <v>341.1</v>
      </c>
      <c r="O56" s="23">
        <v>386.4</v>
      </c>
      <c r="P56" s="23">
        <v>685.9</v>
      </c>
      <c r="Q56" s="23">
        <v>771.4</v>
      </c>
      <c r="R56" s="20">
        <v>2851.3</v>
      </c>
      <c r="S56" s="20">
        <v>2743.5</v>
      </c>
      <c r="T56" s="10">
        <v>2595.8000000000002</v>
      </c>
      <c r="U56" s="29">
        <v>2298.027</v>
      </c>
      <c r="V56" s="29">
        <v>2250.288</v>
      </c>
      <c r="W56" s="29">
        <v>2007.5</v>
      </c>
      <c r="X56" s="29">
        <v>1918.6659999999999</v>
      </c>
      <c r="Y56" s="42">
        <f t="shared" si="0"/>
        <v>-0.26085753910162579</v>
      </c>
      <c r="Z56" s="42">
        <f t="shared" si="1"/>
        <v>-4.4251058530510617E-2</v>
      </c>
      <c r="AA56" s="29">
        <v>1640.99</v>
      </c>
      <c r="AB56" s="29">
        <v>1727.2</v>
      </c>
      <c r="AC56" s="43">
        <f t="shared" si="23"/>
        <v>-0.23245380146896752</v>
      </c>
    </row>
    <row r="57" spans="1:30" x14ac:dyDescent="0.35">
      <c r="A57" s="8" t="s">
        <v>42</v>
      </c>
      <c r="B57" s="23">
        <v>0</v>
      </c>
      <c r="C57" s="23">
        <v>0</v>
      </c>
      <c r="D57" s="23">
        <v>0</v>
      </c>
      <c r="E57" s="23">
        <v>0</v>
      </c>
      <c r="F57" s="23">
        <v>125.1</v>
      </c>
      <c r="G57" s="23">
        <v>124.3</v>
      </c>
      <c r="H57" s="23">
        <v>143.6</v>
      </c>
      <c r="I57" s="23">
        <v>140.1</v>
      </c>
      <c r="J57" s="23">
        <v>152.1</v>
      </c>
      <c r="K57" s="23">
        <v>141.9</v>
      </c>
      <c r="L57" s="23">
        <v>155.30000000000001</v>
      </c>
      <c r="M57" s="23">
        <v>146.4</v>
      </c>
      <c r="N57" s="23">
        <v>165.8</v>
      </c>
      <c r="O57" s="23">
        <v>162.5</v>
      </c>
      <c r="P57" s="23">
        <v>157.9</v>
      </c>
      <c r="Q57" s="23">
        <v>149.19999999999999</v>
      </c>
      <c r="R57" s="20">
        <v>181.1</v>
      </c>
      <c r="S57" s="20">
        <v>217.6</v>
      </c>
      <c r="T57" s="10">
        <v>225.4</v>
      </c>
      <c r="U57" s="29">
        <v>215.119</v>
      </c>
      <c r="V57" s="29">
        <v>209.8</v>
      </c>
      <c r="W57" s="29">
        <v>204.1</v>
      </c>
      <c r="X57" s="29">
        <v>286.89999999999998</v>
      </c>
      <c r="Y57" s="42">
        <f t="shared" si="0"/>
        <v>0.27284826974267956</v>
      </c>
      <c r="Z57" s="42">
        <f t="shared" si="1"/>
        <v>0.40568348848603619</v>
      </c>
      <c r="AA57" s="29">
        <v>269.8</v>
      </c>
      <c r="AB57" s="29">
        <v>267.8</v>
      </c>
      <c r="AC57" s="43">
        <f t="shared" si="23"/>
        <v>0.27645376549094375</v>
      </c>
    </row>
    <row r="58" spans="1:30" x14ac:dyDescent="0.35">
      <c r="A58" s="8" t="s">
        <v>43</v>
      </c>
      <c r="B58" s="23">
        <v>11.2</v>
      </c>
      <c r="C58" s="23">
        <v>10.9</v>
      </c>
      <c r="D58" s="23">
        <v>9.6999999999999993</v>
      </c>
      <c r="E58" s="23">
        <v>9.4</v>
      </c>
      <c r="F58" s="23">
        <v>0</v>
      </c>
      <c r="G58" s="23">
        <v>0.1</v>
      </c>
      <c r="H58" s="23">
        <v>0.3</v>
      </c>
      <c r="I58" s="23">
        <v>0</v>
      </c>
      <c r="J58" s="23">
        <v>0</v>
      </c>
      <c r="K58" s="23">
        <v>0</v>
      </c>
      <c r="L58" s="23">
        <v>0</v>
      </c>
      <c r="M58" s="23">
        <v>4.0999999999999996</v>
      </c>
      <c r="N58" s="23">
        <v>4.5999999999999996</v>
      </c>
      <c r="O58" s="23">
        <v>4.2</v>
      </c>
      <c r="P58" s="23">
        <v>4.2</v>
      </c>
      <c r="Q58" s="23">
        <v>2.4</v>
      </c>
      <c r="R58" s="20">
        <v>2.2000000000000002</v>
      </c>
      <c r="S58" s="20">
        <v>2.6</v>
      </c>
      <c r="T58" s="10">
        <v>2.4</v>
      </c>
      <c r="U58" s="29">
        <v>2.5790000000000002</v>
      </c>
      <c r="V58" s="29">
        <v>2.5</v>
      </c>
      <c r="W58" s="29">
        <v>2.4430000000000001</v>
      </c>
      <c r="X58" s="29">
        <v>2.39</v>
      </c>
      <c r="Y58" s="42">
        <f t="shared" si="0"/>
        <v>-4.1666666666665781E-3</v>
      </c>
      <c r="Z58" s="42">
        <f t="shared" si="1"/>
        <v>-2.1694637740482987E-2</v>
      </c>
      <c r="AA58" s="29">
        <v>2.8</v>
      </c>
      <c r="AB58" s="29">
        <v>3.3</v>
      </c>
      <c r="AC58" s="43">
        <f t="shared" si="23"/>
        <v>0.31999999999999995</v>
      </c>
    </row>
    <row r="59" spans="1:30" s="30" customFormat="1" ht="13.15" x14ac:dyDescent="0.4">
      <c r="A59" s="14" t="s">
        <v>44</v>
      </c>
      <c r="B59" s="13">
        <f t="shared" ref="B59:AB59" si="26">SUM(B53:B58)</f>
        <v>205.9</v>
      </c>
      <c r="C59" s="13">
        <f t="shared" si="26"/>
        <v>221.79999999999998</v>
      </c>
      <c r="D59" s="13">
        <f t="shared" si="26"/>
        <v>195.6</v>
      </c>
      <c r="E59" s="13">
        <f t="shared" si="26"/>
        <v>318.59999999999997</v>
      </c>
      <c r="F59" s="13">
        <f t="shared" si="26"/>
        <v>566.20000000000005</v>
      </c>
      <c r="G59" s="13">
        <f t="shared" si="26"/>
        <v>602.1</v>
      </c>
      <c r="H59" s="13">
        <f t="shared" si="26"/>
        <v>567.9</v>
      </c>
      <c r="I59" s="13">
        <f t="shared" si="26"/>
        <v>606.79999999999995</v>
      </c>
      <c r="J59" s="13">
        <f t="shared" si="26"/>
        <v>742.1</v>
      </c>
      <c r="K59" s="13">
        <f t="shared" si="26"/>
        <v>653.9</v>
      </c>
      <c r="L59" s="13">
        <f t="shared" si="26"/>
        <v>574</v>
      </c>
      <c r="M59" s="13">
        <f t="shared" si="26"/>
        <v>828.1</v>
      </c>
      <c r="N59" s="13">
        <f t="shared" si="26"/>
        <v>1036</v>
      </c>
      <c r="O59" s="13">
        <f t="shared" si="26"/>
        <v>1135</v>
      </c>
      <c r="P59" s="13">
        <f t="shared" si="26"/>
        <v>1392.2</v>
      </c>
      <c r="Q59" s="13">
        <f t="shared" si="26"/>
        <v>1530.9</v>
      </c>
      <c r="R59" s="13">
        <f t="shared" si="26"/>
        <v>4121.5</v>
      </c>
      <c r="S59" s="13">
        <f t="shared" si="26"/>
        <v>4094.6</v>
      </c>
      <c r="T59" s="13">
        <f t="shared" si="26"/>
        <v>3912.4000000000005</v>
      </c>
      <c r="U59" s="13">
        <f t="shared" si="26"/>
        <v>3683.8650000000002</v>
      </c>
      <c r="V59" s="13">
        <f t="shared" si="26"/>
        <v>3627.0610000000006</v>
      </c>
      <c r="W59" s="13">
        <f t="shared" si="26"/>
        <v>3413.4739999999997</v>
      </c>
      <c r="X59" s="13">
        <f t="shared" si="26"/>
        <v>3381.1559999999999</v>
      </c>
      <c r="Y59" s="42">
        <f t="shared" si="0"/>
        <v>-0.13578468459257759</v>
      </c>
      <c r="Z59" s="42">
        <f t="shared" si="1"/>
        <v>-9.4677738866620221E-3</v>
      </c>
      <c r="AA59" s="13">
        <f t="shared" si="26"/>
        <v>3189.9800000000005</v>
      </c>
      <c r="AB59" s="13">
        <f t="shared" si="26"/>
        <v>3198.6970000000001</v>
      </c>
      <c r="AC59" s="43">
        <f t="shared" si="23"/>
        <v>-0.1181022320826698</v>
      </c>
      <c r="AD59" s="13">
        <f t="shared" ref="AD59" si="27">SUM(AD53:AD58)</f>
        <v>0</v>
      </c>
    </row>
    <row r="60" spans="1:30" x14ac:dyDescent="0.35">
      <c r="Y60" s="42"/>
      <c r="Z60" s="42"/>
    </row>
    <row r="61" spans="1:30" s="28" customFormat="1" ht="13.15" x14ac:dyDescent="0.4">
      <c r="A61" s="15" t="s">
        <v>74</v>
      </c>
      <c r="B61" s="11">
        <f>B44-B59</f>
        <v>366.80000000000018</v>
      </c>
      <c r="C61" s="11">
        <f t="shared" ref="C61:AB61" si="28">C44-C59</f>
        <v>382.40000000000009</v>
      </c>
      <c r="D61" s="11">
        <f t="shared" si="28"/>
        <v>382.29999999999995</v>
      </c>
      <c r="E61" s="11">
        <f t="shared" si="28"/>
        <v>150.19999999999999</v>
      </c>
      <c r="F61" s="11">
        <f t="shared" si="28"/>
        <v>123.00000000000011</v>
      </c>
      <c r="G61" s="11">
        <f t="shared" si="28"/>
        <v>112</v>
      </c>
      <c r="H61" s="11">
        <f t="shared" si="28"/>
        <v>117.63999999999999</v>
      </c>
      <c r="I61" s="11">
        <f t="shared" si="28"/>
        <v>131.89999999999998</v>
      </c>
      <c r="J61" s="11">
        <f t="shared" si="28"/>
        <v>94.100000000000023</v>
      </c>
      <c r="K61" s="11">
        <f t="shared" si="28"/>
        <v>156.90000000000009</v>
      </c>
      <c r="L61" s="11">
        <f t="shared" si="28"/>
        <v>227.99999999999989</v>
      </c>
      <c r="M61" s="11">
        <f t="shared" si="28"/>
        <v>290.50000000000011</v>
      </c>
      <c r="N61" s="11">
        <f t="shared" si="28"/>
        <v>326.29999999999973</v>
      </c>
      <c r="O61" s="11">
        <f t="shared" si="28"/>
        <v>358.70000000000005</v>
      </c>
      <c r="P61" s="11">
        <f t="shared" si="28"/>
        <v>352.69999999999959</v>
      </c>
      <c r="Q61" s="11">
        <f t="shared" si="28"/>
        <v>14.199999999999818</v>
      </c>
      <c r="R61" s="11">
        <f t="shared" si="28"/>
        <v>349.10000000000036</v>
      </c>
      <c r="S61" s="11">
        <f t="shared" si="28"/>
        <v>492.00000000000045</v>
      </c>
      <c r="T61" s="11">
        <f t="shared" si="28"/>
        <v>630.79999999999927</v>
      </c>
      <c r="U61" s="11">
        <f t="shared" si="28"/>
        <v>817.92999999999893</v>
      </c>
      <c r="V61" s="11">
        <f t="shared" si="28"/>
        <v>968.54299999999876</v>
      </c>
      <c r="W61" s="11">
        <f t="shared" si="28"/>
        <v>1189.761</v>
      </c>
      <c r="X61" s="11">
        <f t="shared" si="28"/>
        <v>1200.1240000000007</v>
      </c>
      <c r="Y61" s="42">
        <f t="shared" si="0"/>
        <v>0.90254280279011112</v>
      </c>
      <c r="Z61" s="42">
        <f t="shared" si="1"/>
        <v>8.7101527113434881E-3</v>
      </c>
      <c r="AA61" s="11">
        <f t="shared" si="28"/>
        <v>1453.8899999999985</v>
      </c>
      <c r="AB61" s="11">
        <f t="shared" si="28"/>
        <v>1596.8709999999992</v>
      </c>
      <c r="AC61" s="43">
        <f t="shared" ref="AC61:AC67" si="29">(AB61-V61)/V61</f>
        <v>0.64873526523861225</v>
      </c>
      <c r="AD61" s="11">
        <f t="shared" ref="AD61" si="30">AD44-AD59</f>
        <v>0</v>
      </c>
    </row>
    <row r="62" spans="1:30" x14ac:dyDescent="0.35">
      <c r="A62" t="s">
        <v>75</v>
      </c>
      <c r="B62" s="29">
        <f t="shared" ref="B62:U62" si="31">B7-B8+B9</f>
        <v>1063.5</v>
      </c>
      <c r="C62" s="29">
        <f t="shared" si="31"/>
        <v>1074.71</v>
      </c>
      <c r="D62" s="29">
        <f t="shared" si="31"/>
        <v>1347.07</v>
      </c>
      <c r="E62" s="29">
        <f t="shared" si="31"/>
        <v>1759.14</v>
      </c>
      <c r="F62" s="29">
        <f t="shared" si="31"/>
        <v>2055.9499999999998</v>
      </c>
      <c r="G62" s="29">
        <f t="shared" si="31"/>
        <v>1525.4</v>
      </c>
      <c r="H62" s="29">
        <f t="shared" si="31"/>
        <v>2037</v>
      </c>
      <c r="I62" s="29">
        <f t="shared" si="31"/>
        <v>3109.08</v>
      </c>
      <c r="J62" s="29">
        <f t="shared" si="31"/>
        <v>1411.71</v>
      </c>
      <c r="K62" s="29">
        <f t="shared" si="31"/>
        <v>2623.96</v>
      </c>
      <c r="L62" s="29">
        <f t="shared" si="31"/>
        <v>2913.64</v>
      </c>
      <c r="M62" s="29">
        <f t="shared" si="31"/>
        <v>4364.34</v>
      </c>
      <c r="N62" s="29">
        <f t="shared" si="31"/>
        <v>5469.9500000000007</v>
      </c>
      <c r="O62" s="29">
        <f t="shared" si="31"/>
        <v>7757.0999999999995</v>
      </c>
      <c r="P62" s="29">
        <f t="shared" si="31"/>
        <v>9283.4399999999987</v>
      </c>
      <c r="Q62" s="29">
        <f t="shared" si="31"/>
        <v>8760.48</v>
      </c>
      <c r="R62" s="29">
        <f t="shared" si="31"/>
        <v>7361.5000000000009</v>
      </c>
      <c r="S62" s="29">
        <f t="shared" si="31"/>
        <v>5595.84</v>
      </c>
      <c r="T62" s="29">
        <f t="shared" si="31"/>
        <v>6726.72</v>
      </c>
      <c r="U62" s="29">
        <f t="shared" si="31"/>
        <v>8850.1660000000011</v>
      </c>
      <c r="V62" s="29">
        <f>V7-V8+V9</f>
        <v>10073.19176</v>
      </c>
      <c r="W62" s="29">
        <f>W7-W8+W9</f>
        <v>8896.6620000000003</v>
      </c>
      <c r="X62" s="29">
        <f t="shared" ref="X62:AB62" si="32">X7-X8+X9</f>
        <v>7277.9260000000004</v>
      </c>
      <c r="Y62" s="42">
        <f t="shared" si="0"/>
        <v>8.194275962133106E-2</v>
      </c>
      <c r="Z62" s="42">
        <f t="shared" si="1"/>
        <v>-0.18194869041894587</v>
      </c>
      <c r="AA62" s="29">
        <f t="shared" si="32"/>
        <v>7297.3200000000006</v>
      </c>
      <c r="AB62" s="29">
        <f t="shared" si="32"/>
        <v>10357.101000000001</v>
      </c>
      <c r="AC62" s="43">
        <f t="shared" si="29"/>
        <v>2.8184635690882635E-2</v>
      </c>
      <c r="AD62" s="29">
        <f t="shared" ref="AD62" si="33">AD7-AD8+AD9</f>
        <v>0</v>
      </c>
    </row>
    <row r="63" spans="1:30" x14ac:dyDescent="0.35">
      <c r="A63" t="s">
        <v>76</v>
      </c>
      <c r="B63" s="36">
        <f t="shared" ref="B63:U63" si="34">B25/B6</f>
        <v>0.22916666666666677</v>
      </c>
      <c r="C63" s="36">
        <f t="shared" si="34"/>
        <v>0.48450704225352098</v>
      </c>
      <c r="D63" s="36">
        <f t="shared" si="34"/>
        <v>0.14520547945205517</v>
      </c>
      <c r="E63" s="36">
        <f t="shared" si="34"/>
        <v>-0.16176470588235214</v>
      </c>
      <c r="F63" s="36">
        <f t="shared" si="34"/>
        <v>0.33039999999999953</v>
      </c>
      <c r="G63" s="36">
        <f t="shared" si="34"/>
        <v>0.54583333333333295</v>
      </c>
      <c r="H63" s="36">
        <f t="shared" si="34"/>
        <v>0.51048571428571399</v>
      </c>
      <c r="I63" s="36">
        <f t="shared" si="34"/>
        <v>0.2756944444444438</v>
      </c>
      <c r="J63" s="36">
        <f t="shared" si="34"/>
        <v>0.16086956521739174</v>
      </c>
      <c r="K63" s="36">
        <f t="shared" si="34"/>
        <v>0.83161764705882346</v>
      </c>
      <c r="L63" s="36">
        <f t="shared" si="34"/>
        <v>0.9088235294117647</v>
      </c>
      <c r="M63" s="36">
        <f t="shared" si="34"/>
        <v>2.6586956521739138</v>
      </c>
      <c r="N63" s="36">
        <f t="shared" si="34"/>
        <v>1.4686567164179107</v>
      </c>
      <c r="O63" s="36">
        <f t="shared" si="34"/>
        <v>4.909230769230768</v>
      </c>
      <c r="P63" s="36">
        <f t="shared" si="34"/>
        <v>2.4365079365079354</v>
      </c>
      <c r="Q63" s="36">
        <f t="shared" si="34"/>
        <v>2.4165624999999977</v>
      </c>
      <c r="R63" s="36">
        <f t="shared" si="34"/>
        <v>1.1934426229508204</v>
      </c>
      <c r="S63" s="36">
        <f t="shared" si="34"/>
        <v>2.5870967741935487</v>
      </c>
      <c r="T63" s="36">
        <f t="shared" si="34"/>
        <v>2.7322580645161287</v>
      </c>
      <c r="U63" s="36">
        <f t="shared" si="34"/>
        <v>2.2187419354838704</v>
      </c>
      <c r="V63" s="36">
        <f>V25/V6</f>
        <v>2.3887176866946622</v>
      </c>
      <c r="W63" s="36">
        <f>W25/W6</f>
        <v>3.3923322683706081</v>
      </c>
      <c r="X63" s="36">
        <f t="shared" ref="X63:AB63" si="35">X25/X6</f>
        <v>2.8537096774193556</v>
      </c>
      <c r="Y63" s="42">
        <f t="shared" si="0"/>
        <v>4.4451003541913003E-2</v>
      </c>
      <c r="Z63" s="42">
        <f t="shared" si="1"/>
        <v>-0.15877648424161048</v>
      </c>
      <c r="AA63" s="36">
        <f t="shared" si="35"/>
        <v>4.0932526230831314</v>
      </c>
      <c r="AB63" s="36">
        <f t="shared" si="35"/>
        <v>2.494026186579378</v>
      </c>
      <c r="AC63" s="43">
        <f t="shared" si="29"/>
        <v>4.4085787312285622E-2</v>
      </c>
      <c r="AD63" s="36" t="e">
        <f t="shared" ref="AD63" si="36">AD25/AD6</f>
        <v>#DIV/0!</v>
      </c>
    </row>
    <row r="64" spans="1:30" x14ac:dyDescent="0.35">
      <c r="A64" t="s">
        <v>86</v>
      </c>
      <c r="B64" s="36">
        <f t="shared" ref="B64:Z64" si="37">B5/B63</f>
        <v>70.909090909090878</v>
      </c>
      <c r="C64" s="36">
        <f t="shared" si="37"/>
        <v>36.346220930232569</v>
      </c>
      <c r="D64" s="36">
        <f t="shared" si="37"/>
        <v>146.61981132075434</v>
      </c>
      <c r="E64" s="36">
        <f t="shared" si="37"/>
        <v>-160.60363636363715</v>
      </c>
      <c r="F64" s="36">
        <f t="shared" si="37"/>
        <v>77.935835351089693</v>
      </c>
      <c r="G64" s="36">
        <f t="shared" si="37"/>
        <v>36.183206106870252</v>
      </c>
      <c r="H64" s="36">
        <f t="shared" si="37"/>
        <v>54.379582470476329</v>
      </c>
      <c r="I64" s="36">
        <f t="shared" si="37"/>
        <v>151.94357682619682</v>
      </c>
      <c r="J64" s="36">
        <f t="shared" si="37"/>
        <v>105.61351351351323</v>
      </c>
      <c r="K64" s="36">
        <f t="shared" si="37"/>
        <v>44.275154730327145</v>
      </c>
      <c r="L64" s="36">
        <f t="shared" si="37"/>
        <v>47.016828478964399</v>
      </c>
      <c r="M64" s="36">
        <f t="shared" si="37"/>
        <v>23.567947669664751</v>
      </c>
      <c r="N64" s="36">
        <f t="shared" si="37"/>
        <v>54.777947154471534</v>
      </c>
      <c r="O64" s="36">
        <f t="shared" si="37"/>
        <v>23.734879348166725</v>
      </c>
      <c r="P64" s="36">
        <f t="shared" si="37"/>
        <v>58.887557003257349</v>
      </c>
      <c r="Q64" s="36">
        <f t="shared" si="37"/>
        <v>53.058838743049321</v>
      </c>
      <c r="R64" s="36">
        <f t="shared" si="37"/>
        <v>64.01648351648349</v>
      </c>
      <c r="S64" s="36">
        <f t="shared" si="37"/>
        <v>18.812593516209475</v>
      </c>
      <c r="T64" s="36">
        <f t="shared" si="37"/>
        <v>25.129397874852422</v>
      </c>
      <c r="U64" s="36">
        <f t="shared" si="37"/>
        <v>48.870036783414037</v>
      </c>
      <c r="V64" s="36">
        <f t="shared" si="37"/>
        <v>52.932165531439878</v>
      </c>
      <c r="W64" s="36">
        <f t="shared" si="37"/>
        <v>33.145338105104528</v>
      </c>
      <c r="X64" s="36">
        <f t="shared" si="37"/>
        <v>30.917651048437229</v>
      </c>
      <c r="Y64" s="36">
        <f t="shared" si="37"/>
        <v>6.4121763262514051</v>
      </c>
      <c r="Z64" s="36">
        <f t="shared" si="37"/>
        <v>1.3560876826747013</v>
      </c>
      <c r="AA64" s="36">
        <f>AA5/AA63</f>
        <v>22.818039490963301</v>
      </c>
      <c r="AB64" s="36">
        <f>AB5/AB63</f>
        <v>57.701880106309673</v>
      </c>
      <c r="AC64" s="43">
        <f t="shared" si="29"/>
        <v>9.010994594651052E-2</v>
      </c>
      <c r="AD64" s="36" t="e">
        <f t="shared" ref="AB64:AD64" si="38">AD5/AD63</f>
        <v>#DIV/0!</v>
      </c>
    </row>
    <row r="65" spans="1:30" x14ac:dyDescent="0.35">
      <c r="A65" t="s">
        <v>79</v>
      </c>
      <c r="B65" s="40">
        <f>B13/B11</f>
        <v>0.49381843871423525</v>
      </c>
      <c r="C65" s="40">
        <f t="shared" ref="C65:AD65" si="39">C13/C11</f>
        <v>0.55304878048780493</v>
      </c>
      <c r="D65" s="40">
        <f t="shared" si="39"/>
        <v>0.53274607430103416</v>
      </c>
      <c r="E65" s="40">
        <f t="shared" si="39"/>
        <v>0.46249999999999991</v>
      </c>
      <c r="F65" s="40">
        <f t="shared" si="39"/>
        <v>0.46502196688070285</v>
      </c>
      <c r="G65" s="40">
        <f t="shared" si="39"/>
        <v>0.52772359988854833</v>
      </c>
      <c r="H65" s="40">
        <f t="shared" si="39"/>
        <v>0.52382475215861846</v>
      </c>
      <c r="I65" s="40">
        <f t="shared" si="39"/>
        <v>0.48004561003420754</v>
      </c>
      <c r="J65" s="40">
        <f t="shared" si="39"/>
        <v>0.4770544290288154</v>
      </c>
      <c r="K65" s="40">
        <f t="shared" si="39"/>
        <v>0.54268476621417805</v>
      </c>
      <c r="L65" s="40">
        <f t="shared" si="39"/>
        <v>0.5714680674592203</v>
      </c>
      <c r="M65" s="40">
        <f t="shared" si="39"/>
        <v>0.55685131195335302</v>
      </c>
      <c r="N65" s="40">
        <f t="shared" si="39"/>
        <v>0.55031514888067812</v>
      </c>
      <c r="O65" s="40">
        <f t="shared" si="39"/>
        <v>0.61672908863920095</v>
      </c>
      <c r="P65" s="40">
        <f t="shared" si="39"/>
        <v>0.63876018533312029</v>
      </c>
      <c r="Q65" s="40">
        <f t="shared" si="39"/>
        <v>0.63416297306512093</v>
      </c>
      <c r="R65" s="40">
        <f t="shared" si="39"/>
        <v>0.49219815179518256</v>
      </c>
      <c r="S65" s="40">
        <f t="shared" si="39"/>
        <v>0.51606883682355376</v>
      </c>
      <c r="T65" s="40">
        <f t="shared" si="39"/>
        <v>0.54948736168916856</v>
      </c>
      <c r="U65" s="40">
        <f t="shared" si="39"/>
        <v>0.52506652136883247</v>
      </c>
      <c r="V65" s="40">
        <f t="shared" si="39"/>
        <v>0.53877439304384023</v>
      </c>
      <c r="W65" s="40">
        <f t="shared" si="39"/>
        <v>0.57935471838866093</v>
      </c>
      <c r="X65" s="40">
        <f t="shared" si="39"/>
        <v>0.55618246150903705</v>
      </c>
      <c r="Y65" s="42">
        <f t="shared" si="0"/>
        <v>1.2184265347408921E-2</v>
      </c>
      <c r="Z65" s="42">
        <f t="shared" si="1"/>
        <v>-3.9996665504118213E-2</v>
      </c>
      <c r="AA65" s="40">
        <f t="shared" si="39"/>
        <v>0.55279708843645126</v>
      </c>
      <c r="AB65" s="40">
        <f t="shared" si="39"/>
        <v>0.55620072448327285</v>
      </c>
      <c r="AC65" s="43">
        <f t="shared" si="29"/>
        <v>3.2344394359541569E-2</v>
      </c>
      <c r="AD65" s="40" t="e">
        <f t="shared" si="39"/>
        <v>#DIV/0!</v>
      </c>
    </row>
    <row r="66" spans="1:30" x14ac:dyDescent="0.35">
      <c r="A66" t="s">
        <v>80</v>
      </c>
      <c r="B66" s="40">
        <f>B25/B11</f>
        <v>5.8283292122924782E-2</v>
      </c>
      <c r="C66" s="40">
        <f t="shared" ref="C66:AD66" si="40">C25/C11</f>
        <v>0.10487804878048777</v>
      </c>
      <c r="D66" s="40">
        <f t="shared" si="40"/>
        <v>4.059747223286108E-2</v>
      </c>
      <c r="E66" s="40">
        <f t="shared" si="40"/>
        <v>-5.0925925925925673E-2</v>
      </c>
      <c r="F66" s="40">
        <f t="shared" si="40"/>
        <v>8.3744508279824159E-2</v>
      </c>
      <c r="G66" s="40">
        <f t="shared" si="40"/>
        <v>0.10950125383115068</v>
      </c>
      <c r="H66" s="40">
        <f t="shared" si="40"/>
        <v>0.11427566357531174</v>
      </c>
      <c r="I66" s="40">
        <f t="shared" si="40"/>
        <v>7.5446598251615205E-2</v>
      </c>
      <c r="J66" s="40">
        <f t="shared" si="40"/>
        <v>3.9487726787620164E-2</v>
      </c>
      <c r="K66" s="40">
        <f t="shared" si="40"/>
        <v>0.17058823529411765</v>
      </c>
      <c r="L66" s="40">
        <f t="shared" si="40"/>
        <v>0.17085982858722698</v>
      </c>
      <c r="M66" s="40">
        <f t="shared" si="40"/>
        <v>0.44569970845481044</v>
      </c>
      <c r="N66" s="40">
        <f t="shared" si="40"/>
        <v>0.21386655074983701</v>
      </c>
      <c r="O66" s="40">
        <f t="shared" si="40"/>
        <v>0.49797128589263412</v>
      </c>
      <c r="P66" s="40">
        <f t="shared" si="40"/>
        <v>0.24524684454385676</v>
      </c>
      <c r="Q66" s="40">
        <f t="shared" si="40"/>
        <v>0.26365496079099876</v>
      </c>
      <c r="R66" s="40">
        <f t="shared" si="40"/>
        <v>0.11028632025450695</v>
      </c>
      <c r="S66" s="40">
        <f t="shared" si="40"/>
        <v>0.1662865436450342</v>
      </c>
      <c r="T66" s="40">
        <f t="shared" si="40"/>
        <v>0.171962237336311</v>
      </c>
      <c r="U66" s="40">
        <f t="shared" si="40"/>
        <v>0.14553976205716337</v>
      </c>
      <c r="V66" s="40">
        <f t="shared" si="40"/>
        <v>0.16920238959652373</v>
      </c>
      <c r="W66" s="40">
        <f t="shared" si="40"/>
        <v>0.19802312569936595</v>
      </c>
      <c r="X66" s="40">
        <f t="shared" si="40"/>
        <v>0.16919766663479011</v>
      </c>
      <c r="Y66" s="42">
        <f t="shared" si="0"/>
        <v>-1.6076615100756968E-2</v>
      </c>
      <c r="Z66" s="42">
        <f t="shared" si="1"/>
        <v>-0.14556612498046301</v>
      </c>
      <c r="AA66" s="40">
        <f t="shared" si="40"/>
        <v>0.26413335361039292</v>
      </c>
      <c r="AB66" s="40">
        <f t="shared" si="40"/>
        <v>0.16235350522054121</v>
      </c>
      <c r="AC66" s="43">
        <f t="shared" si="29"/>
        <v>-4.0477468387498668E-2</v>
      </c>
      <c r="AD66" s="40" t="e">
        <f t="shared" si="40"/>
        <v>#DIV/0!</v>
      </c>
    </row>
    <row r="67" spans="1:30" x14ac:dyDescent="0.35">
      <c r="A67" t="s">
        <v>81</v>
      </c>
      <c r="B67" s="41">
        <f>B36/B53</f>
        <v>2.4599469496021218</v>
      </c>
      <c r="C67" s="41">
        <f t="shared" ref="C67:AB67" si="41">C36/C53</f>
        <v>2.4288480154888674</v>
      </c>
      <c r="D67" s="41">
        <f t="shared" si="41"/>
        <v>2.6442731277533036</v>
      </c>
      <c r="E67" s="41">
        <f t="shared" si="41"/>
        <v>2.0607046070460706</v>
      </c>
      <c r="F67" s="41">
        <f t="shared" si="41"/>
        <v>1.9454463480613167</v>
      </c>
      <c r="G67" s="41">
        <f t="shared" si="41"/>
        <v>1.7413859852884244</v>
      </c>
      <c r="H67" s="41">
        <f t="shared" si="41"/>
        <v>1.6760925449871467</v>
      </c>
      <c r="I67" s="41">
        <f t="shared" si="41"/>
        <v>1.6535769828926905</v>
      </c>
      <c r="J67" s="41">
        <f t="shared" si="41"/>
        <v>2.1775423728813559</v>
      </c>
      <c r="K67" s="41">
        <f t="shared" si="41"/>
        <v>2.119742489270386</v>
      </c>
      <c r="L67" s="41">
        <f t="shared" si="41"/>
        <v>1.6956209619526204</v>
      </c>
      <c r="M67" s="41">
        <f t="shared" si="41"/>
        <v>1.6899862825788752</v>
      </c>
      <c r="N67" s="41">
        <f t="shared" si="41"/>
        <v>2.2327295056800729</v>
      </c>
      <c r="O67" s="41">
        <f t="shared" si="41"/>
        <v>1.7813074297715936</v>
      </c>
      <c r="P67" s="41">
        <f t="shared" si="41"/>
        <v>2.6270702455739574</v>
      </c>
      <c r="Q67" s="41">
        <f t="shared" si="41"/>
        <v>1.7171561051004636</v>
      </c>
      <c r="R67" s="41">
        <f t="shared" si="41"/>
        <v>1.956480783722683</v>
      </c>
      <c r="S67" s="41">
        <f t="shared" si="41"/>
        <v>1.9402092675635281</v>
      </c>
      <c r="T67" s="41">
        <f t="shared" si="41"/>
        <v>1.9663865546218486</v>
      </c>
      <c r="U67" s="41">
        <f t="shared" si="41"/>
        <v>1.5999005103910497</v>
      </c>
      <c r="V67" s="41">
        <f t="shared" si="41"/>
        <v>1.7572342907588985</v>
      </c>
      <c r="W67" s="41">
        <f t="shared" si="41"/>
        <v>1.6536968544789175</v>
      </c>
      <c r="X67" s="41">
        <f t="shared" si="41"/>
        <v>1.5111899984565518</v>
      </c>
      <c r="Y67" s="42">
        <f t="shared" si="0"/>
        <v>-0.23148884693876209</v>
      </c>
      <c r="Z67" s="42">
        <f t="shared" si="1"/>
        <v>-8.6174715538943097E-2</v>
      </c>
      <c r="AA67" s="41">
        <f t="shared" si="41"/>
        <v>1.3042145813344028</v>
      </c>
      <c r="AB67" s="41">
        <f t="shared" si="41"/>
        <v>1.7600624883669505</v>
      </c>
      <c r="AC67" s="43">
        <f t="shared" si="29"/>
        <v>1.609459605315668E-3</v>
      </c>
      <c r="AD67" s="41" t="e">
        <f>AD36/AD53</f>
        <v>#DIV/0!</v>
      </c>
    </row>
    <row r="68" spans="1:30" x14ac:dyDescent="0.35">
      <c r="A68" s="10"/>
      <c r="Q68" s="17"/>
      <c r="S68" s="10"/>
      <c r="T68"/>
      <c r="U68" s="29"/>
    </row>
  </sheetData>
  <pageMargins left="0.7" right="0.7" top="0.75" bottom="0.75" header="0.3" footer="0.3"/>
  <pageSetup orientation="portrait" r:id="rId1"/>
  <ignoredErrors>
    <ignoredError sqref="U15" formula="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36567613-e428-4167-ab55-a4f66cede826"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600919C5D1CD245AE9967B74E8175F3" ma:contentTypeVersion="3" ma:contentTypeDescription="Create a new document." ma:contentTypeScope="" ma:versionID="7c958296e71377cd1f84353a875d72a5">
  <xsd:schema xmlns:xsd="http://www.w3.org/2001/XMLSchema" xmlns:xs="http://www.w3.org/2001/XMLSchema" xmlns:p="http://schemas.microsoft.com/office/2006/metadata/properties" xmlns:ns3="36567613-e428-4167-ab55-a4f66cede826" targetNamespace="http://schemas.microsoft.com/office/2006/metadata/properties" ma:root="true" ma:fieldsID="bbb9d457094159866f35fe50818106a9" ns3:_="">
    <xsd:import namespace="36567613-e428-4167-ab55-a4f66cede826"/>
    <xsd:element name="properties">
      <xsd:complexType>
        <xsd:sequence>
          <xsd:element name="documentManagement">
            <xsd:complexType>
              <xsd:all>
                <xsd:element ref="ns3:MediaServiceMetadata" minOccurs="0"/>
                <xsd:element ref="ns3:MediaServiceFastMetadata"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6567613-e428-4167-ab55-a4f66cede82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_activity" ma:index="10"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361546E-EAA3-4E92-9C81-16747091A8A5}">
  <ds:schemaRefs>
    <ds:schemaRef ds:uri="http://www.w3.org/XML/1998/namespace"/>
    <ds:schemaRef ds:uri="http://purl.org/dc/elements/1.1/"/>
    <ds:schemaRef ds:uri="http://schemas.microsoft.com/office/2006/documentManagement/types"/>
    <ds:schemaRef ds:uri="http://schemas.microsoft.com/office/infopath/2007/PartnerControls"/>
    <ds:schemaRef ds:uri="http://schemas.openxmlformats.org/package/2006/metadata/core-properties"/>
    <ds:schemaRef ds:uri="http://schemas.microsoft.com/office/2006/metadata/properties"/>
    <ds:schemaRef ds:uri="http://purl.org/dc/terms/"/>
    <ds:schemaRef ds:uri="36567613-e428-4167-ab55-a4f66cede826"/>
    <ds:schemaRef ds:uri="http://purl.org/dc/dcmitype/"/>
  </ds:schemaRefs>
</ds:datastoreItem>
</file>

<file path=customXml/itemProps2.xml><?xml version="1.0" encoding="utf-8"?>
<ds:datastoreItem xmlns:ds="http://schemas.openxmlformats.org/officeDocument/2006/customXml" ds:itemID="{5DF36F31-EDF4-4935-8E76-40B49CE3723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6567613-e428-4167-ab55-a4f66cede82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056EA1D-C704-4B9F-9876-2C147EF6DD9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Abraham</dc:creator>
  <cp:lastModifiedBy>Gonzalez Herrera, Abraham</cp:lastModifiedBy>
  <dcterms:created xsi:type="dcterms:W3CDTF">2023-02-14T05:32:43Z</dcterms:created>
  <dcterms:modified xsi:type="dcterms:W3CDTF">2024-05-13T18:01:07Z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0x0101004600919C5D1CD245AE9967B74E8175F3</vt:lpwstr>
  </property>
</Properties>
</file>