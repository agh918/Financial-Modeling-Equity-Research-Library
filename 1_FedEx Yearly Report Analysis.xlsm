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Earnings models (BACKUP)\"/>
    </mc:Choice>
  </mc:AlternateContent>
  <xr:revisionPtr revIDLastSave="0" documentId="8_{D98DE469-1F58-434E-92FB-2DF2989EBF4B}" xr6:coauthVersionLast="47" xr6:coauthVersionMax="47" xr10:uidLastSave="{00000000-0000-0000-0000-000000000000}"/>
  <bookViews>
    <workbookView xWindow="-120" yWindow="-120" windowWidth="29040" windowHeight="15720" xr2:uid="{57DEA323-E204-44E7-AD7B-E92EB4E4853D}"/>
  </bookViews>
  <sheets>
    <sheet name="Statements" sheetId="1" r:id="rId1"/>
    <sheet name="Rival Analysis" sheetId="2" r:id="rId2"/>
    <sheet name="Observation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" i="1" l="1"/>
  <c r="Q60" i="1"/>
  <c r="R60" i="1"/>
  <c r="S60" i="1"/>
  <c r="T60" i="1"/>
  <c r="U60" i="1"/>
  <c r="O60" i="1"/>
  <c r="D10" i="3"/>
  <c r="D9" i="3"/>
  <c r="D8" i="3"/>
  <c r="D7" i="3"/>
  <c r="D6" i="3"/>
  <c r="D5" i="3"/>
  <c r="D4" i="3"/>
  <c r="X60" i="1"/>
  <c r="W60" i="1"/>
  <c r="V60" i="1"/>
  <c r="L64" i="1"/>
  <c r="K64" i="1"/>
  <c r="J64" i="1"/>
  <c r="I64" i="1"/>
  <c r="H64" i="1"/>
  <c r="G64" i="1"/>
  <c r="F64" i="1"/>
  <c r="E64" i="1"/>
  <c r="D64" i="1"/>
  <c r="C64" i="1"/>
  <c r="X59" i="1"/>
  <c r="W59" i="1"/>
  <c r="V59" i="1"/>
  <c r="X58" i="1"/>
  <c r="W58" i="1"/>
  <c r="V58" i="1"/>
  <c r="X57" i="1"/>
  <c r="W57" i="1"/>
  <c r="V57" i="1"/>
  <c r="X56" i="1"/>
  <c r="W56" i="1"/>
  <c r="V56" i="1"/>
  <c r="X54" i="1"/>
  <c r="W54" i="1"/>
  <c r="V54" i="1"/>
  <c r="X50" i="1"/>
  <c r="W50" i="1"/>
  <c r="V50" i="1"/>
  <c r="X49" i="1"/>
  <c r="W49" i="1"/>
  <c r="V49" i="1"/>
  <c r="X48" i="1"/>
  <c r="W48" i="1"/>
  <c r="V48" i="1"/>
  <c r="X47" i="1"/>
  <c r="W47" i="1"/>
  <c r="V47" i="1"/>
  <c r="X46" i="1"/>
  <c r="W46" i="1"/>
  <c r="V46" i="1"/>
  <c r="X43" i="1"/>
  <c r="W43" i="1"/>
  <c r="V43" i="1"/>
  <c r="X42" i="1"/>
  <c r="W42" i="1"/>
  <c r="V42" i="1"/>
  <c r="X41" i="1"/>
  <c r="W41" i="1"/>
  <c r="V41" i="1"/>
  <c r="X40" i="1"/>
  <c r="W40" i="1"/>
  <c r="V40" i="1"/>
  <c r="X39" i="1"/>
  <c r="W39" i="1"/>
  <c r="V39" i="1"/>
  <c r="X38" i="1"/>
  <c r="W38" i="1"/>
  <c r="V38" i="1"/>
  <c r="X37" i="1"/>
  <c r="W37" i="1"/>
  <c r="V37" i="1"/>
  <c r="X36" i="1"/>
  <c r="W36" i="1"/>
  <c r="V36" i="1"/>
  <c r="X35" i="1"/>
  <c r="W35" i="1"/>
  <c r="V35" i="1"/>
  <c r="X34" i="1"/>
  <c r="W34" i="1"/>
  <c r="V34" i="1"/>
  <c r="X33" i="1"/>
  <c r="W33" i="1"/>
  <c r="V33" i="1"/>
  <c r="X32" i="1"/>
  <c r="W32" i="1"/>
  <c r="V32" i="1"/>
  <c r="X31" i="1"/>
  <c r="W31" i="1"/>
  <c r="V31" i="1"/>
  <c r="X26" i="1"/>
  <c r="W26" i="1"/>
  <c r="V26" i="1"/>
  <c r="X25" i="1"/>
  <c r="W25" i="1"/>
  <c r="V25" i="1"/>
  <c r="X24" i="1"/>
  <c r="W24" i="1"/>
  <c r="V24" i="1"/>
  <c r="X22" i="1"/>
  <c r="W22" i="1"/>
  <c r="V22" i="1"/>
  <c r="X21" i="1"/>
  <c r="W21" i="1"/>
  <c r="V21" i="1"/>
  <c r="X20" i="1"/>
  <c r="W20" i="1"/>
  <c r="V20" i="1"/>
  <c r="X19" i="1"/>
  <c r="W19" i="1"/>
  <c r="V19" i="1"/>
  <c r="X18" i="1"/>
  <c r="W18" i="1"/>
  <c r="V18" i="1"/>
  <c r="X17" i="1"/>
  <c r="W17" i="1"/>
  <c r="V17" i="1"/>
  <c r="X15" i="1"/>
  <c r="W15" i="1"/>
  <c r="V15" i="1"/>
  <c r="X14" i="1"/>
  <c r="W14" i="1"/>
  <c r="V14" i="1"/>
  <c r="X13" i="1"/>
  <c r="W13" i="1"/>
  <c r="V13" i="1"/>
  <c r="X12" i="1"/>
  <c r="W12" i="1"/>
  <c r="V12" i="1"/>
  <c r="X11" i="1"/>
  <c r="W11" i="1"/>
  <c r="V11" i="1"/>
  <c r="L63" i="1"/>
  <c r="K63" i="1"/>
  <c r="J63" i="1"/>
  <c r="L62" i="1"/>
  <c r="K62" i="1"/>
  <c r="J62" i="1"/>
  <c r="L61" i="1"/>
  <c r="K61" i="1"/>
  <c r="J61" i="1"/>
  <c r="L60" i="1"/>
  <c r="K60" i="1"/>
  <c r="J60" i="1"/>
  <c r="L59" i="1"/>
  <c r="K59" i="1"/>
  <c r="J59" i="1"/>
  <c r="L58" i="1"/>
  <c r="K58" i="1"/>
  <c r="J58" i="1"/>
  <c r="L57" i="1"/>
  <c r="K57" i="1"/>
  <c r="J57" i="1"/>
  <c r="L56" i="1"/>
  <c r="K56" i="1"/>
  <c r="J56" i="1"/>
  <c r="L55" i="1"/>
  <c r="K55" i="1"/>
  <c r="J55" i="1"/>
  <c r="L54" i="1"/>
  <c r="K54" i="1"/>
  <c r="J54" i="1"/>
  <c r="L53" i="1"/>
  <c r="K53" i="1"/>
  <c r="J53" i="1"/>
  <c r="L52" i="1"/>
  <c r="K52" i="1"/>
  <c r="J52" i="1"/>
  <c r="L51" i="1"/>
  <c r="K51" i="1"/>
  <c r="J51" i="1"/>
  <c r="L49" i="1"/>
  <c r="K49" i="1"/>
  <c r="J49" i="1"/>
  <c r="L48" i="1"/>
  <c r="K48" i="1"/>
  <c r="J48" i="1"/>
  <c r="L47" i="1"/>
  <c r="K47" i="1"/>
  <c r="J47" i="1"/>
  <c r="L46" i="1"/>
  <c r="K46" i="1"/>
  <c r="J46" i="1"/>
  <c r="L45" i="1"/>
  <c r="K45" i="1"/>
  <c r="J45" i="1"/>
  <c r="L44" i="1"/>
  <c r="K44" i="1"/>
  <c r="J44" i="1"/>
  <c r="L43" i="1"/>
  <c r="K43" i="1"/>
  <c r="J43" i="1"/>
  <c r="L42" i="1"/>
  <c r="K42" i="1"/>
  <c r="J42" i="1"/>
  <c r="L40" i="1"/>
  <c r="K40" i="1"/>
  <c r="J40" i="1"/>
  <c r="L39" i="1"/>
  <c r="K39" i="1"/>
  <c r="J39" i="1"/>
  <c r="L38" i="1"/>
  <c r="K38" i="1"/>
  <c r="J38" i="1"/>
  <c r="L37" i="1"/>
  <c r="K37" i="1"/>
  <c r="J37" i="1"/>
  <c r="L36" i="1"/>
  <c r="K36" i="1"/>
  <c r="J36" i="1"/>
  <c r="L35" i="1"/>
  <c r="K35" i="1"/>
  <c r="J35" i="1"/>
  <c r="L34" i="1"/>
  <c r="K34" i="1"/>
  <c r="J34" i="1"/>
  <c r="L33" i="1"/>
  <c r="K33" i="1"/>
  <c r="J33" i="1"/>
  <c r="L32" i="1"/>
  <c r="K32" i="1"/>
  <c r="J32" i="1"/>
  <c r="L31" i="1"/>
  <c r="K31" i="1"/>
  <c r="J31" i="1"/>
  <c r="L28" i="1"/>
  <c r="K28" i="1"/>
  <c r="J28" i="1"/>
  <c r="L27" i="1"/>
  <c r="K27" i="1"/>
  <c r="J27" i="1"/>
  <c r="L26" i="1"/>
  <c r="K26" i="1"/>
  <c r="J26" i="1"/>
  <c r="L25" i="1"/>
  <c r="K25" i="1"/>
  <c r="J25" i="1"/>
  <c r="L24" i="1"/>
  <c r="K24" i="1"/>
  <c r="J24" i="1"/>
  <c r="L23" i="1"/>
  <c r="K23" i="1"/>
  <c r="J23" i="1"/>
  <c r="L22" i="1"/>
  <c r="K22" i="1"/>
  <c r="J22" i="1"/>
  <c r="L21" i="1"/>
  <c r="K21" i="1"/>
  <c r="J21" i="1"/>
  <c r="L20" i="1"/>
  <c r="K20" i="1"/>
  <c r="J20" i="1"/>
  <c r="L19" i="1"/>
  <c r="K19" i="1"/>
  <c r="J19" i="1"/>
  <c r="L18" i="1"/>
  <c r="K18" i="1"/>
  <c r="J18" i="1"/>
  <c r="L17" i="1"/>
  <c r="K17" i="1"/>
  <c r="J17" i="1"/>
  <c r="L15" i="1"/>
  <c r="K15" i="1"/>
  <c r="J15" i="1"/>
  <c r="L14" i="1"/>
  <c r="K14" i="1"/>
  <c r="J14" i="1"/>
  <c r="L13" i="1"/>
  <c r="K13" i="1"/>
  <c r="J13" i="1"/>
  <c r="L12" i="1"/>
  <c r="K12" i="1"/>
  <c r="J12" i="1"/>
  <c r="I12" i="1"/>
  <c r="K52" i="2"/>
  <c r="K51" i="2"/>
  <c r="K50" i="2"/>
  <c r="K49" i="2"/>
  <c r="J34" i="2"/>
  <c r="J33" i="2"/>
  <c r="J32" i="2"/>
  <c r="J31" i="2"/>
  <c r="G25" i="2"/>
  <c r="G24" i="2"/>
  <c r="J30" i="2" s="1"/>
  <c r="G23" i="2"/>
  <c r="K48" i="2" s="1"/>
  <c r="G22" i="2"/>
  <c r="G21" i="2"/>
  <c r="G20" i="2"/>
  <c r="G19" i="2"/>
  <c r="D25" i="2"/>
  <c r="D24" i="2"/>
  <c r="J29" i="2" s="1"/>
  <c r="D23" i="2"/>
  <c r="K47" i="2" s="1"/>
  <c r="D22" i="2"/>
  <c r="D21" i="2"/>
  <c r="D20" i="2"/>
  <c r="D19" i="2"/>
  <c r="R25" i="2"/>
  <c r="T25" i="2" s="1"/>
  <c r="R24" i="2"/>
  <c r="T24" i="2" s="1"/>
  <c r="R23" i="2"/>
  <c r="J52" i="2" s="1"/>
  <c r="R22" i="2"/>
  <c r="T22" i="2" s="1"/>
  <c r="R21" i="2"/>
  <c r="T21" i="2" s="1"/>
  <c r="R20" i="2"/>
  <c r="T20" i="2" s="1"/>
  <c r="R19" i="2"/>
  <c r="T19" i="2" s="1"/>
  <c r="O25" i="2"/>
  <c r="Q25" i="2" s="1"/>
  <c r="O24" i="2"/>
  <c r="Q24" i="2" s="1"/>
  <c r="O23" i="2"/>
  <c r="J51" i="2" s="1"/>
  <c r="O22" i="2"/>
  <c r="Q22" i="2" s="1"/>
  <c r="O21" i="2"/>
  <c r="Q21" i="2" s="1"/>
  <c r="O20" i="2"/>
  <c r="Q20" i="2" s="1"/>
  <c r="O19" i="2"/>
  <c r="Q19" i="2" s="1"/>
  <c r="L25" i="2"/>
  <c r="N25" i="2" s="1"/>
  <c r="L24" i="2"/>
  <c r="I32" i="2" s="1"/>
  <c r="L23" i="2"/>
  <c r="J50" i="2" s="1"/>
  <c r="L22" i="2"/>
  <c r="N22" i="2" s="1"/>
  <c r="L21" i="2"/>
  <c r="N21" i="2" s="1"/>
  <c r="L20" i="2"/>
  <c r="N20" i="2" s="1"/>
  <c r="L19" i="2"/>
  <c r="N19" i="2" s="1"/>
  <c r="I25" i="2"/>
  <c r="K25" i="2" s="1"/>
  <c r="I24" i="2"/>
  <c r="I31" i="2" s="1"/>
  <c r="I23" i="2"/>
  <c r="K23" i="2" s="1"/>
  <c r="I22" i="2"/>
  <c r="K22" i="2" s="1"/>
  <c r="I21" i="2"/>
  <c r="K21" i="2" s="1"/>
  <c r="I20" i="2"/>
  <c r="K20" i="2" s="1"/>
  <c r="I19" i="2"/>
  <c r="K19" i="2" s="1"/>
  <c r="F25" i="2"/>
  <c r="F24" i="2"/>
  <c r="I30" i="2" s="1"/>
  <c r="F23" i="2"/>
  <c r="F22" i="2"/>
  <c r="H22" i="2" s="1"/>
  <c r="F21" i="2"/>
  <c r="H21" i="2" s="1"/>
  <c r="F20" i="2"/>
  <c r="H20" i="2" s="1"/>
  <c r="F19" i="2"/>
  <c r="C25" i="2"/>
  <c r="E25" i="2" s="1"/>
  <c r="C24" i="2"/>
  <c r="C23" i="2"/>
  <c r="C22" i="2"/>
  <c r="C21" i="2"/>
  <c r="C20" i="2"/>
  <c r="C19" i="2"/>
  <c r="S15" i="2"/>
  <c r="P15" i="2"/>
  <c r="M15" i="2"/>
  <c r="J15" i="2"/>
  <c r="G15" i="2"/>
  <c r="D15" i="2"/>
  <c r="D13" i="2"/>
  <c r="D14" i="2" s="1"/>
  <c r="G13" i="2"/>
  <c r="J13" i="2"/>
  <c r="M13" i="2"/>
  <c r="P13" i="2"/>
  <c r="S13" i="2"/>
  <c r="S14" i="2" s="1"/>
  <c r="S10" i="2"/>
  <c r="P10" i="2"/>
  <c r="M10" i="2"/>
  <c r="J10" i="2"/>
  <c r="G10" i="2"/>
  <c r="D10" i="2"/>
  <c r="C10" i="2"/>
  <c r="F10" i="2"/>
  <c r="I10" i="2"/>
  <c r="K10" i="2" s="1"/>
  <c r="L10" i="2"/>
  <c r="H25" i="2" l="1"/>
  <c r="H23" i="2"/>
  <c r="E21" i="2"/>
  <c r="E20" i="2"/>
  <c r="E10" i="2"/>
  <c r="E19" i="2"/>
  <c r="E23" i="2"/>
  <c r="P14" i="2"/>
  <c r="H19" i="2"/>
  <c r="G14" i="2"/>
  <c r="H10" i="2"/>
  <c r="E22" i="2"/>
  <c r="E24" i="2"/>
  <c r="N10" i="2"/>
  <c r="I33" i="2"/>
  <c r="I34" i="2"/>
  <c r="N23" i="2"/>
  <c r="J47" i="2"/>
  <c r="N24" i="2"/>
  <c r="J48" i="2"/>
  <c r="J49" i="2"/>
  <c r="Q23" i="2"/>
  <c r="K24" i="2"/>
  <c r="T23" i="2"/>
  <c r="H24" i="2"/>
  <c r="I29" i="2"/>
  <c r="M14" i="2"/>
  <c r="J14" i="2"/>
  <c r="O10" i="2"/>
  <c r="Q10" i="2" s="1"/>
  <c r="R10" i="2"/>
  <c r="T10" i="2" s="1"/>
  <c r="R15" i="2"/>
  <c r="T15" i="2" s="1"/>
  <c r="O15" i="2"/>
  <c r="Q15" i="2" s="1"/>
  <c r="L15" i="2"/>
  <c r="N15" i="2" s="1"/>
  <c r="I15" i="2"/>
  <c r="K15" i="2" s="1"/>
  <c r="F15" i="2"/>
  <c r="H15" i="2" s="1"/>
  <c r="C15" i="2"/>
  <c r="E15" i="2" s="1"/>
  <c r="R13" i="2"/>
  <c r="T13" i="2" s="1"/>
  <c r="O13" i="2"/>
  <c r="Q13" i="2" s="1"/>
  <c r="L13" i="2"/>
  <c r="N13" i="2" s="1"/>
  <c r="I13" i="2"/>
  <c r="K13" i="2" s="1"/>
  <c r="F13" i="2"/>
  <c r="H13" i="2" s="1"/>
  <c r="C13" i="2"/>
  <c r="E13" i="2" s="1"/>
  <c r="I14" i="2" l="1"/>
  <c r="K14" i="2" s="1"/>
  <c r="L14" i="2"/>
  <c r="N14" i="2" s="1"/>
  <c r="O14" i="2"/>
  <c r="Q14" i="2" s="1"/>
  <c r="C14" i="2"/>
  <c r="E14" i="2" s="1"/>
  <c r="F14" i="2"/>
  <c r="H14" i="2" s="1"/>
  <c r="R14" i="2"/>
  <c r="T14" i="2" s="1"/>
  <c r="S8" i="2"/>
  <c r="T8" i="2" s="1"/>
  <c r="P8" i="2"/>
  <c r="Q8" i="2" s="1"/>
  <c r="M8" i="2"/>
  <c r="N8" i="2" s="1"/>
  <c r="J8" i="2"/>
  <c r="K8" i="2" s="1"/>
  <c r="G7" i="2"/>
  <c r="H7" i="2" s="1"/>
  <c r="G6" i="2"/>
  <c r="H6" i="2" s="1"/>
  <c r="G8" i="2"/>
  <c r="H8" i="2" s="1"/>
  <c r="D8" i="2"/>
  <c r="L9" i="2"/>
  <c r="I9" i="2"/>
  <c r="F9" i="2"/>
  <c r="R9" i="2"/>
  <c r="O9" i="2"/>
  <c r="C8" i="2"/>
  <c r="S7" i="2"/>
  <c r="T7" i="2" s="1"/>
  <c r="M7" i="2"/>
  <c r="N7" i="2" s="1"/>
  <c r="P7" i="2"/>
  <c r="Q7" i="2" s="1"/>
  <c r="J7" i="2"/>
  <c r="K7" i="2" s="1"/>
  <c r="D7" i="2"/>
  <c r="E7" i="2" s="1"/>
  <c r="S6" i="2"/>
  <c r="T6" i="2" s="1"/>
  <c r="P6" i="2"/>
  <c r="M6" i="2"/>
  <c r="J6" i="2"/>
  <c r="D6" i="2"/>
  <c r="E6" i="2" s="1"/>
  <c r="T59" i="1"/>
  <c r="S59" i="1"/>
  <c r="Q59" i="1"/>
  <c r="P59" i="1"/>
  <c r="T58" i="1"/>
  <c r="S58" i="1"/>
  <c r="Q58" i="1"/>
  <c r="P58" i="1"/>
  <c r="T57" i="1"/>
  <c r="S57" i="1"/>
  <c r="Q57" i="1"/>
  <c r="P57" i="1"/>
  <c r="T56" i="1"/>
  <c r="S56" i="1"/>
  <c r="Q56" i="1"/>
  <c r="P56" i="1"/>
  <c r="T55" i="1"/>
  <c r="S55" i="1"/>
  <c r="Q55" i="1"/>
  <c r="P55" i="1"/>
  <c r="T54" i="1"/>
  <c r="S54" i="1"/>
  <c r="R54" i="1"/>
  <c r="Q54" i="1"/>
  <c r="P54" i="1"/>
  <c r="O54" i="1"/>
  <c r="T53" i="1"/>
  <c r="S53" i="1"/>
  <c r="Q53" i="1"/>
  <c r="P53" i="1"/>
  <c r="T52" i="1"/>
  <c r="S52" i="1"/>
  <c r="R52" i="1"/>
  <c r="Q52" i="1"/>
  <c r="P52" i="1"/>
  <c r="T51" i="1"/>
  <c r="S51" i="1"/>
  <c r="Q51" i="1"/>
  <c r="P51" i="1"/>
  <c r="T50" i="1"/>
  <c r="S50" i="1"/>
  <c r="Q50" i="1"/>
  <c r="P50" i="1"/>
  <c r="T49" i="1"/>
  <c r="S49" i="1"/>
  <c r="R49" i="1"/>
  <c r="Q49" i="1"/>
  <c r="P49" i="1"/>
  <c r="O52" i="1"/>
  <c r="O49" i="1"/>
  <c r="H63" i="1"/>
  <c r="G63" i="1"/>
  <c r="E63" i="1"/>
  <c r="D63" i="1"/>
  <c r="H62" i="1"/>
  <c r="G62" i="1"/>
  <c r="E62" i="1"/>
  <c r="D62" i="1"/>
  <c r="H61" i="1"/>
  <c r="G61" i="1"/>
  <c r="E61" i="1"/>
  <c r="D61" i="1"/>
  <c r="H60" i="1"/>
  <c r="G60" i="1"/>
  <c r="E60" i="1"/>
  <c r="D60" i="1"/>
  <c r="H59" i="1"/>
  <c r="G59" i="1"/>
  <c r="E59" i="1"/>
  <c r="D59" i="1"/>
  <c r="H58" i="1"/>
  <c r="G58" i="1"/>
  <c r="E58" i="1"/>
  <c r="D58" i="1"/>
  <c r="H57" i="1"/>
  <c r="G57" i="1"/>
  <c r="E57" i="1"/>
  <c r="D57" i="1"/>
  <c r="H56" i="1"/>
  <c r="G56" i="1"/>
  <c r="E56" i="1"/>
  <c r="D56" i="1"/>
  <c r="H55" i="1"/>
  <c r="G55" i="1"/>
  <c r="E55" i="1"/>
  <c r="D55" i="1"/>
  <c r="I54" i="1"/>
  <c r="U47" i="1"/>
  <c r="U46" i="1"/>
  <c r="U36" i="1"/>
  <c r="U43" i="1" s="1"/>
  <c r="U23" i="1"/>
  <c r="U15" i="1"/>
  <c r="T47" i="1"/>
  <c r="T46" i="1"/>
  <c r="T36" i="1"/>
  <c r="T43" i="1" s="1"/>
  <c r="T23" i="1"/>
  <c r="T15" i="1"/>
  <c r="T27" i="1" s="1"/>
  <c r="H54" i="1"/>
  <c r="T48" i="1" s="1"/>
  <c r="G54" i="1"/>
  <c r="S48" i="1" s="1"/>
  <c r="F54" i="1"/>
  <c r="E54" i="1"/>
  <c r="D54" i="1"/>
  <c r="C54" i="1"/>
  <c r="S47" i="1"/>
  <c r="R47" i="1"/>
  <c r="Q47" i="1"/>
  <c r="P47" i="1"/>
  <c r="O47" i="1"/>
  <c r="S46" i="1"/>
  <c r="R46" i="1"/>
  <c r="Q46" i="1"/>
  <c r="P46" i="1"/>
  <c r="O46" i="1"/>
  <c r="O42" i="1"/>
  <c r="S36" i="1"/>
  <c r="S43" i="1" s="1"/>
  <c r="R36" i="1"/>
  <c r="R43" i="1" s="1"/>
  <c r="Q36" i="1"/>
  <c r="Q43" i="1" s="1"/>
  <c r="P36" i="1"/>
  <c r="P43" i="1" s="1"/>
  <c r="O36" i="1"/>
  <c r="S15" i="1"/>
  <c r="R15" i="1"/>
  <c r="Q15" i="1"/>
  <c r="P15" i="1"/>
  <c r="O15" i="1"/>
  <c r="S23" i="1"/>
  <c r="R23" i="1"/>
  <c r="Q23" i="1"/>
  <c r="P23" i="1"/>
  <c r="O23" i="1"/>
  <c r="I40" i="1"/>
  <c r="G40" i="1"/>
  <c r="F40" i="1"/>
  <c r="E40" i="1"/>
  <c r="D40" i="1"/>
  <c r="C40" i="1"/>
  <c r="H40" i="1"/>
  <c r="I21" i="1"/>
  <c r="G21" i="1"/>
  <c r="F21" i="1"/>
  <c r="E21" i="1"/>
  <c r="D21" i="1"/>
  <c r="C21" i="1"/>
  <c r="F15" i="1"/>
  <c r="E15" i="1"/>
  <c r="D15" i="1"/>
  <c r="C15" i="1"/>
  <c r="I15" i="1"/>
  <c r="G15" i="1"/>
  <c r="H21" i="1"/>
  <c r="H15" i="1"/>
  <c r="C4" i="1" a="1"/>
  <c r="V23" i="1" l="1"/>
  <c r="X23" i="1"/>
  <c r="W23" i="1"/>
  <c r="U54" i="1"/>
  <c r="U27" i="1"/>
  <c r="L18" i="2"/>
  <c r="C50" i="2" s="1"/>
  <c r="J9" i="2"/>
  <c r="J18" i="2" s="1"/>
  <c r="D31" i="2" s="1"/>
  <c r="K6" i="2"/>
  <c r="P9" i="2"/>
  <c r="P18" i="2" s="1"/>
  <c r="D33" i="2" s="1"/>
  <c r="Q6" i="2"/>
  <c r="I11" i="2"/>
  <c r="I12" i="2" s="1"/>
  <c r="K9" i="2"/>
  <c r="M9" i="2"/>
  <c r="M18" i="2" s="1"/>
  <c r="N6" i="2"/>
  <c r="C9" i="2"/>
  <c r="E8" i="2"/>
  <c r="F18" i="2"/>
  <c r="C48" i="2" s="1"/>
  <c r="O11" i="2"/>
  <c r="O17" i="2" s="1"/>
  <c r="R18" i="2"/>
  <c r="G9" i="2"/>
  <c r="D9" i="2"/>
  <c r="F11" i="2"/>
  <c r="I18" i="2"/>
  <c r="R11" i="2"/>
  <c r="R17" i="2" s="1"/>
  <c r="O18" i="2"/>
  <c r="J11" i="2"/>
  <c r="J17" i="2" s="1"/>
  <c r="M11" i="2"/>
  <c r="M17" i="2" s="1"/>
  <c r="P11" i="2"/>
  <c r="P17" i="2" s="1"/>
  <c r="L11" i="2"/>
  <c r="S9" i="2"/>
  <c r="T9" i="2" s="1"/>
  <c r="U49" i="1"/>
  <c r="O43" i="1"/>
  <c r="O48" i="1"/>
  <c r="P48" i="1"/>
  <c r="Q48" i="1"/>
  <c r="U48" i="1"/>
  <c r="R48" i="1"/>
  <c r="T45" i="1"/>
  <c r="I23" i="1"/>
  <c r="I28" i="1" s="1"/>
  <c r="H23" i="1"/>
  <c r="H28" i="1" s="1"/>
  <c r="H42" i="1" s="1"/>
  <c r="H47" i="1" s="1"/>
  <c r="H49" i="1" s="1"/>
  <c r="H52" i="1" s="1"/>
  <c r="O27" i="1"/>
  <c r="O45" i="1" s="1"/>
  <c r="P27" i="1"/>
  <c r="P45" i="1" s="1"/>
  <c r="C23" i="1"/>
  <c r="C28" i="1" s="1"/>
  <c r="Q27" i="1"/>
  <c r="Q45" i="1" s="1"/>
  <c r="R27" i="1"/>
  <c r="R45" i="1" s="1"/>
  <c r="S27" i="1"/>
  <c r="S45" i="1" s="1"/>
  <c r="G23" i="1"/>
  <c r="G28" i="1" s="1"/>
  <c r="G42" i="1" s="1"/>
  <c r="G47" i="1" s="1"/>
  <c r="G49" i="1" s="1"/>
  <c r="G52" i="1" s="1"/>
  <c r="D23" i="1"/>
  <c r="D28" i="1" s="1"/>
  <c r="E23" i="1"/>
  <c r="E28" i="1" s="1"/>
  <c r="E42" i="1" s="1"/>
  <c r="E47" i="1" s="1"/>
  <c r="E49" i="1" s="1"/>
  <c r="E52" i="1" s="1"/>
  <c r="F23" i="1"/>
  <c r="F28" i="1" s="1"/>
  <c r="C6" i="1"/>
  <c r="D50" i="2" l="1"/>
  <c r="D32" i="2"/>
  <c r="G18" i="2"/>
  <c r="D48" i="2" s="1"/>
  <c r="H9" i="2"/>
  <c r="D18" i="2"/>
  <c r="D11" i="2"/>
  <c r="D17" i="2" s="1"/>
  <c r="U45" i="1"/>
  <c r="V27" i="1"/>
  <c r="X27" i="1"/>
  <c r="W27" i="1"/>
  <c r="Q9" i="2"/>
  <c r="D49" i="2"/>
  <c r="I42" i="1"/>
  <c r="U59" i="1" s="1"/>
  <c r="I59" i="1"/>
  <c r="I57" i="1"/>
  <c r="I60" i="1"/>
  <c r="I58" i="1"/>
  <c r="U55" i="1"/>
  <c r="I56" i="1"/>
  <c r="I61" i="1"/>
  <c r="U56" i="1"/>
  <c r="U57" i="1" s="1"/>
  <c r="I55" i="1"/>
  <c r="U51" i="1"/>
  <c r="N18" i="2"/>
  <c r="C30" i="2"/>
  <c r="H18" i="2"/>
  <c r="C32" i="2"/>
  <c r="I17" i="2"/>
  <c r="K17" i="2" s="1"/>
  <c r="C18" i="2"/>
  <c r="E9" i="2"/>
  <c r="C11" i="2"/>
  <c r="C17" i="2" s="1"/>
  <c r="E17" i="2" s="1"/>
  <c r="D51" i="2"/>
  <c r="N9" i="2"/>
  <c r="K11" i="2"/>
  <c r="D30" i="2"/>
  <c r="D29" i="2"/>
  <c r="D47" i="2"/>
  <c r="C52" i="2"/>
  <c r="C34" i="2"/>
  <c r="L17" i="2"/>
  <c r="N17" i="2" s="1"/>
  <c r="N11" i="2"/>
  <c r="C49" i="2"/>
  <c r="C31" i="2"/>
  <c r="K18" i="2"/>
  <c r="F17" i="2"/>
  <c r="Q18" i="2"/>
  <c r="C51" i="2"/>
  <c r="C33" i="2"/>
  <c r="O12" i="2"/>
  <c r="Q11" i="2"/>
  <c r="G11" i="2"/>
  <c r="G17" i="2" s="1"/>
  <c r="L12" i="2"/>
  <c r="S18" i="2"/>
  <c r="S11" i="2"/>
  <c r="J12" i="2"/>
  <c r="K12" i="2" s="1"/>
  <c r="P12" i="2"/>
  <c r="Q17" i="2"/>
  <c r="M12" i="2"/>
  <c r="D12" i="2"/>
  <c r="R12" i="2"/>
  <c r="F12" i="2"/>
  <c r="C42" i="1"/>
  <c r="C58" i="1"/>
  <c r="C61" i="1"/>
  <c r="C57" i="1"/>
  <c r="C56" i="1"/>
  <c r="C55" i="1"/>
  <c r="O56" i="1"/>
  <c r="O57" i="1" s="1"/>
  <c r="C59" i="1"/>
  <c r="C60" i="1"/>
  <c r="O55" i="1"/>
  <c r="O51" i="1"/>
  <c r="F42" i="1"/>
  <c r="F56" i="1"/>
  <c r="R55" i="1"/>
  <c r="F59" i="1"/>
  <c r="R51" i="1"/>
  <c r="R56" i="1"/>
  <c r="R57" i="1" s="1"/>
  <c r="F61" i="1"/>
  <c r="F57" i="1"/>
  <c r="F55" i="1"/>
  <c r="F60" i="1"/>
  <c r="F58" i="1"/>
  <c r="D42" i="1"/>
  <c r="D47" i="1" s="1"/>
  <c r="D49" i="1" s="1"/>
  <c r="D52" i="1" s="1"/>
  <c r="W45" i="1" l="1"/>
  <c r="V45" i="1"/>
  <c r="X45" i="1"/>
  <c r="U52" i="1"/>
  <c r="X55" i="1"/>
  <c r="W55" i="1"/>
  <c r="V55" i="1"/>
  <c r="X51" i="1"/>
  <c r="W51" i="1"/>
  <c r="V51" i="1"/>
  <c r="U58" i="1"/>
  <c r="I47" i="1"/>
  <c r="I49" i="1" s="1"/>
  <c r="I62" i="1"/>
  <c r="C12" i="2"/>
  <c r="E12" i="2" s="1"/>
  <c r="E11" i="2"/>
  <c r="T18" i="2"/>
  <c r="D52" i="2"/>
  <c r="D34" i="2"/>
  <c r="H11" i="2"/>
  <c r="T11" i="2"/>
  <c r="S17" i="2"/>
  <c r="T17" i="2" s="1"/>
  <c r="G12" i="2"/>
  <c r="H12" i="2" s="1"/>
  <c r="E18" i="2"/>
  <c r="C47" i="2"/>
  <c r="C29" i="2"/>
  <c r="H17" i="2"/>
  <c r="S12" i="2"/>
  <c r="C47" i="1"/>
  <c r="C49" i="1" s="1"/>
  <c r="C62" i="1"/>
  <c r="O59" i="1"/>
  <c r="O58" i="1"/>
  <c r="F47" i="1"/>
  <c r="F49" i="1" s="1"/>
  <c r="R59" i="1"/>
  <c r="F62" i="1"/>
  <c r="R58" i="1"/>
  <c r="W52" i="1" l="1"/>
  <c r="V52" i="1"/>
  <c r="X52" i="1"/>
  <c r="I52" i="1"/>
  <c r="I63" i="1"/>
  <c r="U50" i="1" s="1"/>
  <c r="U53" i="1" s="1"/>
  <c r="C52" i="1"/>
  <c r="C63" i="1"/>
  <c r="O50" i="1" s="1"/>
  <c r="O53" i="1" s="1"/>
  <c r="F52" i="1"/>
  <c r="F63" i="1"/>
  <c r="R50" i="1" s="1"/>
  <c r="R53" i="1" s="1"/>
  <c r="V53" i="1" l="1"/>
  <c r="X53" i="1"/>
  <c r="W5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<sst xmlns="http://schemas.openxmlformats.org/spreadsheetml/2006/main" count="196" uniqueCount="148">
  <si>
    <t>Price</t>
  </si>
  <si>
    <t>Shares outstanding</t>
  </si>
  <si>
    <t>Mkt cap</t>
  </si>
  <si>
    <t>Revenues</t>
  </si>
  <si>
    <t>1Y</t>
  </si>
  <si>
    <t>2Y</t>
  </si>
  <si>
    <t>Assets</t>
  </si>
  <si>
    <t>Current</t>
  </si>
  <si>
    <t>2019</t>
  </si>
  <si>
    <t>2020</t>
  </si>
  <si>
    <t>2021</t>
  </si>
  <si>
    <t>2022</t>
  </si>
  <si>
    <t>2023</t>
  </si>
  <si>
    <t>2024</t>
  </si>
  <si>
    <t>.</t>
  </si>
  <si>
    <t>FedEx Express</t>
  </si>
  <si>
    <t>U.S. domestic package</t>
  </si>
  <si>
    <t>International export package</t>
  </si>
  <si>
    <t>U.S., freight</t>
  </si>
  <si>
    <t>International priority, freight</t>
  </si>
  <si>
    <t>International economy, freight</t>
  </si>
  <si>
    <t>International airfreight, freight</t>
  </si>
  <si>
    <t>Total Freight Revenue</t>
  </si>
  <si>
    <t>Total Package Revenue</t>
  </si>
  <si>
    <t>Other</t>
  </si>
  <si>
    <t>Package:</t>
  </si>
  <si>
    <t>Freight:</t>
  </si>
  <si>
    <t>Total FedEx Express Segment</t>
  </si>
  <si>
    <t>FedEx Ground Segment</t>
  </si>
  <si>
    <t>FedEx Freight Segment</t>
  </si>
  <si>
    <t>FedEx Services Segment</t>
  </si>
  <si>
    <t>Other &amp; eliminations</t>
  </si>
  <si>
    <t>Total Revenue</t>
  </si>
  <si>
    <t>2025</t>
  </si>
  <si>
    <t>International domestic</t>
  </si>
  <si>
    <t>Operating expenses</t>
  </si>
  <si>
    <t>Salaries &amp; employee benefits</t>
  </si>
  <si>
    <t>Purchased transportation</t>
  </si>
  <si>
    <t>Rentals &amp; landing fees</t>
  </si>
  <si>
    <t>Depr &amp; amor</t>
  </si>
  <si>
    <t>Fuel</t>
  </si>
  <si>
    <t>Maintenance &amp; repairs</t>
  </si>
  <si>
    <t>Goodwill &amp; other impairments</t>
  </si>
  <si>
    <t>Total Operating Expenses</t>
  </si>
  <si>
    <t>EBITDA</t>
  </si>
  <si>
    <t>Interest expense</t>
  </si>
  <si>
    <t>Interest income</t>
  </si>
  <si>
    <t>Other retirement plans income</t>
  </si>
  <si>
    <t>EBT</t>
  </si>
  <si>
    <t>Taxes</t>
  </si>
  <si>
    <t>Net income</t>
  </si>
  <si>
    <t>EPS</t>
  </si>
  <si>
    <t>Cash</t>
  </si>
  <si>
    <t>Receivables</t>
  </si>
  <si>
    <t>Parts, supplies, &amp; fuel</t>
  </si>
  <si>
    <t>Prepaid</t>
  </si>
  <si>
    <t>Aircraft &amp; related equipment</t>
  </si>
  <si>
    <t>Package handling &amp; ground support equipment</t>
  </si>
  <si>
    <t>Information technology</t>
  </si>
  <si>
    <t xml:space="preserve">Vehicles &amp; trailers </t>
  </si>
  <si>
    <t>Facilities &amp; other</t>
  </si>
  <si>
    <t>Leases</t>
  </si>
  <si>
    <t>Goodwill</t>
  </si>
  <si>
    <t>Total Assets</t>
  </si>
  <si>
    <t>Property &amp; Equipment, @ cost:</t>
  </si>
  <si>
    <t>Total PPE, net</t>
  </si>
  <si>
    <t>Less accum depr &amp; amor</t>
  </si>
  <si>
    <t>Liabilities</t>
  </si>
  <si>
    <t>LT debt, current</t>
  </si>
  <si>
    <t>Accr salaries &amp; employee benefits</t>
  </si>
  <si>
    <t>AP</t>
  </si>
  <si>
    <t>Accr expenses</t>
  </si>
  <si>
    <t>Total Current</t>
  </si>
  <si>
    <t>Defer income taxes</t>
  </si>
  <si>
    <t>Pension, retirement obligations</t>
  </si>
  <si>
    <t>Self-insurance accr</t>
  </si>
  <si>
    <t>Total Liabilities</t>
  </si>
  <si>
    <t>LT debt</t>
  </si>
  <si>
    <t>Equity</t>
  </si>
  <si>
    <t>EV</t>
  </si>
  <si>
    <t>Debt</t>
  </si>
  <si>
    <t>Mkt value</t>
  </si>
  <si>
    <t>U.S. Domestic to Total</t>
  </si>
  <si>
    <t>International Export to Total</t>
  </si>
  <si>
    <t>International Domestic to Total</t>
  </si>
  <si>
    <t>Freight to Total</t>
  </si>
  <si>
    <t>FedEx Ground to Total</t>
  </si>
  <si>
    <t>FedEx Freight to Total</t>
  </si>
  <si>
    <t>FedEx Services to Total</t>
  </si>
  <si>
    <t>Operating Margin</t>
  </si>
  <si>
    <t>Net Margin</t>
  </si>
  <si>
    <t>Current ratio</t>
  </si>
  <si>
    <t>NM</t>
  </si>
  <si>
    <t>Revenue turnover</t>
  </si>
  <si>
    <t>EM</t>
  </si>
  <si>
    <t>ROE</t>
  </si>
  <si>
    <t>Real debt to liabilities</t>
  </si>
  <si>
    <t>PPE turnover</t>
  </si>
  <si>
    <t>Receivables turnover</t>
  </si>
  <si>
    <t>Yearly receivables turnover (days)</t>
  </si>
  <si>
    <t>EV/EBITDA</t>
  </si>
  <si>
    <t>EBITDA/EV</t>
  </si>
  <si>
    <t>UPS</t>
  </si>
  <si>
    <t>US Domestic Package</t>
  </si>
  <si>
    <t>International Package</t>
  </si>
  <si>
    <t>FDX</t>
  </si>
  <si>
    <t>Freight &amp; Services</t>
  </si>
  <si>
    <t>Company</t>
  </si>
  <si>
    <t>Year</t>
  </si>
  <si>
    <t>Operating costs</t>
  </si>
  <si>
    <t>Other expenses</t>
  </si>
  <si>
    <t>UPS2</t>
  </si>
  <si>
    <t>FDX5</t>
  </si>
  <si>
    <t>UPS6</t>
  </si>
  <si>
    <t>FDX7</t>
  </si>
  <si>
    <t>UPS8</t>
  </si>
  <si>
    <t>FDX9</t>
  </si>
  <si>
    <t>UPS10</t>
  </si>
  <si>
    <t>FDX11</t>
  </si>
  <si>
    <t>Operating margin</t>
  </si>
  <si>
    <t>Real Debt to Liabilities</t>
  </si>
  <si>
    <t>PPE Turnover</t>
  </si>
  <si>
    <t>USP</t>
  </si>
  <si>
    <t>USP2</t>
  </si>
  <si>
    <t>FDX2</t>
  </si>
  <si>
    <t>%</t>
  </si>
  <si>
    <t>Diff</t>
  </si>
  <si>
    <t>%2</t>
  </si>
  <si>
    <t>%3</t>
  </si>
  <si>
    <t>%4</t>
  </si>
  <si>
    <t>%5</t>
  </si>
  <si>
    <t>%6</t>
  </si>
  <si>
    <t>XXXX</t>
  </si>
  <si>
    <t>Net margin</t>
  </si>
  <si>
    <t>Business optimization costs</t>
  </si>
  <si>
    <t>NOPAT</t>
  </si>
  <si>
    <t>IC</t>
  </si>
  <si>
    <t>Screening Score</t>
  </si>
  <si>
    <t>Column1</t>
  </si>
  <si>
    <t>Revenue (CAGR)</t>
  </si>
  <si>
    <t>EBITDA Margin</t>
  </si>
  <si>
    <t>ROIC</t>
  </si>
  <si>
    <t>Debt-to-EBITDA</t>
  </si>
  <si>
    <t>EPS σ</t>
  </si>
  <si>
    <t>EV-to-EBITDA</t>
  </si>
  <si>
    <t>Industry</t>
  </si>
  <si>
    <t>Freight &amp; Logistics</t>
  </si>
  <si>
    <t>6Y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</si>
</sst>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$-409]* #,##0.00_);_([$$-409]* \(#,##0.00\);_([$$-409]* &quot;-&quot;??_);_(@_)"/>
    <numFmt numFmtId="165" formatCode="_(* #,##0.0_);_(* \(#,##0.0\);_(* &quot;-&quot;??_);_(@_)"/>
    <numFmt numFmtId="166" formatCode="_(* #,##0_);_(* \(#,##0\);_(* &quot;-&quot;??_);_(@_)"/>
    <numFmt numFmtId="167" formatCode="0.0%"/>
    <numFmt numFmtId="168" formatCode="_(* #,##0.000_);_(* \(#,##0.000\);_(* &quot;-&quot;??_);_(@_)"/>
    <numFmt numFmtId="169" formatCode="0.000"/>
  </numFmts>
  <fonts count="23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4"/>
      <name val="Arial"/>
      <family val="2"/>
    </font>
    <font>
      <b/>
      <sz val="10"/>
      <color theme="0"/>
      <name val="Arial"/>
      <family val="2"/>
    </font>
    <font>
      <sz val="8"/>
      <name val="Aptos Narrow"/>
      <family val="2"/>
      <scheme val="minor"/>
    </font>
    <font>
      <b/>
      <sz val="10"/>
      <color theme="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color theme="1"/>
      <name val="Arial"/>
      <family val="2"/>
    </font>
    <font>
      <sz val="12"/>
      <color theme="4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4DCF8"/>
        <bgColor indexed="64"/>
      </patternFill>
    </fill>
    <fill>
      <patternFill patternType="solid">
        <fgColor rgb="FFB5E6A2"/>
        <bgColor indexed="64"/>
      </patternFill>
    </fill>
    <fill>
      <patternFill patternType="solid">
        <fgColor rgb="FFEE0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138">
    <xf numFmtId="0" fontId="0" fillId="0" borderId="0" xfId="0"/>
    <xf numFmtId="0" fontId="11" fillId="0" borderId="0" xfId="0" applyFont="1"/>
    <xf numFmtId="164" fontId="11" fillId="0" borderId="0" xfId="0" applyNumberFormat="1" applyFont="1"/>
    <xf numFmtId="165" fontId="11" fillId="0" borderId="0" xfId="1" applyNumberFormat="1" applyFont="1"/>
    <xf numFmtId="0" fontId="12" fillId="0" borderId="1" xfId="0" applyFont="1" applyBorder="1"/>
    <xf numFmtId="0" fontId="12" fillId="0" borderId="2" xfId="0" applyFont="1" applyBorder="1"/>
    <xf numFmtId="0" fontId="12" fillId="0" borderId="2" xfId="0" applyFont="1" applyBorder="1" applyAlignment="1">
      <alignment horizontal="left"/>
    </xf>
    <xf numFmtId="0" fontId="12" fillId="0" borderId="0" xfId="0" applyFont="1"/>
    <xf numFmtId="0" fontId="12" fillId="2" borderId="1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3" fillId="0" borderId="3" xfId="0" applyFont="1" applyBorder="1"/>
    <xf numFmtId="165" fontId="11" fillId="0" borderId="0" xfId="1" applyNumberFormat="1" applyFont="1" applyBorder="1"/>
    <xf numFmtId="9" fontId="12" fillId="3" borderId="0" xfId="3" applyFont="1" applyFill="1" applyBorder="1"/>
    <xf numFmtId="166" fontId="8" fillId="0" borderId="0" xfId="1" applyNumberFormat="1" applyFont="1" applyBorder="1"/>
    <xf numFmtId="0" fontId="12" fillId="0" borderId="2" xfId="0" applyFont="1" applyBorder="1" applyAlignment="1">
      <alignment horizontal="left" indent="2"/>
    </xf>
    <xf numFmtId="0" fontId="12" fillId="0" borderId="2" xfId="0" applyFont="1" applyBorder="1" applyAlignment="1">
      <alignment horizontal="left" indent="1"/>
    </xf>
    <xf numFmtId="0" fontId="7" fillId="0" borderId="0" xfId="0" applyFont="1"/>
    <xf numFmtId="0" fontId="7" fillId="0" borderId="2" xfId="0" applyFont="1" applyBorder="1"/>
    <xf numFmtId="0" fontId="7" fillId="0" borderId="2" xfId="0" applyFont="1" applyBorder="1" applyAlignment="1">
      <alignment horizontal="left" indent="1"/>
    </xf>
    <xf numFmtId="0" fontId="7" fillId="0" borderId="2" xfId="0" applyFont="1" applyBorder="1" applyAlignment="1">
      <alignment horizontal="left" indent="2"/>
    </xf>
    <xf numFmtId="0" fontId="12" fillId="0" borderId="5" xfId="0" applyFont="1" applyBorder="1"/>
    <xf numFmtId="9" fontId="12" fillId="2" borderId="4" xfId="3" applyFont="1" applyFill="1" applyBorder="1"/>
    <xf numFmtId="9" fontId="12" fillId="3" borderId="4" xfId="3" applyFont="1" applyFill="1" applyBorder="1"/>
    <xf numFmtId="9" fontId="12" fillId="4" borderId="4" xfId="3" applyFont="1" applyFill="1" applyBorder="1"/>
    <xf numFmtId="0" fontId="12" fillId="0" borderId="5" xfId="0" applyFont="1" applyBorder="1" applyAlignment="1">
      <alignment horizontal="left" indent="1"/>
    </xf>
    <xf numFmtId="0" fontId="12" fillId="0" borderId="5" xfId="0" applyFont="1" applyBorder="1" applyAlignment="1">
      <alignment horizontal="left" indent="2"/>
    </xf>
    <xf numFmtId="0" fontId="12" fillId="0" borderId="5" xfId="0" applyFont="1" applyBorder="1" applyAlignment="1">
      <alignment horizontal="left" indent="3"/>
    </xf>
    <xf numFmtId="0" fontId="12" fillId="0" borderId="5" xfId="0" applyFont="1" applyBorder="1" applyAlignment="1">
      <alignment horizontal="left" indent="4"/>
    </xf>
    <xf numFmtId="166" fontId="12" fillId="0" borderId="0" xfId="1" applyNumberFormat="1" applyFont="1" applyBorder="1"/>
    <xf numFmtId="44" fontId="7" fillId="0" borderId="0" xfId="2" applyFont="1" applyBorder="1"/>
    <xf numFmtId="166" fontId="7" fillId="0" borderId="0" xfId="1" applyNumberFormat="1" applyFont="1" applyBorder="1"/>
    <xf numFmtId="166" fontId="7" fillId="0" borderId="0" xfId="1" applyNumberFormat="1" applyFont="1"/>
    <xf numFmtId="166" fontId="10" fillId="0" borderId="0" xfId="1" applyNumberFormat="1" applyFont="1"/>
    <xf numFmtId="166" fontId="7" fillId="0" borderId="0" xfId="2" applyNumberFormat="1" applyFont="1" applyBorder="1"/>
    <xf numFmtId="166" fontId="7" fillId="0" borderId="0" xfId="3" applyNumberFormat="1" applyFont="1" applyBorder="1"/>
    <xf numFmtId="166" fontId="12" fillId="0" borderId="4" xfId="1" applyNumberFormat="1" applyFont="1" applyBorder="1"/>
    <xf numFmtId="0" fontId="7" fillId="0" borderId="2" xfId="0" applyFont="1" applyBorder="1" applyAlignment="1">
      <alignment horizontal="left"/>
    </xf>
    <xf numFmtId="166" fontId="12" fillId="0" borderId="0" xfId="3" applyNumberFormat="1" applyFont="1" applyBorder="1"/>
    <xf numFmtId="166" fontId="12" fillId="0" borderId="4" xfId="3" applyNumberFormat="1" applyFont="1" applyBorder="1"/>
    <xf numFmtId="0" fontId="7" fillId="0" borderId="6" xfId="0" applyFont="1" applyBorder="1"/>
    <xf numFmtId="0" fontId="7" fillId="0" borderId="2" xfId="0" applyFont="1" applyBorder="1" applyAlignment="1">
      <alignment horizontal="left" wrapText="1" indent="2"/>
    </xf>
    <xf numFmtId="166" fontId="11" fillId="0" borderId="0" xfId="1" applyNumberFormat="1" applyFont="1"/>
    <xf numFmtId="166" fontId="0" fillId="0" borderId="0" xfId="1" applyNumberFormat="1" applyFont="1"/>
    <xf numFmtId="166" fontId="11" fillId="0" borderId="0" xfId="1" applyNumberFormat="1" applyFont="1" applyBorder="1"/>
    <xf numFmtId="166" fontId="9" fillId="0" borderId="0" xfId="1" applyNumberFormat="1" applyFont="1" applyBorder="1"/>
    <xf numFmtId="166" fontId="7" fillId="0" borderId="0" xfId="1" applyNumberFormat="1" applyFont="1" applyBorder="1" applyAlignment="1">
      <alignment horizontal="left" indent="1"/>
    </xf>
    <xf numFmtId="166" fontId="12" fillId="0" borderId="0" xfId="1" applyNumberFormat="1" applyFont="1"/>
    <xf numFmtId="166" fontId="6" fillId="0" borderId="0" xfId="1" applyNumberFormat="1" applyFont="1" applyBorder="1"/>
    <xf numFmtId="166" fontId="6" fillId="0" borderId="0" xfId="1" applyNumberFormat="1" applyFont="1"/>
    <xf numFmtId="166" fontId="6" fillId="2" borderId="0" xfId="0" applyNumberFormat="1" applyFont="1" applyFill="1"/>
    <xf numFmtId="166" fontId="6" fillId="3" borderId="0" xfId="0" applyNumberFormat="1" applyFont="1" applyFill="1"/>
    <xf numFmtId="166" fontId="6" fillId="4" borderId="0" xfId="0" applyNumberFormat="1" applyFont="1" applyFill="1"/>
    <xf numFmtId="166" fontId="6" fillId="2" borderId="0" xfId="3" applyNumberFormat="1" applyFont="1" applyFill="1" applyBorder="1"/>
    <xf numFmtId="166" fontId="6" fillId="3" borderId="0" xfId="3" applyNumberFormat="1" applyFont="1" applyFill="1" applyBorder="1"/>
    <xf numFmtId="166" fontId="6" fillId="4" borderId="0" xfId="3" applyNumberFormat="1" applyFont="1" applyFill="1" applyBorder="1"/>
    <xf numFmtId="9" fontId="6" fillId="2" borderId="0" xfId="3" applyFont="1" applyFill="1" applyBorder="1"/>
    <xf numFmtId="9" fontId="6" fillId="3" borderId="0" xfId="3" applyFont="1" applyFill="1" applyBorder="1"/>
    <xf numFmtId="9" fontId="6" fillId="4" borderId="0" xfId="3" applyFont="1" applyFill="1" applyBorder="1"/>
    <xf numFmtId="0" fontId="11" fillId="0" borderId="6" xfId="0" applyFont="1" applyBorder="1"/>
    <xf numFmtId="0" fontId="6" fillId="0" borderId="2" xfId="0" applyFont="1" applyBorder="1"/>
    <xf numFmtId="44" fontId="6" fillId="0" borderId="0" xfId="2" applyFont="1" applyBorder="1"/>
    <xf numFmtId="0" fontId="6" fillId="0" borderId="0" xfId="0" applyFont="1"/>
    <xf numFmtId="9" fontId="6" fillId="0" borderId="0" xfId="3" applyFont="1" applyBorder="1"/>
    <xf numFmtId="167" fontId="6" fillId="0" borderId="0" xfId="3" applyNumberFormat="1" applyFont="1" applyBorder="1"/>
    <xf numFmtId="0" fontId="6" fillId="0" borderId="2" xfId="0" applyFont="1" applyBorder="1" applyAlignment="1">
      <alignment horizontal="left" indent="1"/>
    </xf>
    <xf numFmtId="165" fontId="6" fillId="0" borderId="0" xfId="1" applyNumberFormat="1" applyFont="1" applyBorder="1"/>
    <xf numFmtId="168" fontId="6" fillId="0" borderId="0" xfId="1" applyNumberFormat="1" applyFont="1" applyBorder="1"/>
    <xf numFmtId="166" fontId="4" fillId="0" borderId="0" xfId="1" applyNumberFormat="1" applyFont="1" applyBorder="1"/>
    <xf numFmtId="0" fontId="5" fillId="0" borderId="2" xfId="0" applyFont="1" applyBorder="1"/>
    <xf numFmtId="166" fontId="4" fillId="0" borderId="2" xfId="1" applyNumberFormat="1" applyFont="1" applyBorder="1"/>
    <xf numFmtId="166" fontId="4" fillId="0" borderId="3" xfId="1" applyNumberFormat="1" applyFont="1" applyBorder="1"/>
    <xf numFmtId="166" fontId="12" fillId="0" borderId="5" xfId="1" applyNumberFormat="1" applyFont="1" applyBorder="1" applyAlignment="1">
      <alignment horizontal="left" indent="1"/>
    </xf>
    <xf numFmtId="0" fontId="12" fillId="0" borderId="3" xfId="0" applyFont="1" applyBorder="1"/>
    <xf numFmtId="0" fontId="6" fillId="0" borderId="0" xfId="1" applyNumberFormat="1" applyFont="1"/>
    <xf numFmtId="0" fontId="4" fillId="0" borderId="2" xfId="1" applyNumberFormat="1" applyFont="1" applyBorder="1"/>
    <xf numFmtId="0" fontId="12" fillId="0" borderId="5" xfId="1" applyNumberFormat="1" applyFont="1" applyBorder="1"/>
    <xf numFmtId="0" fontId="12" fillId="0" borderId="5" xfId="1" applyNumberFormat="1" applyFont="1" applyBorder="1" applyAlignment="1">
      <alignment horizontal="left" indent="1"/>
    </xf>
    <xf numFmtId="0" fontId="4" fillId="0" borderId="2" xfId="1" applyNumberFormat="1" applyFont="1" applyBorder="1" applyAlignment="1">
      <alignment horizontal="left" indent="1"/>
    </xf>
    <xf numFmtId="0" fontId="12" fillId="0" borderId="0" xfId="0" applyFont="1" applyAlignment="1">
      <alignment horizontal="center"/>
    </xf>
    <xf numFmtId="0" fontId="12" fillId="0" borderId="1" xfId="0" applyFont="1" applyBorder="1" applyAlignment="1">
      <alignment horizontal="center"/>
    </xf>
    <xf numFmtId="166" fontId="6" fillId="0" borderId="0" xfId="1" applyNumberFormat="1" applyFont="1" applyFill="1"/>
    <xf numFmtId="166" fontId="4" fillId="0" borderId="0" xfId="1" applyNumberFormat="1" applyFont="1" applyFill="1"/>
    <xf numFmtId="166" fontId="12" fillId="0" borderId="4" xfId="1" applyNumberFormat="1" applyFont="1" applyFill="1" applyBorder="1"/>
    <xf numFmtId="0" fontId="16" fillId="0" borderId="2" xfId="0" applyFont="1" applyBorder="1"/>
    <xf numFmtId="0" fontId="3" fillId="0" borderId="0" xfId="1" applyNumberFormat="1" applyFont="1"/>
    <xf numFmtId="0" fontId="6" fillId="0" borderId="2" xfId="1" applyNumberFormat="1" applyFont="1" applyBorder="1"/>
    <xf numFmtId="0" fontId="3" fillId="0" borderId="2" xfId="1" applyNumberFormat="1" applyFont="1" applyBorder="1"/>
    <xf numFmtId="9" fontId="6" fillId="0" borderId="0" xfId="3" applyFont="1"/>
    <xf numFmtId="165" fontId="6" fillId="0" borderId="0" xfId="1" applyNumberFormat="1" applyFont="1"/>
    <xf numFmtId="168" fontId="6" fillId="0" borderId="0" xfId="1" applyNumberFormat="1" applyFont="1"/>
    <xf numFmtId="0" fontId="12" fillId="0" borderId="5" xfId="1" applyNumberFormat="1" applyFont="1" applyBorder="1" applyAlignment="1">
      <alignment horizontal="left" indent="2"/>
    </xf>
    <xf numFmtId="9" fontId="6" fillId="0" borderId="0" xfId="3" applyFont="1" applyFill="1"/>
    <xf numFmtId="9" fontId="12" fillId="0" borderId="4" xfId="3" applyFont="1" applyFill="1" applyBorder="1"/>
    <xf numFmtId="9" fontId="3" fillId="0" borderId="0" xfId="3" applyFont="1" applyFill="1"/>
    <xf numFmtId="9" fontId="14" fillId="5" borderId="4" xfId="3" applyFont="1" applyFill="1" applyBorder="1"/>
    <xf numFmtId="9" fontId="14" fillId="5" borderId="0" xfId="3" applyFont="1" applyFill="1"/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166" fontId="6" fillId="0" borderId="7" xfId="1" applyNumberFormat="1" applyFont="1" applyFill="1" applyBorder="1"/>
    <xf numFmtId="166" fontId="12" fillId="0" borderId="9" xfId="1" applyNumberFormat="1" applyFont="1" applyFill="1" applyBorder="1"/>
    <xf numFmtId="9" fontId="6" fillId="0" borderId="7" xfId="3" applyFont="1" applyBorder="1"/>
    <xf numFmtId="168" fontId="6" fillId="0" borderId="7" xfId="1" applyNumberFormat="1" applyFont="1" applyBorder="1"/>
    <xf numFmtId="165" fontId="6" fillId="0" borderId="7" xfId="1" applyNumberFormat="1" applyFont="1" applyBorder="1"/>
    <xf numFmtId="9" fontId="12" fillId="0" borderId="5" xfId="3" applyFont="1" applyFill="1" applyBorder="1"/>
    <xf numFmtId="166" fontId="3" fillId="0" borderId="0" xfId="1" applyNumberFormat="1" applyFont="1"/>
    <xf numFmtId="167" fontId="6" fillId="0" borderId="0" xfId="3" applyNumberFormat="1" applyFont="1"/>
    <xf numFmtId="167" fontId="3" fillId="0" borderId="10" xfId="3" applyNumberFormat="1" applyFont="1" applyBorder="1"/>
    <xf numFmtId="1" fontId="6" fillId="0" borderId="0" xfId="1" applyNumberFormat="1" applyFont="1"/>
    <xf numFmtId="167" fontId="3" fillId="0" borderId="0" xfId="3" applyNumberFormat="1" applyFont="1"/>
    <xf numFmtId="0" fontId="2" fillId="0" borderId="2" xfId="0" applyFont="1" applyBorder="1" applyAlignment="1">
      <alignment horizontal="left" wrapText="1" indent="1"/>
    </xf>
    <xf numFmtId="0" fontId="17" fillId="2" borderId="0" xfId="0" applyFont="1" applyFill="1"/>
    <xf numFmtId="0" fontId="17" fillId="3" borderId="0" xfId="0" applyFont="1" applyFill="1"/>
    <xf numFmtId="0" fontId="17" fillId="4" borderId="0" xfId="0" applyFont="1" applyFill="1"/>
    <xf numFmtId="9" fontId="17" fillId="2" borderId="0" xfId="3" applyFont="1" applyFill="1"/>
    <xf numFmtId="9" fontId="17" fillId="3" borderId="0" xfId="3" applyFont="1" applyFill="1"/>
    <xf numFmtId="9" fontId="17" fillId="4" borderId="0" xfId="3" applyFont="1" applyFill="1"/>
    <xf numFmtId="9" fontId="18" fillId="2" borderId="0" xfId="3" applyFont="1" applyFill="1" applyBorder="1"/>
    <xf numFmtId="9" fontId="17" fillId="3" borderId="0" xfId="3" applyFont="1" applyFill="1" applyBorder="1"/>
    <xf numFmtId="9" fontId="17" fillId="4" borderId="0" xfId="3" applyFont="1" applyFill="1" applyBorder="1"/>
    <xf numFmtId="9" fontId="17" fillId="2" borderId="0" xfId="3" applyFont="1" applyFill="1" applyBorder="1"/>
    <xf numFmtId="9" fontId="18" fillId="3" borderId="0" xfId="3" applyFont="1" applyFill="1" applyBorder="1"/>
    <xf numFmtId="9" fontId="18" fillId="2" borderId="4" xfId="3" applyFont="1" applyFill="1" applyBorder="1"/>
    <xf numFmtId="9" fontId="18" fillId="3" borderId="4" xfId="3" applyFont="1" applyFill="1" applyBorder="1"/>
    <xf numFmtId="9" fontId="18" fillId="4" borderId="4" xfId="3" applyFont="1" applyFill="1" applyBorder="1"/>
    <xf numFmtId="9" fontId="18" fillId="4" borderId="0" xfId="3" applyFont="1" applyFill="1" applyBorder="1"/>
    <xf numFmtId="0" fontId="17" fillId="0" borderId="0" xfId="0" applyFont="1"/>
    <xf numFmtId="9" fontId="14" fillId="5" borderId="0" xfId="3" applyFont="1" applyFill="1" applyBorder="1"/>
    <xf numFmtId="166" fontId="1" fillId="0" borderId="0" xfId="1" applyNumberFormat="1" applyFont="1" applyBorder="1"/>
    <xf numFmtId="0" fontId="1" fillId="0" borderId="2" xfId="0" applyFont="1" applyBorder="1"/>
    <xf numFmtId="0" fontId="19" fillId="0" borderId="0" xfId="0" applyFont="1"/>
    <xf numFmtId="0" fontId="20" fillId="0" borderId="0" xfId="0" applyFont="1"/>
    <xf numFmtId="0" fontId="21" fillId="0" borderId="0" xfId="0" applyFont="1" applyAlignment="1">
      <alignment horizontal="right"/>
    </xf>
    <xf numFmtId="0" fontId="22" fillId="0" borderId="0" xfId="0" applyFont="1"/>
    <xf numFmtId="10" fontId="22" fillId="0" borderId="0" xfId="3" applyNumberFormat="1" applyFont="1"/>
    <xf numFmtId="169" fontId="22" fillId="0" borderId="0" xfId="0" applyNumberFormat="1" applyFont="1"/>
    <xf numFmtId="2" fontId="22" fillId="0" borderId="0" xfId="0" applyNumberFormat="1" applyFont="1"/>
    <xf numFmtId="0" fontId="22" fillId="0" borderId="0" xfId="0" applyFont="1" applyAlignment="1">
      <alignment horizontal="right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border diagonalUp="0" diagonalDown="0">
        <left style="thin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border diagonalUp="0" diagonalDown="0">
        <left style="thin">
          <color indexed="64"/>
        </left>
        <right/>
        <vertical/>
      </border>
    </dxf>
    <dxf>
      <border diagonalUp="0" diagonalDown="0">
        <left style="thin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border diagonalUp="0" diagonalDown="0">
        <left style="thin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border diagonalUp="0" diagonalDown="0">
        <left style="thin">
          <color indexed="64"/>
        </left>
        <right/>
        <vertical/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</dxfs>
  <tableStyles count="0" defaultTableStyle="TableStyleMedium2" defaultPivotStyle="PivotStyleLight16"/>
  <colors>
    <mruColors>
      <color rgb="FFCD43C0"/>
      <color rgb="FF33CC33"/>
      <color rgb="FFFFCC00"/>
      <color rgb="FFCC9900"/>
      <color rgb="FFB5E6A2"/>
      <color rgb="FFB5E600"/>
      <color rgb="FF94DCF8"/>
      <color rgb="FF94D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17/06/relationships/rdSupportingPropertyBag" Target="richData/rdsupportingpropertybag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SupportingPropertyBagStructure" Target="richData/rdsupportingpropertybagstructur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ichStyles" Target="richData/richStyles.xml"/><Relationship Id="rId5" Type="http://schemas.openxmlformats.org/officeDocument/2006/relationships/theme" Target="theme/theme1.xml"/><Relationship Id="rId15" Type="http://schemas.openxmlformats.org/officeDocument/2006/relationships/calcChain" Target="calcChain.xml"/><Relationship Id="rId10" Type="http://schemas.microsoft.com/office/2017/06/relationships/rdRichValueStructure" Target="richData/rdrichvaluestructure.xml"/><Relationship Id="rId19" Type="http://schemas.openxmlformats.org/officeDocument/2006/relationships/customXml" Target="../customXml/item4.xml"/><Relationship Id="rId4" Type="http://schemas.openxmlformats.org/officeDocument/2006/relationships/externalLink" Target="externalLinks/externalLink1.xml"/><Relationship Id="rId9" Type="http://schemas.microsoft.com/office/2017/06/relationships/rdRichValue" Target="richData/rdrichvalue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Operating Margin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'Rival Analysis'!$C$28</c:f>
              <c:strCache>
                <c:ptCount val="1"/>
                <c:pt idx="0">
                  <c:v>UPS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'Rival Analysis'!$B$29:$B$34</c:f>
              <c:numCache>
                <c:formatCode>General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'Rival Analysis'!$C$29:$C$34</c:f>
              <c:numCache>
                <c:formatCode>0.0%</c:formatCode>
                <c:ptCount val="6"/>
                <c:pt idx="0">
                  <c:v>5.9923880476151915E-2</c:v>
                </c:pt>
                <c:pt idx="1">
                  <c:v>1.5869452190764285E-2</c:v>
                </c:pt>
                <c:pt idx="2">
                  <c:v>0.13249457789838315</c:v>
                </c:pt>
                <c:pt idx="3">
                  <c:v>0.1150909924455341</c:v>
                </c:pt>
                <c:pt idx="4">
                  <c:v>7.3748323402009722E-2</c:v>
                </c:pt>
                <c:pt idx="5">
                  <c:v>6.3489623366641046E-2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F-4F74-919F-590608D2CEC9}"/>
            </c:ext>
          </c:extLst>
        </c:ser>
        <c:ser>
          <c:idx val="1"/>
          <c:order val="1"/>
          <c:tx>
            <c:strRef>
              <c:f>'Rival Analysis'!$D$28</c:f>
              <c:strCache>
                <c:ptCount val="1"/>
                <c:pt idx="0">
                  <c:v> FDX 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'Rival Analysis'!$B$29:$B$34</c:f>
              <c:numCache>
                <c:formatCode>General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'Rival Analysis'!$D$29:$D$34</c:f>
              <c:numCache>
                <c:formatCode>0.0%</c:formatCode>
                <c:ptCount val="6"/>
                <c:pt idx="0">
                  <c:v>7.7482674013172057E-3</c:v>
                </c:pt>
                <c:pt idx="1">
                  <c:v>7.7482674013172057E-3</c:v>
                </c:pt>
                <c:pt idx="2">
                  <c:v>6.2304219916864183E-2</c:v>
                </c:pt>
                <c:pt idx="3">
                  <c:v>4.0914535032936947E-2</c:v>
                </c:pt>
                <c:pt idx="4">
                  <c:v>4.4057456602517885E-2</c:v>
                </c:pt>
                <c:pt idx="5">
                  <c:v>4.9388206584333981E-2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F-4F74-919F-590608D2C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1331024"/>
        <c:axId val="1731330544"/>
      </c:lineChart>
      <c:catAx>
        <c:axId val="173133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31330544"/>
        <c:crosses val="autoZero"/>
        <c:auto val="1"/>
        <c:lblAlgn val="ctr"/>
        <c:lblOffset val="100"/>
        <c:noMultiLvlLbl val="0"/>
      </c:catAx>
      <c:valAx>
        <c:axId val="173133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31331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latin typeface="Aptos" panose="020B00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EV / EBITDA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'Rival Analysis'!$I$28</c:f>
              <c:strCache>
                <c:ptCount val="1"/>
                <c:pt idx="0">
                  <c:v> UPS 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'Rival Analysis'!$H$29:$H$34</c:f>
              <c:numCache>
                <c:formatCode>0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'Rival Analysis'!$I$29:$I$34</c:f>
              <c:numCache>
                <c:formatCode>_(* #,##0.0_);_(* \(#,##0.0\);_(* "-"??_);_(@_)</c:formatCode>
                <c:ptCount val="6"/>
                <c:pt idx="0">
                  <c:v>13.084755065401385</c:v>
                </c:pt>
                <c:pt idx="1">
                  <c:v>18.409769651223318</c:v>
                </c:pt>
                <c:pt idx="2">
                  <c:v>13.478719750195159</c:v>
                </c:pt>
                <c:pt idx="3">
                  <c:v>11.21205895830151</c:v>
                </c:pt>
                <c:pt idx="4">
                  <c:v>15.459293293950337</c:v>
                </c:pt>
                <c:pt idx="5">
                  <c:v>14.441577704298535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62-416B-8080-8A8778F59F07}"/>
            </c:ext>
          </c:extLst>
        </c:ser>
        <c:ser>
          <c:idx val="1"/>
          <c:order val="1"/>
          <c:tx>
            <c:strRef>
              <c:f>'Rival Analysis'!$J$28</c:f>
              <c:strCache>
                <c:ptCount val="1"/>
                <c:pt idx="0">
                  <c:v> FDX 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'Rival Analysis'!$H$29:$H$34</c:f>
              <c:numCache>
                <c:formatCode>0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'Rival Analysis'!$J$29:$J$34</c:f>
              <c:numCache>
                <c:formatCode>_(* #,##0.0_);_(* \(#,##0.0\);_(* "-"??_);_(@_)</c:formatCode>
                <c:ptCount val="6"/>
                <c:pt idx="0">
                  <c:v>11.592263770712048</c:v>
                </c:pt>
                <c:pt idx="1">
                  <c:v>33.109466280513033</c:v>
                </c:pt>
                <c:pt idx="2">
                  <c:v>14.512023220078538</c:v>
                </c:pt>
                <c:pt idx="3">
                  <c:v>11.706209767814251</c:v>
                </c:pt>
                <c:pt idx="4">
                  <c:v>14.154291530944626</c:v>
                </c:pt>
                <c:pt idx="5">
                  <c:v>13.93208670624213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62-416B-8080-8A8778F59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9306672"/>
        <c:axId val="1659308112"/>
      </c:lineChart>
      <c:catAx>
        <c:axId val="165930667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59308112"/>
        <c:crosses val="autoZero"/>
        <c:auto val="1"/>
        <c:lblAlgn val="ctr"/>
        <c:lblOffset val="100"/>
        <c:noMultiLvlLbl val="0"/>
      </c:catAx>
      <c:valAx>
        <c:axId val="165930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5930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latin typeface="Aptos" panose="020B00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Net Margin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'Rival Analysis'!$C$46</c:f>
              <c:strCache>
                <c:ptCount val="1"/>
                <c:pt idx="0">
                  <c:v>UPS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'Rival Analysis'!$B$47:$B$52</c:f>
              <c:numCache>
                <c:formatCode>General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'Rival Analysis'!$C$47:$C$52</c:f>
              <c:numCache>
                <c:formatCode>0.0%</c:formatCode>
                <c:ptCount val="6"/>
                <c:pt idx="0">
                  <c:v>5.9923880476151915E-2</c:v>
                </c:pt>
                <c:pt idx="1">
                  <c:v>1.5869452190764285E-2</c:v>
                </c:pt>
                <c:pt idx="2">
                  <c:v>0.13249457789838315</c:v>
                </c:pt>
                <c:pt idx="3">
                  <c:v>0.1150909924455341</c:v>
                </c:pt>
                <c:pt idx="4">
                  <c:v>7.3748323402009722E-2</c:v>
                </c:pt>
                <c:pt idx="5">
                  <c:v>6.3489623366641046E-2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9-4E9A-96B8-495D773D3B9E}"/>
            </c:ext>
          </c:extLst>
        </c:ser>
        <c:ser>
          <c:idx val="1"/>
          <c:order val="1"/>
          <c:tx>
            <c:strRef>
              <c:f>'Rival Analysis'!$D$46</c:f>
              <c:strCache>
                <c:ptCount val="1"/>
                <c:pt idx="0">
                  <c:v>FDX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'Rival Analysis'!$B$47:$B$52</c:f>
              <c:numCache>
                <c:formatCode>General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'Rival Analysis'!$D$47:$D$52</c:f>
              <c:numCache>
                <c:formatCode>0.0%</c:formatCode>
                <c:ptCount val="6"/>
                <c:pt idx="0">
                  <c:v>7.7482674013172057E-3</c:v>
                </c:pt>
                <c:pt idx="1">
                  <c:v>1.8579250762096017E-2</c:v>
                </c:pt>
                <c:pt idx="2">
                  <c:v>6.2304219916864183E-2</c:v>
                </c:pt>
                <c:pt idx="3">
                  <c:v>4.0914535032936947E-2</c:v>
                </c:pt>
                <c:pt idx="4">
                  <c:v>4.4057456602517885E-2</c:v>
                </c:pt>
                <c:pt idx="5">
                  <c:v>4.9388206584333981E-2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B9-4E9A-96B8-495D773D3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038768"/>
        <c:axId val="1689032336"/>
      </c:lineChart>
      <c:catAx>
        <c:axId val="118103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89032336"/>
        <c:crosses val="autoZero"/>
        <c:auto val="1"/>
        <c:lblAlgn val="ctr"/>
        <c:lblOffset val="100"/>
        <c:noMultiLvlLbl val="0"/>
      </c:catAx>
      <c:valAx>
        <c:axId val="168903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8103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1">
          <a:latin typeface="Aptos" panose="020B00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en-US"/>
              <a:t>PPE Turnover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'Rival Analysis'!$J$46</c:f>
              <c:strCache>
                <c:ptCount val="1"/>
                <c:pt idx="0">
                  <c:v> UPS 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'Rival Analysis'!$I$47:$I$52</c:f>
              <c:numCache>
                <c:formatCode>0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'Rival Analysis'!$J$47:$J$52</c:f>
              <c:numCache>
                <c:formatCode>_(* #,##0_);_(* \(#,##0\);_(* "-"??_);_(@_)</c:formatCode>
                <c:ptCount val="6"/>
                <c:pt idx="0">
                  <c:v>150.15966205090831</c:v>
                </c:pt>
                <c:pt idx="1">
                  <c:v>139.111287044477</c:v>
                </c:pt>
                <c:pt idx="2">
                  <c:v>125.59103477340241</c:v>
                </c:pt>
                <c:pt idx="3">
                  <c:v>126.29746456975423</c:v>
                </c:pt>
                <c:pt idx="4">
                  <c:v>148.25441412520064</c:v>
                </c:pt>
                <c:pt idx="5">
                  <c:v>149.0099374107829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8E-4C9A-A82F-29170E1EB10D}"/>
            </c:ext>
          </c:extLst>
        </c:ser>
        <c:ser>
          <c:idx val="1"/>
          <c:order val="1"/>
          <c:tx>
            <c:strRef>
              <c:f>'Rival Analysis'!$K$46</c:f>
              <c:strCache>
                <c:ptCount val="1"/>
                <c:pt idx="0">
                  <c:v> FDX 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'Rival Analysis'!$I$47:$I$52</c:f>
              <c:numCache>
                <c:formatCode>0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'Rival Analysis'!$K$47:$K$52</c:f>
              <c:numCache>
                <c:formatCode>_(* #,##0_);_(* \(#,##0\);_(* "-"??_);_(@_)</c:formatCode>
                <c:ptCount val="6"/>
                <c:pt idx="0">
                  <c:v>159.36442684344198</c:v>
                </c:pt>
                <c:pt idx="1">
                  <c:v>177.22409234725572</c:v>
                </c:pt>
                <c:pt idx="2">
                  <c:v>155.42681546945531</c:v>
                </c:pt>
                <c:pt idx="3">
                  <c:v>148.67840491059971</c:v>
                </c:pt>
                <c:pt idx="4">
                  <c:v>164.76923076923077</c:v>
                </c:pt>
                <c:pt idx="5">
                  <c:v>172.69582520839745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8E-4C9A-A82F-29170E1EB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4947584"/>
        <c:axId val="2044949984"/>
      </c:lineChart>
      <c:catAx>
        <c:axId val="204494758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44949984"/>
        <c:crosses val="autoZero"/>
        <c:auto val="1"/>
        <c:lblAlgn val="ctr"/>
        <c:lblOffset val="100"/>
        <c:noMultiLvlLbl val="0"/>
      </c:catAx>
      <c:valAx>
        <c:axId val="204494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en-US"/>
                  <a:t>Days  in a Calendar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4494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latin typeface="Aptos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28576</xdr:colOff>
      <xdr:row>0</xdr:row>
      <xdr:rowOff>95307</xdr:rowOff>
    </xdr:from>
    <xdr:to>
      <xdr:col>7</xdr:col>
      <xdr:colOff>561976</xdr:colOff>
      <xdr:row>6</xdr:row>
      <xdr:rowOff>104775</xdr:rowOff>
    </xdr:to>
    <xdr:pic>
      <xdr:nvPicPr>
        <xdr:cNvPr id="3" name="Picture 2" descr="FedEx Logo and symbol, meaning, history, PNG, brand">
          <a:extLst>
            <a:ext uri="{FF2B5EF4-FFF2-40B4-BE49-F238E27FC236}">
              <a16:creationId xmlns:a16="http://schemas.microsoft.com/office/drawing/2014/main" id="{FF4B2E63-F721-9B29-C9A9-93424869304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813" b="14324"/>
        <a:stretch>
          <a:fillRect/>
        </a:stretch>
      </xdr:blipFill>
      <xdr:spPr bwMode="auto">
        <a:xfrm>
          <a:off x="4191001" y="95307"/>
          <a:ext cx="2647950" cy="9810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9523</xdr:colOff>
      <xdr:row>26</xdr:row>
      <xdr:rowOff>152399</xdr:rowOff>
    </xdr:from>
    <xdr:to>
      <xdr:col>9</xdr:col>
      <xdr:colOff>228599</xdr:colOff>
      <xdr:row>44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A780C6-F0D7-20AA-697D-29DCD7DF1D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238125</xdr:colOff>
      <xdr:row>26</xdr:row>
      <xdr:rowOff>161924</xdr:rowOff>
    </xdr:from>
    <xdr:to>
      <xdr:col>20</xdr:col>
      <xdr:colOff>0</xdr:colOff>
      <xdr:row>45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3E94802-62B2-7B87-0B6D-9576AF0DB2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704849</xdr:colOff>
      <xdr:row>45</xdr:row>
      <xdr:rowOff>9524</xdr:rowOff>
    </xdr:from>
    <xdr:to>
      <xdr:col>9</xdr:col>
      <xdr:colOff>238125</xdr:colOff>
      <xdr:row>63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02263C2-8A68-6ECF-D148-262474F6EB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238125</xdr:colOff>
      <xdr:row>45</xdr:row>
      <xdr:rowOff>0</xdr:rowOff>
    </xdr:from>
    <xdr:to>
      <xdr:col>20</xdr:col>
      <xdr:colOff>0</xdr:colOff>
      <xdr:row>62</xdr:row>
      <xdr:rowOff>152399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2593AD8-E706-12D7-B35F-8D71374040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jeccd-my.sharepoint.com/personal/abgo6476_stu_evc_edu/Documents/UPS%20Yearly%20Income%20Statement%20Analysis.xlsx" TargetMode="External"/><Relationship Id="rId1" Type="http://schemas.openxmlformats.org/officeDocument/2006/relationships/externalLinkPath" Target="https://sjeccd-my.sharepoint.com/personal/abgo6476_stu_evc_edu/Documents/UPS%20Yearly%20Income%20Statement%20Analysi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tements"/>
      <sheetName val="Analysis"/>
    </sheetNames>
    <sheetDataSet>
      <sheetData sheetId="0">
        <row r="36">
          <cell r="C36">
            <v>66296</v>
          </cell>
          <cell r="D36">
            <v>76944</v>
          </cell>
          <cell r="E36">
            <v>84477</v>
          </cell>
          <cell r="F36">
            <v>87244</v>
          </cell>
          <cell r="G36">
            <v>81817</v>
          </cell>
          <cell r="H36">
            <v>82602</v>
          </cell>
        </row>
        <row r="42">
          <cell r="C42">
            <v>5652</v>
          </cell>
          <cell r="D42">
            <v>1844</v>
          </cell>
          <cell r="E42">
            <v>16595</v>
          </cell>
          <cell r="F42">
            <v>14825</v>
          </cell>
          <cell r="G42">
            <v>8573</v>
          </cell>
          <cell r="H42">
            <v>7442</v>
          </cell>
        </row>
        <row r="44">
          <cell r="C44">
            <v>4440</v>
          </cell>
          <cell r="D44">
            <v>1343</v>
          </cell>
          <cell r="E44">
            <v>12890</v>
          </cell>
          <cell r="F44">
            <v>11548</v>
          </cell>
          <cell r="G44">
            <v>6708</v>
          </cell>
          <cell r="H44">
            <v>5782</v>
          </cell>
        </row>
        <row r="46">
          <cell r="N46">
            <v>1.2806401991116028</v>
          </cell>
          <cell r="O46">
            <v>1.3560440969106524</v>
          </cell>
          <cell r="P46">
            <v>1.4017289820618111</v>
          </cell>
          <cell r="Q46">
            <v>1.4107474270288509</v>
          </cell>
          <cell r="R46">
            <v>1.2836840396855638</v>
          </cell>
          <cell r="S46">
            <v>1.2997002997002998</v>
          </cell>
        </row>
        <row r="47">
          <cell r="N47">
            <v>17.623210478221139</v>
          </cell>
          <cell r="O47">
            <v>93.285500747384162</v>
          </cell>
          <cell r="P47">
            <v>4.8640409278856263</v>
          </cell>
          <cell r="Q47">
            <v>3.5915770337827602</v>
          </cell>
          <cell r="R47">
            <v>4.0924685225828812</v>
          </cell>
          <cell r="S47">
            <v>4.1850325509168007</v>
          </cell>
        </row>
        <row r="48">
          <cell r="N48">
            <v>1.352421565641182</v>
          </cell>
          <cell r="O48">
            <v>2.007473841554559</v>
          </cell>
          <cell r="P48">
            <v>0.90335692760529829</v>
          </cell>
          <cell r="Q48">
            <v>0.58314396808564362</v>
          </cell>
          <cell r="R48">
            <v>0.3874321358438258</v>
          </cell>
          <cell r="S48">
            <v>0.34533835035537236</v>
          </cell>
        </row>
        <row r="49">
          <cell r="N49">
            <v>0.4624546487338293</v>
          </cell>
          <cell r="O49">
            <v>0.39932619575956851</v>
          </cell>
          <cell r="P49">
            <v>0.39747170632617529</v>
          </cell>
          <cell r="Q49">
            <v>0.38311802186239552</v>
          </cell>
          <cell r="R49">
            <v>0.41581532599966381</v>
          </cell>
          <cell r="S49">
            <v>0.39912239578449943</v>
          </cell>
        </row>
        <row r="50">
          <cell r="N50">
            <v>2.4307460140410733</v>
          </cell>
          <cell r="O50">
            <v>2.6237985986234267</v>
          </cell>
          <cell r="P50">
            <v>2.9062584017923823</v>
          </cell>
          <cell r="Q50">
            <v>2.8900025922405601</v>
          </cell>
          <cell r="R50">
            <v>2.4619840303153335</v>
          </cell>
          <cell r="S50">
            <v>2.4495010624277147</v>
          </cell>
        </row>
        <row r="53">
          <cell r="N53">
            <v>13.084755065401385</v>
          </cell>
          <cell r="O53">
            <v>18.409769651223318</v>
          </cell>
          <cell r="P53">
            <v>13.478719750195159</v>
          </cell>
          <cell r="Q53">
            <v>11.21205895830151</v>
          </cell>
          <cell r="R53">
            <v>15.459293293950337</v>
          </cell>
          <cell r="S53">
            <v>14.441577704298535</v>
          </cell>
        </row>
        <row r="54">
          <cell r="N54">
            <v>7.6424816131575354E-2</v>
          </cell>
          <cell r="O54">
            <v>5.4318984916443568E-2</v>
          </cell>
          <cell r="P54">
            <v>7.4191022480864399E-2</v>
          </cell>
          <cell r="Q54">
            <v>8.9189684403112313E-2</v>
          </cell>
          <cell r="R54">
            <v>6.46860099608388E-2</v>
          </cell>
          <cell r="S54">
            <v>6.9244511955390442E-2</v>
          </cell>
        </row>
      </sheetData>
      <sheetData sheetId="1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DotNotation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3">
  <rv s="0">
    <v>https://www.bing.com/financeapi/forcetrigger?t=a1sqr7&amp;q=XNYS%3aFDX&amp;form=skydnc</v>
    <v>Learn more on Bing</v>
  </rv>
  <rv s="1">
    <v>en-US</v>
    <v>a1sqr7</v>
    <v>268435456</v>
    <v>1</v>
    <v>Powered by Refinitiv</v>
    <v>0</v>
    <v>FEDEX CORPORATION (XNYS:FDX)</v>
    <v>2</v>
    <v>3</v>
    <v>Finance</v>
    <v>4</v>
    <v>345.36500000000001</v>
    <v>174.01220000000001</v>
    <v>1.2978000000000001</v>
    <v>6.73</v>
    <v>0</v>
    <v>2.1128000000000001E-2</v>
    <v>0</v>
    <v>USD</v>
    <v>FedEx Corporation provides customers and businesses worldwide with a portfolio of transportation, e-commerce, and business services. The Company offers integrated business solutions utilizing its flexible, efficient, and intelligent global network. Its Federal Express segment includes express transportation, small-package ground delivery, and freight transportation. The Federal Express segment operates combined sales, marketing, administrative, and information-technology functions in shared service operations for United States customers.</v>
    <v>237000</v>
    <v>New York Stock Exchange</v>
    <v>XNYS</v>
    <v>XNYS</v>
    <v>942 South Shady Grove Road, MEMPHIS, TN, 38120 US</v>
    <v>325.73</v>
    <v>Freight &amp; Logistics Services</v>
    <v>Stock</v>
    <v>46202.914766203125</v>
    <v>0</v>
    <v>317.91000000000003</v>
    <v>77609247768</v>
    <v>FEDEX CORPORATION</v>
    <v>FEDEX CORPORATION</v>
    <v>317.91000000000003</v>
    <v>17.325900000000001</v>
    <v>318.52999999999997</v>
    <v>325.26</v>
    <v>325.39999999999998</v>
    <v>238606800</v>
    <v>FDX</v>
    <v>FEDEX CORPORATION (XNYS:FDX)</v>
    <v>3053421</v>
    <v>2232359</v>
    <v>1997</v>
  </rv>
  <rv s="2">
    <v>1</v>
  </rv>
</rvData>
</file>

<file path=xl/richData/rdrichvaluestructure.xml><?xml version="1.0" encoding="utf-8"?>
<rvStructures xmlns="http://schemas.microsoft.com/office/spreadsheetml/2017/richdata" count="3">
  <s t="_hyperlink">
    <k n="Address" t="s"/>
    <k n="Text" t="s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Beta"/>
    <k n="Change"/>
    <k n="Change % (Extended hours)"/>
    <k n="Change (%)"/>
    <k n="Change (Extended hours)"/>
    <k n="Currency" t="s"/>
    <k n="Description" t="s"/>
    <k n="Employees"/>
    <k n="Exchange" t="s"/>
    <k n="Exchange abbreviation" t="s"/>
    <k n="ExchangeID" t="s"/>
    <k n="Headquarters" t="s"/>
    <k n="High"/>
    <k n="Industry" t="s"/>
    <k n="Instrument type" t="s"/>
    <k n="Last trade time"/>
    <k n="LearnMoreOnLink" t="r"/>
    <k n="Low"/>
    <k n="Market cap"/>
    <k n="Name" t="s"/>
    <k n="Official name" t="s"/>
    <k n="Open"/>
    <k n="P/E"/>
    <k n="Previous close"/>
    <k n="Price"/>
    <k n="Price (Extended hours)"/>
    <k n="Shares outstanding"/>
    <k n="Ticker symbol" t="s"/>
    <k n="UniqueName" t="s"/>
    <k n="Volume"/>
    <k n="Volume average"/>
    <k n="Year incorporated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45">
      <v t="s">%EntityServiceId</v>
      <v t="s">_Format</v>
      <v t="s">%IsRefreshable</v>
      <v t="s">%EntityCulture</v>
      <v t="s">%EntityId</v>
      <v t="s">_Icon</v>
      <v t="s">_Display</v>
      <v t="s">Name</v>
      <v t="s">_SubLabel</v>
      <v t="s">Price</v>
      <v t="s">Price (Extended hours)</v>
      <v t="s">Exchange</v>
      <v t="s">Official name</v>
      <v t="s">Last trade time</v>
      <v t="s">Ticker symbol</v>
      <v t="s">Exchange abbreviation</v>
      <v t="s">Change</v>
      <v t="s">Change (Extended hours)</v>
      <v t="s">Change (%)</v>
      <v t="s">Change % (Extended hours)</v>
      <v t="s">Currency</v>
      <v t="s">Previous close</v>
      <v t="s">Open</v>
      <v t="s">High</v>
      <v t="s">Low</v>
      <v t="s">52 week high</v>
      <v t="s">52 week low</v>
      <v t="s">Volume</v>
      <v t="s">Volume average</v>
      <v t="s">Market cap</v>
      <v t="s">Beta</v>
      <v t="s">P/E</v>
      <v t="s">Shares outstanding</v>
      <v t="s">Description</v>
      <v t="s">Employees</v>
      <v t="s">Headquarters</v>
      <v t="s">Industry</v>
      <v t="s">Instrument type</v>
      <v t="s">Year incorporated</v>
      <v t="s">_Flags</v>
      <v t="s">UniqueName</v>
      <v t="s">_DisplayString</v>
      <v t="s">LearnMoreOnLink</v>
      <v t="s">ExchangeID</v>
      <v t="s">%ProviderInfo</v>
    </a>
  </spbArrays>
  <spbData count="5">
    <spb s="0">
      <v>0</v>
      <v>Name</v>
      <v>LearnMoreOnLink</v>
    </spb>
    <spb s="1">
      <v>0</v>
      <v>0</v>
      <v>0</v>
    </spb>
    <spb s="2">
      <v>1</v>
      <v>1</v>
      <v>1</v>
      <v>1</v>
    </spb>
    <spb s="3">
      <v>1</v>
      <v>2</v>
      <v>2</v>
      <v>1</v>
      <v>3</v>
      <v>1</v>
      <v>1</v>
      <v>1</v>
      <v>4</v>
      <v>4</v>
      <v>5</v>
      <v>6</v>
      <v>1</v>
      <v>1</v>
      <v>1</v>
      <v>4</v>
      <v>7</v>
      <v>8</v>
      <v>9</v>
      <v>4</v>
      <v>1</v>
      <v>1</v>
      <v>5</v>
    </spb>
    <spb s="4">
      <v>at close</v>
      <v>from previous close</v>
      <v>from previous close</v>
      <v>Source: Nasdaq Last Sale</v>
      <v>GMT</v>
      <v>Real-Time Nasdaq Last Sale</v>
      <v>from close</v>
      <v>from close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  <k n="SubTitleProperty" t="s"/>
  </s>
  <s>
    <k n="ShowInCardView" t="b"/>
    <k n="ShowInDotNotation" t="b"/>
    <k n="ShowInAutoComplete" t="b"/>
  </s>
  <s>
    <k n="ExchangeID" t="spb"/>
    <k n="UniqueName" t="spb"/>
    <k n="`%ProviderInfo" t="spb"/>
    <k n="LearnMoreOnLink" t="spb"/>
  </s>
  <s>
    <k n="Low" t="i"/>
    <k n="P/E" t="i"/>
    <k n="Beta" t="i"/>
    <k n="High" t="i"/>
    <k n="Name" t="i"/>
    <k n="Open" t="i"/>
    <k n="Price" t="i"/>
    <k n="Change" t="i"/>
    <k n="Volume" t="i"/>
    <k n="Employees" t="i"/>
    <k n="Change (%)" t="i"/>
    <k n="Market cap" t="i"/>
    <k n="52 week low" t="i"/>
    <k n="52 week high" t="i"/>
    <k n="Previous close" t="i"/>
    <k n="Volume average" t="i"/>
    <k n="Last trade time" t="i"/>
    <k n="Year incorporated" t="i"/>
    <k n="`%EntityServiceId" t="i"/>
    <k n="Shares outstanding" t="i"/>
    <k n="Price (Extended hours)" t="i"/>
    <k n="Change (Extended hours)" t="i"/>
    <k n="Change % (Extended hours)" t="i"/>
  </s>
  <s>
    <k n="Price" t="s"/>
    <k n="Change" t="s"/>
    <k n="Change (%)" t="s"/>
    <k n="ExchangeID" t="s"/>
    <k n="Last trade time" t="s"/>
    <k n="Price (Extended hours)" t="s"/>
    <k n="Change (Extended hours)" t="s"/>
    <k n="Change % (Extended hours)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7">
    <x:dxf>
      <x:numFmt numFmtId="2" formatCode="0.00"/>
    </x:dxf>
    <x:dxf>
      <x:numFmt numFmtId="0" formatCode="General"/>
    </x:dxf>
    <x:dxf>
      <x:numFmt numFmtId="27" formatCode="m/d/yyyy\ h:mm"/>
    </x:dxf>
    <x:dxf>
      <x:numFmt numFmtId="14" formatCode="0.00%"/>
    </x:dxf>
    <x:dxf>
      <x:numFmt numFmtId="3" formatCode="#,##0"/>
    </x:dxf>
    <x:dxf>
      <x:numFmt numFmtId="4" formatCode="#,##0.00"/>
    </x:dxf>
    <x:dxf>
      <x:numFmt numFmtId="1" formatCode="0"/>
    </x:dxf>
  </dxfs>
  <richProperties>
    <rPr n="NumberFormat" t="s"/>
    <rPr n="IsTitleField" t="b"/>
  </richProperties>
  <richStyles>
    <rSty dxfid="1">
      <rpv i="0">_([$$-en-US]* #,##0.00_);_([$$-en-US]* (#,##0.00);_([$$-en-US]* "-"??_);_(@_)</rpv>
    </rSty>
    <rSty dxfid="5">
      <rpv i="0">#,##0.00</rpv>
    </rSty>
    <rSty>
      <rpv i="1">1</rpv>
    </rSty>
    <rSty dxfid="4">
      <rpv i="0">#,##0</rpv>
    </rSty>
    <rSty dxfid="3"/>
    <rSty dxfid="1">
      <rpv i="0">_([$$-en-US]* #,##0_);_([$$-en-US]* (#,##0);_([$$-en-US]* "-"_);_(@_)</rpv>
    </rSty>
    <rSty dxfid="2"/>
    <rSty dxfid="6">
      <rpv i="0">0</rpv>
    </rSty>
    <rSty dxfid="0">
      <rpv i="0">0.00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836D17-CF5B-4D77-8F3B-A3DD174F8D54}" name="Table1" displayName="Table1" ref="B8:I64" totalsRowShown="0" headerRowDxfId="36" dataDxfId="34" headerRowBorderDxfId="35" dataCellStyle="Comma">
  <autoFilter ref="B8:I64" xr:uid="{23836D17-CF5B-4D77-8F3B-A3DD174F8D54}"/>
  <tableColumns count="8">
    <tableColumn id="1" xr3:uid="{C56CB535-0884-4EB6-8247-BC7076E0F9ED}" name="." dataDxfId="33"/>
    <tableColumn id="2" xr3:uid="{5CB05335-81A4-4F9E-91AE-D7275C95F89C}" name="2019" dataDxfId="32" dataCellStyle="Comma"/>
    <tableColumn id="3" xr3:uid="{A67758F4-C8A9-49AB-B402-3C6C6623F38E}" name="2020" dataDxfId="31" dataCellStyle="Comma"/>
    <tableColumn id="4" xr3:uid="{D2EB0291-4E53-45C5-9A55-496776298FCF}" name="2021" dataDxfId="30" dataCellStyle="Comma"/>
    <tableColumn id="5" xr3:uid="{8BBF933F-D97B-42BA-9EF9-C011F65930FC}" name="2022" dataDxfId="29" dataCellStyle="Comma"/>
    <tableColumn id="6" xr3:uid="{5B24A045-0943-4881-8988-3CC50E6754BD}" name="2023" dataDxfId="28" dataCellStyle="Comma"/>
    <tableColumn id="8" xr3:uid="{C4F255FA-0F3C-4EB9-8380-10C3C0DA8496}" name="2024" dataDxfId="27" dataCellStyle="Comma"/>
    <tableColumn id="7" xr3:uid="{0F4D0575-18E6-42CA-A6D9-2FCC3DD18D8B}" name="2025" dataDxfId="26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0BF547-D843-4B46-A130-6CFC2B9CD1F8}" name="Table2" displayName="Table2" ref="N8:U60" totalsRowShown="0" headerRowDxfId="25" dataDxfId="23" headerRowBorderDxfId="24" dataCellStyle="Comma">
  <autoFilter ref="N8:U60" xr:uid="{120BF547-D843-4B46-A130-6CFC2B9CD1F8}"/>
  <tableColumns count="8">
    <tableColumn id="1" xr3:uid="{DB29C79D-FAB6-484C-9815-A2E8E1E77194}" name="."/>
    <tableColumn id="2" xr3:uid="{3C41FD2C-CF3B-45B9-83D3-DF70DA3F9D5A}" name="2019" dataDxfId="22" dataCellStyle="Comma"/>
    <tableColumn id="3" xr3:uid="{2DFCE98E-C0C8-42EE-BB58-7255714974F0}" name="2020" dataDxfId="21" dataCellStyle="Comma"/>
    <tableColumn id="4" xr3:uid="{44C5D0A9-3EFA-4FEC-93F4-6F50F976863F}" name="2021" dataDxfId="20" dataCellStyle="Comma"/>
    <tableColumn id="5" xr3:uid="{4743886E-940B-4EE9-A1FC-1D090FB5B393}" name="2022" dataDxfId="19" dataCellStyle="Comma"/>
    <tableColumn id="6" xr3:uid="{64A6DC66-AB43-4E0F-8986-3CD831887B8C}" name="2023" dataDxfId="18" dataCellStyle="Comma"/>
    <tableColumn id="8" xr3:uid="{39D37B14-5780-40F8-8013-7FDD90ABD8C1}" name="2024" dataDxfId="17" dataCellStyle="Comma"/>
    <tableColumn id="7" xr3:uid="{3B18363B-4162-4DCB-B417-6622816301E4}" name="2025" dataDxfId="16" dataCellStyle="Comm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6BD363-8271-4E4A-9587-25140CDB2A9B}" name="Table3" displayName="Table3" ref="B4:T25" totalsRowShown="0" headerRowDxfId="15" tableBorderDxfId="14">
  <autoFilter ref="B4:T25" xr:uid="{366BD363-8271-4E4A-9587-25140CDB2A9B}"/>
  <tableColumns count="19">
    <tableColumn id="1" xr3:uid="{97B3A705-2E25-4F82-BD09-DD62445A3D47}" name="Company"/>
    <tableColumn id="2" xr3:uid="{2B22AF48-EB28-47A3-AA27-0F9802458A94}" name="USP"/>
    <tableColumn id="3" xr3:uid="{EB7F84E2-6589-4346-9091-1E9B5636FD38}" name="FDX"/>
    <tableColumn id="19" xr3:uid="{257D645F-17F6-40A2-B866-E421639DAF1A}" name="%"/>
    <tableColumn id="4" xr3:uid="{ACA5AEE4-11DD-4B64-B9DF-5D892CDAFFAF}" name="USP2" dataDxfId="13"/>
    <tableColumn id="5" xr3:uid="{0C9C5082-1870-4EEB-9866-70011E649269}" name="FDX2"/>
    <tableColumn id="18" xr3:uid="{4121C89B-72EC-48FE-9A62-106EEDBE95D1}" name="%2" dataDxfId="12" dataCellStyle="Percent"/>
    <tableColumn id="6" xr3:uid="{E81B1693-7287-4EC5-842A-23DC0012E8D1}" name="UPS2" dataDxfId="11"/>
    <tableColumn id="7" xr3:uid="{EDAE433C-D70B-48EC-AECB-3789C3F2A811}" name="FDX5"/>
    <tableColumn id="17" xr3:uid="{223516BD-0D3F-48A8-BD02-590B5C4CBE33}" name="%3" dataDxfId="10" dataCellStyle="Percent"/>
    <tableColumn id="8" xr3:uid="{5D473DCF-71A7-4CC2-A416-33CD0218E406}" name="UPS6" dataDxfId="9"/>
    <tableColumn id="9" xr3:uid="{D6ABB4D7-1ED8-4744-BE90-8BDFB8D5056C}" name="FDX7"/>
    <tableColumn id="16" xr3:uid="{99CAFF63-FA05-4E75-854B-A8B81EF08DAA}" name="%4"/>
    <tableColumn id="10" xr3:uid="{B8B8EE05-9A53-43AF-B438-0C690E39B0B7}" name="UPS8" dataDxfId="8"/>
    <tableColumn id="11" xr3:uid="{48E07CAD-F847-493E-8E0F-61C1DC2DAFD9}" name="FDX9"/>
    <tableColumn id="15" xr3:uid="{B1685BC9-7368-4505-89B0-82E46AE90489}" name="%5" dataDxfId="7" dataCellStyle="Percent"/>
    <tableColumn id="12" xr3:uid="{120FD101-49C6-4FFF-8EF6-4E219C6921F9}" name="UPS10" dataDxfId="6"/>
    <tableColumn id="13" xr3:uid="{D0A657D0-26C1-4E0A-8FA9-B5C2792DCBE2}" name="FDX11"/>
    <tableColumn id="20" xr3:uid="{B81CC1A5-3213-407B-A2D2-D2E5EE825A00}" name="%6" dataDxfId="5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5B70BE-365C-4CCF-9F9C-2065E46C2728}" name="Table810" displayName="Table810" ref="B3:D11" totalsRowShown="0" headerRowDxfId="4" dataDxfId="3">
  <autoFilter ref="B3:D11" xr:uid="{ED5B70BE-365C-4CCF-9F9C-2065E46C2728}">
    <filterColumn colId="0" hiddenButton="1"/>
    <filterColumn colId="1" hiddenButton="1"/>
    <filterColumn colId="2" hiddenButton="1"/>
  </autoFilter>
  <tableColumns count="3">
    <tableColumn id="1" xr3:uid="{1AE23E01-174A-4934-8ADE-6AD7D59B727B}" name="Screening Score" dataDxfId="2"/>
    <tableColumn id="2" xr3:uid="{AEB6D6C5-2106-41BB-9861-A71DB2FD95D8}" name="Column1" dataDxfId="1"/>
    <tableColumn id="3" xr3:uid="{55F71FEA-EFA9-449D-B69D-EAC406A8F0F4}" name="202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32568-5640-4B84-AC29-1C6BDB0C1A0A}">
  <sheetPr>
    <pageSetUpPr fitToPage="1"/>
  </sheetPr>
  <dimension ref="A1:X64"/>
  <sheetViews>
    <sheetView tabSelected="1" topLeftCell="E1" zoomScale="115" zoomScaleNormal="115" workbookViewId="0">
      <selection activeCell="X9" sqref="X9"/>
    </sheetView>
  </sheetViews>
  <sheetFormatPr defaultColWidth="10.5703125" defaultRowHeight="12.75" x14ac:dyDescent="0.2"/>
  <cols>
    <col min="1" max="1" width="10.5703125" style="1"/>
    <col min="2" max="2" width="30.7109375" style="1" customWidth="1"/>
    <col min="3" max="3" width="10.5703125" style="12" customWidth="1"/>
    <col min="4" max="8" width="10.5703125" style="12"/>
    <col min="9" max="9" width="10.5703125" style="12" customWidth="1"/>
    <col min="10" max="12" width="10.5703125" style="1"/>
    <col min="13" max="13" width="5.5703125" style="1" customWidth="1"/>
    <col min="14" max="14" width="30.7109375" style="1" customWidth="1"/>
    <col min="15" max="21" width="10.5703125" style="12"/>
    <col min="22" max="24" width="10.5703125" style="126"/>
    <col min="25" max="16384" width="10.5703125" style="1"/>
  </cols>
  <sheetData>
    <row r="1" spans="2:24" x14ac:dyDescent="0.2">
      <c r="C1" s="1"/>
      <c r="D1" s="1"/>
      <c r="E1" s="1"/>
      <c r="F1" s="1"/>
      <c r="G1" s="1"/>
      <c r="H1" s="1"/>
      <c r="I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2:24" x14ac:dyDescent="0.2">
      <c r="C2" s="1"/>
      <c r="D2" s="1"/>
      <c r="E2" s="1"/>
      <c r="F2" s="1"/>
      <c r="G2" s="1"/>
      <c r="H2" s="1"/>
      <c r="I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2:24" x14ac:dyDescent="0.2">
      <c r="B3" s="17" t="e" vm="1">
        <v>#VALUE!</v>
      </c>
      <c r="C3" s="1"/>
      <c r="D3" s="1"/>
      <c r="E3" s="1"/>
      <c r="F3" s="1"/>
      <c r="G3" s="1"/>
      <c r="H3" s="1"/>
      <c r="I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2:24" x14ac:dyDescent="0.2">
      <c r="B4" s="1" t="s">
        <v>0</v>
      </c>
      <c r="C4" s="2" cm="1">
        <f t="array" aca="1" ref="C4" ca="1">_FV(B3,"Price")</f>
        <v>325.26</v>
      </c>
      <c r="D4" s="1"/>
      <c r="E4" s="1"/>
      <c r="F4" s="1"/>
      <c r="G4" s="1"/>
      <c r="H4" s="1"/>
      <c r="I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2:24" x14ac:dyDescent="0.2">
      <c r="B5" s="1" t="s">
        <v>1</v>
      </c>
      <c r="C5" s="3">
        <v>239.6</v>
      </c>
      <c r="D5" s="1"/>
      <c r="E5" s="1"/>
      <c r="F5" s="1"/>
      <c r="G5" s="1"/>
      <c r="H5" s="1"/>
      <c r="I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2:24" x14ac:dyDescent="0.2">
      <c r="B6" s="1" t="s">
        <v>2</v>
      </c>
      <c r="C6" s="3">
        <f ca="1">C4*C5</f>
        <v>77932.296000000002</v>
      </c>
      <c r="D6" s="1"/>
      <c r="E6" s="1"/>
      <c r="F6" s="1"/>
      <c r="G6" s="1"/>
      <c r="H6" s="1"/>
      <c r="I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2:24" x14ac:dyDescent="0.2">
      <c r="C7" s="1"/>
      <c r="D7" s="1"/>
      <c r="E7" s="1"/>
      <c r="F7" s="1"/>
      <c r="G7" s="1"/>
      <c r="H7" s="1"/>
      <c r="I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2:24" x14ac:dyDescent="0.2">
      <c r="B8" s="11" t="s">
        <v>14</v>
      </c>
      <c r="C8" s="4" t="s">
        <v>8</v>
      </c>
      <c r="D8" s="4" t="s">
        <v>9</v>
      </c>
      <c r="E8" s="4" t="s">
        <v>10</v>
      </c>
      <c r="F8" s="4" t="s">
        <v>11</v>
      </c>
      <c r="G8" s="4" t="s">
        <v>12</v>
      </c>
      <c r="H8" s="4" t="s">
        <v>13</v>
      </c>
      <c r="I8" s="4" t="s">
        <v>33</v>
      </c>
      <c r="J8" s="8" t="s">
        <v>4</v>
      </c>
      <c r="K8" s="9" t="s">
        <v>5</v>
      </c>
      <c r="L8" s="10" t="s">
        <v>147</v>
      </c>
      <c r="N8" s="11" t="s">
        <v>14</v>
      </c>
      <c r="O8" s="4" t="s">
        <v>8</v>
      </c>
      <c r="P8" s="4" t="s">
        <v>9</v>
      </c>
      <c r="Q8" s="4" t="s">
        <v>10</v>
      </c>
      <c r="R8" s="4" t="s">
        <v>11</v>
      </c>
      <c r="S8" s="4" t="s">
        <v>12</v>
      </c>
      <c r="T8" s="4" t="s">
        <v>13</v>
      </c>
      <c r="U8" s="4" t="s">
        <v>33</v>
      </c>
      <c r="V8" s="8" t="s">
        <v>4</v>
      </c>
      <c r="W8" s="9" t="s">
        <v>5</v>
      </c>
      <c r="X8" s="10" t="s">
        <v>147</v>
      </c>
    </row>
    <row r="9" spans="2:24" ht="15" x14ac:dyDescent="0.25">
      <c r="B9" s="6" t="s">
        <v>3</v>
      </c>
      <c r="C9" s="32"/>
      <c r="D9" s="33"/>
      <c r="E9" s="32"/>
      <c r="F9" s="32"/>
      <c r="G9" s="32"/>
      <c r="H9" s="32"/>
      <c r="I9" s="32"/>
      <c r="J9" s="50"/>
      <c r="K9" s="51"/>
      <c r="L9" s="52"/>
      <c r="N9" s="6" t="s">
        <v>6</v>
      </c>
      <c r="O9" s="42"/>
      <c r="P9" s="43"/>
      <c r="Q9" s="42"/>
      <c r="R9" s="42"/>
      <c r="S9" s="42"/>
      <c r="T9" s="42"/>
      <c r="U9" s="42"/>
      <c r="V9" s="111"/>
      <c r="W9" s="112"/>
      <c r="X9" s="113"/>
    </row>
    <row r="10" spans="2:24" x14ac:dyDescent="0.2">
      <c r="B10" s="6" t="s">
        <v>15</v>
      </c>
      <c r="C10" s="31"/>
      <c r="D10" s="31"/>
      <c r="E10" s="31"/>
      <c r="F10" s="31"/>
      <c r="G10" s="31"/>
      <c r="H10" s="31"/>
      <c r="I10" s="31"/>
      <c r="J10" s="53"/>
      <c r="K10" s="54"/>
      <c r="L10" s="55"/>
      <c r="N10" s="5" t="s">
        <v>7</v>
      </c>
      <c r="O10" s="42"/>
      <c r="P10" s="44"/>
      <c r="Q10" s="42"/>
      <c r="R10" s="42"/>
      <c r="S10" s="42"/>
      <c r="T10" s="42"/>
      <c r="U10" s="42"/>
      <c r="V10" s="114"/>
      <c r="W10" s="115"/>
      <c r="X10" s="116"/>
    </row>
    <row r="11" spans="2:24" x14ac:dyDescent="0.2">
      <c r="B11" s="16" t="s">
        <v>25</v>
      </c>
      <c r="C11" s="31"/>
      <c r="D11" s="31"/>
      <c r="E11" s="31"/>
      <c r="F11" s="31"/>
      <c r="G11" s="31"/>
      <c r="H11" s="31"/>
      <c r="I11" s="31"/>
      <c r="J11" s="53"/>
      <c r="K11" s="54"/>
      <c r="L11" s="55"/>
      <c r="N11" s="19" t="s">
        <v>52</v>
      </c>
      <c r="O11" s="44">
        <v>2319</v>
      </c>
      <c r="P11" s="48">
        <v>4881</v>
      </c>
      <c r="Q11" s="44">
        <v>7087</v>
      </c>
      <c r="R11" s="44">
        <v>6897</v>
      </c>
      <c r="S11" s="44">
        <v>6856</v>
      </c>
      <c r="T11" s="44">
        <v>6501</v>
      </c>
      <c r="U11" s="44">
        <v>5502</v>
      </c>
      <c r="V11" s="127">
        <f>(Table2[[#This Row],[2025]]-Table2[[#This Row],[2024]])/Table2[[#This Row],[2024]]</f>
        <v>-0.15366866635902168</v>
      </c>
      <c r="W11" s="118">
        <f>(Table2[[#This Row],[2025]]-Table2[[#This Row],[2023]])/Table2[[#This Row],[2023]]</f>
        <v>-0.19749124854142358</v>
      </c>
      <c r="X11" s="119">
        <f>(Table2[[#This Row],[2025]]-Table2[[#This Row],[2019]])/Table2[[#This Row],[2019]]</f>
        <v>1.3725743855109962</v>
      </c>
    </row>
    <row r="12" spans="2:24" x14ac:dyDescent="0.2">
      <c r="B12" s="19" t="s">
        <v>16</v>
      </c>
      <c r="C12" s="31">
        <v>13717</v>
      </c>
      <c r="D12" s="31">
        <v>13048</v>
      </c>
      <c r="E12" s="31">
        <v>14891</v>
      </c>
      <c r="F12" s="31">
        <v>16385</v>
      </c>
      <c r="G12" s="31">
        <v>16024</v>
      </c>
      <c r="H12" s="31">
        <v>15471</v>
      </c>
      <c r="I12" s="31">
        <f>49414-33887</f>
        <v>15527</v>
      </c>
      <c r="J12" s="56">
        <f>(Table1[[#This Row],[2025]]-Table1[[#This Row],[2024]])/Table1[[#This Row],[2024]]</f>
        <v>3.6196755219442826E-3</v>
      </c>
      <c r="K12" s="57">
        <f>(Table1[[#This Row],[2025]]-Table1[[#This Row],[2023]])/Table1[[#This Row],[2023]]</f>
        <v>-3.101597603594608E-2</v>
      </c>
      <c r="L12" s="58">
        <f>(Table1[[#This Row],[2025]]-Table1[[#This Row],[2019]])/Table1[[#This Row],[2019]]</f>
        <v>0.13195305095866444</v>
      </c>
      <c r="N12" s="19" t="s">
        <v>53</v>
      </c>
      <c r="O12" s="44">
        <v>9116</v>
      </c>
      <c r="P12" s="44">
        <v>10102</v>
      </c>
      <c r="Q12" s="44">
        <v>12069</v>
      </c>
      <c r="R12" s="44">
        <v>11863</v>
      </c>
      <c r="S12" s="44">
        <v>10188</v>
      </c>
      <c r="T12" s="44">
        <v>10087</v>
      </c>
      <c r="U12" s="44">
        <v>11368</v>
      </c>
      <c r="V12" s="127">
        <f>(Table2[[#This Row],[2025]]-Table2[[#This Row],[2024]])/Table2[[#This Row],[2024]]</f>
        <v>0.12699514226231784</v>
      </c>
      <c r="W12" s="118">
        <f>(Table2[[#This Row],[2025]]-Table2[[#This Row],[2023]])/Table2[[#This Row],[2023]]</f>
        <v>0.11582253631723596</v>
      </c>
      <c r="X12" s="119">
        <f>(Table2[[#This Row],[2025]]-Table2[[#This Row],[2019]])/Table2[[#This Row],[2019]]</f>
        <v>0.24703817463799913</v>
      </c>
    </row>
    <row r="13" spans="2:24" x14ac:dyDescent="0.2">
      <c r="B13" s="19" t="s">
        <v>17</v>
      </c>
      <c r="C13" s="31">
        <v>10851</v>
      </c>
      <c r="D13" s="31">
        <v>10436</v>
      </c>
      <c r="E13" s="31">
        <v>12949</v>
      </c>
      <c r="F13" s="31">
        <v>14968</v>
      </c>
      <c r="G13" s="31">
        <v>13850</v>
      </c>
      <c r="H13" s="31">
        <v>13728</v>
      </c>
      <c r="I13" s="31">
        <v>14598</v>
      </c>
      <c r="J13" s="127">
        <f>(Table1[[#This Row],[2025]]-Table1[[#This Row],[2024]])/Table1[[#This Row],[2024]]</f>
        <v>6.3374125874125872E-2</v>
      </c>
      <c r="K13" s="57">
        <f>(Table1[[#This Row],[2025]]-Table1[[#This Row],[2023]])/Table1[[#This Row],[2023]]</f>
        <v>5.4007220216606498E-2</v>
      </c>
      <c r="L13" s="127">
        <f>(Table1[[#This Row],[2025]]-Table1[[#This Row],[2019]])/Table1[[#This Row],[2019]]</f>
        <v>0.34531379596350564</v>
      </c>
      <c r="N13" s="19" t="s">
        <v>54</v>
      </c>
      <c r="O13" s="44">
        <v>553</v>
      </c>
      <c r="P13" s="44">
        <v>572</v>
      </c>
      <c r="Q13" s="44">
        <v>587</v>
      </c>
      <c r="R13" s="44">
        <v>637</v>
      </c>
      <c r="S13" s="44">
        <v>604</v>
      </c>
      <c r="T13" s="44">
        <v>614</v>
      </c>
      <c r="U13" s="44">
        <v>602</v>
      </c>
      <c r="V13" s="120">
        <f>(Table2[[#This Row],[2025]]-Table2[[#This Row],[2024]])/Table2[[#This Row],[2024]]</f>
        <v>-1.9543973941368076E-2</v>
      </c>
      <c r="W13" s="118">
        <f>(Table2[[#This Row],[2025]]-Table2[[#This Row],[2023]])/Table2[[#This Row],[2023]]</f>
        <v>-3.3112582781456954E-3</v>
      </c>
      <c r="X13" s="119">
        <f>(Table2[[#This Row],[2025]]-Table2[[#This Row],[2019]])/Table2[[#This Row],[2019]]</f>
        <v>8.8607594936708861E-2</v>
      </c>
    </row>
    <row r="14" spans="2:24" x14ac:dyDescent="0.2">
      <c r="B14" s="19" t="s">
        <v>34</v>
      </c>
      <c r="C14" s="31">
        <v>4540</v>
      </c>
      <c r="D14" s="31">
        <v>4179</v>
      </c>
      <c r="E14" s="31">
        <v>4640</v>
      </c>
      <c r="F14" s="31">
        <v>4340</v>
      </c>
      <c r="G14" s="31">
        <v>4043</v>
      </c>
      <c r="H14" s="31">
        <v>4178</v>
      </c>
      <c r="I14" s="31">
        <v>4495</v>
      </c>
      <c r="J14" s="56">
        <f>(Table1[[#This Row],[2025]]-Table1[[#This Row],[2024]])/Table1[[#This Row],[2024]]</f>
        <v>7.5873623743417898E-2</v>
      </c>
      <c r="K14" s="57">
        <f>(Table1[[#This Row],[2025]]-Table1[[#This Row],[2023]])/Table1[[#This Row],[2023]]</f>
        <v>0.11179816967598318</v>
      </c>
      <c r="L14" s="58">
        <f>(Table1[[#This Row],[2025]]-Table1[[#This Row],[2019]])/Table1[[#This Row],[2019]]</f>
        <v>-9.911894273127754E-3</v>
      </c>
      <c r="N14" s="19" t="s">
        <v>55</v>
      </c>
      <c r="O14" s="44">
        <v>1098</v>
      </c>
      <c r="P14" s="44">
        <v>828</v>
      </c>
      <c r="Q14" s="44">
        <v>837</v>
      </c>
      <c r="R14" s="44">
        <v>968</v>
      </c>
      <c r="S14" s="44">
        <v>962</v>
      </c>
      <c r="T14" s="44">
        <v>1005</v>
      </c>
      <c r="U14" s="44">
        <v>952</v>
      </c>
      <c r="V14" s="120">
        <f>(Table2[[#This Row],[2025]]-Table2[[#This Row],[2024]])/Table2[[#This Row],[2024]]</f>
        <v>-5.2736318407960198E-2</v>
      </c>
      <c r="W14" s="118">
        <f>(Table2[[#This Row],[2025]]-Table2[[#This Row],[2023]])/Table2[[#This Row],[2023]]</f>
        <v>-1.0395010395010396E-2</v>
      </c>
      <c r="X14" s="119">
        <f>(Table2[[#This Row],[2025]]-Table2[[#This Row],[2019]])/Table2[[#This Row],[2019]]</f>
        <v>-0.13296903460837886</v>
      </c>
    </row>
    <row r="15" spans="2:24" ht="13.5" thickBot="1" x14ac:dyDescent="0.25">
      <c r="B15" s="26" t="s">
        <v>23</v>
      </c>
      <c r="C15" s="36">
        <f t="shared" ref="C15" si="0">SUBTOTAL(109,C9:C14)</f>
        <v>29108</v>
      </c>
      <c r="D15" s="36">
        <f t="shared" ref="D15" si="1">SUBTOTAL(109,D9:D14)</f>
        <v>27663</v>
      </c>
      <c r="E15" s="36">
        <f t="shared" ref="E15" si="2">SUBTOTAL(109,E9:E14)</f>
        <v>32480</v>
      </c>
      <c r="F15" s="36">
        <f t="shared" ref="F15" si="3">SUBTOTAL(109,F9:F14)</f>
        <v>35693</v>
      </c>
      <c r="G15" s="36">
        <f t="shared" ref="G15" si="4">SUBTOTAL(109,G9:G14)</f>
        <v>33917</v>
      </c>
      <c r="H15" s="36">
        <f>SUBTOTAL(109,H9:H14)</f>
        <v>33377</v>
      </c>
      <c r="I15" s="36">
        <f t="shared" ref="I15" si="5">SUBTOTAL(109,I9:I14)</f>
        <v>34620</v>
      </c>
      <c r="J15" s="95">
        <f>(Table1[[#This Row],[2025]]-Table1[[#This Row],[2024]])/Table1[[#This Row],[2024]]</f>
        <v>3.7241214009647361E-2</v>
      </c>
      <c r="K15" s="23">
        <f>(Table1[[#This Row],[2025]]-Table1[[#This Row],[2023]])/Table1[[#This Row],[2023]]</f>
        <v>2.0727069021434678E-2</v>
      </c>
      <c r="L15" s="95">
        <f>(Table1[[#This Row],[2025]]-Table1[[#This Row],[2019]])/Table1[[#This Row],[2019]]</f>
        <v>0.18936374879758142</v>
      </c>
      <c r="N15" s="26" t="s">
        <v>72</v>
      </c>
      <c r="O15" s="36">
        <f t="shared" ref="O15:S15" si="6">SUBTOTAL(109,O9:O14)</f>
        <v>13086</v>
      </c>
      <c r="P15" s="36">
        <f t="shared" si="6"/>
        <v>16383</v>
      </c>
      <c r="Q15" s="36">
        <f t="shared" si="6"/>
        <v>20580</v>
      </c>
      <c r="R15" s="36">
        <f t="shared" si="6"/>
        <v>20365</v>
      </c>
      <c r="S15" s="36">
        <f t="shared" si="6"/>
        <v>18610</v>
      </c>
      <c r="T15" s="36">
        <f>SUBTOTAL(109,T9:T14)</f>
        <v>18207</v>
      </c>
      <c r="U15" s="36">
        <f>SUBTOTAL(109,U9:U14)</f>
        <v>18424</v>
      </c>
      <c r="V15" s="122">
        <f>(Table2[[#This Row],[2025]]-Table2[[#This Row],[2024]])/Table2[[#This Row],[2024]]</f>
        <v>1.1918492887351018E-2</v>
      </c>
      <c r="W15" s="123">
        <f>(Table2[[#This Row],[2025]]-Table2[[#This Row],[2023]])/Table2[[#This Row],[2023]]</f>
        <v>-9.9946265448683496E-3</v>
      </c>
      <c r="X15" s="95">
        <f>(Table2[[#This Row],[2025]]-Table2[[#This Row],[2019]])/Table2[[#This Row],[2019]]</f>
        <v>0.40791685771053032</v>
      </c>
    </row>
    <row r="16" spans="2:24" x14ac:dyDescent="0.2">
      <c r="B16" s="16" t="s">
        <v>26</v>
      </c>
      <c r="C16" s="31"/>
      <c r="D16" s="31"/>
      <c r="E16" s="31"/>
      <c r="F16" s="31"/>
      <c r="G16" s="31"/>
      <c r="H16" s="31"/>
      <c r="I16" s="31"/>
      <c r="J16" s="53"/>
      <c r="K16" s="54"/>
      <c r="L16" s="55"/>
      <c r="N16" s="16" t="s">
        <v>64</v>
      </c>
      <c r="O16" s="44"/>
      <c r="P16" s="44"/>
      <c r="Q16" s="44"/>
      <c r="R16" s="44"/>
      <c r="S16" s="44"/>
      <c r="T16" s="44"/>
      <c r="U16" s="44"/>
      <c r="V16" s="120"/>
      <c r="W16" s="118"/>
      <c r="X16" s="125"/>
    </row>
    <row r="17" spans="1:24" x14ac:dyDescent="0.2">
      <c r="B17" s="19" t="s">
        <v>18</v>
      </c>
      <c r="C17" s="31">
        <v>3025</v>
      </c>
      <c r="D17" s="31">
        <v>2998</v>
      </c>
      <c r="E17" s="31">
        <v>3325</v>
      </c>
      <c r="F17" s="31">
        <v>3041</v>
      </c>
      <c r="G17" s="31">
        <v>2906</v>
      </c>
      <c r="H17" s="31">
        <v>2418</v>
      </c>
      <c r="I17" s="31">
        <v>1536</v>
      </c>
      <c r="J17" s="127">
        <f>(Table1[[#This Row],[2025]]-Table1[[#This Row],[2024]])/Table1[[#This Row],[2024]]</f>
        <v>-0.36476426799007444</v>
      </c>
      <c r="K17" s="127">
        <f>(Table1[[#This Row],[2025]]-Table1[[#This Row],[2023]])/Table1[[#This Row],[2023]]</f>
        <v>-0.47143840330351</v>
      </c>
      <c r="L17" s="58">
        <f>(Table1[[#This Row],[2025]]-Table1[[#This Row],[2019]])/Table1[[#This Row],[2019]]</f>
        <v>-0.49223140495867768</v>
      </c>
      <c r="N17" s="20" t="s">
        <v>56</v>
      </c>
      <c r="O17" s="44">
        <v>22793</v>
      </c>
      <c r="P17" s="44">
        <v>24518</v>
      </c>
      <c r="Q17" s="44">
        <v>26268</v>
      </c>
      <c r="R17" s="44">
        <v>27874</v>
      </c>
      <c r="S17" s="44">
        <v>29108</v>
      </c>
      <c r="T17" s="44">
        <v>30525</v>
      </c>
      <c r="U17" s="44">
        <v>31584</v>
      </c>
      <c r="V17" s="120">
        <f>(Table2[[#This Row],[2025]]-Table2[[#This Row],[2024]])/Table2[[#This Row],[2024]]</f>
        <v>3.4692874692874694E-2</v>
      </c>
      <c r="W17" s="118">
        <f>(Table2[[#This Row],[2025]]-Table2[[#This Row],[2023]])/Table2[[#This Row],[2023]]</f>
        <v>8.506252576611241E-2</v>
      </c>
      <c r="X17" s="119">
        <f>(Table2[[#This Row],[2025]]-Table2[[#This Row],[2019]])/Table2[[#This Row],[2019]]</f>
        <v>0.38568858860176369</v>
      </c>
    </row>
    <row r="18" spans="1:24" ht="25.5" x14ac:dyDescent="0.2">
      <c r="B18" s="19" t="s">
        <v>19</v>
      </c>
      <c r="C18" s="31">
        <v>2070</v>
      </c>
      <c r="D18" s="31">
        <v>1915</v>
      </c>
      <c r="E18" s="31">
        <v>3030</v>
      </c>
      <c r="F18" s="31">
        <v>3840</v>
      </c>
      <c r="G18" s="31">
        <v>3060</v>
      </c>
      <c r="H18" s="31">
        <v>2205</v>
      </c>
      <c r="I18" s="31">
        <v>2320</v>
      </c>
      <c r="J18" s="127">
        <f>(Table1[[#This Row],[2025]]-Table1[[#This Row],[2024]])/Table1[[#This Row],[2024]]</f>
        <v>5.2154195011337869E-2</v>
      </c>
      <c r="K18" s="57">
        <f>(Table1[[#This Row],[2025]]-Table1[[#This Row],[2023]])/Table1[[#This Row],[2023]]</f>
        <v>-0.24183006535947713</v>
      </c>
      <c r="L18" s="58">
        <f>(Table1[[#This Row],[2025]]-Table1[[#This Row],[2019]])/Table1[[#This Row],[2019]]</f>
        <v>0.12077294685990338</v>
      </c>
      <c r="N18" s="41" t="s">
        <v>57</v>
      </c>
      <c r="O18" s="44">
        <v>10409</v>
      </c>
      <c r="P18" s="44">
        <v>11382</v>
      </c>
      <c r="Q18" s="44">
        <v>13012</v>
      </c>
      <c r="R18" s="44">
        <v>14930</v>
      </c>
      <c r="S18" s="44">
        <v>16839</v>
      </c>
      <c r="T18" s="44">
        <v>17880</v>
      </c>
      <c r="U18" s="44">
        <v>18878</v>
      </c>
      <c r="V18" s="120">
        <f>(Table2[[#This Row],[2025]]-Table2[[#This Row],[2024]])/Table2[[#This Row],[2024]]</f>
        <v>5.5816554809843398E-2</v>
      </c>
      <c r="W18" s="118">
        <f>(Table2[[#This Row],[2025]]-Table2[[#This Row],[2023]])/Table2[[#This Row],[2023]]</f>
        <v>0.1210879505908902</v>
      </c>
      <c r="X18" s="119">
        <f>(Table2[[#This Row],[2025]]-Table2[[#This Row],[2019]])/Table2[[#This Row],[2019]]</f>
        <v>0.81362282640023054</v>
      </c>
    </row>
    <row r="19" spans="1:24" x14ac:dyDescent="0.2">
      <c r="B19" s="19" t="s">
        <v>20</v>
      </c>
      <c r="C19" s="31">
        <v>2123</v>
      </c>
      <c r="D19" s="31">
        <v>1930</v>
      </c>
      <c r="E19" s="31">
        <v>1582</v>
      </c>
      <c r="F19" s="31">
        <v>1653</v>
      </c>
      <c r="G19" s="31">
        <v>1510</v>
      </c>
      <c r="H19" s="31">
        <v>1677</v>
      </c>
      <c r="I19" s="31">
        <v>1975</v>
      </c>
      <c r="J19" s="56">
        <f>(Table1[[#This Row],[2025]]-Table1[[#This Row],[2024]])/Table1[[#This Row],[2024]]</f>
        <v>0.17769827072152652</v>
      </c>
      <c r="K19" s="57">
        <f>(Table1[[#This Row],[2025]]-Table1[[#This Row],[2023]])/Table1[[#This Row],[2023]]</f>
        <v>0.30794701986754969</v>
      </c>
      <c r="L19" s="58">
        <f>(Table1[[#This Row],[2025]]-Table1[[#This Row],[2019]])/Table1[[#This Row],[2019]]</f>
        <v>-6.9712670748940178E-2</v>
      </c>
      <c r="N19" s="20" t="s">
        <v>58</v>
      </c>
      <c r="O19" s="44">
        <v>6268</v>
      </c>
      <c r="P19" s="44">
        <v>6884</v>
      </c>
      <c r="Q19" s="44">
        <v>7486</v>
      </c>
      <c r="R19" s="44">
        <v>8098</v>
      </c>
      <c r="S19" s="44">
        <v>8792</v>
      </c>
      <c r="T19" s="44">
        <v>9203</v>
      </c>
      <c r="U19" s="44">
        <v>9707</v>
      </c>
      <c r="V19" s="120">
        <f>(Table2[[#This Row],[2025]]-Table2[[#This Row],[2024]])/Table2[[#This Row],[2024]]</f>
        <v>5.4764750624796264E-2</v>
      </c>
      <c r="W19" s="118">
        <f>(Table2[[#This Row],[2025]]-Table2[[#This Row],[2023]])/Table2[[#This Row],[2023]]</f>
        <v>0.10407188353048226</v>
      </c>
      <c r="X19" s="119">
        <f>(Table2[[#This Row],[2025]]-Table2[[#This Row],[2019]])/Table2[[#This Row],[2019]]</f>
        <v>0.54865985960433949</v>
      </c>
    </row>
    <row r="20" spans="1:24" s="7" customFormat="1" x14ac:dyDescent="0.2">
      <c r="A20" s="1"/>
      <c r="B20" s="19" t="s">
        <v>21</v>
      </c>
      <c r="C20" s="31">
        <v>314</v>
      </c>
      <c r="D20" s="31">
        <v>270</v>
      </c>
      <c r="E20" s="31">
        <v>245</v>
      </c>
      <c r="F20" s="31">
        <v>177</v>
      </c>
      <c r="G20" s="31">
        <v>166</v>
      </c>
      <c r="H20" s="31">
        <v>126</v>
      </c>
      <c r="I20" s="31">
        <v>0</v>
      </c>
      <c r="J20" s="56">
        <f>(Table1[[#This Row],[2025]]-Table1[[#This Row],[2024]])/Table1[[#This Row],[2024]]</f>
        <v>-1</v>
      </c>
      <c r="K20" s="57">
        <f>(Table1[[#This Row],[2025]]-Table1[[#This Row],[2023]])/Table1[[#This Row],[2023]]</f>
        <v>-1</v>
      </c>
      <c r="L20" s="58">
        <f>(Table1[[#This Row],[2025]]-Table1[[#This Row],[2019]])/Table1[[#This Row],[2019]]</f>
        <v>-1</v>
      </c>
      <c r="M20" s="1"/>
      <c r="N20" s="20" t="s">
        <v>59</v>
      </c>
      <c r="O20" s="44">
        <v>8339</v>
      </c>
      <c r="P20" s="44">
        <v>9101</v>
      </c>
      <c r="Q20" s="44">
        <v>9282</v>
      </c>
      <c r="R20" s="44">
        <v>9806</v>
      </c>
      <c r="S20" s="44">
        <v>10191</v>
      </c>
      <c r="T20" s="44">
        <v>10568</v>
      </c>
      <c r="U20" s="44">
        <v>10949</v>
      </c>
      <c r="V20" s="120">
        <f>(Table2[[#This Row],[2025]]-Table2[[#This Row],[2024]])/Table2[[#This Row],[2024]]</f>
        <v>3.6052233156699469E-2</v>
      </c>
      <c r="W20" s="118">
        <f>(Table2[[#This Row],[2025]]-Table2[[#This Row],[2023]])/Table2[[#This Row],[2023]]</f>
        <v>7.4379354332253955E-2</v>
      </c>
      <c r="X20" s="119">
        <f>(Table2[[#This Row],[2025]]-Table2[[#This Row],[2019]])/Table2[[#This Row],[2019]]</f>
        <v>0.31298716872526683</v>
      </c>
    </row>
    <row r="21" spans="1:24" ht="13.5" thickBot="1" x14ac:dyDescent="0.25">
      <c r="B21" s="26" t="s">
        <v>22</v>
      </c>
      <c r="C21" s="36">
        <f t="shared" ref="C21:G21" si="7">SUM(C17:C20)</f>
        <v>7532</v>
      </c>
      <c r="D21" s="36">
        <f>SUM(D17:D20)</f>
        <v>7113</v>
      </c>
      <c r="E21" s="36">
        <f t="shared" si="7"/>
        <v>8182</v>
      </c>
      <c r="F21" s="36">
        <f t="shared" si="7"/>
        <v>8711</v>
      </c>
      <c r="G21" s="36">
        <f t="shared" si="7"/>
        <v>7642</v>
      </c>
      <c r="H21" s="36">
        <f>SUM(H17:H20)</f>
        <v>6426</v>
      </c>
      <c r="I21" s="36">
        <f>SUM(I17:I20)</f>
        <v>5831</v>
      </c>
      <c r="J21" s="22">
        <f>(Table1[[#This Row],[2025]]-Table1[[#This Row],[2024]])/Table1[[#This Row],[2024]]</f>
        <v>-9.2592592592592587E-2</v>
      </c>
      <c r="K21" s="23">
        <f>(Table1[[#This Row],[2025]]-Table1[[#This Row],[2023]])/Table1[[#This Row],[2023]]</f>
        <v>-0.23697984820727558</v>
      </c>
      <c r="L21" s="24">
        <f>(Table1[[#This Row],[2025]]-Table1[[#This Row],[2019]])/Table1[[#This Row],[2019]]</f>
        <v>-0.2258364312267658</v>
      </c>
      <c r="N21" s="20" t="s">
        <v>60</v>
      </c>
      <c r="O21" s="46">
        <v>11702</v>
      </c>
      <c r="P21" s="46">
        <v>13139</v>
      </c>
      <c r="Q21" s="46">
        <v>14029</v>
      </c>
      <c r="R21" s="46">
        <v>14567</v>
      </c>
      <c r="S21" s="46">
        <v>15694</v>
      </c>
      <c r="T21" s="46">
        <v>16215</v>
      </c>
      <c r="U21" s="46">
        <v>16505</v>
      </c>
      <c r="V21" s="120">
        <f>(Table2[[#This Row],[2025]]-Table2[[#This Row],[2024]])/Table2[[#This Row],[2024]]</f>
        <v>1.7884674683934627E-2</v>
      </c>
      <c r="W21" s="118">
        <f>(Table2[[#This Row],[2025]]-Table2[[#This Row],[2023]])/Table2[[#This Row],[2023]]</f>
        <v>5.1675799668663182E-2</v>
      </c>
      <c r="X21" s="119">
        <f>(Table2[[#This Row],[2025]]-Table2[[#This Row],[2019]])/Table2[[#This Row],[2019]]</f>
        <v>0.41044265937446589</v>
      </c>
    </row>
    <row r="22" spans="1:24" x14ac:dyDescent="0.2">
      <c r="B22" s="19" t="s">
        <v>24</v>
      </c>
      <c r="C22" s="31">
        <v>691</v>
      </c>
      <c r="D22" s="31">
        <v>737</v>
      </c>
      <c r="E22" s="31">
        <v>1416</v>
      </c>
      <c r="F22" s="31">
        <v>1410</v>
      </c>
      <c r="G22" s="31">
        <v>1184</v>
      </c>
      <c r="H22" s="31">
        <v>1054</v>
      </c>
      <c r="I22" s="31">
        <v>966</v>
      </c>
      <c r="J22" s="56">
        <f>(Table1[[#This Row],[2025]]-Table1[[#This Row],[2024]])/Table1[[#This Row],[2024]]</f>
        <v>-8.3491461100569264E-2</v>
      </c>
      <c r="K22" s="57">
        <f>(Table1[[#This Row],[2025]]-Table1[[#This Row],[2023]])/Table1[[#This Row],[2023]]</f>
        <v>-0.18412162162162163</v>
      </c>
      <c r="L22" s="58">
        <f>(Table1[[#This Row],[2025]]-Table1[[#This Row],[2019]])/Table1[[#This Row],[2019]]</f>
        <v>0.39797395079594788</v>
      </c>
      <c r="N22" s="20" t="s">
        <v>66</v>
      </c>
      <c r="O22" s="31">
        <v>-29082</v>
      </c>
      <c r="P22" s="31">
        <v>-31416</v>
      </c>
      <c r="Q22" s="31">
        <v>-34325</v>
      </c>
      <c r="R22" s="31">
        <v>-37184</v>
      </c>
      <c r="S22" s="31">
        <v>-39926</v>
      </c>
      <c r="T22" s="31">
        <v>-42900</v>
      </c>
      <c r="U22" s="31">
        <v>-45980</v>
      </c>
      <c r="V22" s="120">
        <f>(Table2[[#This Row],[2025]]-Table2[[#This Row],[2024]])/Table2[[#This Row],[2024]]</f>
        <v>7.179487179487179E-2</v>
      </c>
      <c r="W22" s="118">
        <f>(Table2[[#This Row],[2025]]-Table2[[#This Row],[2023]])/Table2[[#This Row],[2023]]</f>
        <v>0.15163051645544257</v>
      </c>
      <c r="X22" s="119">
        <f>(Table2[[#This Row],[2025]]-Table2[[#This Row],[2019]])/Table2[[#This Row],[2019]]</f>
        <v>0.58104669555051236</v>
      </c>
    </row>
    <row r="23" spans="1:24" ht="13.5" thickBot="1" x14ac:dyDescent="0.25">
      <c r="B23" s="26" t="s">
        <v>27</v>
      </c>
      <c r="C23" s="36">
        <f t="shared" ref="C23:G23" si="8">C15+C21+C22</f>
        <v>37331</v>
      </c>
      <c r="D23" s="36">
        <f>D15+D21+D22</f>
        <v>35513</v>
      </c>
      <c r="E23" s="36">
        <f t="shared" si="8"/>
        <v>42078</v>
      </c>
      <c r="F23" s="36">
        <f t="shared" si="8"/>
        <v>45814</v>
      </c>
      <c r="G23" s="36">
        <f t="shared" si="8"/>
        <v>42743</v>
      </c>
      <c r="H23" s="36">
        <f>H15+H21+H22</f>
        <v>40857</v>
      </c>
      <c r="I23" s="36">
        <f t="shared" ref="I23" si="9">I15+I21+I22</f>
        <v>41417</v>
      </c>
      <c r="J23" s="22">
        <f>(Table1[[#This Row],[2025]]-Table1[[#This Row],[2024]])/Table1[[#This Row],[2024]]</f>
        <v>1.3706341630565142E-2</v>
      </c>
      <c r="K23" s="23">
        <f>(Table1[[#This Row],[2025]]-Table1[[#This Row],[2023]])/Table1[[#This Row],[2023]]</f>
        <v>-3.1022623587488009E-2</v>
      </c>
      <c r="L23" s="24">
        <f>(Table1[[#This Row],[2025]]-Table1[[#This Row],[2019]])/Table1[[#This Row],[2019]]</f>
        <v>0.10945326940076612</v>
      </c>
      <c r="N23" s="27" t="s">
        <v>65</v>
      </c>
      <c r="O23" s="36">
        <f t="shared" ref="O23:S23" si="10">SUM(O17:O22)</f>
        <v>30429</v>
      </c>
      <c r="P23" s="36">
        <f t="shared" si="10"/>
        <v>33608</v>
      </c>
      <c r="Q23" s="36">
        <f t="shared" si="10"/>
        <v>35752</v>
      </c>
      <c r="R23" s="36">
        <f t="shared" si="10"/>
        <v>38091</v>
      </c>
      <c r="S23" s="36">
        <f t="shared" si="10"/>
        <v>40698</v>
      </c>
      <c r="T23" s="36">
        <f>SUM(T17:T22)</f>
        <v>41491</v>
      </c>
      <c r="U23" s="36">
        <f>SUM(U17:U22)</f>
        <v>41643</v>
      </c>
      <c r="V23" s="122">
        <f>(Table2[[#This Row],[2025]]-Table2[[#This Row],[2024]])/Table2[[#This Row],[2024]]</f>
        <v>3.6634450844761513E-3</v>
      </c>
      <c r="W23" s="123">
        <f>(Table2[[#This Row],[2025]]-Table2[[#This Row],[2023]])/Table2[[#This Row],[2023]]</f>
        <v>2.3219814241486069E-2</v>
      </c>
      <c r="X23" s="124">
        <f>(Table2[[#This Row],[2025]]-Table2[[#This Row],[2019]])/Table2[[#This Row],[2019]]</f>
        <v>0.36853002070393376</v>
      </c>
    </row>
    <row r="24" spans="1:24" x14ac:dyDescent="0.2">
      <c r="B24" s="15" t="s">
        <v>28</v>
      </c>
      <c r="C24" s="31">
        <v>20522</v>
      </c>
      <c r="D24" s="31">
        <v>22733</v>
      </c>
      <c r="E24" s="31">
        <v>30496</v>
      </c>
      <c r="F24" s="31">
        <v>33232</v>
      </c>
      <c r="G24" s="31">
        <v>33507</v>
      </c>
      <c r="H24" s="31">
        <v>34256</v>
      </c>
      <c r="I24" s="31">
        <v>33887</v>
      </c>
      <c r="J24" s="56">
        <f>(Table1[[#This Row],[2025]]-Table1[[#This Row],[2024]])/Table1[[#This Row],[2024]]</f>
        <v>-1.0771835590845399E-2</v>
      </c>
      <c r="K24" s="57">
        <f>(Table1[[#This Row],[2025]]-Table1[[#This Row],[2023]])/Table1[[#This Row],[2023]]</f>
        <v>1.1340913838899335E-2</v>
      </c>
      <c r="L24" s="58">
        <f>(Table1[[#This Row],[2025]]-Table1[[#This Row],[2019]])/Table1[[#This Row],[2019]]</f>
        <v>0.65125231458922128</v>
      </c>
      <c r="N24" s="37" t="s">
        <v>61</v>
      </c>
      <c r="O24" s="44">
        <v>0</v>
      </c>
      <c r="P24" s="44">
        <v>13917</v>
      </c>
      <c r="Q24" s="44">
        <v>15383</v>
      </c>
      <c r="R24" s="44">
        <v>16613</v>
      </c>
      <c r="S24" s="44">
        <v>17347</v>
      </c>
      <c r="T24" s="44">
        <v>17115</v>
      </c>
      <c r="U24" s="44">
        <v>16453</v>
      </c>
      <c r="V24" s="127">
        <f>(Table2[[#This Row],[2025]]-Table2[[#This Row],[2024]])/Table2[[#This Row],[2024]]</f>
        <v>-3.8679520888109845E-2</v>
      </c>
      <c r="W24" s="118">
        <f>(Table2[[#This Row],[2025]]-Table2[[#This Row],[2023]])/Table2[[#This Row],[2023]]</f>
        <v>-5.1536288695451661E-2</v>
      </c>
      <c r="X24" s="119" t="e">
        <f>(Table2[[#This Row],[2025]]-Table2[[#This Row],[2019]])/Table2[[#This Row],[2019]]</f>
        <v>#DIV/0!</v>
      </c>
    </row>
    <row r="25" spans="1:24" x14ac:dyDescent="0.2">
      <c r="B25" s="15" t="s">
        <v>29</v>
      </c>
      <c r="C25" s="68">
        <v>7582</v>
      </c>
      <c r="D25" s="31">
        <v>7102</v>
      </c>
      <c r="E25" s="31">
        <v>7833</v>
      </c>
      <c r="F25" s="31">
        <v>9532</v>
      </c>
      <c r="G25" s="31">
        <v>9632</v>
      </c>
      <c r="H25" s="31">
        <v>9082</v>
      </c>
      <c r="I25" s="31">
        <v>8892</v>
      </c>
      <c r="J25" s="56">
        <f>(Table1[[#This Row],[2025]]-Table1[[#This Row],[2024]])/Table1[[#This Row],[2024]]</f>
        <v>-2.0920502092050208E-2</v>
      </c>
      <c r="K25" s="57">
        <f>(Table1[[#This Row],[2025]]-Table1[[#This Row],[2023]])/Table1[[#This Row],[2023]]</f>
        <v>-7.6827242524916947E-2</v>
      </c>
      <c r="L25" s="58">
        <f>(Table1[[#This Row],[2025]]-Table1[[#This Row],[2019]])/Table1[[#This Row],[2019]]</f>
        <v>0.17277763123186493</v>
      </c>
      <c r="N25" s="37" t="s">
        <v>62</v>
      </c>
      <c r="O25" s="44">
        <v>6884</v>
      </c>
      <c r="P25" s="44">
        <v>6372</v>
      </c>
      <c r="Q25" s="44">
        <v>6992</v>
      </c>
      <c r="R25" s="44">
        <v>6544</v>
      </c>
      <c r="S25" s="44">
        <v>6435</v>
      </c>
      <c r="T25" s="44">
        <v>6423</v>
      </c>
      <c r="U25" s="44">
        <v>6603</v>
      </c>
      <c r="V25" s="120">
        <f>(Table2[[#This Row],[2025]]-Table2[[#This Row],[2024]])/Table2[[#This Row],[2024]]</f>
        <v>2.802428771602055E-2</v>
      </c>
      <c r="W25" s="118">
        <f>(Table2[[#This Row],[2025]]-Table2[[#This Row],[2023]])/Table2[[#This Row],[2023]]</f>
        <v>2.6107226107226107E-2</v>
      </c>
      <c r="X25" s="119">
        <f>(Table2[[#This Row],[2025]]-Table2[[#This Row],[2019]])/Table2[[#This Row],[2019]]</f>
        <v>-4.0819291109819869E-2</v>
      </c>
    </row>
    <row r="26" spans="1:24" x14ac:dyDescent="0.2">
      <c r="B26" s="15" t="s">
        <v>30</v>
      </c>
      <c r="C26" s="31">
        <v>22</v>
      </c>
      <c r="D26" s="31">
        <v>22</v>
      </c>
      <c r="E26" s="31">
        <v>32</v>
      </c>
      <c r="F26" s="31">
        <v>253</v>
      </c>
      <c r="G26" s="31">
        <v>301</v>
      </c>
      <c r="H26" s="31">
        <v>260</v>
      </c>
      <c r="I26" s="31">
        <v>0</v>
      </c>
      <c r="J26" s="56">
        <f>(Table1[[#This Row],[2025]]-Table1[[#This Row],[2024]])/Table1[[#This Row],[2024]]</f>
        <v>-1</v>
      </c>
      <c r="K26" s="57">
        <f>(Table1[[#This Row],[2025]]-Table1[[#This Row],[2023]])/Table1[[#This Row],[2023]]</f>
        <v>-1</v>
      </c>
      <c r="L26" s="58">
        <f>(Table1[[#This Row],[2025]]-Table1[[#This Row],[2019]])/Table1[[#This Row],[2019]]</f>
        <v>-1</v>
      </c>
      <c r="N26" s="37" t="s">
        <v>24</v>
      </c>
      <c r="O26" s="31">
        <v>4004</v>
      </c>
      <c r="P26" s="31">
        <v>3257</v>
      </c>
      <c r="Q26" s="31">
        <v>4070</v>
      </c>
      <c r="R26" s="31">
        <v>4381</v>
      </c>
      <c r="S26" s="31">
        <v>4053</v>
      </c>
      <c r="T26" s="31">
        <v>3771</v>
      </c>
      <c r="U26" s="31">
        <v>4541</v>
      </c>
      <c r="V26" s="127">
        <f>(Table2[[#This Row],[2025]]-Table2[[#This Row],[2024]])/Table2[[#This Row],[2024]]</f>
        <v>0.20418987006099179</v>
      </c>
      <c r="W26" s="118">
        <f>(Table2[[#This Row],[2025]]-Table2[[#This Row],[2023]])/Table2[[#This Row],[2023]]</f>
        <v>0.12040463853935357</v>
      </c>
      <c r="X26" s="119">
        <f>(Table2[[#This Row],[2025]]-Table2[[#This Row],[2019]])/Table2[[#This Row],[2019]]</f>
        <v>0.13411588411588413</v>
      </c>
    </row>
    <row r="27" spans="1:24" s="7" customFormat="1" ht="13.5" thickBot="1" x14ac:dyDescent="0.25">
      <c r="A27" s="1"/>
      <c r="B27" s="20" t="s">
        <v>31</v>
      </c>
      <c r="C27" s="31">
        <v>4236</v>
      </c>
      <c r="D27" s="31">
        <v>3847</v>
      </c>
      <c r="E27" s="31">
        <v>3520</v>
      </c>
      <c r="F27" s="31">
        <v>4681</v>
      </c>
      <c r="G27" s="31">
        <v>3972</v>
      </c>
      <c r="H27" s="31">
        <v>3238</v>
      </c>
      <c r="I27" s="31">
        <v>3730</v>
      </c>
      <c r="J27" s="56">
        <f>(Table1[[#This Row],[2025]]-Table1[[#This Row],[2024]])/Table1[[#This Row],[2024]]</f>
        <v>0.15194564546016059</v>
      </c>
      <c r="K27" s="57">
        <f>(Table1[[#This Row],[2025]]-Table1[[#This Row],[2023]])/Table1[[#This Row],[2023]]</f>
        <v>-6.0926485397784488E-2</v>
      </c>
      <c r="L27" s="58">
        <f>(Table1[[#This Row],[2025]]-Table1[[#This Row],[2019]])/Table1[[#This Row],[2019]]</f>
        <v>-0.119452313503305</v>
      </c>
      <c r="M27" s="1"/>
      <c r="N27" s="26" t="s">
        <v>63</v>
      </c>
      <c r="O27" s="36">
        <f t="shared" ref="O27:S27" si="11">O15+O23+SUM(O24:O26)</f>
        <v>54403</v>
      </c>
      <c r="P27" s="36">
        <f t="shared" si="11"/>
        <v>73537</v>
      </c>
      <c r="Q27" s="36">
        <f t="shared" si="11"/>
        <v>82777</v>
      </c>
      <c r="R27" s="36">
        <f t="shared" si="11"/>
        <v>85994</v>
      </c>
      <c r="S27" s="36">
        <f t="shared" si="11"/>
        <v>87143</v>
      </c>
      <c r="T27" s="36">
        <f>T15+T23+SUM(T24:T26)</f>
        <v>87007</v>
      </c>
      <c r="U27" s="36">
        <f>U15+U23+SUM(U24:U26)</f>
        <v>87664</v>
      </c>
      <c r="V27" s="122">
        <f>(Table2[[#This Row],[2025]]-Table2[[#This Row],[2024]])/Table2[[#This Row],[2024]]</f>
        <v>7.5511165768271521E-3</v>
      </c>
      <c r="W27" s="123">
        <f>(Table2[[#This Row],[2025]]-Table2[[#This Row],[2023]])/Table2[[#This Row],[2023]]</f>
        <v>5.9786787234775022E-3</v>
      </c>
      <c r="X27" s="124">
        <f>(Table2[[#This Row],[2025]]-Table2[[#This Row],[2019]])/Table2[[#This Row],[2019]]</f>
        <v>0.61138172527250334</v>
      </c>
    </row>
    <row r="28" spans="1:24" ht="13.5" thickBot="1" x14ac:dyDescent="0.25">
      <c r="B28" s="28" t="s">
        <v>32</v>
      </c>
      <c r="C28" s="36">
        <f t="shared" ref="C28:G28" si="12">SUM(C23:C27)</f>
        <v>69693</v>
      </c>
      <c r="D28" s="36">
        <f t="shared" si="12"/>
        <v>69217</v>
      </c>
      <c r="E28" s="36">
        <f t="shared" si="12"/>
        <v>83959</v>
      </c>
      <c r="F28" s="36">
        <f t="shared" si="12"/>
        <v>93512</v>
      </c>
      <c r="G28" s="36">
        <f t="shared" si="12"/>
        <v>90155</v>
      </c>
      <c r="H28" s="36">
        <f>SUM(H23:H27)</f>
        <v>87693</v>
      </c>
      <c r="I28" s="36">
        <f t="shared" ref="I28" si="13">SUM(I23:I27)</f>
        <v>87926</v>
      </c>
      <c r="J28" s="22">
        <f>(Table1[[#This Row],[2025]]-Table1[[#This Row],[2024]])/Table1[[#This Row],[2024]]</f>
        <v>2.6569965675709577E-3</v>
      </c>
      <c r="K28" s="95">
        <f>(Table1[[#This Row],[2025]]-Table1[[#This Row],[2023]])/Table1[[#This Row],[2023]]</f>
        <v>-2.4724086295823858E-2</v>
      </c>
      <c r="L28" s="24">
        <f>(Table1[[#This Row],[2025]]-Table1[[#This Row],[2019]])/Table1[[#This Row],[2019]]</f>
        <v>0.26161881394114189</v>
      </c>
      <c r="N28" s="15"/>
      <c r="O28" s="29"/>
      <c r="P28" s="29"/>
      <c r="Q28" s="29"/>
      <c r="R28" s="29"/>
      <c r="S28" s="29"/>
      <c r="T28" s="29"/>
      <c r="U28" s="29"/>
      <c r="V28" s="117"/>
      <c r="W28" s="121"/>
      <c r="X28" s="125"/>
    </row>
    <row r="29" spans="1:24" x14ac:dyDescent="0.2">
      <c r="B29" s="5"/>
      <c r="C29" s="31"/>
      <c r="D29" s="31"/>
      <c r="E29" s="31"/>
      <c r="F29" s="31"/>
      <c r="G29" s="31"/>
      <c r="H29" s="31"/>
      <c r="I29" s="31"/>
      <c r="J29" s="53"/>
      <c r="K29" s="54"/>
      <c r="L29" s="55"/>
      <c r="N29" s="6" t="s">
        <v>67</v>
      </c>
      <c r="O29" s="44"/>
      <c r="P29" s="44"/>
      <c r="Q29" s="44"/>
      <c r="R29" s="44"/>
      <c r="S29" s="44"/>
      <c r="T29" s="44"/>
      <c r="U29" s="44"/>
      <c r="V29" s="120"/>
      <c r="W29" s="121"/>
      <c r="X29" s="119"/>
    </row>
    <row r="30" spans="1:24" x14ac:dyDescent="0.2">
      <c r="B30" s="5" t="s">
        <v>35</v>
      </c>
      <c r="C30" s="31"/>
      <c r="D30" s="31"/>
      <c r="E30" s="31"/>
      <c r="F30" s="31"/>
      <c r="G30" s="31"/>
      <c r="H30" s="31"/>
      <c r="I30" s="31"/>
      <c r="J30" s="53"/>
      <c r="K30" s="54"/>
      <c r="L30" s="55"/>
      <c r="N30" s="6" t="s">
        <v>7</v>
      </c>
      <c r="O30" s="44"/>
      <c r="P30" s="44"/>
      <c r="Q30" s="44"/>
      <c r="R30" s="44"/>
      <c r="S30" s="44"/>
      <c r="T30" s="44"/>
      <c r="U30" s="44"/>
      <c r="V30" s="120"/>
      <c r="W30" s="118"/>
      <c r="X30" s="119"/>
    </row>
    <row r="31" spans="1:24" x14ac:dyDescent="0.2">
      <c r="B31" s="19" t="s">
        <v>36</v>
      </c>
      <c r="C31" s="31">
        <v>24776</v>
      </c>
      <c r="D31" s="31">
        <v>25031</v>
      </c>
      <c r="E31" s="31">
        <v>30173</v>
      </c>
      <c r="F31" s="31">
        <v>32058</v>
      </c>
      <c r="G31" s="31">
        <v>31019</v>
      </c>
      <c r="H31" s="31">
        <v>30961</v>
      </c>
      <c r="I31" s="31">
        <v>31232</v>
      </c>
      <c r="J31" s="56">
        <f>(Table1[[#This Row],[2025]]-Table1[[#This Row],[2024]])/Table1[[#This Row],[2024]]</f>
        <v>8.7529472562255742E-3</v>
      </c>
      <c r="K31" s="57">
        <f>(Table1[[#This Row],[2025]]-Table1[[#This Row],[2023]])/Table1[[#This Row],[2023]]</f>
        <v>6.8667590831425901E-3</v>
      </c>
      <c r="L31" s="58">
        <f>(Table1[[#This Row],[2025]]-Table1[[#This Row],[2019]])/Table1[[#This Row],[2019]]</f>
        <v>0.26057474975783018</v>
      </c>
      <c r="N31" s="19" t="s">
        <v>68</v>
      </c>
      <c r="O31" s="44">
        <v>964</v>
      </c>
      <c r="P31" s="44">
        <v>51</v>
      </c>
      <c r="Q31" s="44">
        <v>146</v>
      </c>
      <c r="R31" s="44">
        <v>82</v>
      </c>
      <c r="S31" s="44">
        <v>126</v>
      </c>
      <c r="T31" s="44">
        <v>68</v>
      </c>
      <c r="U31" s="44">
        <v>1428</v>
      </c>
      <c r="V31" s="127">
        <f>(Table2[[#This Row],[2025]]-Table2[[#This Row],[2024]])/Table2[[#This Row],[2024]]</f>
        <v>20</v>
      </c>
      <c r="W31" s="118">
        <f>(Table2[[#This Row],[2025]]-Table2[[#This Row],[2023]])/Table2[[#This Row],[2023]]</f>
        <v>10.333333333333334</v>
      </c>
      <c r="X31" s="119">
        <f>(Table2[[#This Row],[2025]]-Table2[[#This Row],[2019]])/Table2[[#This Row],[2019]]</f>
        <v>0.48132780082987553</v>
      </c>
    </row>
    <row r="32" spans="1:24" x14ac:dyDescent="0.2">
      <c r="B32" s="19" t="s">
        <v>37</v>
      </c>
      <c r="C32" s="31">
        <v>16654</v>
      </c>
      <c r="D32" s="31">
        <v>17466</v>
      </c>
      <c r="E32" s="31">
        <v>21674</v>
      </c>
      <c r="F32" s="31">
        <v>24118</v>
      </c>
      <c r="G32" s="31">
        <v>21790</v>
      </c>
      <c r="H32" s="31">
        <v>20921</v>
      </c>
      <c r="I32" s="31">
        <v>21768</v>
      </c>
      <c r="J32" s="56">
        <f>(Table1[[#This Row],[2025]]-Table1[[#This Row],[2024]])/Table1[[#This Row],[2024]]</f>
        <v>4.0485636441852685E-2</v>
      </c>
      <c r="K32" s="57">
        <f>(Table1[[#This Row],[2025]]-Table1[[#This Row],[2023]])/Table1[[#This Row],[2023]]</f>
        <v>-1.0096374483708123E-3</v>
      </c>
      <c r="L32" s="58">
        <f>(Table1[[#This Row],[2025]]-Table1[[#This Row],[2019]])/Table1[[#This Row],[2019]]</f>
        <v>0.30707337576558186</v>
      </c>
      <c r="N32" s="19" t="s">
        <v>69</v>
      </c>
      <c r="O32" s="31">
        <v>1741</v>
      </c>
      <c r="P32" s="31">
        <v>1569</v>
      </c>
      <c r="Q32" s="31">
        <v>2903</v>
      </c>
      <c r="R32" s="31">
        <v>2531</v>
      </c>
      <c r="S32" s="31">
        <v>2475</v>
      </c>
      <c r="T32" s="31">
        <v>2673</v>
      </c>
      <c r="U32" s="31">
        <v>2731</v>
      </c>
      <c r="V32" s="120">
        <f>(Table2[[#This Row],[2025]]-Table2[[#This Row],[2024]])/Table2[[#This Row],[2024]]</f>
        <v>2.1698466142910586E-2</v>
      </c>
      <c r="W32" s="127">
        <f>(Table2[[#This Row],[2025]]-Table2[[#This Row],[2023]])/Table2[[#This Row],[2023]]</f>
        <v>0.10343434343434343</v>
      </c>
      <c r="X32" s="127">
        <f>(Table2[[#This Row],[2025]]-Table2[[#This Row],[2019]])/Table2[[#This Row],[2019]]</f>
        <v>0.56863871338311311</v>
      </c>
    </row>
    <row r="33" spans="1:24" s="7" customFormat="1" x14ac:dyDescent="0.2">
      <c r="A33" s="1"/>
      <c r="B33" s="19" t="s">
        <v>38</v>
      </c>
      <c r="C33" s="31">
        <v>3360</v>
      </c>
      <c r="D33" s="31">
        <v>3712</v>
      </c>
      <c r="E33" s="31">
        <v>4155</v>
      </c>
      <c r="F33" s="31">
        <v>4712</v>
      </c>
      <c r="G33" s="31">
        <v>4738</v>
      </c>
      <c r="H33" s="31">
        <v>4571</v>
      </c>
      <c r="I33" s="31">
        <v>4647</v>
      </c>
      <c r="J33" s="56">
        <f>(Table1[[#This Row],[2025]]-Table1[[#This Row],[2024]])/Table1[[#This Row],[2024]]</f>
        <v>1.6626558739881864E-2</v>
      </c>
      <c r="K33" s="57">
        <f>(Table1[[#This Row],[2025]]-Table1[[#This Row],[2023]])/Table1[[#This Row],[2023]]</f>
        <v>-1.9206416209371042E-2</v>
      </c>
      <c r="L33" s="58">
        <f>(Table1[[#This Row],[2025]]-Table1[[#This Row],[2019]])/Table1[[#This Row],[2019]]</f>
        <v>0.38303571428571431</v>
      </c>
      <c r="M33" s="1"/>
      <c r="N33" s="19" t="s">
        <v>70</v>
      </c>
      <c r="O33" s="44">
        <v>3030</v>
      </c>
      <c r="P33" s="44">
        <v>3269</v>
      </c>
      <c r="Q33" s="44">
        <v>3841</v>
      </c>
      <c r="R33" s="44">
        <v>4030</v>
      </c>
      <c r="S33" s="44">
        <v>3848</v>
      </c>
      <c r="T33" s="44">
        <v>3189</v>
      </c>
      <c r="U33" s="44">
        <v>3692</v>
      </c>
      <c r="V33" s="127">
        <f>(Table2[[#This Row],[2025]]-Table2[[#This Row],[2024]])/Table2[[#This Row],[2024]]</f>
        <v>0.1577296958294136</v>
      </c>
      <c r="W33" s="118">
        <f>(Table2[[#This Row],[2025]]-Table2[[#This Row],[2023]])/Table2[[#This Row],[2023]]</f>
        <v>-4.0540540540540543E-2</v>
      </c>
      <c r="X33" s="119">
        <f>(Table2[[#This Row],[2025]]-Table2[[#This Row],[2019]])/Table2[[#This Row],[2019]]</f>
        <v>0.21848184818481847</v>
      </c>
    </row>
    <row r="34" spans="1:24" x14ac:dyDescent="0.2">
      <c r="B34" s="19" t="s">
        <v>39</v>
      </c>
      <c r="C34" s="31">
        <v>3353</v>
      </c>
      <c r="D34" s="31">
        <v>3615</v>
      </c>
      <c r="E34" s="31">
        <v>3793</v>
      </c>
      <c r="F34" s="31">
        <v>3970</v>
      </c>
      <c r="G34" s="31">
        <v>4176</v>
      </c>
      <c r="H34" s="31">
        <v>4287</v>
      </c>
      <c r="I34" s="31">
        <v>4264</v>
      </c>
      <c r="J34" s="56">
        <f>(Table1[[#This Row],[2025]]-Table1[[#This Row],[2024]])/Table1[[#This Row],[2024]]</f>
        <v>-5.3650571495218102E-3</v>
      </c>
      <c r="K34" s="57">
        <f>(Table1[[#This Row],[2025]]-Table1[[#This Row],[2023]])/Table1[[#This Row],[2023]]</f>
        <v>2.1072796934865901E-2</v>
      </c>
      <c r="L34" s="58">
        <f>(Table1[[#This Row],[2025]]-Table1[[#This Row],[2019]])/Table1[[#This Row],[2019]]</f>
        <v>0.27169698777214435</v>
      </c>
      <c r="N34" s="19" t="s">
        <v>61</v>
      </c>
      <c r="O34" s="31">
        <v>0</v>
      </c>
      <c r="P34" s="31">
        <v>1923</v>
      </c>
      <c r="Q34" s="31">
        <v>2208</v>
      </c>
      <c r="R34" s="31">
        <v>2443</v>
      </c>
      <c r="S34" s="31">
        <v>2390</v>
      </c>
      <c r="T34" s="31">
        <v>2463</v>
      </c>
      <c r="U34" s="31">
        <v>2565</v>
      </c>
      <c r="V34" s="120">
        <f>(Table2[[#This Row],[2025]]-Table2[[#This Row],[2024]])/Table2[[#This Row],[2024]]</f>
        <v>4.1412911084043852E-2</v>
      </c>
      <c r="W34" s="118">
        <f>(Table2[[#This Row],[2025]]-Table2[[#This Row],[2023]])/Table2[[#This Row],[2023]]</f>
        <v>7.3221757322175729E-2</v>
      </c>
      <c r="X34" s="119" t="e">
        <f>(Table2[[#This Row],[2025]]-Table2[[#This Row],[2019]])/Table2[[#This Row],[2019]]</f>
        <v>#DIV/0!</v>
      </c>
    </row>
    <row r="35" spans="1:24" x14ac:dyDescent="0.2">
      <c r="B35" s="19" t="s">
        <v>40</v>
      </c>
      <c r="C35" s="31">
        <v>3889</v>
      </c>
      <c r="D35" s="31">
        <v>3156</v>
      </c>
      <c r="E35" s="31">
        <v>2882</v>
      </c>
      <c r="F35" s="31">
        <v>5115</v>
      </c>
      <c r="G35" s="31">
        <v>5909</v>
      </c>
      <c r="H35" s="31">
        <v>4710</v>
      </c>
      <c r="I35" s="31">
        <v>3775</v>
      </c>
      <c r="J35" s="56">
        <f>(Table1[[#This Row],[2025]]-Table1[[#This Row],[2024]])/Table1[[#This Row],[2024]]</f>
        <v>-0.19851380042462846</v>
      </c>
      <c r="K35" s="57">
        <f>(Table1[[#This Row],[2025]]-Table1[[#This Row],[2023]])/Table1[[#This Row],[2023]]</f>
        <v>-0.36114401760027076</v>
      </c>
      <c r="L35" s="58">
        <f>(Table1[[#This Row],[2025]]-Table1[[#This Row],[2019]])/Table1[[#This Row],[2019]]</f>
        <v>-2.9313448187194651E-2</v>
      </c>
      <c r="N35" s="19" t="s">
        <v>71</v>
      </c>
      <c r="O35" s="45">
        <v>3278</v>
      </c>
      <c r="P35" s="45">
        <v>3532</v>
      </c>
      <c r="Q35" s="45">
        <v>4562</v>
      </c>
      <c r="R35" s="45">
        <v>5188</v>
      </c>
      <c r="S35" s="45">
        <v>4747</v>
      </c>
      <c r="T35" s="45">
        <v>4962</v>
      </c>
      <c r="U35" s="45">
        <v>5019</v>
      </c>
      <c r="V35" s="120">
        <f>(Table2[[#This Row],[2025]]-Table2[[#This Row],[2024]])/Table2[[#This Row],[2024]]</f>
        <v>1.1487303506650543E-2</v>
      </c>
      <c r="W35" s="118">
        <f>(Table2[[#This Row],[2025]]-Table2[[#This Row],[2023]])/Table2[[#This Row],[2023]]</f>
        <v>5.7299346955972191E-2</v>
      </c>
      <c r="X35" s="119">
        <f>(Table2[[#This Row],[2025]]-Table2[[#This Row],[2019]])/Table2[[#This Row],[2019]]</f>
        <v>0.53111653447223917</v>
      </c>
    </row>
    <row r="36" spans="1:24" ht="13.5" thickBot="1" x14ac:dyDescent="0.25">
      <c r="B36" s="19" t="s">
        <v>41</v>
      </c>
      <c r="C36" s="31">
        <v>2834</v>
      </c>
      <c r="D36" s="31">
        <v>2893</v>
      </c>
      <c r="E36" s="31">
        <v>3328</v>
      </c>
      <c r="F36" s="31">
        <v>3372</v>
      </c>
      <c r="G36" s="31">
        <v>3357</v>
      </c>
      <c r="H36" s="31">
        <v>3291</v>
      </c>
      <c r="I36" s="31">
        <v>3245</v>
      </c>
      <c r="J36" s="56">
        <f>(Table1[[#This Row],[2025]]-Table1[[#This Row],[2024]])/Table1[[#This Row],[2024]]</f>
        <v>-1.3977514433302947E-2</v>
      </c>
      <c r="K36" s="57">
        <f>(Table1[[#This Row],[2025]]-Table1[[#This Row],[2023]])/Table1[[#This Row],[2023]]</f>
        <v>-3.3363121834971698E-2</v>
      </c>
      <c r="L36" s="58">
        <f>(Table1[[#This Row],[2025]]-Table1[[#This Row],[2019]])/Table1[[#This Row],[2019]]</f>
        <v>0.14502470007057164</v>
      </c>
      <c r="N36" s="26" t="s">
        <v>72</v>
      </c>
      <c r="O36" s="36">
        <f t="shared" ref="O36:S36" si="14">SUM(O31:O35)</f>
        <v>9013</v>
      </c>
      <c r="P36" s="36">
        <f t="shared" si="14"/>
        <v>10344</v>
      </c>
      <c r="Q36" s="36">
        <f t="shared" si="14"/>
        <v>13660</v>
      </c>
      <c r="R36" s="36">
        <f t="shared" si="14"/>
        <v>14274</v>
      </c>
      <c r="S36" s="36">
        <f t="shared" si="14"/>
        <v>13586</v>
      </c>
      <c r="T36" s="36">
        <f>SUM(T31:T35)</f>
        <v>13355</v>
      </c>
      <c r="U36" s="36">
        <f>SUM(U31:U35)</f>
        <v>15435</v>
      </c>
      <c r="V36" s="95">
        <f>(Table2[[#This Row],[2025]]-Table2[[#This Row],[2024]])/Table2[[#This Row],[2024]]</f>
        <v>0.15574691126918758</v>
      </c>
      <c r="W36" s="123">
        <f>(Table2[[#This Row],[2025]]-Table2[[#This Row],[2023]])/Table2[[#This Row],[2023]]</f>
        <v>0.13609598115707347</v>
      </c>
      <c r="X36" s="95">
        <f>(Table2[[#This Row],[2025]]-Table2[[#This Row],[2019]])/Table2[[#This Row],[2019]]</f>
        <v>0.71252635082658378</v>
      </c>
    </row>
    <row r="37" spans="1:24" x14ac:dyDescent="0.2">
      <c r="B37" s="19" t="s">
        <v>42</v>
      </c>
      <c r="C37" s="34">
        <v>0</v>
      </c>
      <c r="D37" s="34">
        <v>435</v>
      </c>
      <c r="E37" s="34">
        <v>0</v>
      </c>
      <c r="F37" s="34">
        <v>0</v>
      </c>
      <c r="G37" s="34">
        <v>117</v>
      </c>
      <c r="H37" s="34">
        <v>157</v>
      </c>
      <c r="I37" s="34">
        <v>21</v>
      </c>
      <c r="J37" s="56">
        <f>(Table1[[#This Row],[2025]]-Table1[[#This Row],[2024]])/Table1[[#This Row],[2024]]</f>
        <v>-0.86624203821656054</v>
      </c>
      <c r="K37" s="57">
        <f>(Table1[[#This Row],[2025]]-Table1[[#This Row],[2023]])/Table1[[#This Row],[2023]]</f>
        <v>-0.82051282051282048</v>
      </c>
      <c r="L37" s="58" t="e">
        <f>(Table1[[#This Row],[2025]]-Table1[[#This Row],[2019]])/Table1[[#This Row],[2019]]</f>
        <v>#DIV/0!</v>
      </c>
      <c r="N37" s="18" t="s">
        <v>77</v>
      </c>
      <c r="O37" s="14">
        <v>16617</v>
      </c>
      <c r="P37" s="14">
        <v>21952</v>
      </c>
      <c r="Q37" s="14">
        <v>20733</v>
      </c>
      <c r="R37" s="14">
        <v>20182</v>
      </c>
      <c r="S37" s="14">
        <v>20453</v>
      </c>
      <c r="T37" s="14">
        <v>20135</v>
      </c>
      <c r="U37" s="14">
        <v>19151</v>
      </c>
      <c r="V37" s="127">
        <f>(Table2[[#This Row],[2025]]-Table2[[#This Row],[2024]])/Table2[[#This Row],[2024]]</f>
        <v>-4.887012664514527E-2</v>
      </c>
      <c r="W37" s="118">
        <f>(Table2[[#This Row],[2025]]-Table2[[#This Row],[2023]])/Table2[[#This Row],[2023]]</f>
        <v>-6.3658143059697844E-2</v>
      </c>
      <c r="X37" s="119">
        <f>(Table2[[#This Row],[2025]]-Table2[[#This Row],[2019]])/Table2[[#This Row],[2019]]</f>
        <v>0.15249443341156646</v>
      </c>
    </row>
    <row r="38" spans="1:24" x14ac:dyDescent="0.2">
      <c r="B38" s="110" t="s">
        <v>134</v>
      </c>
      <c r="C38" s="31">
        <v>320</v>
      </c>
      <c r="D38" s="31">
        <v>0</v>
      </c>
      <c r="E38" s="31">
        <v>116</v>
      </c>
      <c r="F38" s="31">
        <v>278</v>
      </c>
      <c r="G38" s="31">
        <v>309</v>
      </c>
      <c r="H38" s="31">
        <v>582</v>
      </c>
      <c r="I38" s="31">
        <v>756</v>
      </c>
      <c r="J38" s="56">
        <f>(Table1[[#This Row],[2025]]-Table1[[#This Row],[2024]])/Table1[[#This Row],[2024]]</f>
        <v>0.29896907216494845</v>
      </c>
      <c r="K38" s="57">
        <f>(Table1[[#This Row],[2025]]-Table1[[#This Row],[2023]])/Table1[[#This Row],[2023]]</f>
        <v>1.4466019417475728</v>
      </c>
      <c r="L38" s="58">
        <f>(Table1[[#This Row],[2025]]-Table1[[#This Row],[2019]])/Table1[[#This Row],[2019]]</f>
        <v>1.3625</v>
      </c>
      <c r="N38" s="18" t="s">
        <v>73</v>
      </c>
      <c r="O38" s="14">
        <v>2821</v>
      </c>
      <c r="P38" s="14">
        <v>3162</v>
      </c>
      <c r="Q38" s="14">
        <v>3927</v>
      </c>
      <c r="R38" s="14">
        <v>4093</v>
      </c>
      <c r="S38" s="14">
        <v>4489</v>
      </c>
      <c r="T38" s="14">
        <v>4482</v>
      </c>
      <c r="U38" s="14">
        <v>4217</v>
      </c>
      <c r="V38" s="120">
        <f>(Table2[[#This Row],[2025]]-Table2[[#This Row],[2024]])/Table2[[#This Row],[2024]]</f>
        <v>-5.9125390450691657E-2</v>
      </c>
      <c r="W38" s="118">
        <f>(Table2[[#This Row],[2025]]-Table2[[#This Row],[2023]])/Table2[[#This Row],[2023]]</f>
        <v>-6.0592559590109153E-2</v>
      </c>
      <c r="X38" s="119">
        <f>(Table2[[#This Row],[2025]]-Table2[[#This Row],[2019]])/Table2[[#This Row],[2019]]</f>
        <v>0.49485997873094645</v>
      </c>
    </row>
    <row r="39" spans="1:24" x14ac:dyDescent="0.2">
      <c r="B39" s="19" t="s">
        <v>24</v>
      </c>
      <c r="C39" s="34">
        <v>10041</v>
      </c>
      <c r="D39" s="34">
        <v>10492</v>
      </c>
      <c r="E39" s="31">
        <v>11981</v>
      </c>
      <c r="F39" s="34">
        <v>13644</v>
      </c>
      <c r="G39" s="34">
        <v>13828</v>
      </c>
      <c r="H39" s="34">
        <v>12654</v>
      </c>
      <c r="I39" s="34">
        <v>13001</v>
      </c>
      <c r="J39" s="56">
        <f>(Table1[[#This Row],[2025]]-Table1[[#This Row],[2024]])/Table1[[#This Row],[2024]]</f>
        <v>2.742215900110637E-2</v>
      </c>
      <c r="K39" s="57">
        <f>(Table1[[#This Row],[2025]]-Table1[[#This Row],[2023]])/Table1[[#This Row],[2023]]</f>
        <v>-5.980619033844374E-2</v>
      </c>
      <c r="L39" s="58">
        <f>(Table1[[#This Row],[2025]]-Table1[[#This Row],[2019]])/Table1[[#This Row],[2019]]</f>
        <v>0.29479135544268498</v>
      </c>
      <c r="N39" s="18" t="s">
        <v>74</v>
      </c>
      <c r="O39" s="14">
        <v>5095</v>
      </c>
      <c r="P39" s="14">
        <v>5019</v>
      </c>
      <c r="Q39" s="14">
        <v>3501</v>
      </c>
      <c r="R39" s="14">
        <v>4448</v>
      </c>
      <c r="S39" s="14">
        <v>3130</v>
      </c>
      <c r="T39" s="14">
        <v>2010</v>
      </c>
      <c r="U39" s="14">
        <v>1698</v>
      </c>
      <c r="V39" s="127">
        <f>(Table2[[#This Row],[2025]]-Table2[[#This Row],[2024]])/Table2[[#This Row],[2024]]</f>
        <v>-0.15522388059701492</v>
      </c>
      <c r="W39" s="127">
        <f>(Table2[[#This Row],[2025]]-Table2[[#This Row],[2023]])/Table2[[#This Row],[2023]]</f>
        <v>-0.45750798722044728</v>
      </c>
      <c r="X39" s="127">
        <f>(Table2[[#This Row],[2025]]-Table2[[#This Row],[2019]])/Table2[[#This Row],[2019]]</f>
        <v>-0.66673209028459279</v>
      </c>
    </row>
    <row r="40" spans="1:24" ht="13.5" thickBot="1" x14ac:dyDescent="0.25">
      <c r="B40" s="26" t="s">
        <v>43</v>
      </c>
      <c r="C40" s="39">
        <f t="shared" ref="C40:G40" si="15">SUM(C31:C39)</f>
        <v>65227</v>
      </c>
      <c r="D40" s="39">
        <f t="shared" si="15"/>
        <v>66800</v>
      </c>
      <c r="E40" s="39">
        <f t="shared" si="15"/>
        <v>78102</v>
      </c>
      <c r="F40" s="39">
        <f t="shared" si="15"/>
        <v>87267</v>
      </c>
      <c r="G40" s="39">
        <f t="shared" si="15"/>
        <v>85243</v>
      </c>
      <c r="H40" s="39">
        <f>SUM(H31:H39)</f>
        <v>82134</v>
      </c>
      <c r="I40" s="39">
        <f>SUM(I31:I39)</f>
        <v>82709</v>
      </c>
      <c r="J40" s="22">
        <f>(Table1[[#This Row],[2025]]-Table1[[#This Row],[2024]])/Table1[[#This Row],[2024]]</f>
        <v>7.0007548640027275E-3</v>
      </c>
      <c r="K40" s="23">
        <f>(Table1[[#This Row],[2025]]-Table1[[#This Row],[2023]])/Table1[[#This Row],[2023]]</f>
        <v>-2.9726781084663843E-2</v>
      </c>
      <c r="L40" s="24">
        <f>(Table1[[#This Row],[2025]]-Table1[[#This Row],[2019]])/Table1[[#This Row],[2019]]</f>
        <v>0.26801784537078205</v>
      </c>
      <c r="N40" s="18" t="s">
        <v>75</v>
      </c>
      <c r="O40" s="32">
        <v>1899</v>
      </c>
      <c r="P40" s="32">
        <v>2104</v>
      </c>
      <c r="Q40" s="32">
        <v>2430</v>
      </c>
      <c r="R40" s="32">
        <v>2889</v>
      </c>
      <c r="S40" s="32">
        <v>3339</v>
      </c>
      <c r="T40" s="32">
        <v>3701</v>
      </c>
      <c r="U40" s="32">
        <v>4033</v>
      </c>
      <c r="V40" s="120">
        <f>(Table2[[#This Row],[2025]]-Table2[[#This Row],[2024]])/Table2[[#This Row],[2024]]</f>
        <v>8.9705485004052954E-2</v>
      </c>
      <c r="W40" s="118">
        <f>(Table2[[#This Row],[2025]]-Table2[[#This Row],[2023]])/Table2[[#This Row],[2023]]</f>
        <v>0.20784666067684934</v>
      </c>
      <c r="X40" s="119">
        <f>(Table2[[#This Row],[2025]]-Table2[[#This Row],[2019]])/Table2[[#This Row],[2019]]</f>
        <v>1.1237493417588205</v>
      </c>
    </row>
    <row r="41" spans="1:24" x14ac:dyDescent="0.2">
      <c r="B41" s="18"/>
      <c r="C41" s="35"/>
      <c r="D41" s="35"/>
      <c r="E41" s="35"/>
      <c r="F41" s="35"/>
      <c r="G41" s="35"/>
      <c r="H41" s="35"/>
      <c r="I41" s="35"/>
      <c r="J41" s="53"/>
      <c r="K41" s="54"/>
      <c r="L41" s="55"/>
      <c r="N41" s="18" t="s">
        <v>61</v>
      </c>
      <c r="O41" s="32">
        <v>0</v>
      </c>
      <c r="P41" s="32">
        <v>12195</v>
      </c>
      <c r="Q41" s="32">
        <v>13375</v>
      </c>
      <c r="R41" s="32">
        <v>14487</v>
      </c>
      <c r="S41" s="32">
        <v>15363</v>
      </c>
      <c r="T41" s="32">
        <v>15053</v>
      </c>
      <c r="U41" s="32">
        <v>14272</v>
      </c>
      <c r="V41" s="120">
        <f>(Table2[[#This Row],[2025]]-Table2[[#This Row],[2024]])/Table2[[#This Row],[2024]]</f>
        <v>-5.1883345512522418E-2</v>
      </c>
      <c r="W41" s="118">
        <f>(Table2[[#This Row],[2025]]-Table2[[#This Row],[2023]])/Table2[[#This Row],[2023]]</f>
        <v>-7.1014775759942722E-2</v>
      </c>
      <c r="X41" s="119" t="e">
        <f>(Table2[[#This Row],[2025]]-Table2[[#This Row],[2019]])/Table2[[#This Row],[2019]]</f>
        <v>#DIV/0!</v>
      </c>
    </row>
    <row r="42" spans="1:24" x14ac:dyDescent="0.2">
      <c r="B42" s="5" t="s">
        <v>44</v>
      </c>
      <c r="C42" s="38">
        <f t="shared" ref="C42:G42" si="16">C28-C40</f>
        <v>4466</v>
      </c>
      <c r="D42" s="38">
        <f t="shared" si="16"/>
        <v>2417</v>
      </c>
      <c r="E42" s="38">
        <f t="shared" si="16"/>
        <v>5857</v>
      </c>
      <c r="F42" s="38">
        <f t="shared" si="16"/>
        <v>6245</v>
      </c>
      <c r="G42" s="38">
        <f t="shared" si="16"/>
        <v>4912</v>
      </c>
      <c r="H42" s="38">
        <f>H28-H40</f>
        <v>5559</v>
      </c>
      <c r="I42" s="38">
        <f>I28-I40</f>
        <v>5217</v>
      </c>
      <c r="J42" s="127">
        <f>(Table1[[#This Row],[2025]]-Table1[[#This Row],[2024]])/Table1[[#This Row],[2024]]</f>
        <v>-6.152185644900162E-2</v>
      </c>
      <c r="K42" s="13">
        <f>(Table1[[#This Row],[2025]]-Table1[[#This Row],[2023]])/Table1[[#This Row],[2023]]</f>
        <v>6.2092833876221498E-2</v>
      </c>
      <c r="L42" s="127">
        <f>(Table1[[#This Row],[2025]]-Table1[[#This Row],[2019]])/Table1[[#This Row],[2019]]</f>
        <v>0.16815942678011644</v>
      </c>
      <c r="N42" s="18" t="s">
        <v>24</v>
      </c>
      <c r="O42" s="31">
        <f>531+670</f>
        <v>1201</v>
      </c>
      <c r="P42" s="31">
        <v>466</v>
      </c>
      <c r="Q42" s="31">
        <v>983</v>
      </c>
      <c r="R42" s="31">
        <v>682</v>
      </c>
      <c r="S42" s="31">
        <v>695</v>
      </c>
      <c r="T42" s="31">
        <v>689</v>
      </c>
      <c r="U42" s="31">
        <v>783</v>
      </c>
      <c r="V42" s="120">
        <f>(Table2[[#This Row],[2025]]-Table2[[#This Row],[2024]])/Table2[[#This Row],[2024]]</f>
        <v>0.13642960812772134</v>
      </c>
      <c r="W42" s="118">
        <f>(Table2[[#This Row],[2025]]-Table2[[#This Row],[2023]])/Table2[[#This Row],[2023]]</f>
        <v>0.12661870503597122</v>
      </c>
      <c r="X42" s="119">
        <f>(Table2[[#This Row],[2025]]-Table2[[#This Row],[2019]])/Table2[[#This Row],[2019]]</f>
        <v>-0.34804329725228977</v>
      </c>
    </row>
    <row r="43" spans="1:24" ht="13.5" thickBot="1" x14ac:dyDescent="0.25">
      <c r="B43" s="18" t="s">
        <v>45</v>
      </c>
      <c r="C43" s="35">
        <v>-588</v>
      </c>
      <c r="D43" s="35">
        <v>-672</v>
      </c>
      <c r="E43" s="35">
        <v>-793</v>
      </c>
      <c r="F43" s="35">
        <v>-689</v>
      </c>
      <c r="G43" s="35">
        <v>-694</v>
      </c>
      <c r="H43" s="35">
        <v>-745</v>
      </c>
      <c r="I43" s="35">
        <v>-426</v>
      </c>
      <c r="J43" s="56">
        <f>(Table1[[#This Row],[2025]]-Table1[[#This Row],[2024]])/Table1[[#This Row],[2024]]</f>
        <v>-0.42818791946308726</v>
      </c>
      <c r="K43" s="57">
        <f>(Table1[[#This Row],[2025]]-Table1[[#This Row],[2023]])/Table1[[#This Row],[2023]]</f>
        <v>-0.3861671469740634</v>
      </c>
      <c r="L43" s="58">
        <f>(Table1[[#This Row],[2025]]-Table1[[#This Row],[2019]])/Table1[[#This Row],[2019]]</f>
        <v>-0.27551020408163263</v>
      </c>
      <c r="N43" s="25" t="s">
        <v>76</v>
      </c>
      <c r="O43" s="36">
        <f t="shared" ref="O43:S43" si="17">SUM(O36:O42)</f>
        <v>36646</v>
      </c>
      <c r="P43" s="36">
        <f t="shared" si="17"/>
        <v>55242</v>
      </c>
      <c r="Q43" s="36">
        <f t="shared" si="17"/>
        <v>58609</v>
      </c>
      <c r="R43" s="36">
        <f t="shared" si="17"/>
        <v>61055</v>
      </c>
      <c r="S43" s="36">
        <f t="shared" si="17"/>
        <v>61055</v>
      </c>
      <c r="T43" s="36">
        <f>SUM(T36:T42)</f>
        <v>59425</v>
      </c>
      <c r="U43" s="36">
        <f>SUM(U36:U42)</f>
        <v>59589</v>
      </c>
      <c r="V43" s="122">
        <f>(Table2[[#This Row],[2025]]-Table2[[#This Row],[2024]])/Table2[[#This Row],[2024]]</f>
        <v>2.7597812368531762E-3</v>
      </c>
      <c r="W43" s="123">
        <f>(Table2[[#This Row],[2025]]-Table2[[#This Row],[2023]])/Table2[[#This Row],[2023]]</f>
        <v>-2.4011137498976334E-2</v>
      </c>
      <c r="X43" s="124">
        <f>(Table2[[#This Row],[2025]]-Table2[[#This Row],[2019]])/Table2[[#This Row],[2019]]</f>
        <v>0.62607105823282216</v>
      </c>
    </row>
    <row r="44" spans="1:24" x14ac:dyDescent="0.2">
      <c r="B44" s="18" t="s">
        <v>46</v>
      </c>
      <c r="C44" s="35">
        <v>59</v>
      </c>
      <c r="D44" s="35">
        <v>55</v>
      </c>
      <c r="E44" s="35">
        <v>52</v>
      </c>
      <c r="F44" s="35">
        <v>53</v>
      </c>
      <c r="G44" s="35">
        <v>198</v>
      </c>
      <c r="H44" s="35">
        <v>370</v>
      </c>
      <c r="I44" s="35"/>
      <c r="J44" s="56">
        <f>(Table1[[#This Row],[2025]]-Table1[[#This Row],[2024]])/Table1[[#This Row],[2024]]</f>
        <v>-1</v>
      </c>
      <c r="K44" s="57">
        <f>(Table1[[#This Row],[2025]]-Table1[[#This Row],[2023]])/Table1[[#This Row],[2023]]</f>
        <v>-1</v>
      </c>
      <c r="L44" s="58">
        <f>(Table1[[#This Row],[2025]]-Table1[[#This Row],[2019]])/Table1[[#This Row],[2019]]</f>
        <v>-1</v>
      </c>
      <c r="N44" s="59"/>
      <c r="O44" s="32"/>
      <c r="P44" s="32"/>
      <c r="Q44" s="32"/>
      <c r="R44" s="32"/>
      <c r="S44" s="32"/>
      <c r="T44" s="32"/>
      <c r="U44" s="32"/>
      <c r="V44" s="117"/>
      <c r="W44" s="121"/>
      <c r="X44" s="125"/>
    </row>
    <row r="45" spans="1:24" x14ac:dyDescent="0.2">
      <c r="B45" s="18" t="s">
        <v>47</v>
      </c>
      <c r="C45" s="31">
        <v>-3251</v>
      </c>
      <c r="D45" s="31">
        <v>-122</v>
      </c>
      <c r="E45" s="31">
        <v>1983</v>
      </c>
      <c r="F45" s="31">
        <v>-726</v>
      </c>
      <c r="G45" s="31">
        <v>1054</v>
      </c>
      <c r="H45" s="31">
        <v>722</v>
      </c>
      <c r="I45" s="35">
        <v>713</v>
      </c>
      <c r="J45" s="56">
        <f>(Table1[[#This Row],[2025]]-Table1[[#This Row],[2024]])/Table1[[#This Row],[2024]]</f>
        <v>-1.2465373961218837E-2</v>
      </c>
      <c r="K45" s="57">
        <f>(Table1[[#This Row],[2025]]-Table1[[#This Row],[2023]])/Table1[[#This Row],[2023]]</f>
        <v>-0.3235294117647059</v>
      </c>
      <c r="L45" s="58">
        <f>(Table1[[#This Row],[2025]]-Table1[[#This Row],[2019]])/Table1[[#This Row],[2019]]</f>
        <v>-1.2193171331897878</v>
      </c>
      <c r="N45" s="5" t="s">
        <v>78</v>
      </c>
      <c r="O45" s="47">
        <f t="shared" ref="O45:S45" si="18">O27-O43</f>
        <v>17757</v>
      </c>
      <c r="P45" s="47">
        <f t="shared" si="18"/>
        <v>18295</v>
      </c>
      <c r="Q45" s="47">
        <f t="shared" si="18"/>
        <v>24168</v>
      </c>
      <c r="R45" s="47">
        <f t="shared" si="18"/>
        <v>24939</v>
      </c>
      <c r="S45" s="47">
        <f t="shared" si="18"/>
        <v>26088</v>
      </c>
      <c r="T45" s="47">
        <f>T27-T43</f>
        <v>27582</v>
      </c>
      <c r="U45" s="47">
        <f>U27-U43</f>
        <v>28075</v>
      </c>
      <c r="V45" s="117">
        <f>(Table2[[#This Row],[2025]]-Table2[[#This Row],[2024]])/Table2[[#This Row],[2024]]</f>
        <v>1.7873975781306648E-2</v>
      </c>
      <c r="W45" s="127">
        <f>(Table2[[#This Row],[2025]]-Table2[[#This Row],[2023]])/Table2[[#This Row],[2023]]</f>
        <v>7.6165286721864456E-2</v>
      </c>
      <c r="X45" s="127">
        <f>(Table2[[#This Row],[2025]]-Table2[[#This Row],[2019]])/Table2[[#This Row],[2019]]</f>
        <v>0.58106662161401135</v>
      </c>
    </row>
    <row r="46" spans="1:24" x14ac:dyDescent="0.2">
      <c r="B46" s="18" t="s">
        <v>24</v>
      </c>
      <c r="C46" s="31">
        <v>-31</v>
      </c>
      <c r="D46" s="31">
        <v>-9</v>
      </c>
      <c r="E46" s="31">
        <v>-425</v>
      </c>
      <c r="F46" s="31">
        <v>13</v>
      </c>
      <c r="G46" s="31">
        <v>-107</v>
      </c>
      <c r="H46" s="31">
        <v>-70</v>
      </c>
      <c r="I46" s="31">
        <v>-63</v>
      </c>
      <c r="J46" s="56">
        <f>(Table1[[#This Row],[2025]]-Table1[[#This Row],[2024]])/Table1[[#This Row],[2024]]</f>
        <v>-0.1</v>
      </c>
      <c r="K46" s="57">
        <f>(Table1[[#This Row],[2025]]-Table1[[#This Row],[2023]])/Table1[[#This Row],[2023]]</f>
        <v>-0.41121495327102803</v>
      </c>
      <c r="L46" s="58">
        <f>(Table1[[#This Row],[2025]]-Table1[[#This Row],[2019]])/Table1[[#This Row],[2019]]</f>
        <v>1.032258064516129</v>
      </c>
      <c r="N46" s="60" t="s">
        <v>52</v>
      </c>
      <c r="O46" s="32">
        <f t="shared" ref="O46:S46" si="19">O11</f>
        <v>2319</v>
      </c>
      <c r="P46" s="32">
        <f t="shared" si="19"/>
        <v>4881</v>
      </c>
      <c r="Q46" s="32">
        <f t="shared" si="19"/>
        <v>7087</v>
      </c>
      <c r="R46" s="32">
        <f t="shared" si="19"/>
        <v>6897</v>
      </c>
      <c r="S46" s="32">
        <f t="shared" si="19"/>
        <v>6856</v>
      </c>
      <c r="T46" s="32">
        <f>T11</f>
        <v>6501</v>
      </c>
      <c r="U46" s="32">
        <f>U11</f>
        <v>5502</v>
      </c>
      <c r="V46" s="127">
        <f>(Table2[[#This Row],[2025]]-Table2[[#This Row],[2024]])/Table2[[#This Row],[2024]]</f>
        <v>-0.15366866635902168</v>
      </c>
      <c r="W46" s="118">
        <f>(Table2[[#This Row],[2025]]-Table2[[#This Row],[2023]])/Table2[[#This Row],[2023]]</f>
        <v>-0.19749124854142358</v>
      </c>
      <c r="X46" s="119">
        <f>(Table2[[#This Row],[2025]]-Table2[[#This Row],[2019]])/Table2[[#This Row],[2019]]</f>
        <v>1.3725743855109962</v>
      </c>
    </row>
    <row r="47" spans="1:24" ht="13.5" thickBot="1" x14ac:dyDescent="0.25">
      <c r="B47" s="21" t="s">
        <v>48</v>
      </c>
      <c r="C47" s="36">
        <f t="shared" ref="C47:G47" si="20">SUM(C42:C46)</f>
        <v>655</v>
      </c>
      <c r="D47" s="36">
        <f t="shared" si="20"/>
        <v>1669</v>
      </c>
      <c r="E47" s="36">
        <f t="shared" si="20"/>
        <v>6674</v>
      </c>
      <c r="F47" s="36">
        <f t="shared" si="20"/>
        <v>4896</v>
      </c>
      <c r="G47" s="36">
        <f t="shared" si="20"/>
        <v>5363</v>
      </c>
      <c r="H47" s="36">
        <f>SUM(H42:H46)</f>
        <v>5836</v>
      </c>
      <c r="I47" s="36">
        <f>SUM(I42:I46)</f>
        <v>5441</v>
      </c>
      <c r="J47" s="95">
        <f>(Table1[[#This Row],[2025]]-Table1[[#This Row],[2024]])/Table1[[#This Row],[2024]]</f>
        <v>-6.7683344756682653E-2</v>
      </c>
      <c r="K47" s="23">
        <f>(Table1[[#This Row],[2025]]-Table1[[#This Row],[2023]])/Table1[[#This Row],[2023]]</f>
        <v>1.4544098452358755E-2</v>
      </c>
      <c r="L47" s="24">
        <f>(Table1[[#This Row],[2025]]-Table1[[#This Row],[2019]])/Table1[[#This Row],[2019]]</f>
        <v>7.3068702290076333</v>
      </c>
      <c r="N47" s="60" t="s">
        <v>80</v>
      </c>
      <c r="O47" s="49">
        <f t="shared" ref="O47:S47" si="21">O31+O37</f>
        <v>17581</v>
      </c>
      <c r="P47" s="49">
        <f t="shared" si="21"/>
        <v>22003</v>
      </c>
      <c r="Q47" s="49">
        <f t="shared" si="21"/>
        <v>20879</v>
      </c>
      <c r="R47" s="49">
        <f t="shared" si="21"/>
        <v>20264</v>
      </c>
      <c r="S47" s="49">
        <f t="shared" si="21"/>
        <v>20579</v>
      </c>
      <c r="T47" s="49">
        <f>T31+T37</f>
        <v>20203</v>
      </c>
      <c r="U47" s="49">
        <f>U31+U37</f>
        <v>20579</v>
      </c>
      <c r="V47" s="120">
        <f>(Table2[[#This Row],[2025]]-Table2[[#This Row],[2024]])/Table2[[#This Row],[2024]]</f>
        <v>1.8611097361777955E-2</v>
      </c>
      <c r="W47" s="118">
        <f>(Table2[[#This Row],[2025]]-Table2[[#This Row],[2023]])/Table2[[#This Row],[2023]]</f>
        <v>0</v>
      </c>
      <c r="X47" s="119">
        <f>(Table2[[#This Row],[2025]]-Table2[[#This Row],[2019]])/Table2[[#This Row],[2019]]</f>
        <v>0.17052499857801034</v>
      </c>
    </row>
    <row r="48" spans="1:24" x14ac:dyDescent="0.2">
      <c r="B48" s="19" t="s">
        <v>49</v>
      </c>
      <c r="C48" s="31">
        <v>115</v>
      </c>
      <c r="D48" s="31">
        <v>383</v>
      </c>
      <c r="E48" s="31">
        <v>1443</v>
      </c>
      <c r="F48" s="31">
        <v>1070</v>
      </c>
      <c r="G48" s="31">
        <v>1391</v>
      </c>
      <c r="H48" s="31">
        <v>1505</v>
      </c>
      <c r="I48" s="31">
        <v>1349</v>
      </c>
      <c r="J48" s="56">
        <f>(Table1[[#This Row],[2025]]-Table1[[#This Row],[2024]])/Table1[[#This Row],[2024]]</f>
        <v>-0.10365448504983389</v>
      </c>
      <c r="K48" s="57">
        <f>(Table1[[#This Row],[2025]]-Table1[[#This Row],[2023]])/Table1[[#This Row],[2023]]</f>
        <v>-3.01941049604601E-2</v>
      </c>
      <c r="L48" s="58">
        <f>(Table1[[#This Row],[2025]]-Table1[[#This Row],[2019]])/Table1[[#This Row],[2019]]</f>
        <v>10.730434782608695</v>
      </c>
      <c r="N48" s="60" t="s">
        <v>79</v>
      </c>
      <c r="O48" s="48">
        <f>C54-O46+O47</f>
        <v>51771.05</v>
      </c>
      <c r="P48" s="48">
        <f t="shared" ref="P48:S48" si="22">D54-P46+P47</f>
        <v>80025.58</v>
      </c>
      <c r="Q48" s="48">
        <f t="shared" si="22"/>
        <v>84996.92</v>
      </c>
      <c r="R48" s="48">
        <f t="shared" si="22"/>
        <v>73105.279999999999</v>
      </c>
      <c r="S48" s="48">
        <f t="shared" si="22"/>
        <v>69525.88</v>
      </c>
      <c r="T48" s="48">
        <f>H54-T46+T47</f>
        <v>77448.47</v>
      </c>
      <c r="U48" s="48">
        <f>I54-U46+U47</f>
        <v>67854.17</v>
      </c>
      <c r="V48" s="127">
        <f>(Table2[[#This Row],[2025]]-Table2[[#This Row],[2024]])/Table2[[#This Row],[2024]]</f>
        <v>-0.12387978742510992</v>
      </c>
      <c r="W48" s="118">
        <f>(Table2[[#This Row],[2025]]-Table2[[#This Row],[2023]])/Table2[[#This Row],[2023]]</f>
        <v>-2.4044427772794912E-2</v>
      </c>
      <c r="X48" s="119">
        <f>(Table2[[#This Row],[2025]]-Table2[[#This Row],[2019]])/Table2[[#This Row],[2019]]</f>
        <v>0.31065856303860928</v>
      </c>
    </row>
    <row r="49" spans="2:24" ht="13.5" thickBot="1" x14ac:dyDescent="0.25">
      <c r="B49" s="26" t="s">
        <v>50</v>
      </c>
      <c r="C49" s="36">
        <f t="shared" ref="C49:G49" si="23">C47-C48</f>
        <v>540</v>
      </c>
      <c r="D49" s="36">
        <f t="shared" si="23"/>
        <v>1286</v>
      </c>
      <c r="E49" s="36">
        <f t="shared" si="23"/>
        <v>5231</v>
      </c>
      <c r="F49" s="36">
        <f t="shared" si="23"/>
        <v>3826</v>
      </c>
      <c r="G49" s="36">
        <f t="shared" si="23"/>
        <v>3972</v>
      </c>
      <c r="H49" s="36">
        <f>H47-H48</f>
        <v>4331</v>
      </c>
      <c r="I49" s="36">
        <f>I47-I48</f>
        <v>4092</v>
      </c>
      <c r="J49" s="95">
        <f>(Table1[[#This Row],[2025]]-Table1[[#This Row],[2024]])/Table1[[#This Row],[2024]]</f>
        <v>-5.5183560378665432E-2</v>
      </c>
      <c r="K49" s="23">
        <f>(Table1[[#This Row],[2025]]-Table1[[#This Row],[2023]])/Table1[[#This Row],[2023]]</f>
        <v>3.0211480362537766E-2</v>
      </c>
      <c r="L49" s="24">
        <f>(Table1[[#This Row],[2025]]-Table1[[#This Row],[2019]])/Table1[[#This Row],[2019]]</f>
        <v>6.5777777777777775</v>
      </c>
      <c r="N49" s="60" t="s">
        <v>91</v>
      </c>
      <c r="O49" s="67">
        <f>O15/O36</f>
        <v>1.4519028070564739</v>
      </c>
      <c r="P49" s="67">
        <f t="shared" ref="P49:U49" si="24">P15/P36</f>
        <v>1.5838167053364269</v>
      </c>
      <c r="Q49" s="67">
        <f t="shared" si="24"/>
        <v>1.506588579795022</v>
      </c>
      <c r="R49" s="67">
        <f t="shared" si="24"/>
        <v>1.4267199103264676</v>
      </c>
      <c r="S49" s="67">
        <f t="shared" si="24"/>
        <v>1.3697924333873104</v>
      </c>
      <c r="T49" s="67">
        <f t="shared" si="24"/>
        <v>1.3633096218644702</v>
      </c>
      <c r="U49" s="67">
        <f t="shared" si="24"/>
        <v>1.1936507936507936</v>
      </c>
      <c r="V49" s="120">
        <f>(Table2[[#This Row],[2025]]-Table2[[#This Row],[2024]])/Table2[[#This Row],[2024]]</f>
        <v>-0.12444629267829138</v>
      </c>
      <c r="W49" s="127">
        <f>(Table2[[#This Row],[2025]]-Table2[[#This Row],[2023]])/Table2[[#This Row],[2023]]</f>
        <v>-0.12859002243204282</v>
      </c>
      <c r="X49" s="119">
        <f>(Table2[[#This Row],[2025]]-Table2[[#This Row],[2019]])/Table2[[#This Row],[2019]]</f>
        <v>-0.1778714195953994</v>
      </c>
    </row>
    <row r="50" spans="2:24" x14ac:dyDescent="0.2">
      <c r="B50" s="40"/>
      <c r="C50" s="31"/>
      <c r="D50" s="31"/>
      <c r="E50" s="31"/>
      <c r="F50" s="31"/>
      <c r="G50" s="31"/>
      <c r="H50" s="31"/>
      <c r="I50" s="31"/>
      <c r="J50" s="53"/>
      <c r="K50" s="54"/>
      <c r="L50" s="55"/>
      <c r="N50" s="60" t="s">
        <v>92</v>
      </c>
      <c r="O50" s="63">
        <f>C63</f>
        <v>7.7482674013172057E-3</v>
      </c>
      <c r="P50" s="63">
        <f t="shared" ref="P50:U50" si="25">D63</f>
        <v>1.8579250762096017E-2</v>
      </c>
      <c r="Q50" s="63">
        <f t="shared" si="25"/>
        <v>6.2304219916864183E-2</v>
      </c>
      <c r="R50" s="63">
        <f t="shared" si="25"/>
        <v>4.0914535032936947E-2</v>
      </c>
      <c r="S50" s="63">
        <f t="shared" si="25"/>
        <v>4.4057456602517885E-2</v>
      </c>
      <c r="T50" s="63">
        <f t="shared" si="25"/>
        <v>4.9388206584333981E-2</v>
      </c>
      <c r="U50" s="63">
        <f t="shared" si="25"/>
        <v>4.6539135181857469E-2</v>
      </c>
      <c r="V50" s="120">
        <f>(Table2[[#This Row],[2025]]-Table2[[#This Row],[2024]])/Table2[[#This Row],[2024]]</f>
        <v>-5.7687282035874574E-2</v>
      </c>
      <c r="W50" s="118">
        <f>(Table2[[#This Row],[2025]]-Table2[[#This Row],[2023]])/Table2[[#This Row],[2023]]</f>
        <v>5.632823069495474E-2</v>
      </c>
      <c r="X50" s="119">
        <f>(Table2[[#This Row],[2025]]-Table2[[#This Row],[2019]])/Table2[[#This Row],[2019]]</f>
        <v>5.0063924967207267</v>
      </c>
    </row>
    <row r="51" spans="2:24" x14ac:dyDescent="0.2">
      <c r="B51" s="18" t="s">
        <v>1</v>
      </c>
      <c r="C51" s="31">
        <v>265</v>
      </c>
      <c r="D51" s="31">
        <v>262</v>
      </c>
      <c r="E51" s="31">
        <v>268</v>
      </c>
      <c r="F51" s="31">
        <v>266</v>
      </c>
      <c r="G51" s="31">
        <v>256</v>
      </c>
      <c r="H51" s="31">
        <v>251</v>
      </c>
      <c r="I51" s="31">
        <v>243</v>
      </c>
      <c r="J51" s="56">
        <f>(Table1[[#This Row],[2025]]-Table1[[#This Row],[2024]])/Table1[[#This Row],[2024]]</f>
        <v>-3.1872509960159362E-2</v>
      </c>
      <c r="K51" s="57">
        <f>(Table1[[#This Row],[2025]]-Table1[[#This Row],[2023]])/Table1[[#This Row],[2023]]</f>
        <v>-5.078125E-2</v>
      </c>
      <c r="L51" s="58">
        <f>(Table1[[#This Row],[2025]]-Table1[[#This Row],[2019]])/Table1[[#This Row],[2019]]</f>
        <v>-8.3018867924528297E-2</v>
      </c>
      <c r="N51" s="60" t="s">
        <v>93</v>
      </c>
      <c r="O51" s="67">
        <f>C28/O27</f>
        <v>1.2810506773523518</v>
      </c>
      <c r="P51" s="67">
        <f t="shared" ref="P51:U51" si="26">D28/P27</f>
        <v>0.94125406258074162</v>
      </c>
      <c r="Q51" s="67">
        <f t="shared" si="26"/>
        <v>1.0142793287990626</v>
      </c>
      <c r="R51" s="67">
        <f t="shared" si="26"/>
        <v>1.0874247040491196</v>
      </c>
      <c r="S51" s="67">
        <f t="shared" si="26"/>
        <v>1.0345638777641348</v>
      </c>
      <c r="T51" s="67">
        <f t="shared" si="26"/>
        <v>1.0078844230923949</v>
      </c>
      <c r="U51" s="67">
        <f t="shared" si="26"/>
        <v>1.0029886840664355</v>
      </c>
      <c r="V51" s="120">
        <f>(Table2[[#This Row],[2025]]-Table2[[#This Row],[2024]])/Table2[[#This Row],[2024]]</f>
        <v>-4.8574409067046456E-3</v>
      </c>
      <c r="W51" s="118">
        <f>(Table2[[#This Row],[2025]]-Table2[[#This Row],[2023]])/Table2[[#This Row],[2023]]</f>
        <v>-3.0520293987006977E-2</v>
      </c>
      <c r="X51" s="119">
        <f>(Table2[[#This Row],[2025]]-Table2[[#This Row],[2019]])/Table2[[#This Row],[2019]]</f>
        <v>-0.21705776219611303</v>
      </c>
    </row>
    <row r="52" spans="2:24" x14ac:dyDescent="0.2">
      <c r="B52" s="18" t="s">
        <v>51</v>
      </c>
      <c r="C52" s="30">
        <f t="shared" ref="C52:G52" si="27">C49/C51</f>
        <v>2.0377358490566038</v>
      </c>
      <c r="D52" s="30">
        <f t="shared" si="27"/>
        <v>4.9083969465648858</v>
      </c>
      <c r="E52" s="30">
        <f t="shared" si="27"/>
        <v>19.518656716417912</v>
      </c>
      <c r="F52" s="30">
        <f t="shared" si="27"/>
        <v>14.383458646616541</v>
      </c>
      <c r="G52" s="30">
        <f t="shared" si="27"/>
        <v>15.515625</v>
      </c>
      <c r="H52" s="30">
        <f>H49/H51</f>
        <v>17.254980079681275</v>
      </c>
      <c r="I52" s="30">
        <f>I49/I51</f>
        <v>16.839506172839506</v>
      </c>
      <c r="J52" s="56">
        <f>(Table1[[#This Row],[2025]]-Table1[[#This Row],[2024]])/Table1[[#This Row],[2024]]</f>
        <v>-2.4078492407592668E-2</v>
      </c>
      <c r="K52" s="57">
        <f>(Table1[[#This Row],[2025]]-Table1[[#This Row],[2023]])/Table1[[#This Row],[2023]]</f>
        <v>8.5325674785224986E-2</v>
      </c>
      <c r="L52" s="58">
        <f>(Table1[[#This Row],[2025]]-Table1[[#This Row],[2019]])/Table1[[#This Row],[2019]]</f>
        <v>7.2638317329675353</v>
      </c>
      <c r="N52" s="60" t="s">
        <v>94</v>
      </c>
      <c r="O52" s="67">
        <f>O27/O45</f>
        <v>3.0637495072365826</v>
      </c>
      <c r="P52" s="67">
        <f t="shared" ref="P52:U52" si="28">P27/P45</f>
        <v>4.0195135282864172</v>
      </c>
      <c r="Q52" s="67">
        <f t="shared" si="28"/>
        <v>3.4250662032439592</v>
      </c>
      <c r="R52" s="67">
        <f t="shared" si="28"/>
        <v>3.4481735434460083</v>
      </c>
      <c r="S52" s="67">
        <f t="shared" si="28"/>
        <v>3.3403480527445568</v>
      </c>
      <c r="T52" s="67">
        <f t="shared" si="28"/>
        <v>3.1544848089333621</v>
      </c>
      <c r="U52" s="67">
        <f t="shared" si="28"/>
        <v>3.1224933214603738</v>
      </c>
      <c r="V52" s="120">
        <f>(Table2[[#This Row],[2025]]-Table2[[#This Row],[2024]])/Table2[[#This Row],[2024]]</f>
        <v>-1.0141588693782838E-2</v>
      </c>
      <c r="W52" s="118">
        <f>(Table2[[#This Row],[2025]]-Table2[[#This Row],[2023]])/Table2[[#This Row],[2023]]</f>
        <v>-6.5219171129542994E-2</v>
      </c>
      <c r="X52" s="119">
        <f>(Table2[[#This Row],[2025]]-Table2[[#This Row],[2019]])/Table2[[#This Row],[2019]]</f>
        <v>1.9173830655880405E-2</v>
      </c>
    </row>
    <row r="53" spans="2:24" x14ac:dyDescent="0.2">
      <c r="B53" s="60" t="s">
        <v>0</v>
      </c>
      <c r="C53" s="61">
        <v>137.77000000000001</v>
      </c>
      <c r="D53" s="61">
        <v>240.09</v>
      </c>
      <c r="E53" s="61">
        <v>265.69</v>
      </c>
      <c r="F53" s="61">
        <v>224.58</v>
      </c>
      <c r="G53" s="61">
        <v>217.98</v>
      </c>
      <c r="H53" s="61">
        <v>253.97</v>
      </c>
      <c r="I53" s="61">
        <v>217.19</v>
      </c>
      <c r="J53" s="56">
        <f>(Table1[[#This Row],[2025]]-Table1[[#This Row],[2024]])/Table1[[#This Row],[2024]]</f>
        <v>-0.14482025436075127</v>
      </c>
      <c r="K53" s="57">
        <f>(Table1[[#This Row],[2025]]-Table1[[#This Row],[2023]])/Table1[[#This Row],[2023]]</f>
        <v>-3.6241857051105245E-3</v>
      </c>
      <c r="L53" s="58">
        <f>(Table1[[#This Row],[2025]]-Table1[[#This Row],[2019]])/Table1[[#This Row],[2019]]</f>
        <v>0.57646802642084616</v>
      </c>
      <c r="N53" s="60" t="s">
        <v>95</v>
      </c>
      <c r="O53" s="64">
        <f>O50*O51*O52</f>
        <v>3.0410542321338063E-2</v>
      </c>
      <c r="P53" s="64">
        <f t="shared" ref="P53:U53" si="29">P50*P51*P52</f>
        <v>7.0292429625580757E-2</v>
      </c>
      <c r="Q53" s="64">
        <f t="shared" si="29"/>
        <v>0.21644323071830521</v>
      </c>
      <c r="R53" s="64">
        <f t="shared" si="29"/>
        <v>0.15341433096756082</v>
      </c>
      <c r="S53" s="64">
        <f t="shared" si="29"/>
        <v>0.15225390984360623</v>
      </c>
      <c r="T53" s="64">
        <f t="shared" si="29"/>
        <v>0.15702269596113405</v>
      </c>
      <c r="U53" s="64">
        <f t="shared" si="29"/>
        <v>0.14575244879786287</v>
      </c>
      <c r="V53" s="127">
        <f>(Table2[[#This Row],[2025]]-Table2[[#This Row],[2024]])/Table2[[#This Row],[2024]]</f>
        <v>-7.1774638018320458E-2</v>
      </c>
      <c r="W53" s="118">
        <f>(Table2[[#This Row],[2025]]-Table2[[#This Row],[2023]])/Table2[[#This Row],[2023]]</f>
        <v>-4.2701439013432277E-2</v>
      </c>
      <c r="X53" s="119">
        <f>(Table2[[#This Row],[2025]]-Table2[[#This Row],[2019]])/Table2[[#This Row],[2019]]</f>
        <v>3.7928263579697239</v>
      </c>
    </row>
    <row r="54" spans="2:24" x14ac:dyDescent="0.2">
      <c r="B54" s="60" t="s">
        <v>81</v>
      </c>
      <c r="C54" s="48">
        <f>C51*C53</f>
        <v>36509.050000000003</v>
      </c>
      <c r="D54" s="48">
        <f t="shared" ref="D54:I54" si="30">D51*D53</f>
        <v>62903.58</v>
      </c>
      <c r="E54" s="48">
        <f t="shared" si="30"/>
        <v>71204.92</v>
      </c>
      <c r="F54" s="48">
        <f t="shared" si="30"/>
        <v>59738.280000000006</v>
      </c>
      <c r="G54" s="48">
        <f t="shared" si="30"/>
        <v>55802.879999999997</v>
      </c>
      <c r="H54" s="48">
        <f t="shared" si="30"/>
        <v>63746.47</v>
      </c>
      <c r="I54" s="48">
        <f t="shared" si="30"/>
        <v>52777.17</v>
      </c>
      <c r="J54" s="56">
        <f>(Table1[[#This Row],[2025]]-Table1[[#This Row],[2024]])/Table1[[#This Row],[2024]]</f>
        <v>-0.17207697932136481</v>
      </c>
      <c r="K54" s="57">
        <f>(Table1[[#This Row],[2025]]-Table1[[#This Row],[2023]])/Table1[[#This Row],[2023]]</f>
        <v>-5.4221395024772905E-2</v>
      </c>
      <c r="L54" s="58">
        <f>(Table1[[#This Row],[2025]]-Table1[[#This Row],[2019]])/Table1[[#This Row],[2019]]</f>
        <v>0.44559143554817215</v>
      </c>
      <c r="N54" s="60" t="s">
        <v>96</v>
      </c>
      <c r="O54" s="63">
        <f>O47/O43</f>
        <v>0.47975222398078915</v>
      </c>
      <c r="P54" s="63">
        <f t="shared" ref="P54:U54" si="31">P47/P43</f>
        <v>0.39830201658158648</v>
      </c>
      <c r="Q54" s="63">
        <f t="shared" si="31"/>
        <v>0.3562422153594158</v>
      </c>
      <c r="R54" s="63">
        <f t="shared" si="31"/>
        <v>0.33189746949471788</v>
      </c>
      <c r="S54" s="63">
        <f t="shared" si="31"/>
        <v>0.33705675210875441</v>
      </c>
      <c r="T54" s="63">
        <f t="shared" si="31"/>
        <v>0.33997475809844341</v>
      </c>
      <c r="U54" s="63">
        <f t="shared" si="31"/>
        <v>0.34534897380388996</v>
      </c>
      <c r="V54" s="120">
        <f>(Table2[[#This Row],[2025]]-Table2[[#This Row],[2024]])/Table2[[#This Row],[2024]]</f>
        <v>1.5807690357677633E-2</v>
      </c>
      <c r="W54" s="118">
        <f>(Table2[[#This Row],[2025]]-Table2[[#This Row],[2023]])/Table2[[#This Row],[2023]]</f>
        <v>2.4601856047256957E-2</v>
      </c>
      <c r="X54" s="119">
        <f>(Table2[[#This Row],[2025]]-Table2[[#This Row],[2019]])/Table2[[#This Row],[2019]]</f>
        <v>-0.28015138535820761</v>
      </c>
    </row>
    <row r="55" spans="2:24" x14ac:dyDescent="0.2">
      <c r="B55" s="60" t="s">
        <v>82</v>
      </c>
      <c r="C55" s="63">
        <f>C12/C28</f>
        <v>0.1968203406367928</v>
      </c>
      <c r="D55" s="63">
        <f t="shared" ref="D55:I55" si="32">D12/D28</f>
        <v>0.18850860337778291</v>
      </c>
      <c r="E55" s="63">
        <f t="shared" si="32"/>
        <v>0.17736037827987469</v>
      </c>
      <c r="F55" s="63">
        <f t="shared" si="32"/>
        <v>0.17521815381983061</v>
      </c>
      <c r="G55" s="63">
        <f t="shared" si="32"/>
        <v>0.17773833952637125</v>
      </c>
      <c r="H55" s="63">
        <f t="shared" si="32"/>
        <v>0.17642229140296262</v>
      </c>
      <c r="I55" s="63">
        <f t="shared" si="32"/>
        <v>0.17659167936674022</v>
      </c>
      <c r="J55" s="56">
        <f>(Table1[[#This Row],[2025]]-Table1[[#This Row],[2024]])/Table1[[#This Row],[2024]]</f>
        <v>9.6012789784433021E-4</v>
      </c>
      <c r="K55" s="57">
        <f>(Table1[[#This Row],[2025]]-Table1[[#This Row],[2023]])/Table1[[#This Row],[2023]]</f>
        <v>-6.4513945763564036E-3</v>
      </c>
      <c r="L55" s="127">
        <f>(Table1[[#This Row],[2025]]-Table1[[#This Row],[2019]])/Table1[[#This Row],[2019]]</f>
        <v>-0.10277729021606576</v>
      </c>
      <c r="N55" s="60" t="s">
        <v>97</v>
      </c>
      <c r="O55" s="67">
        <f>C28/O23</f>
        <v>2.2903480232672777</v>
      </c>
      <c r="P55" s="67">
        <f t="shared" ref="P55:U55" si="33">D28/P23</f>
        <v>2.059539395382052</v>
      </c>
      <c r="Q55" s="67">
        <f t="shared" si="33"/>
        <v>2.3483721190422915</v>
      </c>
      <c r="R55" s="67">
        <f t="shared" si="33"/>
        <v>2.4549631146465045</v>
      </c>
      <c r="S55" s="67">
        <f t="shared" si="33"/>
        <v>2.2152194211017742</v>
      </c>
      <c r="T55" s="67">
        <f t="shared" si="33"/>
        <v>2.113542696006363</v>
      </c>
      <c r="U55" s="67">
        <f t="shared" si="33"/>
        <v>2.1114232884278272</v>
      </c>
      <c r="V55" s="120">
        <f>(Table2[[#This Row],[2025]]-Table2[[#This Row],[2024]])/Table2[[#This Row],[2024]]</f>
        <v>-1.0027749061045756E-3</v>
      </c>
      <c r="W55" s="118">
        <f>(Table2[[#This Row],[2025]]-Table2[[#This Row],[2023]])/Table2[[#This Row],[2023]]</f>
        <v>-4.6855914897280151E-2</v>
      </c>
      <c r="X55" s="119">
        <f>(Table2[[#This Row],[2025]]-Table2[[#This Row],[2019]])/Table2[[#This Row],[2019]]</f>
        <v>-7.8121199495353039E-2</v>
      </c>
    </row>
    <row r="56" spans="2:24" x14ac:dyDescent="0.2">
      <c r="B56" s="60" t="s">
        <v>83</v>
      </c>
      <c r="C56" s="63">
        <f>C13/C28</f>
        <v>0.15569712883646852</v>
      </c>
      <c r="D56" s="63">
        <f t="shared" ref="D56:I56" si="34">D13/D28</f>
        <v>0.15077220913937328</v>
      </c>
      <c r="E56" s="63">
        <f t="shared" si="34"/>
        <v>0.15423004085327363</v>
      </c>
      <c r="F56" s="63">
        <f t="shared" si="34"/>
        <v>0.16006501839336129</v>
      </c>
      <c r="G56" s="63">
        <f t="shared" si="34"/>
        <v>0.15362431368199211</v>
      </c>
      <c r="H56" s="63">
        <f t="shared" si="34"/>
        <v>0.15654613253053265</v>
      </c>
      <c r="I56" s="63">
        <f t="shared" si="34"/>
        <v>0.16602597638923641</v>
      </c>
      <c r="J56" s="127">
        <f>(Table1[[#This Row],[2025]]-Table1[[#This Row],[2024]])/Table1[[#This Row],[2024]]</f>
        <v>6.0556231607030088E-2</v>
      </c>
      <c r="K56" s="127">
        <f>(Table1[[#This Row],[2025]]-Table1[[#This Row],[2023]])/Table1[[#This Row],[2023]]</f>
        <v>8.0727213095423092E-2</v>
      </c>
      <c r="L56" s="58">
        <f>(Table1[[#This Row],[2025]]-Table1[[#This Row],[2019]])/Table1[[#This Row],[2019]]</f>
        <v>6.6339357892825773E-2</v>
      </c>
      <c r="N56" s="60" t="s">
        <v>98</v>
      </c>
      <c r="O56" s="67">
        <f>C28/O12</f>
        <v>7.6451294427380434</v>
      </c>
      <c r="P56" s="67">
        <f t="shared" ref="P56:U56" si="35">D28/P12</f>
        <v>6.8518115224707978</v>
      </c>
      <c r="Q56" s="67">
        <f t="shared" si="35"/>
        <v>6.9565829811914819</v>
      </c>
      <c r="R56" s="67">
        <f t="shared" si="35"/>
        <v>7.8826603725870354</v>
      </c>
      <c r="S56" s="67">
        <f t="shared" si="35"/>
        <v>8.8491362387122106</v>
      </c>
      <c r="T56" s="67">
        <f t="shared" si="35"/>
        <v>8.6936651135124414</v>
      </c>
      <c r="U56" s="67">
        <f t="shared" si="35"/>
        <v>7.7345179451090784</v>
      </c>
      <c r="V56" s="120">
        <f>(Table2[[#This Row],[2025]]-Table2[[#This Row],[2024]])/Table2[[#This Row],[2024]]</f>
        <v>-0.1103271354348092</v>
      </c>
      <c r="W56" s="118">
        <f>(Table2[[#This Row],[2025]]-Table2[[#This Row],[2023]])/Table2[[#This Row],[2023]]</f>
        <v>-0.12595786340445578</v>
      </c>
      <c r="X56" s="119">
        <f>(Table2[[#This Row],[2025]]-Table2[[#This Row],[2019]])/Table2[[#This Row],[2019]]</f>
        <v>1.1692215683273144E-2</v>
      </c>
    </row>
    <row r="57" spans="2:24" x14ac:dyDescent="0.2">
      <c r="B57" s="60" t="s">
        <v>84</v>
      </c>
      <c r="C57" s="63">
        <f>C14/C28</f>
        <v>6.5142840744407612E-2</v>
      </c>
      <c r="D57" s="63">
        <f t="shared" ref="D57:I57" si="36">D14/D28</f>
        <v>6.0375341317884336E-2</v>
      </c>
      <c r="E57" s="63">
        <f t="shared" si="36"/>
        <v>5.5265069855524721E-2</v>
      </c>
      <c r="F57" s="63">
        <f t="shared" si="36"/>
        <v>4.6411155787492511E-2</v>
      </c>
      <c r="G57" s="63">
        <f t="shared" si="36"/>
        <v>4.4844989185291999E-2</v>
      </c>
      <c r="H57" s="63">
        <f t="shared" si="36"/>
        <v>4.7643483516358207E-2</v>
      </c>
      <c r="I57" s="63">
        <f t="shared" si="36"/>
        <v>5.1122534858858586E-2</v>
      </c>
      <c r="J57" s="127">
        <f>(Table1[[#This Row],[2025]]-Table1[[#This Row],[2024]])/Table1[[#This Row],[2024]]</f>
        <v>7.3022606361389603E-2</v>
      </c>
      <c r="K57" s="127">
        <f>(Table1[[#This Row],[2025]]-Table1[[#This Row],[2023]])/Table1[[#This Row],[2023]]</f>
        <v>0.13998321301023883</v>
      </c>
      <c r="L57" s="58">
        <f>(Table1[[#This Row],[2025]]-Table1[[#This Row],[2019]])/Table1[[#This Row],[2019]]</f>
        <v>-0.21522404803558776</v>
      </c>
      <c r="N57" s="65" t="s">
        <v>99</v>
      </c>
      <c r="O57" s="48">
        <f>365/O56</f>
        <v>47.742814916849611</v>
      </c>
      <c r="P57" s="48">
        <f t="shared" ref="P57:U57" si="37">365/P56</f>
        <v>53.270583816114538</v>
      </c>
      <c r="Q57" s="48">
        <f t="shared" si="37"/>
        <v>52.468288092997774</v>
      </c>
      <c r="R57" s="48">
        <f t="shared" si="37"/>
        <v>46.304164171443233</v>
      </c>
      <c r="S57" s="48">
        <f t="shared" si="37"/>
        <v>41.246963562753038</v>
      </c>
      <c r="T57" s="48">
        <f t="shared" si="37"/>
        <v>41.984593981275587</v>
      </c>
      <c r="U57" s="48">
        <f t="shared" si="37"/>
        <v>47.191047016809591</v>
      </c>
      <c r="V57" s="127">
        <f>(Table2[[#This Row],[2025]]-Table2[[#This Row],[2024]])/Table2[[#This Row],[2024]]</f>
        <v>0.12400865512373403</v>
      </c>
      <c r="W57" s="118">
        <f>(Table2[[#This Row],[2025]]-Table2[[#This Row],[2023]])/Table2[[#This Row],[2023]]</f>
        <v>0.14410960081978491</v>
      </c>
      <c r="X57" s="119">
        <f>(Table2[[#This Row],[2025]]-Table2[[#This Row],[2019]])/Table2[[#This Row],[2019]]</f>
        <v>-1.1557087720969023E-2</v>
      </c>
    </row>
    <row r="58" spans="2:24" x14ac:dyDescent="0.2">
      <c r="B58" s="60" t="s">
        <v>85</v>
      </c>
      <c r="C58" s="63">
        <f>C21/C28</f>
        <v>0.10807398160503924</v>
      </c>
      <c r="D58" s="63">
        <f t="shared" ref="D58:I58" si="38">D21/D28</f>
        <v>0.1027637719057457</v>
      </c>
      <c r="E58" s="63">
        <f t="shared" si="38"/>
        <v>9.7452327921961915E-2</v>
      </c>
      <c r="F58" s="63">
        <f t="shared" si="38"/>
        <v>9.3153819830609969E-2</v>
      </c>
      <c r="G58" s="63">
        <f t="shared" si="38"/>
        <v>8.4765126726193782E-2</v>
      </c>
      <c r="H58" s="63">
        <f t="shared" si="38"/>
        <v>7.327836885498272E-2</v>
      </c>
      <c r="I58" s="63">
        <f t="shared" si="38"/>
        <v>6.6317130314127795E-2</v>
      </c>
      <c r="J58" s="127">
        <f>(Table1[[#This Row],[2025]]-Table1[[#This Row],[2024]])/Table1[[#This Row],[2024]]</f>
        <v>-9.4997181973730305E-2</v>
      </c>
      <c r="K58" s="127">
        <f>(Table1[[#This Row],[2025]]-Table1[[#This Row],[2023]])/Table1[[#This Row],[2023]]</f>
        <v>-0.21763662870057693</v>
      </c>
      <c r="L58" s="127">
        <f>(Table1[[#This Row],[2025]]-Table1[[#This Row],[2019]])/Table1[[#This Row],[2019]]</f>
        <v>-0.38637284081485546</v>
      </c>
      <c r="N58" s="60" t="s">
        <v>100</v>
      </c>
      <c r="O58" s="66">
        <f>O48/C42</f>
        <v>11.592263770712048</v>
      </c>
      <c r="P58" s="66">
        <f t="shared" ref="P58:U58" si="39">P48/D42</f>
        <v>33.109466280513033</v>
      </c>
      <c r="Q58" s="66">
        <f t="shared" si="39"/>
        <v>14.512023220078538</v>
      </c>
      <c r="R58" s="66">
        <f t="shared" si="39"/>
        <v>11.706209767814251</v>
      </c>
      <c r="S58" s="66">
        <f t="shared" si="39"/>
        <v>14.154291530944626</v>
      </c>
      <c r="T58" s="66">
        <f t="shared" si="39"/>
        <v>13.93208670624213</v>
      </c>
      <c r="U58" s="66">
        <f t="shared" si="39"/>
        <v>13.006358060187846</v>
      </c>
      <c r="V58" s="127">
        <f>(Table2[[#This Row],[2025]]-Table2[[#This Row],[2024]])/Table2[[#This Row],[2024]]</f>
        <v>-6.6445799941764652E-2</v>
      </c>
      <c r="W58" s="127">
        <f>(Table2[[#This Row],[2025]]-Table2[[#This Row],[2023]])/Table2[[#This Row],[2023]]</f>
        <v>-8.110144320873465E-2</v>
      </c>
      <c r="X58" s="119">
        <f>(Table2[[#This Row],[2025]]-Table2[[#This Row],[2019]])/Table2[[#This Row],[2019]]</f>
        <v>0.12198603460426077</v>
      </c>
    </row>
    <row r="59" spans="2:24" x14ac:dyDescent="0.2">
      <c r="B59" s="60" t="s">
        <v>86</v>
      </c>
      <c r="C59" s="63">
        <f>C24/C28</f>
        <v>0.29446285853672538</v>
      </c>
      <c r="D59" s="63">
        <f t="shared" ref="D59:I59" si="40">D24/D28</f>
        <v>0.32843087680772065</v>
      </c>
      <c r="E59" s="63">
        <f t="shared" si="40"/>
        <v>0.36322490739527624</v>
      </c>
      <c r="F59" s="63">
        <f t="shared" si="40"/>
        <v>0.35537685002994268</v>
      </c>
      <c r="G59" s="63">
        <f t="shared" si="40"/>
        <v>0.37165991902834006</v>
      </c>
      <c r="H59" s="63">
        <f t="shared" si="40"/>
        <v>0.39063551252665552</v>
      </c>
      <c r="I59" s="63">
        <f t="shared" si="40"/>
        <v>0.38540363487478108</v>
      </c>
      <c r="J59" s="56">
        <f>(Table1[[#This Row],[2025]]-Table1[[#This Row],[2024]])/Table1[[#This Row],[2024]]</f>
        <v>-1.3393246348838895E-2</v>
      </c>
      <c r="K59" s="57">
        <f>(Table1[[#This Row],[2025]]-Table1[[#This Row],[2023]])/Table1[[#This Row],[2023]]</f>
        <v>3.6979279020380521E-2</v>
      </c>
      <c r="L59" s="58">
        <f>(Table1[[#This Row],[2025]]-Table1[[#This Row],[2019]])/Table1[[#This Row],[2019]]</f>
        <v>0.30883615268142067</v>
      </c>
      <c r="N59" s="60" t="s">
        <v>101</v>
      </c>
      <c r="O59" s="63">
        <f>C42/O48</f>
        <v>8.6264427706218047E-2</v>
      </c>
      <c r="P59" s="63">
        <f t="shared" ref="P59:U59" si="41">D42/P48</f>
        <v>3.0202842641065517E-2</v>
      </c>
      <c r="Q59" s="63">
        <f t="shared" si="41"/>
        <v>6.8908379268331141E-2</v>
      </c>
      <c r="R59" s="63">
        <f t="shared" si="41"/>
        <v>8.5424746338431376E-2</v>
      </c>
      <c r="S59" s="63">
        <f t="shared" si="41"/>
        <v>7.0649950780917833E-2</v>
      </c>
      <c r="T59" s="63">
        <f t="shared" si="41"/>
        <v>7.1776756855235491E-2</v>
      </c>
      <c r="U59" s="63">
        <f t="shared" si="41"/>
        <v>7.688547365622482E-2</v>
      </c>
      <c r="V59" s="120">
        <f>(Table2[[#This Row],[2025]]-Table2[[#This Row],[2024]])/Table2[[#This Row],[2024]]</f>
        <v>7.1175085429019264E-2</v>
      </c>
      <c r="W59" s="118">
        <f>(Table2[[#This Row],[2025]]-Table2[[#This Row],[2023]])/Table2[[#This Row],[2023]]</f>
        <v>8.8259408624969171E-2</v>
      </c>
      <c r="X59" s="119">
        <f>(Table2[[#This Row],[2025]]-Table2[[#This Row],[2019]])/Table2[[#This Row],[2019]]</f>
        <v>-0.1087233092409095</v>
      </c>
    </row>
    <row r="60" spans="2:24" x14ac:dyDescent="0.2">
      <c r="B60" s="60" t="s">
        <v>87</v>
      </c>
      <c r="C60" s="63">
        <f>C25/C28</f>
        <v>0.10879141377182787</v>
      </c>
      <c r="D60" s="63">
        <f t="shared" ref="D60:I60" si="42">D25/D28</f>
        <v>0.10260485140933585</v>
      </c>
      <c r="E60" s="63">
        <f t="shared" si="42"/>
        <v>9.3295537107397658E-2</v>
      </c>
      <c r="F60" s="63">
        <f t="shared" si="42"/>
        <v>0.10193344169732227</v>
      </c>
      <c r="G60" s="63">
        <f t="shared" si="42"/>
        <v>0.10683822306028506</v>
      </c>
      <c r="H60" s="63">
        <f t="shared" si="42"/>
        <v>0.10356584904154266</v>
      </c>
      <c r="I60" s="63">
        <f t="shared" si="42"/>
        <v>0.10113049609899233</v>
      </c>
      <c r="J60" s="56">
        <f>(Table1[[#This Row],[2025]]-Table1[[#This Row],[2024]])/Table1[[#This Row],[2024]]</f>
        <v>-2.3515019333964566E-2</v>
      </c>
      <c r="K60" s="57">
        <f>(Table1[[#This Row],[2025]]-Table1[[#This Row],[2023]])/Table1[[#This Row],[2023]]</f>
        <v>-5.3424016216294293E-2</v>
      </c>
      <c r="L60" s="58">
        <f>(Table1[[#This Row],[2025]]-Table1[[#This Row],[2019]])/Table1[[#This Row],[2019]]</f>
        <v>-7.0418403504738505E-2</v>
      </c>
      <c r="N60" s="129" t="s">
        <v>136</v>
      </c>
      <c r="O60" s="128">
        <f>O15-O36+O23+O25</f>
        <v>41386</v>
      </c>
      <c r="P60" s="128">
        <f t="shared" ref="P60:U60" si="43">P15-P36+P23+P25</f>
        <v>46019</v>
      </c>
      <c r="Q60" s="128">
        <f t="shared" si="43"/>
        <v>49664</v>
      </c>
      <c r="R60" s="128">
        <f t="shared" si="43"/>
        <v>50726</v>
      </c>
      <c r="S60" s="128">
        <f t="shared" si="43"/>
        <v>52157</v>
      </c>
      <c r="T60" s="128">
        <f t="shared" si="43"/>
        <v>52766</v>
      </c>
      <c r="U60" s="128">
        <f t="shared" si="43"/>
        <v>51235</v>
      </c>
      <c r="V60" s="120">
        <f>(Table2[[#This Row],[2025]]-Table2[[#This Row],[2024]])/Table2[[#This Row],[2024]]</f>
        <v>-2.9014895955729068E-2</v>
      </c>
      <c r="W60" s="118">
        <f>(Table2[[#This Row],[2025]]-Table2[[#This Row],[2023]])/Table2[[#This Row],[2023]]</f>
        <v>-1.767739708955653E-2</v>
      </c>
      <c r="X60" s="119">
        <f>(Table2[[#This Row],[2025]]-Table2[[#This Row],[2019]])/Table2[[#This Row],[2019]]</f>
        <v>0.23797902672401294</v>
      </c>
    </row>
    <row r="61" spans="2:24" x14ac:dyDescent="0.2">
      <c r="B61" s="60" t="s">
        <v>88</v>
      </c>
      <c r="C61" s="64">
        <f>C26/C28</f>
        <v>3.1567015338699727E-4</v>
      </c>
      <c r="D61" s="64">
        <f t="shared" ref="D61:I61" si="44">D26/D28</f>
        <v>3.1784099281968303E-4</v>
      </c>
      <c r="E61" s="64">
        <f t="shared" si="44"/>
        <v>3.811384127967222E-4</v>
      </c>
      <c r="F61" s="64">
        <f t="shared" si="44"/>
        <v>2.705535118487467E-3</v>
      </c>
      <c r="G61" s="64">
        <f t="shared" si="44"/>
        <v>3.3386944706339083E-3</v>
      </c>
      <c r="H61" s="64">
        <f t="shared" si="44"/>
        <v>2.9648888736843308E-3</v>
      </c>
      <c r="I61" s="63">
        <f t="shared" si="44"/>
        <v>0</v>
      </c>
      <c r="J61" s="56">
        <f>(Table1[[#This Row],[2025]]-Table1[[#This Row],[2024]])/Table1[[#This Row],[2024]]</f>
        <v>-1</v>
      </c>
      <c r="K61" s="57">
        <f>(Table1[[#This Row],[2025]]-Table1[[#This Row],[2023]])/Table1[[#This Row],[2023]]</f>
        <v>-1</v>
      </c>
      <c r="L61" s="58">
        <f>(Table1[[#This Row],[2025]]-Table1[[#This Row],[2019]])/Table1[[#This Row],[2019]]</f>
        <v>-1</v>
      </c>
    </row>
    <row r="62" spans="2:24" x14ac:dyDescent="0.2">
      <c r="B62" s="60" t="s">
        <v>89</v>
      </c>
      <c r="C62" s="63">
        <f>C42/C28</f>
        <v>6.4081041137560441E-2</v>
      </c>
      <c r="D62" s="63">
        <f t="shared" ref="D62:I62" si="45">D42/D28</f>
        <v>3.4919167256598813E-2</v>
      </c>
      <c r="E62" s="63">
        <f t="shared" si="45"/>
        <v>6.9760240117200056E-2</v>
      </c>
      <c r="F62" s="63">
        <f t="shared" si="45"/>
        <v>6.6782872786380357E-2</v>
      </c>
      <c r="G62" s="63">
        <f t="shared" si="45"/>
        <v>5.4483944318118795E-2</v>
      </c>
      <c r="H62" s="63">
        <f t="shared" si="45"/>
        <v>6.3391604803119977E-2</v>
      </c>
      <c r="I62" s="63">
        <f t="shared" si="45"/>
        <v>5.9333985396810958E-2</v>
      </c>
      <c r="J62" s="127">
        <f>(Table1[[#This Row],[2025]]-Table1[[#This Row],[2024]])/Table1[[#This Row],[2024]]</f>
        <v>-6.4008781902762518E-2</v>
      </c>
      <c r="K62" s="57">
        <f>(Table1[[#This Row],[2025]]-Table1[[#This Row],[2023]])/Table1[[#This Row],[2023]]</f>
        <v>8.901780404102036E-2</v>
      </c>
      <c r="L62" s="58">
        <f>(Table1[[#This Row],[2025]]-Table1[[#This Row],[2019]])/Table1[[#This Row],[2019]]</f>
        <v>-7.4078942171977996E-2</v>
      </c>
    </row>
    <row r="63" spans="2:24" x14ac:dyDescent="0.2">
      <c r="B63" s="60" t="s">
        <v>90</v>
      </c>
      <c r="C63" s="63">
        <f>C49/C28</f>
        <v>7.7482674013172057E-3</v>
      </c>
      <c r="D63" s="63">
        <f t="shared" ref="D63:I63" si="46">D49/D28</f>
        <v>1.8579250762096017E-2</v>
      </c>
      <c r="E63" s="63">
        <f t="shared" si="46"/>
        <v>6.2304219916864183E-2</v>
      </c>
      <c r="F63" s="63">
        <f t="shared" si="46"/>
        <v>4.0914535032936947E-2</v>
      </c>
      <c r="G63" s="63">
        <f t="shared" si="46"/>
        <v>4.4057456602517885E-2</v>
      </c>
      <c r="H63" s="63">
        <f t="shared" si="46"/>
        <v>4.9388206584333981E-2</v>
      </c>
      <c r="I63" s="63">
        <f t="shared" si="46"/>
        <v>4.6539135181857469E-2</v>
      </c>
      <c r="J63" s="127">
        <f>(Table1[[#This Row],[2025]]-Table1[[#This Row],[2024]])/Table1[[#This Row],[2024]]</f>
        <v>-5.7687282035874574E-2</v>
      </c>
      <c r="K63" s="57">
        <f>(Table1[[#This Row],[2025]]-Table1[[#This Row],[2023]])/Table1[[#This Row],[2023]]</f>
        <v>5.632823069495474E-2</v>
      </c>
      <c r="L63" s="58">
        <f>(Table1[[#This Row],[2025]]-Table1[[#This Row],[2019]])/Table1[[#This Row],[2019]]</f>
        <v>5.0063924967207267</v>
      </c>
    </row>
    <row r="64" spans="2:24" x14ac:dyDescent="0.2">
      <c r="B64" s="129" t="s">
        <v>135</v>
      </c>
      <c r="C64" s="128">
        <f>(C47+C43+C44)*(1-(C48/C47))</f>
        <v>103.87786259541986</v>
      </c>
      <c r="D64" s="128">
        <f t="shared" ref="D64:I64" si="47">(D47+D43+D44)*(1-(D48/D47))</f>
        <v>810.58837627321759</v>
      </c>
      <c r="E64" s="128">
        <f t="shared" si="47"/>
        <v>4650.2132154629908</v>
      </c>
      <c r="F64" s="128">
        <f t="shared" si="47"/>
        <v>3328.9950980392155</v>
      </c>
      <c r="G64" s="128">
        <f t="shared" si="47"/>
        <v>3604.6473988439307</v>
      </c>
      <c r="H64" s="128">
        <f t="shared" si="47"/>
        <v>4052.7057916381086</v>
      </c>
      <c r="I64" s="128">
        <f t="shared" si="47"/>
        <v>3771.619187649329</v>
      </c>
      <c r="J64" s="127">
        <f>(Table1[[#This Row],[2025]]-Table1[[#This Row],[2024]])/Table1[[#This Row],[2024]]</f>
        <v>-6.9357762058312178E-2</v>
      </c>
      <c r="K64" s="57">
        <f>(Table1[[#This Row],[2025]]-Table1[[#This Row],[2023]])/Table1[[#This Row],[2023]]</f>
        <v>4.6321254294927401E-2</v>
      </c>
      <c r="L64" s="58">
        <f>(Table1[[#This Row],[2025]]-Table1[[#This Row],[2019]])/Table1[[#This Row],[2019]]</f>
        <v>35.308209404913441</v>
      </c>
    </row>
  </sheetData>
  <phoneticPr fontId="15" type="noConversion"/>
  <pageMargins left="0.25" right="0.25" top="0.75" bottom="0.75" header="0.3" footer="0.3"/>
  <pageSetup paperSize="3" scale="72" orientation="landscape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51202-7325-43E3-8670-E8F009F17DD3}">
  <sheetPr>
    <pageSetUpPr fitToPage="1"/>
  </sheetPr>
  <dimension ref="B1:T52"/>
  <sheetViews>
    <sheetView topLeftCell="A26" workbookViewId="0">
      <selection activeCell="X39" sqref="X39"/>
    </sheetView>
  </sheetViews>
  <sheetFormatPr defaultColWidth="10.5703125" defaultRowHeight="12.75" x14ac:dyDescent="0.2"/>
  <cols>
    <col min="1" max="1" width="10.5703125" style="62"/>
    <col min="2" max="2" width="30.7109375" style="74" customWidth="1"/>
    <col min="3" max="4" width="10.5703125" style="106"/>
    <col min="5" max="5" width="6.7109375" style="49" customWidth="1"/>
    <col min="6" max="7" width="10.5703125" style="49"/>
    <col min="8" max="8" width="6.7109375" style="49" customWidth="1"/>
    <col min="9" max="10" width="10.5703125" style="49"/>
    <col min="11" max="11" width="6.7109375" style="49" customWidth="1"/>
    <col min="12" max="13" width="10.5703125" style="49"/>
    <col min="14" max="14" width="6.7109375" style="49" customWidth="1"/>
    <col min="15" max="16" width="10.5703125" style="49"/>
    <col min="17" max="17" width="6.7109375" style="49" customWidth="1"/>
    <col min="18" max="19" width="10.5703125" style="49"/>
    <col min="20" max="20" width="6.7109375" style="49" customWidth="1"/>
    <col min="21" max="16384" width="10.5703125" style="62"/>
  </cols>
  <sheetData>
    <row r="1" spans="2:20" hidden="1" x14ac:dyDescent="0.2"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</row>
    <row r="2" spans="2:20" hidden="1" x14ac:dyDescent="0.2"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</row>
    <row r="3" spans="2:20" hidden="1" x14ac:dyDescent="0.2">
      <c r="B3" s="7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</row>
    <row r="4" spans="2:20" hidden="1" x14ac:dyDescent="0.2">
      <c r="B4" s="84" t="s">
        <v>107</v>
      </c>
      <c r="C4" s="79" t="s">
        <v>122</v>
      </c>
      <c r="D4" s="79" t="s">
        <v>105</v>
      </c>
      <c r="E4" s="79" t="s">
        <v>125</v>
      </c>
      <c r="F4" s="97" t="s">
        <v>123</v>
      </c>
      <c r="G4" s="79" t="s">
        <v>124</v>
      </c>
      <c r="H4" s="79" t="s">
        <v>127</v>
      </c>
      <c r="I4" s="97" t="s">
        <v>111</v>
      </c>
      <c r="J4" s="79" t="s">
        <v>112</v>
      </c>
      <c r="K4" s="79" t="s">
        <v>128</v>
      </c>
      <c r="L4" s="97" t="s">
        <v>113</v>
      </c>
      <c r="M4" s="79" t="s">
        <v>114</v>
      </c>
      <c r="N4" s="79" t="s">
        <v>129</v>
      </c>
      <c r="O4" s="97" t="s">
        <v>115</v>
      </c>
      <c r="P4" s="79" t="s">
        <v>116</v>
      </c>
      <c r="Q4" s="79" t="s">
        <v>130</v>
      </c>
      <c r="R4" s="97" t="s">
        <v>117</v>
      </c>
      <c r="S4" s="79" t="s">
        <v>118</v>
      </c>
      <c r="T4" s="79" t="s">
        <v>131</v>
      </c>
    </row>
    <row r="5" spans="2:20" hidden="1" x14ac:dyDescent="0.2">
      <c r="B5" s="73" t="s">
        <v>108</v>
      </c>
      <c r="C5" s="80">
        <v>2019</v>
      </c>
      <c r="D5" s="80">
        <v>2019</v>
      </c>
      <c r="E5" s="80" t="s">
        <v>126</v>
      </c>
      <c r="F5" s="98">
        <v>2020</v>
      </c>
      <c r="G5" s="80">
        <v>2020</v>
      </c>
      <c r="H5" s="80" t="s">
        <v>126</v>
      </c>
      <c r="I5" s="98">
        <v>2021</v>
      </c>
      <c r="J5" s="80">
        <v>2021</v>
      </c>
      <c r="K5" s="80" t="s">
        <v>126</v>
      </c>
      <c r="L5" s="98">
        <v>2022</v>
      </c>
      <c r="M5" s="80">
        <v>2022</v>
      </c>
      <c r="N5" s="80" t="s">
        <v>126</v>
      </c>
      <c r="O5" s="98">
        <v>2023</v>
      </c>
      <c r="P5" s="80">
        <v>2023</v>
      </c>
      <c r="Q5" s="80" t="s">
        <v>126</v>
      </c>
      <c r="R5" s="98">
        <v>2024</v>
      </c>
      <c r="S5" s="80">
        <v>2024</v>
      </c>
      <c r="T5" s="80" t="s">
        <v>126</v>
      </c>
    </row>
    <row r="6" spans="2:20" hidden="1" x14ac:dyDescent="0.2">
      <c r="B6" s="69" t="s">
        <v>103</v>
      </c>
      <c r="C6" s="81">
        <v>46493</v>
      </c>
      <c r="D6" s="81">
        <f>13717+20522</f>
        <v>34239</v>
      </c>
      <c r="E6" s="92">
        <f>(Table3[[#This Row],[USP]]-Table3[[#This Row],[FDX]])/Table3[[#This Row],[FDX]]</f>
        <v>0.3578959665878092</v>
      </c>
      <c r="F6" s="99">
        <v>53499</v>
      </c>
      <c r="G6" s="81">
        <f>13048+22733</f>
        <v>35781</v>
      </c>
      <c r="H6" s="92">
        <f>(Table3[[#This Row],[USP2]]-Table3[[#This Row],[FDX2]])/Table3[[#This Row],[FDX2]]</f>
        <v>0.4951790056175065</v>
      </c>
      <c r="I6" s="99">
        <v>60317</v>
      </c>
      <c r="J6" s="81">
        <f>14891+30496</f>
        <v>45387</v>
      </c>
      <c r="K6" s="92">
        <f>(Table3[[#This Row],[UPS2]]-Table3[[#This Row],[FDX5]])/Table3[[#This Row],[FDX5]]</f>
        <v>0.32894881794346398</v>
      </c>
      <c r="L6" s="99">
        <v>64209</v>
      </c>
      <c r="M6" s="81">
        <f>16385+33232</f>
        <v>49617</v>
      </c>
      <c r="N6" s="92">
        <f>(Table3[[#This Row],[UPS6]]-Table3[[#This Row],[FDX7]])/Table3[[#This Row],[FDX7]]</f>
        <v>0.2940927504685894</v>
      </c>
      <c r="O6" s="99">
        <v>60205</v>
      </c>
      <c r="P6" s="81">
        <f>16024+33507</f>
        <v>49531</v>
      </c>
      <c r="Q6" s="92">
        <f>(Table3[[#This Row],[UPS8]]-Table3[[#This Row],[FDX9]])/Table3[[#This Row],[FDX9]]</f>
        <v>0.21550140316165634</v>
      </c>
      <c r="R6" s="99">
        <v>60376</v>
      </c>
      <c r="S6" s="81">
        <f>15471+34256</f>
        <v>49727</v>
      </c>
      <c r="T6" s="96">
        <f>(Table3[[#This Row],[UPS10]]-Table3[[#This Row],[FDX11]])/Table3[[#This Row],[FDX11]]</f>
        <v>0.21414925493192832</v>
      </c>
    </row>
    <row r="7" spans="2:20" hidden="1" x14ac:dyDescent="0.2">
      <c r="B7" s="70" t="s">
        <v>104</v>
      </c>
      <c r="C7" s="81">
        <v>14220</v>
      </c>
      <c r="D7" s="81">
        <f>10851+4540</f>
        <v>15391</v>
      </c>
      <c r="E7" s="92">
        <f>(Table3[[#This Row],[USP]]-Table3[[#This Row],[FDX]])/Table3[[#This Row],[FDX]]</f>
        <v>-7.6083425378467934E-2</v>
      </c>
      <c r="F7" s="99">
        <v>15945</v>
      </c>
      <c r="G7" s="82">
        <f>10346+4179+90</f>
        <v>14615</v>
      </c>
      <c r="H7" s="92">
        <f>(Table3[[#This Row],[USP2]]-Table3[[#This Row],[FDX2]])/Table3[[#This Row],[FDX2]]</f>
        <v>9.1002394799863148E-2</v>
      </c>
      <c r="I7" s="99">
        <v>19541</v>
      </c>
      <c r="J7" s="82">
        <f>12949+4640</f>
        <v>17589</v>
      </c>
      <c r="K7" s="92">
        <f>(Table3[[#This Row],[UPS2]]-Table3[[#This Row],[FDX5]])/Table3[[#This Row],[FDX5]]</f>
        <v>0.11097845244186708</v>
      </c>
      <c r="L7" s="99">
        <v>19698</v>
      </c>
      <c r="M7" s="81">
        <f>14968+4340</f>
        <v>19308</v>
      </c>
      <c r="N7" s="92">
        <f>(Table3[[#This Row],[UPS6]]-Table3[[#This Row],[FDX7]])/Table3[[#This Row],[FDX7]]</f>
        <v>2.0198881292728402E-2</v>
      </c>
      <c r="O7" s="99">
        <v>17831</v>
      </c>
      <c r="P7" s="81">
        <f>13850+4043</f>
        <v>17893</v>
      </c>
      <c r="Q7" s="92">
        <f>(Table3[[#This Row],[UPS8]]-Table3[[#This Row],[FDX9]])/Table3[[#This Row],[FDX9]]</f>
        <v>-3.4650421952718939E-3</v>
      </c>
      <c r="R7" s="99">
        <v>17960</v>
      </c>
      <c r="S7" s="81">
        <f>13728+4178</f>
        <v>17906</v>
      </c>
      <c r="T7" s="92">
        <f>(Table3[[#This Row],[UPS10]]-Table3[[#This Row],[FDX11]])/Table3[[#This Row],[FDX11]]</f>
        <v>3.01574891097956E-3</v>
      </c>
    </row>
    <row r="8" spans="2:20" hidden="1" x14ac:dyDescent="0.2">
      <c r="B8" s="71" t="s">
        <v>106</v>
      </c>
      <c r="C8" s="81">
        <f>13381</f>
        <v>13381</v>
      </c>
      <c r="D8" s="81">
        <f>Statements!C21+Statements!C22+Statements!C25+Statements!C26+Statements!C27</f>
        <v>20063</v>
      </c>
      <c r="E8" s="92">
        <f>(Table3[[#This Row],[USP]]-Table3[[#This Row],[FDX]])/Table3[[#This Row],[FDX]]</f>
        <v>-0.333050889697453</v>
      </c>
      <c r="F8" s="99">
        <v>15184</v>
      </c>
      <c r="G8" s="81">
        <f>Statements!D21+Statements!D22+Statements!D25+Statements!D26+Statements!D27</f>
        <v>18821</v>
      </c>
      <c r="H8" s="92">
        <f>(Table3[[#This Row],[USP2]]-Table3[[#This Row],[FDX2]])/Table3[[#This Row],[FDX2]]</f>
        <v>-0.19324159183890335</v>
      </c>
      <c r="I8" s="99">
        <v>17429</v>
      </c>
      <c r="J8" s="81">
        <f>Statements!E21+Statements!E22+Statements!E25+Statements!E26+Statements!E27</f>
        <v>20983</v>
      </c>
      <c r="K8" s="92">
        <f>(Table3[[#This Row],[UPS2]]-Table3[[#This Row],[FDX5]])/Table3[[#This Row],[FDX5]]</f>
        <v>-0.16937520850212076</v>
      </c>
      <c r="L8" s="99">
        <v>16431</v>
      </c>
      <c r="M8" s="81">
        <f>Statements!F21+Statements!F22+Statements!F25+Statements!F26+Statements!F27</f>
        <v>24587</v>
      </c>
      <c r="N8" s="92">
        <f>(Table3[[#This Row],[UPS6]]-Table3[[#This Row],[FDX7]])/Table3[[#This Row],[FDX7]]</f>
        <v>-0.33172001464188394</v>
      </c>
      <c r="O8" s="99">
        <v>12922</v>
      </c>
      <c r="P8" s="81">
        <f>Statements!G21+Statements!G22+Statements!G25+Statements!G26+Statements!G27</f>
        <v>22731</v>
      </c>
      <c r="Q8" s="96">
        <f>(Table3[[#This Row],[UPS8]]-Table3[[#This Row],[FDX9]])/Table3[[#This Row],[FDX9]]</f>
        <v>-0.43152522986230257</v>
      </c>
      <c r="R8" s="99">
        <v>12734</v>
      </c>
      <c r="S8" s="81">
        <f>Statements!H21+Statements!H22+Statements!H25+Statements!H26+Statements!H27</f>
        <v>20060</v>
      </c>
      <c r="T8" s="92">
        <f>(Table3[[#This Row],[UPS10]]-Table3[[#This Row],[FDX11]])/Table3[[#This Row],[FDX11]]</f>
        <v>-0.36520438683948153</v>
      </c>
    </row>
    <row r="9" spans="2:20" ht="13.5" hidden="1" thickBot="1" x14ac:dyDescent="0.25">
      <c r="B9" s="72" t="s">
        <v>32</v>
      </c>
      <c r="C9" s="83">
        <f t="shared" ref="C9:M9" si="0">SUM(C6:C8)</f>
        <v>74094</v>
      </c>
      <c r="D9" s="83">
        <f t="shared" si="0"/>
        <v>69693</v>
      </c>
      <c r="E9" s="104">
        <f>(Table3[[#This Row],[USP]]-Table3[[#This Row],[FDX]])/Table3[[#This Row],[FDX]]</f>
        <v>6.3148379320735221E-2</v>
      </c>
      <c r="F9" s="100">
        <f t="shared" si="0"/>
        <v>84628</v>
      </c>
      <c r="G9" s="83">
        <f t="shared" si="0"/>
        <v>69217</v>
      </c>
      <c r="H9" s="104">
        <f>(Table3[[#This Row],[USP2]]-Table3[[#This Row],[FDX2]])/Table3[[#This Row],[FDX2]]</f>
        <v>0.22264761547018797</v>
      </c>
      <c r="I9" s="100">
        <f t="shared" si="0"/>
        <v>97287</v>
      </c>
      <c r="J9" s="83">
        <f t="shared" si="0"/>
        <v>83959</v>
      </c>
      <c r="K9" s="104">
        <f>(Table3[[#This Row],[UPS2]]-Table3[[#This Row],[FDX5]])/Table3[[#This Row],[FDX5]]</f>
        <v>0.15874414892983479</v>
      </c>
      <c r="L9" s="100">
        <f t="shared" si="0"/>
        <v>100338</v>
      </c>
      <c r="M9" s="83">
        <f t="shared" si="0"/>
        <v>93512</v>
      </c>
      <c r="N9" s="104">
        <f>(Table3[[#This Row],[UPS6]]-Table3[[#This Row],[FDX7]])/Table3[[#This Row],[FDX7]]</f>
        <v>7.299597912567371E-2</v>
      </c>
      <c r="O9" s="100">
        <f>SUM(O6:O8)</f>
        <v>90958</v>
      </c>
      <c r="P9" s="83">
        <f>SUM(P6:P8)</f>
        <v>90155</v>
      </c>
      <c r="Q9" s="93">
        <f>(Table3[[#This Row],[UPS8]]-Table3[[#This Row],[FDX9]])/Table3[[#This Row],[FDX9]]</f>
        <v>8.9068825910931168E-3</v>
      </c>
      <c r="R9" s="100">
        <f>SUM(R6:R8)</f>
        <v>91070</v>
      </c>
      <c r="S9" s="83">
        <f>SUM(S6:S8)</f>
        <v>87693</v>
      </c>
      <c r="T9" s="93">
        <f>(Table3[[#This Row],[UPS10]]-Table3[[#This Row],[FDX11]])/Table3[[#This Row],[FDX11]]</f>
        <v>3.8509345101661478E-2</v>
      </c>
    </row>
    <row r="10" spans="2:20" hidden="1" x14ac:dyDescent="0.2">
      <c r="B10" s="75" t="s">
        <v>109</v>
      </c>
      <c r="C10" s="81">
        <f>[1]Statements!$C$36</f>
        <v>66296</v>
      </c>
      <c r="D10" s="81">
        <f>Statements!C40</f>
        <v>65227</v>
      </c>
      <c r="E10" s="92">
        <f>(Table3[[#This Row],[USP]]-Table3[[#This Row],[FDX]])/Table3[[#This Row],[FDX]]</f>
        <v>1.6388918699311635E-2</v>
      </c>
      <c r="F10" s="99">
        <f>[1]Statements!$D$36</f>
        <v>76944</v>
      </c>
      <c r="G10" s="81">
        <f>Statements!D40</f>
        <v>66800</v>
      </c>
      <c r="H10" s="92">
        <f>(Table3[[#This Row],[USP2]]-Table3[[#This Row],[FDX2]])/Table3[[#This Row],[FDX2]]</f>
        <v>0.1518562874251497</v>
      </c>
      <c r="I10" s="99">
        <f>[1]Statements!$E$36</f>
        <v>84477</v>
      </c>
      <c r="J10" s="81">
        <f>Statements!E40</f>
        <v>78102</v>
      </c>
      <c r="K10" s="92">
        <f>(Table3[[#This Row],[UPS2]]-Table3[[#This Row],[FDX5]])/Table3[[#This Row],[FDX5]]</f>
        <v>8.1624030114465701E-2</v>
      </c>
      <c r="L10" s="99">
        <f>[1]Statements!$F$36</f>
        <v>87244</v>
      </c>
      <c r="M10" s="81">
        <f>Statements!F40</f>
        <v>87267</v>
      </c>
      <c r="N10" s="92">
        <f>(Table3[[#This Row],[UPS6]]-Table3[[#This Row],[FDX7]])/Table3[[#This Row],[FDX7]]</f>
        <v>-2.635589627235954E-4</v>
      </c>
      <c r="O10" s="99">
        <f>[1]Statements!$G$36</f>
        <v>81817</v>
      </c>
      <c r="P10" s="81">
        <f>Statements!G40</f>
        <v>85243</v>
      </c>
      <c r="Q10" s="92">
        <f>(Table3[[#This Row],[UPS8]]-Table3[[#This Row],[FDX9]])/Table3[[#This Row],[FDX9]]</f>
        <v>-4.019098342385885E-2</v>
      </c>
      <c r="R10" s="99">
        <f>[1]Statements!$H$36</f>
        <v>82602</v>
      </c>
      <c r="S10" s="81">
        <f>Statements!H40</f>
        <v>82134</v>
      </c>
      <c r="T10" s="92">
        <f>(Table3[[#This Row],[UPS10]]-Table3[[#This Row],[FDX11]])/Table3[[#This Row],[FDX11]]</f>
        <v>5.6980056980056983E-3</v>
      </c>
    </row>
    <row r="11" spans="2:20" ht="13.5" hidden="1" thickBot="1" x14ac:dyDescent="0.25">
      <c r="B11" s="76" t="s">
        <v>44</v>
      </c>
      <c r="C11" s="83">
        <f>C9-C10</f>
        <v>7798</v>
      </c>
      <c r="D11" s="83">
        <f t="shared" ref="D11:S11" si="1">D9-D10</f>
        <v>4466</v>
      </c>
      <c r="E11" s="104">
        <f>(Table3[[#This Row],[USP]]-Table3[[#This Row],[FDX]])/Table3[[#This Row],[FDX]]</f>
        <v>0.74608150470219436</v>
      </c>
      <c r="F11" s="100">
        <f t="shared" si="1"/>
        <v>7684</v>
      </c>
      <c r="G11" s="83">
        <f t="shared" si="1"/>
        <v>2417</v>
      </c>
      <c r="H11" s="104">
        <f>(Table3[[#This Row],[USP2]]-Table3[[#This Row],[FDX2]])/Table3[[#This Row],[FDX2]]</f>
        <v>2.1791477037649978</v>
      </c>
      <c r="I11" s="100">
        <f t="shared" si="1"/>
        <v>12810</v>
      </c>
      <c r="J11" s="83">
        <f t="shared" si="1"/>
        <v>5857</v>
      </c>
      <c r="K11" s="104">
        <f>(Table3[[#This Row],[UPS2]]-Table3[[#This Row],[FDX5]])/Table3[[#This Row],[FDX5]]</f>
        <v>1.1871265152808606</v>
      </c>
      <c r="L11" s="100">
        <f t="shared" si="1"/>
        <v>13094</v>
      </c>
      <c r="M11" s="83">
        <f t="shared" si="1"/>
        <v>6245</v>
      </c>
      <c r="N11" s="104">
        <f>(Table3[[#This Row],[UPS6]]-Table3[[#This Row],[FDX7]])/Table3[[#This Row],[FDX7]]</f>
        <v>1.0967173738991194</v>
      </c>
      <c r="O11" s="100">
        <f t="shared" si="1"/>
        <v>9141</v>
      </c>
      <c r="P11" s="83">
        <f t="shared" si="1"/>
        <v>4912</v>
      </c>
      <c r="Q11" s="93">
        <f>(Table3[[#This Row],[UPS8]]-Table3[[#This Row],[FDX9]])/Table3[[#This Row],[FDX9]]</f>
        <v>0.86095276872964166</v>
      </c>
      <c r="R11" s="100">
        <f t="shared" si="1"/>
        <v>8468</v>
      </c>
      <c r="S11" s="83">
        <f t="shared" si="1"/>
        <v>5559</v>
      </c>
      <c r="T11" s="95">
        <f>(Table3[[#This Row],[UPS10]]-Table3[[#This Row],[FDX11]])/Table3[[#This Row],[FDX11]]</f>
        <v>0.52329555675481199</v>
      </c>
    </row>
    <row r="12" spans="2:20" hidden="1" x14ac:dyDescent="0.2">
      <c r="B12" s="75" t="s">
        <v>110</v>
      </c>
      <c r="C12" s="81">
        <f>C11-C13</f>
        <v>2146</v>
      </c>
      <c r="D12" s="81">
        <f>D11-D13</f>
        <v>3811</v>
      </c>
      <c r="E12" s="92">
        <f>(Table3[[#This Row],[USP]]-Table3[[#This Row],[FDX]])/Table3[[#This Row],[FDX]]</f>
        <v>-0.43689320388349512</v>
      </c>
      <c r="F12" s="99">
        <f>F11-F13</f>
        <v>5840</v>
      </c>
      <c r="G12" s="81">
        <f>G11-G13</f>
        <v>748</v>
      </c>
      <c r="H12" s="92">
        <f>(Table3[[#This Row],[USP2]]-Table3[[#This Row],[FDX2]])/Table3[[#This Row],[FDX2]]</f>
        <v>6.8074866310160429</v>
      </c>
      <c r="I12" s="99">
        <f>I11-I13</f>
        <v>-3785</v>
      </c>
      <c r="J12" s="81">
        <f>J11-J13</f>
        <v>-817</v>
      </c>
      <c r="K12" s="92">
        <f>(Table3[[#This Row],[UPS2]]-Table3[[#This Row],[FDX5]])/Table3[[#This Row],[FDX5]]</f>
        <v>3.6328029375764994</v>
      </c>
      <c r="L12" s="99">
        <f>L11-L13</f>
        <v>-1731</v>
      </c>
      <c r="M12" s="81">
        <f>M11-M13</f>
        <v>1349</v>
      </c>
      <c r="N12" s="94" t="s">
        <v>132</v>
      </c>
      <c r="O12" s="99">
        <f>O11-O13</f>
        <v>568</v>
      </c>
      <c r="P12" s="81">
        <f>P11-P13</f>
        <v>-451</v>
      </c>
      <c r="Q12" s="94" t="s">
        <v>132</v>
      </c>
      <c r="R12" s="99">
        <f>R11-R13</f>
        <v>1026</v>
      </c>
      <c r="S12" s="81">
        <f>S11-S13</f>
        <v>-277</v>
      </c>
      <c r="T12" s="94" t="s">
        <v>132</v>
      </c>
    </row>
    <row r="13" spans="2:20" ht="13.5" hidden="1" thickBot="1" x14ac:dyDescent="0.25">
      <c r="B13" s="77" t="s">
        <v>48</v>
      </c>
      <c r="C13" s="83">
        <f>[1]Statements!$C$42</f>
        <v>5652</v>
      </c>
      <c r="D13" s="83">
        <f>Statements!C47</f>
        <v>655</v>
      </c>
      <c r="E13" s="104">
        <f>(Table3[[#This Row],[USP]]-Table3[[#This Row],[FDX]])/Table3[[#This Row],[FDX]]</f>
        <v>7.6290076335877863</v>
      </c>
      <c r="F13" s="100">
        <f>[1]Statements!$D$42</f>
        <v>1844</v>
      </c>
      <c r="G13" s="83">
        <f>Statements!D47</f>
        <v>1669</v>
      </c>
      <c r="H13" s="104">
        <f>(Table3[[#This Row],[USP2]]-Table3[[#This Row],[FDX2]])/Table3[[#This Row],[FDX2]]</f>
        <v>0.1048532055122828</v>
      </c>
      <c r="I13" s="100">
        <f>[1]Statements!$E$42</f>
        <v>16595</v>
      </c>
      <c r="J13" s="83">
        <f>Statements!E47</f>
        <v>6674</v>
      </c>
      <c r="K13" s="104">
        <f>(Table3[[#This Row],[UPS2]]-Table3[[#This Row],[FDX5]])/Table3[[#This Row],[FDX5]]</f>
        <v>1.4865148336829488</v>
      </c>
      <c r="L13" s="100">
        <f>[1]Statements!$F$42</f>
        <v>14825</v>
      </c>
      <c r="M13" s="83">
        <f>Statements!F47</f>
        <v>4896</v>
      </c>
      <c r="N13" s="104">
        <f>(Table3[[#This Row],[UPS6]]-Table3[[#This Row],[FDX7]])/Table3[[#This Row],[FDX7]]</f>
        <v>2.0279820261437909</v>
      </c>
      <c r="O13" s="100">
        <f>[1]Statements!$G$42</f>
        <v>8573</v>
      </c>
      <c r="P13" s="83">
        <f>Statements!G47</f>
        <v>5363</v>
      </c>
      <c r="Q13" s="93">
        <f>(Table3[[#This Row],[UPS8]]-Table3[[#This Row],[FDX9]])/Table3[[#This Row],[FDX9]]</f>
        <v>0.59854559015476416</v>
      </c>
      <c r="R13" s="100">
        <f>[1]Statements!$H$42</f>
        <v>7442</v>
      </c>
      <c r="S13" s="83">
        <f>Statements!H47</f>
        <v>5836</v>
      </c>
      <c r="T13" s="93">
        <f>(Table3[[#This Row],[UPS10]]-Table3[[#This Row],[FDX11]])/Table3[[#This Row],[FDX11]]</f>
        <v>0.27518848526387935</v>
      </c>
    </row>
    <row r="14" spans="2:20" hidden="1" x14ac:dyDescent="0.2">
      <c r="B14" s="78" t="s">
        <v>49</v>
      </c>
      <c r="C14" s="81">
        <f>C13-C15</f>
        <v>1212</v>
      </c>
      <c r="D14" s="81">
        <f>D13-D15</f>
        <v>115</v>
      </c>
      <c r="E14" s="92">
        <f>(Table3[[#This Row],[USP]]-Table3[[#This Row],[FDX]])/Table3[[#This Row],[FDX]]</f>
        <v>9.5391304347826082</v>
      </c>
      <c r="F14" s="99">
        <f>F13-F15</f>
        <v>501</v>
      </c>
      <c r="G14" s="81">
        <f>G13-G15</f>
        <v>383</v>
      </c>
      <c r="H14" s="92">
        <f>(Table3[[#This Row],[USP2]]-Table3[[#This Row],[FDX2]])/Table3[[#This Row],[FDX2]]</f>
        <v>0.30809399477806787</v>
      </c>
      <c r="I14" s="99">
        <f>I13-I15</f>
        <v>3705</v>
      </c>
      <c r="J14" s="81">
        <f>J13-J15</f>
        <v>1443</v>
      </c>
      <c r="K14" s="92">
        <f>(Table3[[#This Row],[UPS2]]-Table3[[#This Row],[FDX5]])/Table3[[#This Row],[FDX5]]</f>
        <v>1.5675675675675675</v>
      </c>
      <c r="L14" s="99">
        <f>L13-L15</f>
        <v>3277</v>
      </c>
      <c r="M14" s="81">
        <f>M13-M15</f>
        <v>1070</v>
      </c>
      <c r="N14" s="92">
        <f>(Table3[[#This Row],[UPS6]]-Table3[[#This Row],[FDX7]])/Table3[[#This Row],[FDX7]]</f>
        <v>2.0626168224299066</v>
      </c>
      <c r="O14" s="99">
        <f>O13-O15</f>
        <v>1865</v>
      </c>
      <c r="P14" s="81">
        <f>P13-P15</f>
        <v>1391</v>
      </c>
      <c r="Q14" s="92">
        <f>(Table3[[#This Row],[UPS8]]-Table3[[#This Row],[FDX9]])/Table3[[#This Row],[FDX9]]</f>
        <v>0.34076204169662111</v>
      </c>
      <c r="R14" s="99">
        <f>R13-R15</f>
        <v>1660</v>
      </c>
      <c r="S14" s="81">
        <f>S13-S15</f>
        <v>1505</v>
      </c>
      <c r="T14" s="92">
        <f>(Table3[[#This Row],[UPS10]]-Table3[[#This Row],[FDX11]])/Table3[[#This Row],[FDX11]]</f>
        <v>0.10299003322259136</v>
      </c>
    </row>
    <row r="15" spans="2:20" ht="13.5" hidden="1" thickBot="1" x14ac:dyDescent="0.25">
      <c r="B15" s="91" t="s">
        <v>50</v>
      </c>
      <c r="C15" s="83">
        <f>[1]Statements!$C$44</f>
        <v>4440</v>
      </c>
      <c r="D15" s="83">
        <f>Statements!C49</f>
        <v>540</v>
      </c>
      <c r="E15" s="104">
        <f>(Table3[[#This Row],[USP]]-Table3[[#This Row],[FDX]])/Table3[[#This Row],[FDX]]</f>
        <v>7.2222222222222223</v>
      </c>
      <c r="F15" s="100">
        <f>[1]Statements!$D$44</f>
        <v>1343</v>
      </c>
      <c r="G15" s="83">
        <f>Statements!D49</f>
        <v>1286</v>
      </c>
      <c r="H15" s="104">
        <f>(Table3[[#This Row],[USP2]]-Table3[[#This Row],[FDX2]])/Table3[[#This Row],[FDX2]]</f>
        <v>4.432348367029549E-2</v>
      </c>
      <c r="I15" s="100">
        <f>[1]Statements!$E$44</f>
        <v>12890</v>
      </c>
      <c r="J15" s="83">
        <f>Statements!E49</f>
        <v>5231</v>
      </c>
      <c r="K15" s="104">
        <f>(Table3[[#This Row],[UPS2]]-Table3[[#This Row],[FDX5]])/Table3[[#This Row],[FDX5]]</f>
        <v>1.4641559931179506</v>
      </c>
      <c r="L15" s="100">
        <f>[1]Statements!$F$44</f>
        <v>11548</v>
      </c>
      <c r="M15" s="83">
        <f>Statements!F49</f>
        <v>3826</v>
      </c>
      <c r="N15" s="104">
        <f>(Table3[[#This Row],[UPS6]]-Table3[[#This Row],[FDX7]])/Table3[[#This Row],[FDX7]]</f>
        <v>2.0182958703606899</v>
      </c>
      <c r="O15" s="100">
        <f>[1]Statements!$G$44</f>
        <v>6708</v>
      </c>
      <c r="P15" s="83">
        <f>Statements!G49</f>
        <v>3972</v>
      </c>
      <c r="Q15" s="93">
        <f>(Table3[[#This Row],[UPS8]]-Table3[[#This Row],[FDX9]])/Table3[[#This Row],[FDX9]]</f>
        <v>0.68882175226586106</v>
      </c>
      <c r="R15" s="100">
        <f>[1]Statements!$H$44</f>
        <v>5782</v>
      </c>
      <c r="S15" s="83">
        <f>Statements!H49</f>
        <v>4331</v>
      </c>
      <c r="T15" s="95">
        <f>(Table3[[#This Row],[UPS10]]-Table3[[#This Row],[FDX11]])/Table3[[#This Row],[FDX11]]</f>
        <v>0.33502655275917803</v>
      </c>
    </row>
    <row r="16" spans="2:20" hidden="1" x14ac:dyDescent="0.2">
      <c r="B16" s="86"/>
      <c r="C16" s="81"/>
      <c r="D16" s="81"/>
      <c r="E16" s="92"/>
      <c r="F16" s="99"/>
      <c r="G16" s="81"/>
      <c r="H16" s="92"/>
      <c r="I16" s="99"/>
      <c r="J16" s="81"/>
      <c r="K16" s="94"/>
      <c r="L16" s="99"/>
      <c r="M16" s="81"/>
      <c r="N16" s="92"/>
      <c r="O16" s="99"/>
      <c r="P16" s="81"/>
      <c r="Q16" s="92"/>
      <c r="R16" s="99"/>
      <c r="S16" s="81"/>
      <c r="T16" s="92"/>
    </row>
    <row r="17" spans="2:20" hidden="1" x14ac:dyDescent="0.2">
      <c r="B17" s="87" t="s">
        <v>119</v>
      </c>
      <c r="C17" s="101">
        <f>C11/C9</f>
        <v>0.10524468917861095</v>
      </c>
      <c r="D17" s="88">
        <f>D11/D9</f>
        <v>6.4081041137560441E-2</v>
      </c>
      <c r="E17" s="92">
        <f>(Table3[[#This Row],[USP]]-Table3[[#This Row],[FDX]])/Table3[[#This Row],[FDX]]</f>
        <v>0.64236858999662627</v>
      </c>
      <c r="F17" s="101">
        <f>F11/F9</f>
        <v>9.0797372028170342E-2</v>
      </c>
      <c r="G17" s="88">
        <f>G11/G9</f>
        <v>3.4919167256598813E-2</v>
      </c>
      <c r="H17" s="92">
        <f>(Table3[[#This Row],[USP2]]-Table3[[#This Row],[FDX2]])/Table3[[#This Row],[FDX2]]</f>
        <v>1.6002158459552613</v>
      </c>
      <c r="I17" s="101">
        <f>I11/I9</f>
        <v>0.13167226864843196</v>
      </c>
      <c r="J17" s="88">
        <f>J11/J9</f>
        <v>6.9760240117200056E-2</v>
      </c>
      <c r="K17" s="92">
        <f>(Table3[[#This Row],[UPS2]]-Table3[[#This Row],[FDX5]])/Table3[[#This Row],[FDX5]]</f>
        <v>0.88749735418366049</v>
      </c>
      <c r="L17" s="101">
        <f>L11/L9</f>
        <v>0.13049891367178934</v>
      </c>
      <c r="M17" s="88">
        <f>M11/M9</f>
        <v>6.6782872786380357E-2</v>
      </c>
      <c r="N17" s="92">
        <f>(Table3[[#This Row],[UPS6]]-Table3[[#This Row],[FDX7]])/Table3[[#This Row],[FDX7]]</f>
        <v>0.95407756849901759</v>
      </c>
      <c r="O17" s="101">
        <f>O11/O9</f>
        <v>0.10049693265023417</v>
      </c>
      <c r="P17" s="88">
        <f>P11/P9</f>
        <v>5.4483944318118795E-2</v>
      </c>
      <c r="Q17" s="96">
        <f>(Table3[[#This Row],[UPS8]]-Table3[[#This Row],[FDX9]])/Table3[[#This Row],[FDX9]]</f>
        <v>0.84452381170233337</v>
      </c>
      <c r="R17" s="101">
        <f>R11/R9</f>
        <v>9.2983419347754476E-2</v>
      </c>
      <c r="S17" s="88">
        <f>S11/S9</f>
        <v>6.3391604803119977E-2</v>
      </c>
      <c r="T17" s="92">
        <f>(Table3[[#This Row],[UPS10]]-Table3[[#This Row],[FDX11]])/Table3[[#This Row],[FDX11]]</f>
        <v>0.46680967671571022</v>
      </c>
    </row>
    <row r="18" spans="2:20" hidden="1" x14ac:dyDescent="0.2">
      <c r="B18" s="87" t="s">
        <v>133</v>
      </c>
      <c r="C18" s="88">
        <f>C15/C9</f>
        <v>5.9923880476151915E-2</v>
      </c>
      <c r="D18" s="88">
        <f t="shared" ref="D18:S18" si="2">D15/D9</f>
        <v>7.7482674013172057E-3</v>
      </c>
      <c r="E18" s="92">
        <f>(Table3[[#This Row],[USP]]-Table3[[#This Row],[FDX]])/Table3[[#This Row],[FDX]]</f>
        <v>6.7338425963415842</v>
      </c>
      <c r="F18" s="101">
        <f t="shared" si="2"/>
        <v>1.5869452190764285E-2</v>
      </c>
      <c r="G18" s="88">
        <f t="shared" si="2"/>
        <v>1.8579250762096017E-2</v>
      </c>
      <c r="H18" s="92">
        <f>(Table3[[#This Row],[USP2]]-Table3[[#This Row],[FDX2]])/Table3[[#This Row],[FDX2]]</f>
        <v>-0.14585079915386348</v>
      </c>
      <c r="I18" s="101">
        <f t="shared" si="2"/>
        <v>0.13249457789838315</v>
      </c>
      <c r="J18" s="88">
        <f t="shared" si="2"/>
        <v>6.2304219916864183E-2</v>
      </c>
      <c r="K18" s="92">
        <f>(Table3[[#This Row],[UPS2]]-Table3[[#This Row],[FDX5]])/Table3[[#This Row],[FDX5]]</f>
        <v>1.1265747019251291</v>
      </c>
      <c r="L18" s="101">
        <f t="shared" si="2"/>
        <v>0.1150909924455341</v>
      </c>
      <c r="M18" s="88">
        <f t="shared" si="2"/>
        <v>4.0914535032936947E-2</v>
      </c>
      <c r="N18" s="92">
        <f>(Table3[[#This Row],[UPS6]]-Table3[[#This Row],[FDX7]])/Table3[[#This Row],[FDX7]]</f>
        <v>1.8129610260237286</v>
      </c>
      <c r="O18" s="101">
        <f t="shared" si="2"/>
        <v>7.3748323402009722E-2</v>
      </c>
      <c r="P18" s="88">
        <f t="shared" si="2"/>
        <v>4.4057456602517885E-2</v>
      </c>
      <c r="Q18" s="92">
        <f>(Table3[[#This Row],[UPS8]]-Table3[[#This Row],[FDX9]])/Table3[[#This Row],[FDX9]]</f>
        <v>0.67391241095372267</v>
      </c>
      <c r="R18" s="101">
        <f t="shared" si="2"/>
        <v>6.3489623366641046E-2</v>
      </c>
      <c r="S18" s="88">
        <f t="shared" si="2"/>
        <v>4.9388206584333981E-2</v>
      </c>
      <c r="T18" s="96">
        <f>(Table3[[#This Row],[UPS10]]-Table3[[#This Row],[FDX11]])/Table3[[#This Row],[FDX11]]</f>
        <v>0.28552194456034485</v>
      </c>
    </row>
    <row r="19" spans="2:20" hidden="1" x14ac:dyDescent="0.2">
      <c r="B19" s="87" t="s">
        <v>93</v>
      </c>
      <c r="C19" s="90">
        <f>[1]Statements!$N$46</f>
        <v>1.2806401991116028</v>
      </c>
      <c r="D19" s="90">
        <f>Statements!O51</f>
        <v>1.2810506773523518</v>
      </c>
      <c r="E19" s="92">
        <f>(Table3[[#This Row],[USP]]-Table3[[#This Row],[FDX]])/Table3[[#This Row],[FDX]]</f>
        <v>-3.2042310894163172E-4</v>
      </c>
      <c r="F19" s="102">
        <f>[1]Statements!$O$46</f>
        <v>1.3560440969106524</v>
      </c>
      <c r="G19" s="90">
        <f>Statements!P51</f>
        <v>0.94125406258074162</v>
      </c>
      <c r="H19" s="92">
        <f>(Table3[[#This Row],[USP2]]-Table3[[#This Row],[FDX2]])/Table3[[#This Row],[FDX2]]</f>
        <v>0.44067808131699804</v>
      </c>
      <c r="I19" s="102">
        <f>[1]Statements!$P$46</f>
        <v>1.4017289820618111</v>
      </c>
      <c r="J19" s="90">
        <v>3.4250662032439592</v>
      </c>
      <c r="K19" s="92">
        <f>(Table3[[#This Row],[UPS2]]-Table3[[#This Row],[FDX5]])/Table3[[#This Row],[FDX5]]</f>
        <v>-0.59074397431086112</v>
      </c>
      <c r="L19" s="102">
        <f>[1]Statements!$Q$46</f>
        <v>1.4107474270288509</v>
      </c>
      <c r="M19" s="67">
        <v>1.0874247040491196</v>
      </c>
      <c r="N19" s="92">
        <f>(Table3[[#This Row],[UPS6]]-Table3[[#This Row],[FDX7]])/Table3[[#This Row],[FDX7]]</f>
        <v>0.29732883736760007</v>
      </c>
      <c r="O19" s="102">
        <f>[1]Statements!$R$46</f>
        <v>1.2836840396855638</v>
      </c>
      <c r="P19" s="90">
        <v>1.0345638777641348</v>
      </c>
      <c r="Q19" s="92">
        <f>(Table3[[#This Row],[UPS8]]-Table3[[#This Row],[FDX9]])/Table3[[#This Row],[FDX9]]</f>
        <v>0.2407972743643623</v>
      </c>
      <c r="R19" s="102">
        <f>[1]Statements!$S$46</f>
        <v>1.2997002997002998</v>
      </c>
      <c r="S19" s="90">
        <v>1.0078844230923949</v>
      </c>
      <c r="T19" s="92">
        <f>(Table3[[#This Row],[UPS10]]-Table3[[#This Row],[FDX11]])/Table3[[#This Row],[FDX11]]</f>
        <v>0.28953307534266109</v>
      </c>
    </row>
    <row r="20" spans="2:20" hidden="1" x14ac:dyDescent="0.2">
      <c r="B20" s="87" t="s">
        <v>94</v>
      </c>
      <c r="C20" s="90">
        <f>[1]Statements!$N$47</f>
        <v>17.623210478221139</v>
      </c>
      <c r="D20" s="67">
        <f>Statements!O52</f>
        <v>3.0637495072365826</v>
      </c>
      <c r="E20" s="92">
        <f>(Table3[[#This Row],[USP]]-Table3[[#This Row],[FDX]])/Table3[[#This Row],[FDX]]</f>
        <v>4.7521708078924467</v>
      </c>
      <c r="F20" s="102">
        <f>[1]Statements!$O$47</f>
        <v>93.285500747384162</v>
      </c>
      <c r="G20" s="90">
        <f>Statements!P52</f>
        <v>4.0195135282864172</v>
      </c>
      <c r="H20" s="92">
        <f>(Table3[[#This Row],[USP2]]-Table3[[#This Row],[FDX2]])/Table3[[#This Row],[FDX2]]</f>
        <v>22.208156930162957</v>
      </c>
      <c r="I20" s="102">
        <f>[1]Statements!$P$47</f>
        <v>4.8640409278856263</v>
      </c>
      <c r="J20" s="90">
        <v>0.21644323071830521</v>
      </c>
      <c r="K20" s="92">
        <f>(Table3[[#This Row],[UPS2]]-Table3[[#This Row],[FDX5]])/Table3[[#This Row],[FDX5]]</f>
        <v>21.472594369172207</v>
      </c>
      <c r="L20" s="102">
        <f>[1]Statements!$Q$47</f>
        <v>3.5915770337827602</v>
      </c>
      <c r="M20" s="67">
        <v>3.4481735434460083</v>
      </c>
      <c r="N20" s="92">
        <f>(Table3[[#This Row],[UPS6]]-Table3[[#This Row],[FDX7]])/Table3[[#This Row],[FDX7]]</f>
        <v>4.1588246220762536E-2</v>
      </c>
      <c r="O20" s="102">
        <f>[1]Statements!$R$47</f>
        <v>4.0924685225828812</v>
      </c>
      <c r="P20" s="90">
        <v>3.3403480527445568</v>
      </c>
      <c r="Q20" s="92">
        <f>(Table3[[#This Row],[UPS8]]-Table3[[#This Row],[FDX9]])/Table3[[#This Row],[FDX9]]</f>
        <v>0.22516230583227806</v>
      </c>
      <c r="R20" s="102">
        <f>[1]Statements!$S$47</f>
        <v>4.1850325509168007</v>
      </c>
      <c r="S20" s="90">
        <v>3.1544848089333621</v>
      </c>
      <c r="T20" s="92">
        <f>(Table3[[#This Row],[UPS10]]-Table3[[#This Row],[FDX11]])/Table3[[#This Row],[FDX11]]</f>
        <v>0.32669288470338254</v>
      </c>
    </row>
    <row r="21" spans="2:20" hidden="1" x14ac:dyDescent="0.2">
      <c r="B21" s="87" t="s">
        <v>95</v>
      </c>
      <c r="C21" s="88">
        <f>[1]Statements!$N$48</f>
        <v>1.352421565641182</v>
      </c>
      <c r="D21" s="64">
        <f>Statements!O53</f>
        <v>3.0410542321338063E-2</v>
      </c>
      <c r="E21" s="92">
        <f>(Table3[[#This Row],[USP]]-Table3[[#This Row],[FDX]])/Table3[[#This Row],[FDX]]</f>
        <v>43.472129150167532</v>
      </c>
      <c r="F21" s="101">
        <f>[1]Statements!$O$48</f>
        <v>2.007473841554559</v>
      </c>
      <c r="G21" s="88">
        <f>Statements!P53</f>
        <v>7.0292429625580757E-2</v>
      </c>
      <c r="H21" s="92">
        <f>(Table3[[#This Row],[USP2]]-Table3[[#This Row],[FDX2]])/Table3[[#This Row],[FDX2]]</f>
        <v>27.558891081835661</v>
      </c>
      <c r="I21" s="101">
        <f>[1]Statements!$P$48</f>
        <v>0.90335692760529829</v>
      </c>
      <c r="J21" s="88">
        <v>0.3562422153594158</v>
      </c>
      <c r="K21" s="92">
        <f>(Table3[[#This Row],[UPS2]]-Table3[[#This Row],[FDX5]])/Table3[[#This Row],[FDX5]]</f>
        <v>1.5357941553723322</v>
      </c>
      <c r="L21" s="101">
        <f>[1]Statements!$Q$48</f>
        <v>0.58314396808564362</v>
      </c>
      <c r="M21" s="64">
        <v>0.15341433096756082</v>
      </c>
      <c r="N21" s="92">
        <f>(Table3[[#This Row],[UPS6]]-Table3[[#This Row],[FDX7]])/Table3[[#This Row],[FDX7]]</f>
        <v>2.8011049189983974</v>
      </c>
      <c r="O21" s="101">
        <f>[1]Statements!$R$48</f>
        <v>0.3874321358438258</v>
      </c>
      <c r="P21" s="88">
        <v>0.15225390984360623</v>
      </c>
      <c r="Q21" s="92">
        <f>(Table3[[#This Row],[UPS8]]-Table3[[#This Row],[FDX9]])/Table3[[#This Row],[FDX9]]</f>
        <v>1.5446449043035571</v>
      </c>
      <c r="R21" s="101">
        <f>[1]Statements!$S$48</f>
        <v>0.34533835035537236</v>
      </c>
      <c r="S21" s="88">
        <v>0.15702269596113405</v>
      </c>
      <c r="T21" s="92">
        <f>(Table3[[#This Row],[UPS10]]-Table3[[#This Row],[FDX11]])/Table3[[#This Row],[FDX11]]</f>
        <v>1.1992893972528011</v>
      </c>
    </row>
    <row r="22" spans="2:20" hidden="1" x14ac:dyDescent="0.2">
      <c r="B22" s="87" t="s">
        <v>120</v>
      </c>
      <c r="C22" s="88">
        <f>[1]Statements!$N$49</f>
        <v>0.4624546487338293</v>
      </c>
      <c r="D22" s="63">
        <f>Statements!O54</f>
        <v>0.47975222398078915</v>
      </c>
      <c r="E22" s="92">
        <f>(Table3[[#This Row],[USP]]-Table3[[#This Row],[FDX]])/Table3[[#This Row],[FDX]]</f>
        <v>-3.6055226807354006E-2</v>
      </c>
      <c r="F22" s="101">
        <f>[1]Statements!$O$49</f>
        <v>0.39932619575956851</v>
      </c>
      <c r="G22" s="88">
        <f>Statements!P54</f>
        <v>0.39830201658158648</v>
      </c>
      <c r="H22" s="92">
        <f>(Table3[[#This Row],[USP2]]-Table3[[#This Row],[FDX2]])/Table3[[#This Row],[FDX2]]</f>
        <v>2.5713632754662276E-3</v>
      </c>
      <c r="I22" s="101">
        <f>[1]Statements!$P$49</f>
        <v>0.39747170632617529</v>
      </c>
      <c r="J22" s="88">
        <v>0.3562422153594158</v>
      </c>
      <c r="K22" s="92">
        <f>(Table3[[#This Row],[UPS2]]-Table3[[#This Row],[FDX5]])/Table3[[#This Row],[FDX5]]</f>
        <v>0.11573443345326916</v>
      </c>
      <c r="L22" s="101">
        <f>[1]Statements!$Q$49</f>
        <v>0.38311802186239552</v>
      </c>
      <c r="M22" s="63">
        <v>0.33189746949471788</v>
      </c>
      <c r="N22" s="92">
        <f>(Table3[[#This Row],[UPS6]]-Table3[[#This Row],[FDX7]])/Table3[[#This Row],[FDX7]]</f>
        <v>0.15432643233362409</v>
      </c>
      <c r="O22" s="101">
        <f>[1]Statements!$R$49</f>
        <v>0.41581532599966381</v>
      </c>
      <c r="P22" s="88">
        <v>0.33705675210875441</v>
      </c>
      <c r="Q22" s="92">
        <f>(Table3[[#This Row],[UPS8]]-Table3[[#This Row],[FDX9]])/Table3[[#This Row],[FDX9]]</f>
        <v>0.23366561683801318</v>
      </c>
      <c r="R22" s="101">
        <f>[1]Statements!$S$49</f>
        <v>0.39912239578449943</v>
      </c>
      <c r="S22" s="88">
        <v>0.33997475809844341</v>
      </c>
      <c r="T22" s="96">
        <f>(Table3[[#This Row],[UPS10]]-Table3[[#This Row],[FDX11]])/Table3[[#This Row],[FDX11]]</f>
        <v>0.1739765564269603</v>
      </c>
    </row>
    <row r="23" spans="2:20" hidden="1" x14ac:dyDescent="0.2">
      <c r="B23" s="87" t="s">
        <v>121</v>
      </c>
      <c r="C23" s="90">
        <f>[1]Statements!$N$50</f>
        <v>2.4307460140410733</v>
      </c>
      <c r="D23" s="67">
        <f>Statements!O55</f>
        <v>2.2903480232672777</v>
      </c>
      <c r="E23" s="92">
        <f>(Table3[[#This Row],[USP]]-Table3[[#This Row],[FDX]])/Table3[[#This Row],[FDX]]</f>
        <v>6.1299850218182968E-2</v>
      </c>
      <c r="F23" s="102">
        <f>[1]Statements!$O$50</f>
        <v>2.6237985986234267</v>
      </c>
      <c r="G23" s="90">
        <f>Statements!P55</f>
        <v>2.059539395382052</v>
      </c>
      <c r="H23" s="92">
        <f>(Table3[[#This Row],[USP2]]-Table3[[#This Row],[FDX2]])/Table3[[#This Row],[FDX2]]</f>
        <v>0.27397349354257072</v>
      </c>
      <c r="I23" s="102">
        <f>[1]Statements!$P$50</f>
        <v>2.9062584017923823</v>
      </c>
      <c r="J23" s="90">
        <v>2.3483721190422915</v>
      </c>
      <c r="K23" s="92">
        <f>(Table3[[#This Row],[UPS2]]-Table3[[#This Row],[FDX5]])/Table3[[#This Row],[FDX5]]</f>
        <v>0.23756298170394174</v>
      </c>
      <c r="L23" s="102">
        <f>[1]Statements!$Q$50</f>
        <v>2.8900025922405601</v>
      </c>
      <c r="M23" s="67">
        <v>2.4549631146465045</v>
      </c>
      <c r="N23" s="92">
        <f>(Table3[[#This Row],[UPS6]]-Table3[[#This Row],[FDX7]])/Table3[[#This Row],[FDX7]]</f>
        <v>0.17720815233376647</v>
      </c>
      <c r="O23" s="102">
        <f>[1]Statements!$R$50</f>
        <v>2.4619840303153335</v>
      </c>
      <c r="P23" s="90">
        <v>2.2152194211017742</v>
      </c>
      <c r="Q23" s="92">
        <f>(Table3[[#This Row],[UPS8]]-Table3[[#This Row],[FDX9]])/Table3[[#This Row],[FDX9]]</f>
        <v>0.11139510915393976</v>
      </c>
      <c r="R23" s="102">
        <f>[1]Statements!$S$50</f>
        <v>2.4495010624277147</v>
      </c>
      <c r="S23" s="90">
        <v>2.113542696006363</v>
      </c>
      <c r="T23" s="92">
        <f>(Table3[[#This Row],[UPS10]]-Table3[[#This Row],[FDX11]])/Table3[[#This Row],[FDX11]]</f>
        <v>0.15895508856109725</v>
      </c>
    </row>
    <row r="24" spans="2:20" hidden="1" x14ac:dyDescent="0.2">
      <c r="B24" s="87" t="s">
        <v>100</v>
      </c>
      <c r="C24" s="89">
        <f>[1]Statements!$N$53</f>
        <v>13.084755065401385</v>
      </c>
      <c r="D24" s="89">
        <f>Statements!O58</f>
        <v>11.592263770712048</v>
      </c>
      <c r="E24" s="92">
        <f>(Table3[[#This Row],[USP]]-Table3[[#This Row],[FDX]])/Table3[[#This Row],[FDX]]</f>
        <v>0.12874890739288808</v>
      </c>
      <c r="F24" s="103">
        <f>[1]Statements!$O$53</f>
        <v>18.409769651223318</v>
      </c>
      <c r="G24" s="89">
        <f>Statements!P58</f>
        <v>33.109466280513033</v>
      </c>
      <c r="H24" s="92">
        <f>(Table3[[#This Row],[USP2]]-Table3[[#This Row],[FDX2]])/Table3[[#This Row],[FDX2]]</f>
        <v>-0.44397262416583849</v>
      </c>
      <c r="I24" s="103">
        <f>[1]Statements!$P$53</f>
        <v>13.478719750195159</v>
      </c>
      <c r="J24" s="89">
        <v>14.512023220078538</v>
      </c>
      <c r="K24" s="92">
        <f>(Table3[[#This Row],[UPS2]]-Table3[[#This Row],[FDX5]])/Table3[[#This Row],[FDX5]]</f>
        <v>-7.1203267402006429E-2</v>
      </c>
      <c r="L24" s="103">
        <f>[1]Statements!$Q$53</f>
        <v>11.21205895830151</v>
      </c>
      <c r="M24" s="89">
        <v>11.706209767814251</v>
      </c>
      <c r="N24" s="92">
        <f>(Table3[[#This Row],[UPS6]]-Table3[[#This Row],[FDX7]])/Table3[[#This Row],[FDX7]]</f>
        <v>-4.2212707555556395E-2</v>
      </c>
      <c r="O24" s="103">
        <f>[1]Statements!$R$53</f>
        <v>15.459293293950337</v>
      </c>
      <c r="P24" s="89">
        <v>14.154291530944626</v>
      </c>
      <c r="Q24" s="92">
        <f>(Table3[[#This Row],[UPS8]]-Table3[[#This Row],[FDX9]])/Table3[[#This Row],[FDX9]]</f>
        <v>9.2198310325364477E-2</v>
      </c>
      <c r="R24" s="103">
        <f>[1]Statements!$S$53</f>
        <v>14.441577704298535</v>
      </c>
      <c r="S24" s="89">
        <v>13.93208670624213</v>
      </c>
      <c r="T24" s="96">
        <f>(Table3[[#This Row],[UPS10]]-Table3[[#This Row],[FDX11]])/Table3[[#This Row],[FDX11]]</f>
        <v>3.6569611487425845E-2</v>
      </c>
    </row>
    <row r="25" spans="2:20" hidden="1" x14ac:dyDescent="0.2">
      <c r="B25" s="87" t="s">
        <v>101</v>
      </c>
      <c r="C25" s="88">
        <f>[1]Statements!$N$54</f>
        <v>7.6424816131575354E-2</v>
      </c>
      <c r="D25" s="88">
        <f>Statements!O59</f>
        <v>8.6264427706218047E-2</v>
      </c>
      <c r="E25" s="92">
        <f>(Table3[[#This Row],[USP]]-Table3[[#This Row],[FDX]])/Table3[[#This Row],[FDX]]</f>
        <v>-0.1140633727746094</v>
      </c>
      <c r="F25" s="101">
        <f>[1]Statements!$O$54</f>
        <v>5.4318984916443568E-2</v>
      </c>
      <c r="G25" s="88">
        <f>Statements!P59</f>
        <v>3.0202842641065517E-2</v>
      </c>
      <c r="H25" s="92">
        <f>(Table3[[#This Row],[USP2]]-Table3[[#This Row],[FDX2]])/Table3[[#This Row],[FDX2]]</f>
        <v>0.79847259948268445</v>
      </c>
      <c r="I25" s="101">
        <f>[1]Statements!$P$54</f>
        <v>7.4191022480864399E-2</v>
      </c>
      <c r="J25" s="88">
        <v>6.8908379268331141E-2</v>
      </c>
      <c r="K25" s="92">
        <f>(Table3[[#This Row],[UPS2]]-Table3[[#This Row],[FDX5]])/Table3[[#This Row],[FDX5]]</f>
        <v>7.6661840963672928E-2</v>
      </c>
      <c r="L25" s="101">
        <f>[1]Statements!$Q$54</f>
        <v>8.9189684403112313E-2</v>
      </c>
      <c r="M25" s="88">
        <v>8.5424746338431376E-2</v>
      </c>
      <c r="N25" s="92">
        <f>(Table3[[#This Row],[UPS6]]-Table3[[#This Row],[FDX7]])/Table3[[#This Row],[FDX7]]</f>
        <v>4.4073154747983657E-2</v>
      </c>
      <c r="O25" s="101">
        <f>[1]Statements!$R$54</f>
        <v>6.46860099608388E-2</v>
      </c>
      <c r="P25" s="88">
        <v>7.0649950780917833E-2</v>
      </c>
      <c r="Q25" s="92">
        <f>(Table3[[#This Row],[UPS8]]-Table3[[#This Row],[FDX9]])/Table3[[#This Row],[FDX9]]</f>
        <v>-8.4415357040699607E-2</v>
      </c>
      <c r="R25" s="101">
        <f>[1]Statements!$S$54</f>
        <v>6.9244511955390442E-2</v>
      </c>
      <c r="S25" s="88">
        <v>7.1776756855235491E-2</v>
      </c>
      <c r="T25" s="96">
        <f>(Table3[[#This Row],[UPS10]]-Table3[[#This Row],[FDX11]])/Table3[[#This Row],[FDX11]]</f>
        <v>-3.5279455506080637E-2</v>
      </c>
    </row>
    <row r="26" spans="2:20" x14ac:dyDescent="0.2">
      <c r="C26" s="49"/>
      <c r="D26" s="49"/>
    </row>
    <row r="27" spans="2:20" x14ac:dyDescent="0.2">
      <c r="C27" s="49"/>
      <c r="D27" s="49"/>
    </row>
    <row r="28" spans="2:20" x14ac:dyDescent="0.2">
      <c r="B28" s="85"/>
      <c r="C28" s="85" t="s">
        <v>102</v>
      </c>
      <c r="D28" s="105" t="s">
        <v>105</v>
      </c>
      <c r="I28" s="105" t="s">
        <v>102</v>
      </c>
      <c r="J28" s="105" t="s">
        <v>105</v>
      </c>
      <c r="K28" s="105"/>
    </row>
    <row r="29" spans="2:20" x14ac:dyDescent="0.2">
      <c r="B29" s="74">
        <v>2019</v>
      </c>
      <c r="C29" s="106">
        <f>C18</f>
        <v>5.9923880476151915E-2</v>
      </c>
      <c r="D29" s="106">
        <f>D18</f>
        <v>7.7482674013172057E-3</v>
      </c>
      <c r="H29" s="108">
        <v>2019</v>
      </c>
      <c r="I29" s="89">
        <f>C24</f>
        <v>13.084755065401385</v>
      </c>
      <c r="J29" s="89">
        <f>D24</f>
        <v>11.592263770712048</v>
      </c>
    </row>
    <row r="30" spans="2:20" x14ac:dyDescent="0.2">
      <c r="B30" s="74">
        <v>2020</v>
      </c>
      <c r="C30" s="107">
        <f>F18</f>
        <v>1.5869452190764285E-2</v>
      </c>
      <c r="D30" s="106">
        <f>D18</f>
        <v>7.7482674013172057E-3</v>
      </c>
      <c r="H30" s="108">
        <v>2020</v>
      </c>
      <c r="I30" s="89">
        <f>F24</f>
        <v>18.409769651223318</v>
      </c>
      <c r="J30" s="89">
        <f>G24</f>
        <v>33.109466280513033</v>
      </c>
    </row>
    <row r="31" spans="2:20" x14ac:dyDescent="0.2">
      <c r="B31" s="74">
        <v>2021</v>
      </c>
      <c r="C31" s="107">
        <f>I18</f>
        <v>0.13249457789838315</v>
      </c>
      <c r="D31" s="106">
        <f>J18</f>
        <v>6.2304219916864183E-2</v>
      </c>
      <c r="H31" s="108">
        <v>2021</v>
      </c>
      <c r="I31" s="89">
        <f>I24</f>
        <v>13.478719750195159</v>
      </c>
      <c r="J31" s="89">
        <f>J24</f>
        <v>14.512023220078538</v>
      </c>
    </row>
    <row r="32" spans="2:20" x14ac:dyDescent="0.2">
      <c r="B32" s="74">
        <v>2022</v>
      </c>
      <c r="C32" s="106">
        <f>L18</f>
        <v>0.1150909924455341</v>
      </c>
      <c r="D32" s="106">
        <f>M18</f>
        <v>4.0914535032936947E-2</v>
      </c>
      <c r="H32" s="108">
        <v>2022</v>
      </c>
      <c r="I32" s="89">
        <f>L24</f>
        <v>11.21205895830151</v>
      </c>
      <c r="J32" s="89">
        <f>M24</f>
        <v>11.706209767814251</v>
      </c>
    </row>
    <row r="33" spans="2:11" x14ac:dyDescent="0.2">
      <c r="B33" s="74">
        <v>2023</v>
      </c>
      <c r="C33" s="106">
        <f>O18</f>
        <v>7.3748323402009722E-2</v>
      </c>
      <c r="D33" s="106">
        <f>P18</f>
        <v>4.4057456602517885E-2</v>
      </c>
      <c r="H33" s="108">
        <v>2023</v>
      </c>
      <c r="I33" s="89">
        <f>O24</f>
        <v>15.459293293950337</v>
      </c>
      <c r="J33" s="89">
        <f>P24</f>
        <v>14.154291530944626</v>
      </c>
    </row>
    <row r="34" spans="2:11" x14ac:dyDescent="0.2">
      <c r="B34" s="74">
        <v>2024</v>
      </c>
      <c r="C34" s="106">
        <f>R18</f>
        <v>6.3489623366641046E-2</v>
      </c>
      <c r="D34" s="106">
        <f>S18</f>
        <v>4.9388206584333981E-2</v>
      </c>
      <c r="H34" s="108">
        <v>2024</v>
      </c>
      <c r="I34" s="89">
        <f>R24</f>
        <v>14.441577704298535</v>
      </c>
      <c r="J34" s="89">
        <f>S24</f>
        <v>13.93208670624213</v>
      </c>
    </row>
    <row r="46" spans="2:11" x14ac:dyDescent="0.2">
      <c r="C46" s="109" t="s">
        <v>102</v>
      </c>
      <c r="D46" s="109" t="s">
        <v>105</v>
      </c>
      <c r="J46" s="105" t="s">
        <v>102</v>
      </c>
      <c r="K46" s="105" t="s">
        <v>105</v>
      </c>
    </row>
    <row r="47" spans="2:11" x14ac:dyDescent="0.2">
      <c r="B47" s="74">
        <v>2019</v>
      </c>
      <c r="C47" s="106">
        <f>C18</f>
        <v>5.9923880476151915E-2</v>
      </c>
      <c r="D47" s="106">
        <f>D18</f>
        <v>7.7482674013172057E-3</v>
      </c>
      <c r="I47" s="108">
        <v>2019</v>
      </c>
      <c r="J47" s="49">
        <f>365/C23</f>
        <v>150.15966205090831</v>
      </c>
      <c r="K47" s="49">
        <f>365/D23</f>
        <v>159.36442684344198</v>
      </c>
    </row>
    <row r="48" spans="2:11" x14ac:dyDescent="0.2">
      <c r="B48" s="74">
        <v>2020</v>
      </c>
      <c r="C48" s="106">
        <f>F18</f>
        <v>1.5869452190764285E-2</v>
      </c>
      <c r="D48" s="106">
        <f>G18</f>
        <v>1.8579250762096017E-2</v>
      </c>
      <c r="I48" s="108">
        <v>2020</v>
      </c>
      <c r="J48" s="49">
        <f>365/F23</f>
        <v>139.111287044477</v>
      </c>
      <c r="K48" s="49">
        <f>365/G23</f>
        <v>177.22409234725572</v>
      </c>
    </row>
    <row r="49" spans="2:11" x14ac:dyDescent="0.2">
      <c r="B49" s="74">
        <v>2021</v>
      </c>
      <c r="C49" s="106">
        <f>I18</f>
        <v>0.13249457789838315</v>
      </c>
      <c r="D49" s="106">
        <f>J18</f>
        <v>6.2304219916864183E-2</v>
      </c>
      <c r="I49" s="108">
        <v>2021</v>
      </c>
      <c r="J49" s="49">
        <f>365/I23</f>
        <v>125.59103477340241</v>
      </c>
      <c r="K49" s="49">
        <f>365/J23</f>
        <v>155.42681546945531</v>
      </c>
    </row>
    <row r="50" spans="2:11" x14ac:dyDescent="0.2">
      <c r="B50" s="74">
        <v>2022</v>
      </c>
      <c r="C50" s="106">
        <f>L18</f>
        <v>0.1150909924455341</v>
      </c>
      <c r="D50" s="106">
        <f>M18</f>
        <v>4.0914535032936947E-2</v>
      </c>
      <c r="I50" s="108">
        <v>2022</v>
      </c>
      <c r="J50" s="49">
        <f>365/L23</f>
        <v>126.29746456975423</v>
      </c>
      <c r="K50" s="49">
        <f>365/M23</f>
        <v>148.67840491059971</v>
      </c>
    </row>
    <row r="51" spans="2:11" x14ac:dyDescent="0.2">
      <c r="B51" s="74">
        <v>2023</v>
      </c>
      <c r="C51" s="106">
        <f>O18</f>
        <v>7.3748323402009722E-2</v>
      </c>
      <c r="D51" s="106">
        <f>P18</f>
        <v>4.4057456602517885E-2</v>
      </c>
      <c r="I51" s="108">
        <v>2023</v>
      </c>
      <c r="J51" s="49">
        <f>365/O23</f>
        <v>148.25441412520064</v>
      </c>
      <c r="K51" s="49">
        <f>365/P23</f>
        <v>164.76923076923077</v>
      </c>
    </row>
    <row r="52" spans="2:11" x14ac:dyDescent="0.2">
      <c r="B52" s="74">
        <v>2024</v>
      </c>
      <c r="C52" s="106">
        <f>R18</f>
        <v>6.3489623366641046E-2</v>
      </c>
      <c r="D52" s="106">
        <f>S18</f>
        <v>4.9388206584333981E-2</v>
      </c>
      <c r="I52" s="108">
        <v>2024</v>
      </c>
      <c r="J52" s="49">
        <f>365/R23</f>
        <v>149.0099374107829</v>
      </c>
      <c r="K52" s="49">
        <f>365/S23</f>
        <v>172.69582520839745</v>
      </c>
    </row>
  </sheetData>
  <phoneticPr fontId="15" type="noConversion"/>
  <pageMargins left="0.25" right="0.25" top="0.75" bottom="0.75" header="0.3" footer="0.3"/>
  <pageSetup paperSize="3" scale="96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20781-9522-4D96-997F-D42017D8DA79}">
  <dimension ref="B3:D11"/>
  <sheetViews>
    <sheetView showGridLines="0" showRowColHeaders="0" zoomScale="140" zoomScaleNormal="140" workbookViewId="0">
      <selection activeCell="B27" sqref="B27"/>
    </sheetView>
  </sheetViews>
  <sheetFormatPr defaultRowHeight="15" x14ac:dyDescent="0.25"/>
  <cols>
    <col min="2" max="2" width="18.5703125" customWidth="1"/>
    <col min="3" max="4" width="11.7109375" customWidth="1"/>
  </cols>
  <sheetData>
    <row r="3" spans="2:4" ht="15.75" x14ac:dyDescent="0.25">
      <c r="B3" s="130" t="s">
        <v>137</v>
      </c>
      <c r="C3" s="131" t="s">
        <v>138</v>
      </c>
      <c r="D3" s="132" t="s">
        <v>33</v>
      </c>
    </row>
    <row r="4" spans="2:4" ht="15.75" x14ac:dyDescent="0.25">
      <c r="B4" s="133" t="s">
        <v>139</v>
      </c>
      <c r="C4" s="133"/>
      <c r="D4" s="134">
        <f>((Statements!I28/Statements!C28)^(1/7))-1</f>
        <v>3.3756630468308124E-2</v>
      </c>
    </row>
    <row r="5" spans="2:4" ht="15.75" x14ac:dyDescent="0.25">
      <c r="B5" s="133" t="s">
        <v>140</v>
      </c>
      <c r="C5" s="133"/>
      <c r="D5" s="134">
        <f>Statements!I42/Statements!I28</f>
        <v>5.9333985396810958E-2</v>
      </c>
    </row>
    <row r="6" spans="2:4" ht="15.75" x14ac:dyDescent="0.25">
      <c r="B6" s="133" t="s">
        <v>95</v>
      </c>
      <c r="C6" s="133"/>
      <c r="D6" s="134">
        <f>Statements!I49/Statements!U45</f>
        <v>0.14575244879786287</v>
      </c>
    </row>
    <row r="7" spans="2:4" ht="15.75" x14ac:dyDescent="0.25">
      <c r="B7" s="133" t="s">
        <v>141</v>
      </c>
      <c r="C7" s="133"/>
      <c r="D7" s="134">
        <f>Statements!I64/Statements!U60</f>
        <v>7.3614115109775127E-2</v>
      </c>
    </row>
    <row r="8" spans="2:4" ht="15.75" x14ac:dyDescent="0.25">
      <c r="B8" s="133" t="s">
        <v>142</v>
      </c>
      <c r="C8" s="133"/>
      <c r="D8" s="135">
        <f>Statements!U47/Statements!I42</f>
        <v>3.9446041786467316</v>
      </c>
    </row>
    <row r="9" spans="2:4" ht="15.75" x14ac:dyDescent="0.25">
      <c r="B9" s="133" t="s">
        <v>143</v>
      </c>
      <c r="C9" s="133"/>
      <c r="D9" s="136">
        <f>_xlfn.STDEV.S(Statements!C52:I52)</f>
        <v>6.6980748493680355</v>
      </c>
    </row>
    <row r="10" spans="2:4" ht="15.75" x14ac:dyDescent="0.25">
      <c r="B10" s="133" t="s">
        <v>144</v>
      </c>
      <c r="C10" s="133"/>
      <c r="D10" s="136">
        <f>Statements!U58</f>
        <v>13.006358060187846</v>
      </c>
    </row>
    <row r="11" spans="2:4" ht="15.75" x14ac:dyDescent="0.25">
      <c r="B11" s="133" t="s">
        <v>145</v>
      </c>
      <c r="C11" s="133"/>
      <c r="D11" s="137" t="s">
        <v>146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6567613-e428-4167-ab55-a4f66cede826" xsi:nil="true"/>
  </documentManagement>
</p:properties>
</file>

<file path=customXml/item3.xml><?xml version="1.0" encoding="utf-8"?>
<scriptIds xmlns="http://schemas.microsoft.com/office/extensibility/maker/v1.0" id="script-ids-node-id">
  <scriptId id="ms-officescript%3A%2F%2Fonedrive_business_itemlink%2F015GZNGIFWWM75CB5U5JDIZ463SE5DI453:ms-officescript%3A%2F%2Fonedrive_business_sharinglink%2Fu!aHR0cHM6Ly9zamVjY2QtbXkuc2hhcmVwb2ludC5jb20vOnU6L2cvcGVyc29uYWwvYWJnbzY0NzZfc3R1X2V2Y19lZHUvRWJhelA5RUh0T3BHalBQYmtUbzBjN3NCcFR0RHZRTGdlNjlZOWVEaWtxVDAy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600919C5D1CD245AE9967B74E8175F3" ma:contentTypeVersion="6" ma:contentTypeDescription="Create a new document." ma:contentTypeScope="" ma:versionID="5914cc59b3ac3e0af91e183125dbf667">
  <xsd:schema xmlns:xsd="http://www.w3.org/2001/XMLSchema" xmlns:xs="http://www.w3.org/2001/XMLSchema" xmlns:p="http://schemas.microsoft.com/office/2006/metadata/properties" xmlns:ns3="36567613-e428-4167-ab55-a4f66cede826" targetNamespace="http://schemas.microsoft.com/office/2006/metadata/properties" ma:root="true" ma:fieldsID="3f536e8bcdade1d0b1324d4e87301424" ns3:_="">
    <xsd:import namespace="36567613-e428-4167-ab55-a4f66cede82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567613-e428-4167-ab55-a4f66cede8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9CA9D73-4B12-4830-B86F-A2C93BFFF30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0F213C5-F071-4E9E-9963-FC20199506E0}">
  <ds:schemaRefs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36567613-e428-4167-ab55-a4f66cede826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9CC3DFF-8066-43A7-80F7-D82830EC8647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F17312E7-BDAF-44C5-9DBF-26FD12E4B8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6567613-e428-4167-ab55-a4f66cede8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Statements</vt:lpstr>
      <vt:lpstr>Rival Analysis</vt:lpstr>
      <vt:lpstr>Observation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 Gonzalez Herrera</dc:creator>
  <cp:lastModifiedBy>Abraham Gonzalez Herrera</cp:lastModifiedBy>
  <cp:lastPrinted>2025-07-03T18:48:19Z</cp:lastPrinted>
  <dcterms:created xsi:type="dcterms:W3CDTF">2025-02-19T20:24:26Z</dcterms:created>
  <dcterms:modified xsi:type="dcterms:W3CDTF">2026-06-29T22:03:40Z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0x0101004600919C5D1CD245AE9967B74E8175F3</vt:lpwstr>
  </property>
  <property fmtid="{D5CDD505-2E9C-101B-9397-08002B2CF9AE}" pid="3" name="MSIP_Label_bc50c7b0-9e53-455f-9b3f-deab1aa8a41e_Enabled">
    <vt:lpwstr>true</vt:lpwstr>
  </property>
  <property fmtid="{D5CDD505-2E9C-101B-9397-08002B2CF9AE}" pid="4" name="MSIP_Label_bc50c7b0-9e53-455f-9b3f-deab1aa8a41e_SetDate">
    <vt:lpwstr>2025-06-20T18:35:59Z</vt:lpwstr>
  </property>
  <property fmtid="{D5CDD505-2E9C-101B-9397-08002B2CF9AE}" pid="5" name="MSIP_Label_bc50c7b0-9e53-455f-9b3f-deab1aa8a41e_Method">
    <vt:lpwstr>Standard</vt:lpwstr>
  </property>
  <property fmtid="{D5CDD505-2E9C-101B-9397-08002B2CF9AE}" pid="6" name="MSIP_Label_bc50c7b0-9e53-455f-9b3f-deab1aa8a41e_Name">
    <vt:lpwstr>defa4170-0d19-0005-0004-bc88714345d2</vt:lpwstr>
  </property>
  <property fmtid="{D5CDD505-2E9C-101B-9397-08002B2CF9AE}" pid="7" name="MSIP_Label_bc50c7b0-9e53-455f-9b3f-deab1aa8a41e_SiteId">
    <vt:lpwstr>7cc8e357-468d-472c-a6fc-c5600e789b55</vt:lpwstr>
  </property>
  <property fmtid="{D5CDD505-2E9C-101B-9397-08002B2CF9AE}" pid="8" name="MSIP_Label_bc50c7b0-9e53-455f-9b3f-deab1aa8a41e_ActionId">
    <vt:lpwstr>ee67d891-9c3e-44d0-a65b-82553e022ac4</vt:lpwstr>
  </property>
  <property fmtid="{D5CDD505-2E9C-101B-9397-08002B2CF9AE}" pid="9" name="MSIP_Label_bc50c7b0-9e53-455f-9b3f-deab1aa8a41e_ContentBits">
    <vt:lpwstr>0</vt:lpwstr>
  </property>
  <property fmtid="{D5CDD505-2E9C-101B-9397-08002B2CF9AE}" pid="10" name="MSIP_Label_bc50c7b0-9e53-455f-9b3f-deab1aa8a41e_Tag">
    <vt:lpwstr>10, 3, 0, 1</vt:lpwstr>
  </property>
</Properties>
</file>