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996" documentId="8_{AFBECC4A-25A7-4765-9866-BEAF8D9AC9D4}" xr6:coauthVersionLast="47" xr6:coauthVersionMax="47" xr10:uidLastSave="{925F48DE-CCA1-43F2-A111-B6B91D5FF916}"/>
  <bookViews>
    <workbookView xWindow="1560" yWindow="1560" windowWidth="14895" windowHeight="1356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6" i="1" l="1"/>
  <c r="U7" i="1"/>
  <c r="U8" i="1"/>
  <c r="U9" i="1"/>
  <c r="U11" i="1"/>
  <c r="U12" i="1"/>
  <c r="U13" i="1"/>
  <c r="U16" i="1"/>
  <c r="U17" i="1"/>
  <c r="U18" i="1"/>
  <c r="U19" i="1"/>
  <c r="U21" i="1"/>
  <c r="U22" i="1"/>
  <c r="U23" i="1"/>
  <c r="U24" i="1"/>
  <c r="U25" i="1"/>
  <c r="U26" i="1"/>
  <c r="U30" i="1"/>
  <c r="U31" i="1"/>
  <c r="U32" i="1"/>
  <c r="U33" i="1"/>
  <c r="U34" i="1"/>
  <c r="U35" i="1"/>
  <c r="U36" i="1"/>
  <c r="U37" i="1"/>
  <c r="U38" i="1"/>
  <c r="U39" i="1"/>
  <c r="U40" i="1"/>
  <c r="U41" i="1"/>
  <c r="U45" i="1"/>
  <c r="U46" i="1"/>
  <c r="U47" i="1"/>
  <c r="U48" i="1"/>
  <c r="U49" i="1"/>
  <c r="U50" i="1"/>
  <c r="U51" i="1"/>
  <c r="U52" i="1"/>
  <c r="U53" i="1"/>
  <c r="U54" i="1"/>
  <c r="U56" i="1"/>
  <c r="U57" i="1"/>
  <c r="U58" i="1"/>
  <c r="U59" i="1"/>
  <c r="U60" i="1"/>
  <c r="U61" i="1"/>
  <c r="U62" i="1"/>
  <c r="U63" i="1"/>
  <c r="U64" i="1"/>
  <c r="U5" i="1"/>
  <c r="W6" i="1"/>
  <c r="W11" i="1"/>
  <c r="W12" i="1"/>
  <c r="W16" i="1"/>
  <c r="W17" i="1"/>
  <c r="W18" i="1"/>
  <c r="W22" i="1"/>
  <c r="W24" i="1"/>
  <c r="W26" i="1"/>
  <c r="W30" i="1"/>
  <c r="W31" i="1"/>
  <c r="W32" i="1"/>
  <c r="W33" i="1"/>
  <c r="W34" i="1"/>
  <c r="W35" i="1"/>
  <c r="W37" i="1"/>
  <c r="W38" i="1"/>
  <c r="W39" i="1"/>
  <c r="W40" i="1"/>
  <c r="W45" i="1"/>
  <c r="W46" i="1"/>
  <c r="W47" i="1"/>
  <c r="W48" i="1"/>
  <c r="W50" i="1"/>
  <c r="W51" i="1"/>
  <c r="W52" i="1"/>
  <c r="W53" i="1"/>
  <c r="W61" i="1"/>
  <c r="W64" i="1"/>
  <c r="W5" i="1"/>
  <c r="X63" i="1"/>
  <c r="X64" i="1" s="1"/>
  <c r="Y18" i="1"/>
  <c r="Y12" i="1"/>
  <c r="Y16" i="1"/>
  <c r="Y17" i="1"/>
  <c r="Y22" i="1"/>
  <c r="Y24" i="1"/>
  <c r="Y26" i="1"/>
  <c r="Y30" i="1"/>
  <c r="Y31" i="1"/>
  <c r="Y32" i="1"/>
  <c r="Y33" i="1"/>
  <c r="Y34" i="1"/>
  <c r="Y35" i="1"/>
  <c r="Y37" i="1"/>
  <c r="Y38" i="1"/>
  <c r="Y39" i="1"/>
  <c r="Y40" i="1"/>
  <c r="Y45" i="1"/>
  <c r="Y46" i="1"/>
  <c r="Y47" i="1"/>
  <c r="Y48" i="1"/>
  <c r="Y50" i="1"/>
  <c r="Y51" i="1"/>
  <c r="Y52" i="1"/>
  <c r="Y53" i="1"/>
  <c r="Y5" i="1"/>
  <c r="Y6" i="1"/>
  <c r="Y11" i="1"/>
  <c r="Z63" i="1"/>
  <c r="Z64" i="1" s="1"/>
  <c r="AA63" i="1"/>
  <c r="AA64" i="1" s="1"/>
  <c r="AB63" i="1"/>
  <c r="AB64" i="1" s="1"/>
  <c r="AC63" i="1"/>
  <c r="AC64" i="1" s="1"/>
  <c r="C63" i="1"/>
  <c r="C64" i="1" s="1"/>
  <c r="D63" i="1"/>
  <c r="D64" i="1" s="1"/>
  <c r="E63" i="1"/>
  <c r="E64" i="1" s="1"/>
  <c r="F63" i="1"/>
  <c r="F64" i="1" s="1"/>
  <c r="G63" i="1"/>
  <c r="G64" i="1" s="1"/>
  <c r="H63" i="1"/>
  <c r="H64" i="1" s="1"/>
  <c r="I63" i="1"/>
  <c r="I64" i="1" s="1"/>
  <c r="J63" i="1"/>
  <c r="J64" i="1" s="1"/>
  <c r="K63" i="1"/>
  <c r="K64" i="1" s="1"/>
  <c r="L63" i="1"/>
  <c r="L64" i="1" s="1"/>
  <c r="M63" i="1"/>
  <c r="M64" i="1" s="1"/>
  <c r="N63" i="1"/>
  <c r="N64" i="1" s="1"/>
  <c r="O63" i="1"/>
  <c r="O64" i="1" s="1"/>
  <c r="P63" i="1"/>
  <c r="P64" i="1" s="1"/>
  <c r="Q63" i="1"/>
  <c r="Q64" i="1" s="1"/>
  <c r="R63" i="1"/>
  <c r="R64" i="1" s="1"/>
  <c r="S63" i="1"/>
  <c r="S64" i="1" s="1"/>
  <c r="T63" i="1"/>
  <c r="T64" i="1" s="1"/>
  <c r="V63" i="1"/>
  <c r="V64" i="1" s="1"/>
  <c r="B61" i="1"/>
  <c r="C61" i="1"/>
  <c r="D61" i="1"/>
  <c r="E61" i="1"/>
  <c r="F61" i="1"/>
  <c r="G61" i="1"/>
  <c r="H61" i="1"/>
  <c r="I61" i="1"/>
  <c r="J61" i="1"/>
  <c r="K61" i="1"/>
  <c r="L61" i="1"/>
  <c r="M61" i="1"/>
  <c r="N61" i="1"/>
  <c r="O61" i="1"/>
  <c r="P61" i="1"/>
  <c r="Q61" i="1"/>
  <c r="R61" i="1"/>
  <c r="S61" i="1"/>
  <c r="T61" i="1"/>
  <c r="V61" i="1"/>
  <c r="Z61" i="1"/>
  <c r="AA61" i="1"/>
  <c r="AB61" i="1"/>
  <c r="AC61" i="1"/>
  <c r="X61" i="1"/>
  <c r="W63" i="1" l="1"/>
  <c r="Y64" i="1"/>
  <c r="Y61" i="1"/>
  <c r="Y63" i="1"/>
  <c r="B39" i="1"/>
  <c r="C39" i="1"/>
  <c r="B22" i="1"/>
  <c r="C22" i="1"/>
  <c r="B8" i="1"/>
  <c r="C8" i="1"/>
  <c r="D8" i="1"/>
  <c r="E8" i="1"/>
  <c r="AC49" i="1"/>
  <c r="AC54" i="1" s="1"/>
  <c r="AB49" i="1"/>
  <c r="AB54" i="1" s="1"/>
  <c r="AA49" i="1"/>
  <c r="AA54" i="1" s="1"/>
  <c r="Z49" i="1"/>
  <c r="Z54" i="1" s="1"/>
  <c r="AC36" i="1"/>
  <c r="AB36" i="1"/>
  <c r="AA36" i="1"/>
  <c r="Z36" i="1"/>
  <c r="AC19" i="1"/>
  <c r="AB19" i="1"/>
  <c r="AA19" i="1"/>
  <c r="Z19" i="1"/>
  <c r="AC13" i="1"/>
  <c r="AC59" i="1" s="1"/>
  <c r="AB13" i="1"/>
  <c r="AB59" i="1" s="1"/>
  <c r="AA13" i="1"/>
  <c r="Z13" i="1"/>
  <c r="AC9" i="1"/>
  <c r="AB9" i="1"/>
  <c r="AA9" i="1"/>
  <c r="Z9" i="1"/>
  <c r="AC8" i="1"/>
  <c r="AB8" i="1"/>
  <c r="AA8" i="1"/>
  <c r="Z8" i="1"/>
  <c r="AC7" i="1"/>
  <c r="AB7" i="1"/>
  <c r="AA7" i="1"/>
  <c r="Z7" i="1"/>
  <c r="X7" i="1"/>
  <c r="X8" i="1"/>
  <c r="X9" i="1"/>
  <c r="X13" i="1"/>
  <c r="X19" i="1"/>
  <c r="X36" i="1"/>
  <c r="Y36" i="1" s="1"/>
  <c r="X49" i="1"/>
  <c r="T49" i="1"/>
  <c r="S49" i="1"/>
  <c r="S54" i="1" s="1"/>
  <c r="R49" i="1"/>
  <c r="R54" i="1" s="1"/>
  <c r="Q49" i="1"/>
  <c r="Q54" i="1" s="1"/>
  <c r="P49" i="1"/>
  <c r="P54" i="1" s="1"/>
  <c r="O49" i="1"/>
  <c r="O54" i="1" s="1"/>
  <c r="N49" i="1"/>
  <c r="N54" i="1" s="1"/>
  <c r="M49" i="1"/>
  <c r="M54" i="1" s="1"/>
  <c r="L49" i="1"/>
  <c r="L54" i="1" s="1"/>
  <c r="K49" i="1"/>
  <c r="K54" i="1" s="1"/>
  <c r="J49" i="1"/>
  <c r="J54" i="1" s="1"/>
  <c r="I49" i="1"/>
  <c r="I54" i="1" s="1"/>
  <c r="H49" i="1"/>
  <c r="H54" i="1" s="1"/>
  <c r="G49" i="1"/>
  <c r="G54" i="1" s="1"/>
  <c r="F49" i="1"/>
  <c r="F54" i="1" s="1"/>
  <c r="E49" i="1"/>
  <c r="E54" i="1" s="1"/>
  <c r="D49" i="1"/>
  <c r="D54" i="1" s="1"/>
  <c r="C49" i="1"/>
  <c r="C54" i="1" s="1"/>
  <c r="B49" i="1"/>
  <c r="B54" i="1" s="1"/>
  <c r="T36" i="1"/>
  <c r="S36" i="1"/>
  <c r="R36" i="1"/>
  <c r="Q36" i="1"/>
  <c r="P36" i="1"/>
  <c r="O36" i="1"/>
  <c r="N36" i="1"/>
  <c r="M36" i="1"/>
  <c r="L36" i="1"/>
  <c r="K36" i="1"/>
  <c r="J36" i="1"/>
  <c r="I36" i="1"/>
  <c r="H36" i="1"/>
  <c r="G36" i="1"/>
  <c r="F36" i="1"/>
  <c r="E36" i="1"/>
  <c r="D36" i="1"/>
  <c r="C36" i="1"/>
  <c r="B36" i="1"/>
  <c r="T19" i="1"/>
  <c r="S19" i="1"/>
  <c r="R19" i="1"/>
  <c r="Q19" i="1"/>
  <c r="P19" i="1"/>
  <c r="O19" i="1"/>
  <c r="N19" i="1"/>
  <c r="M19" i="1"/>
  <c r="L19" i="1"/>
  <c r="K19" i="1"/>
  <c r="J19" i="1"/>
  <c r="I19" i="1"/>
  <c r="H19" i="1"/>
  <c r="G19" i="1"/>
  <c r="F19" i="1"/>
  <c r="E19" i="1"/>
  <c r="D19" i="1"/>
  <c r="C19" i="1"/>
  <c r="B19" i="1"/>
  <c r="T13" i="1"/>
  <c r="S13" i="1"/>
  <c r="S59" i="1" s="1"/>
  <c r="R13" i="1"/>
  <c r="R59" i="1" s="1"/>
  <c r="Q13" i="1"/>
  <c r="Q59" i="1" s="1"/>
  <c r="P13" i="1"/>
  <c r="P59" i="1" s="1"/>
  <c r="O13" i="1"/>
  <c r="O59" i="1" s="1"/>
  <c r="N13" i="1"/>
  <c r="N59" i="1" s="1"/>
  <c r="M13" i="1"/>
  <c r="M59" i="1" s="1"/>
  <c r="L13" i="1"/>
  <c r="L59" i="1" s="1"/>
  <c r="K13" i="1"/>
  <c r="K59" i="1" s="1"/>
  <c r="J13" i="1"/>
  <c r="J59" i="1" s="1"/>
  <c r="I13" i="1"/>
  <c r="I59" i="1" s="1"/>
  <c r="H13" i="1"/>
  <c r="H59" i="1" s="1"/>
  <c r="G13" i="1"/>
  <c r="G59" i="1" s="1"/>
  <c r="F13" i="1"/>
  <c r="F59" i="1" s="1"/>
  <c r="E13" i="1"/>
  <c r="E59" i="1" s="1"/>
  <c r="D13" i="1"/>
  <c r="D59" i="1" s="1"/>
  <c r="C13" i="1"/>
  <c r="C59" i="1" s="1"/>
  <c r="B13" i="1"/>
  <c r="B59" i="1" s="1"/>
  <c r="T9" i="1"/>
  <c r="S9" i="1"/>
  <c r="R9" i="1"/>
  <c r="Q9" i="1"/>
  <c r="P9" i="1"/>
  <c r="O9" i="1"/>
  <c r="N9" i="1"/>
  <c r="M9" i="1"/>
  <c r="L9" i="1"/>
  <c r="K9" i="1"/>
  <c r="J9" i="1"/>
  <c r="I9" i="1"/>
  <c r="H9" i="1"/>
  <c r="G9" i="1"/>
  <c r="F9" i="1"/>
  <c r="E9" i="1"/>
  <c r="D9" i="1"/>
  <c r="C9" i="1"/>
  <c r="B9" i="1"/>
  <c r="T8" i="1"/>
  <c r="S8" i="1"/>
  <c r="R8" i="1"/>
  <c r="Q8" i="1"/>
  <c r="P8" i="1"/>
  <c r="O8" i="1"/>
  <c r="N8" i="1"/>
  <c r="M8" i="1"/>
  <c r="L8" i="1"/>
  <c r="K8" i="1"/>
  <c r="J8" i="1"/>
  <c r="I8" i="1"/>
  <c r="H8" i="1"/>
  <c r="G8" i="1"/>
  <c r="F8" i="1"/>
  <c r="T7" i="1"/>
  <c r="S7" i="1"/>
  <c r="R7" i="1"/>
  <c r="Q7" i="1"/>
  <c r="P7" i="1"/>
  <c r="O7" i="1"/>
  <c r="N7" i="1"/>
  <c r="M7" i="1"/>
  <c r="L7" i="1"/>
  <c r="K7" i="1"/>
  <c r="J7" i="1"/>
  <c r="I7" i="1"/>
  <c r="H7" i="1"/>
  <c r="G7" i="1"/>
  <c r="F7" i="1"/>
  <c r="E7" i="1"/>
  <c r="D7" i="1"/>
  <c r="C7" i="1"/>
  <c r="B7" i="1"/>
  <c r="V9" i="1"/>
  <c r="V8" i="1"/>
  <c r="W8" i="1" s="1"/>
  <c r="V49" i="1"/>
  <c r="W49" i="1" s="1"/>
  <c r="V36" i="1"/>
  <c r="W36" i="1" s="1"/>
  <c r="V19" i="1"/>
  <c r="V13" i="1"/>
  <c r="V7" i="1"/>
  <c r="A4" i="1" a="1"/>
  <c r="A4" i="1" s="1"/>
  <c r="W7" i="1" l="1"/>
  <c r="W13" i="1"/>
  <c r="W19" i="1"/>
  <c r="T59" i="1"/>
  <c r="W9" i="1"/>
  <c r="T54" i="1"/>
  <c r="Y19" i="1"/>
  <c r="X59" i="1"/>
  <c r="Y59" i="1" s="1"/>
  <c r="Y13" i="1"/>
  <c r="X54" i="1"/>
  <c r="Y54" i="1" s="1"/>
  <c r="Y49" i="1"/>
  <c r="Y9" i="1"/>
  <c r="Y8" i="1"/>
  <c r="Y7" i="1"/>
  <c r="V59" i="1"/>
  <c r="W59" i="1" s="1"/>
  <c r="S62" i="1"/>
  <c r="V54" i="1"/>
  <c r="W54" i="1" s="1"/>
  <c r="AA41" i="1"/>
  <c r="AA62" i="1"/>
  <c r="E41" i="1"/>
  <c r="E62" i="1"/>
  <c r="AB41" i="1"/>
  <c r="AB56" i="1" s="1"/>
  <c r="AB62" i="1"/>
  <c r="F41" i="1"/>
  <c r="F62" i="1"/>
  <c r="AC41" i="1"/>
  <c r="AC56" i="1" s="1"/>
  <c r="AC62" i="1"/>
  <c r="G41" i="1"/>
  <c r="G56" i="1" s="1"/>
  <c r="G62" i="1"/>
  <c r="J41" i="1"/>
  <c r="J56" i="1" s="1"/>
  <c r="J62" i="1"/>
  <c r="V41" i="1"/>
  <c r="V62" i="1"/>
  <c r="C41" i="1"/>
  <c r="C56" i="1" s="1"/>
  <c r="C62" i="1"/>
  <c r="K41" i="1"/>
  <c r="K62" i="1"/>
  <c r="Z21" i="1"/>
  <c r="Z23" i="1" s="1"/>
  <c r="Z25" i="1" s="1"/>
  <c r="Z59" i="1"/>
  <c r="H41" i="1"/>
  <c r="H56" i="1" s="1"/>
  <c r="H62" i="1"/>
  <c r="I41" i="1"/>
  <c r="I56" i="1" s="1"/>
  <c r="I62" i="1"/>
  <c r="L41" i="1"/>
  <c r="L56" i="1" s="1"/>
  <c r="L62" i="1"/>
  <c r="AA21" i="1"/>
  <c r="AA23" i="1" s="1"/>
  <c r="AA25" i="1" s="1"/>
  <c r="AA59" i="1"/>
  <c r="T41" i="1"/>
  <c r="T62" i="1"/>
  <c r="X41" i="1"/>
  <c r="X62" i="1"/>
  <c r="M41" i="1"/>
  <c r="M62" i="1"/>
  <c r="Z41" i="1"/>
  <c r="Z62" i="1"/>
  <c r="N41" i="1"/>
  <c r="N56" i="1" s="1"/>
  <c r="N62" i="1"/>
  <c r="O41" i="1"/>
  <c r="O56" i="1" s="1"/>
  <c r="O62" i="1"/>
  <c r="P41" i="1"/>
  <c r="P56" i="1" s="1"/>
  <c r="P62" i="1"/>
  <c r="D41" i="1"/>
  <c r="D56" i="1" s="1"/>
  <c r="D62" i="1"/>
  <c r="Q41" i="1"/>
  <c r="Q56" i="1" s="1"/>
  <c r="Q62" i="1"/>
  <c r="B41" i="1"/>
  <c r="B56" i="1" s="1"/>
  <c r="B62" i="1"/>
  <c r="R41" i="1"/>
  <c r="R62" i="1"/>
  <c r="E57" i="1"/>
  <c r="X57" i="1"/>
  <c r="B57" i="1"/>
  <c r="C57" i="1"/>
  <c r="D21" i="1"/>
  <c r="D23" i="1" s="1"/>
  <c r="D25" i="1" s="1"/>
  <c r="F57" i="1"/>
  <c r="H57" i="1"/>
  <c r="H21" i="1"/>
  <c r="H23" i="1" s="1"/>
  <c r="H25" i="1" s="1"/>
  <c r="I21" i="1"/>
  <c r="I23" i="1" s="1"/>
  <c r="I25" i="1" s="1"/>
  <c r="J21" i="1"/>
  <c r="J23" i="1" s="1"/>
  <c r="J25" i="1" s="1"/>
  <c r="K21" i="1"/>
  <c r="K23" i="1" s="1"/>
  <c r="K25" i="1" s="1"/>
  <c r="L21" i="1"/>
  <c r="L23" i="1" s="1"/>
  <c r="L25" i="1" s="1"/>
  <c r="M21" i="1"/>
  <c r="M23" i="1" s="1"/>
  <c r="M25" i="1" s="1"/>
  <c r="N21" i="1"/>
  <c r="N23" i="1" s="1"/>
  <c r="N25" i="1" s="1"/>
  <c r="O21" i="1"/>
  <c r="O23" i="1" s="1"/>
  <c r="O25" i="1" s="1"/>
  <c r="M56" i="1"/>
  <c r="N57" i="1"/>
  <c r="K57" i="1"/>
  <c r="E21" i="1"/>
  <c r="E23" i="1" s="1"/>
  <c r="E25" i="1" s="1"/>
  <c r="O57" i="1"/>
  <c r="F21" i="1"/>
  <c r="F23" i="1" s="1"/>
  <c r="F25" i="1" s="1"/>
  <c r="C21" i="1"/>
  <c r="C23" i="1" s="1"/>
  <c r="C25" i="1" s="1"/>
  <c r="S21" i="1"/>
  <c r="S23" i="1" s="1"/>
  <c r="S25" i="1" s="1"/>
  <c r="P57" i="1"/>
  <c r="G21" i="1"/>
  <c r="G23" i="1" s="1"/>
  <c r="G25" i="1" s="1"/>
  <c r="R57" i="1"/>
  <c r="K56" i="1"/>
  <c r="AA56" i="1"/>
  <c r="AB57" i="1"/>
  <c r="AC57" i="1"/>
  <c r="D57" i="1"/>
  <c r="M57" i="1"/>
  <c r="F56" i="1"/>
  <c r="T21" i="1"/>
  <c r="Q57" i="1"/>
  <c r="R56" i="1"/>
  <c r="X21" i="1"/>
  <c r="AB21" i="1"/>
  <c r="AB23" i="1" s="1"/>
  <c r="AB25" i="1" s="1"/>
  <c r="J57" i="1"/>
  <c r="Q21" i="1"/>
  <c r="Q23" i="1" s="1"/>
  <c r="Q25" i="1" s="1"/>
  <c r="AC21" i="1"/>
  <c r="AC23" i="1" s="1"/>
  <c r="AC25" i="1" s="1"/>
  <c r="B21" i="1"/>
  <c r="B23" i="1" s="1"/>
  <c r="B25" i="1" s="1"/>
  <c r="Z57" i="1"/>
  <c r="G57" i="1"/>
  <c r="L57" i="1"/>
  <c r="I57" i="1"/>
  <c r="AA57" i="1"/>
  <c r="S41" i="1"/>
  <c r="S56" i="1" s="1"/>
  <c r="S57" i="1"/>
  <c r="T57" i="1"/>
  <c r="P21" i="1"/>
  <c r="P23" i="1" s="1"/>
  <c r="P25" i="1" s="1"/>
  <c r="V21" i="1"/>
  <c r="W21" i="1" s="1"/>
  <c r="R21" i="1"/>
  <c r="R23" i="1" s="1"/>
  <c r="R25" i="1" s="1"/>
  <c r="Z56" i="1"/>
  <c r="E56" i="1"/>
  <c r="V57" i="1"/>
  <c r="T23" i="1" l="1"/>
  <c r="Y62" i="1"/>
  <c r="Y41" i="1"/>
  <c r="W62" i="1"/>
  <c r="T56" i="1"/>
  <c r="W41" i="1"/>
  <c r="W57" i="1"/>
  <c r="V56" i="1"/>
  <c r="W56" i="1" s="1"/>
  <c r="X23" i="1"/>
  <c r="Y21" i="1"/>
  <c r="V23" i="1"/>
  <c r="W23" i="1" s="1"/>
  <c r="Y57" i="1"/>
  <c r="X56" i="1"/>
  <c r="Y56" i="1" s="1"/>
  <c r="J58" i="1"/>
  <c r="J60" i="1"/>
  <c r="C58" i="1"/>
  <c r="C60" i="1"/>
  <c r="H58" i="1"/>
  <c r="H60" i="1"/>
  <c r="AA58" i="1"/>
  <c r="AA60" i="1"/>
  <c r="D58" i="1"/>
  <c r="D60" i="1"/>
  <c r="S58" i="1"/>
  <c r="S60" i="1"/>
  <c r="E58" i="1"/>
  <c r="E60" i="1"/>
  <c r="AC58" i="1"/>
  <c r="AC60" i="1"/>
  <c r="O58" i="1"/>
  <c r="O60" i="1"/>
  <c r="Z58" i="1"/>
  <c r="Z60" i="1"/>
  <c r="I58" i="1"/>
  <c r="I60" i="1"/>
  <c r="Q58" i="1"/>
  <c r="Q60" i="1"/>
  <c r="R58" i="1"/>
  <c r="R60" i="1"/>
  <c r="N58" i="1"/>
  <c r="N60" i="1"/>
  <c r="AB58" i="1"/>
  <c r="AB60" i="1"/>
  <c r="M58" i="1"/>
  <c r="M60" i="1"/>
  <c r="B58" i="1"/>
  <c r="B60" i="1"/>
  <c r="L58" i="1"/>
  <c r="L60" i="1"/>
  <c r="F58" i="1"/>
  <c r="F60" i="1"/>
  <c r="P58" i="1"/>
  <c r="P60" i="1"/>
  <c r="G58" i="1"/>
  <c r="G60" i="1"/>
  <c r="K58" i="1"/>
  <c r="K60" i="1"/>
  <c r="T25" i="1" l="1"/>
  <c r="V25" i="1"/>
  <c r="W25" i="1" s="1"/>
  <c r="X25" i="1"/>
  <c r="Y23" i="1"/>
  <c r="T58" i="1" l="1"/>
  <c r="T60" i="1"/>
  <c r="Y25" i="1"/>
  <c r="X60" i="1"/>
  <c r="Y60" i="1" s="1"/>
  <c r="X58" i="1"/>
  <c r="Y58" i="1" s="1"/>
  <c r="V60" i="1"/>
  <c r="W60" i="1" s="1"/>
  <c r="V58" i="1"/>
  <c r="W5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<sst xmlns="http://schemas.openxmlformats.org/spreadsheetml/2006/main" count="89" uniqueCount="81">
  <si>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</si>
  <si>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</si>
  <si>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</si>
  <si>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</si>
  <si>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</si>
  <si>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</si>
  <si>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</si>
  <si>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</si>
  <si>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</si>
  <si>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</si>
  <si>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</si>
  <si>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</si>
  <si>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</si>
  <si>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</si>
  <si>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</si>
  <si>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</si>
  <si>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</si>
  <si>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</si>
  <si>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</si>
  <si>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</si>
  <si>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</si>
  <si>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</si>
  <si>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</si>
  <si>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</si>
  <si>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</si>
  <si>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</si>
  <si>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</si>
  <si>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</si>
  <si>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Revenues</t>
  </si>
  <si>
    <t>Cost of revenues</t>
  </si>
  <si>
    <t>Gross profit</t>
  </si>
  <si>
    <t>Operating costs &amp; expenses</t>
  </si>
  <si>
    <t>Research &amp; development</t>
  </si>
  <si>
    <t>Marketing, general &amp; administrative</t>
  </si>
  <si>
    <t>Restructuring income, net</t>
  </si>
  <si>
    <t>Total operating costs &amp; expenses</t>
  </si>
  <si>
    <t>Income (loss) from operations</t>
  </si>
  <si>
    <t>Other income (expense)</t>
  </si>
  <si>
    <t>Income before income taxes</t>
  </si>
  <si>
    <t>Income taxes (benefit)</t>
  </si>
  <si>
    <t>Net income</t>
  </si>
  <si>
    <t>Price</t>
  </si>
  <si>
    <t>Sharesoutstanding</t>
  </si>
  <si>
    <t>Market cap</t>
  </si>
  <si>
    <t>Cash</t>
  </si>
  <si>
    <t>Debt</t>
  </si>
  <si>
    <t>Assets</t>
  </si>
  <si>
    <t>Current assets</t>
  </si>
  <si>
    <t>Short-term deposits</t>
  </si>
  <si>
    <t>Marketable securities</t>
  </si>
  <si>
    <t>Trade accounts receivable</t>
  </si>
  <si>
    <t>Inventories</t>
  </si>
  <si>
    <t>Other</t>
  </si>
  <si>
    <t>Total current assets</t>
  </si>
  <si>
    <t>Property &amp; equipment, net</t>
  </si>
  <si>
    <t>Goodwill &amp; other intangible assets</t>
  </si>
  <si>
    <t>Deferred tax &amp; other</t>
  </si>
  <si>
    <t>Total assets</t>
  </si>
  <si>
    <t>Liabilities</t>
  </si>
  <si>
    <t>Current liabilities</t>
  </si>
  <si>
    <t>Short-term debt</t>
  </si>
  <si>
    <t>Trade accounts payable</t>
  </si>
  <si>
    <t>Deferred revenue &amp; customers' advances</t>
  </si>
  <si>
    <t>Total current liabilities</t>
  </si>
  <si>
    <t>Long-term debt</t>
  </si>
  <si>
    <t>Long-term customers' advances</t>
  </si>
  <si>
    <t>Total liabilities</t>
  </si>
  <si>
    <t>Equity</t>
  </si>
  <si>
    <t>Enterprise value</t>
  </si>
  <si>
    <t>EPS</t>
  </si>
  <si>
    <t>Non-controlling interest</t>
  </si>
  <si>
    <t>Long-term investments</t>
  </si>
  <si>
    <t>Employee related</t>
  </si>
  <si>
    <t>% Change</t>
  </si>
  <si>
    <t>Y/Y</t>
  </si>
  <si>
    <t>Net profit margin</t>
  </si>
  <si>
    <t>Gross profit margin</t>
  </si>
  <si>
    <t>Cost of revenue margin</t>
  </si>
  <si>
    <t>Current ratio</t>
  </si>
  <si>
    <t>Inventory turnover</t>
  </si>
  <si>
    <t>XXXXXXXXX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</si>
</sst>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409]* #,##0.00_);_([$$-409]* \(#,##0.00\);_([$$-409]* &quot;-&quot;??_);_(@_)"/>
    <numFmt numFmtId="166" formatCode="_(* #,##0.0_);_(* \(#,##0.0\);_(* &quot;-&quot;??_);_(@_)"/>
    <numFmt numFmtId="167" formatCode="_(* #,##0.000_);_(* \(#,##0.000\);_(* &quot;-&quot;??_);_(@_)"/>
    <numFmt numFmtId="168" formatCode="0.0%"/>
  </numFmts>
  <fonts count="8" x14ac:knownFonts="1">
    <font>
      <sz val="11"/>
      <color theme="1"/>
      <name val="Calibri"/>
      <family val="2"/>
      <scheme val="minor"/>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28">
    <xf numFmtId="0" fontId="0" fillId="0" borderId="0" xfId="0"/>
    <xf numFmtId="14" fontId="3" fillId="2" borderId="0" xfId="0" applyNumberFormat="1" applyFont="1" applyFill="1" applyAlignment="1">
      <alignment horizontal="center" vertical="center"/>
    </xf>
    <xf numFmtId="0" fontId="4" fillId="0" borderId="0" xfId="0" applyFont="1"/>
    <xf numFmtId="0" fontId="3" fillId="2" borderId="0" xfId="0" applyFont="1" applyFill="1" applyAlignment="1">
      <alignment horizontal="center" vertical="center"/>
    </xf>
    <xf numFmtId="0" fontId="3" fillId="2" borderId="0" xfId="0" applyFont="1" applyFill="1" applyAlignment="1">
      <alignment vertical="center"/>
    </xf>
    <xf numFmtId="164" fontId="4" fillId="0" borderId="0" xfId="1" applyNumberFormat="1" applyFont="1"/>
    <xf numFmtId="0" fontId="2" fillId="0" borderId="0" xfId="0" applyFont="1" applyAlignment="1">
      <alignment horizontal="left"/>
    </xf>
    <xf numFmtId="0" fontId="3" fillId="2" borderId="0" xfId="0" applyFont="1" applyFill="1" applyAlignment="1">
      <alignment horizontal="center"/>
    </xf>
    <xf numFmtId="0" fontId="1" fillId="0" borderId="0" xfId="0" applyFont="1" applyAlignment="1">
      <alignment horizontal="left"/>
    </xf>
    <xf numFmtId="0" fontId="6" fillId="0" borderId="0" xfId="0" applyFont="1" applyAlignment="1">
      <alignment horizontal="left"/>
    </xf>
    <xf numFmtId="0" fontId="1" fillId="0" borderId="0" xfId="0" applyFont="1"/>
    <xf numFmtId="0" fontId="6" fillId="0" borderId="0" xfId="0" applyFont="1"/>
    <xf numFmtId="164" fontId="6" fillId="0" borderId="0" xfId="1" applyNumberFormat="1" applyFont="1"/>
    <xf numFmtId="0" fontId="1" fillId="0" borderId="0" xfId="0" applyFont="1" applyAlignment="1">
      <alignment horizontal="left" indent="1"/>
    </xf>
    <xf numFmtId="0" fontId="6" fillId="0" borderId="0" xfId="0" applyFont="1" applyAlignment="1">
      <alignment horizontal="left" indent="1"/>
    </xf>
    <xf numFmtId="0" fontId="6" fillId="0" borderId="0" xfId="0" applyFont="1" applyAlignment="1">
      <alignment horizontal="left" indent="2"/>
    </xf>
    <xf numFmtId="165" fontId="1" fillId="0" borderId="0" xfId="0" applyNumberFormat="1" applyFont="1"/>
    <xf numFmtId="0" fontId="1" fillId="0" borderId="0" xfId="0" applyFont="1" applyAlignment="1">
      <alignment horizontal="left" indent="2"/>
    </xf>
    <xf numFmtId="0" fontId="6" fillId="0" borderId="0" xfId="0" applyFont="1" applyAlignment="1">
      <alignment horizontal="left" indent="3"/>
    </xf>
    <xf numFmtId="44" fontId="1" fillId="0" borderId="0" xfId="2" applyFont="1"/>
    <xf numFmtId="166" fontId="1" fillId="0" borderId="0" xfId="1" applyNumberFormat="1" applyFont="1"/>
    <xf numFmtId="166" fontId="6" fillId="0" borderId="0" xfId="1" applyNumberFormat="1" applyFont="1"/>
    <xf numFmtId="43" fontId="4" fillId="0" borderId="0" xfId="1" applyFont="1"/>
    <xf numFmtId="167" fontId="4" fillId="0" borderId="0" xfId="1" applyNumberFormat="1" applyFont="1"/>
    <xf numFmtId="166" fontId="4" fillId="0" borderId="0" xfId="1" applyNumberFormat="1" applyFont="1"/>
    <xf numFmtId="168" fontId="7" fillId="0" borderId="0" xfId="3" applyNumberFormat="1" applyFont="1" applyAlignment="1">
      <alignment horizontal="center"/>
    </xf>
    <xf numFmtId="168" fontId="4" fillId="0" borderId="0" xfId="3" applyNumberFormat="1" applyFont="1"/>
    <xf numFmtId="164" fontId="1" fillId="0" borderId="0" xfId="1" applyNumberFormat="1" applyFont="1" applyAlignment="1">
      <alignment horizontal="center"/>
    </xf>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https://www.bing.com/financeapi/forcetrigger?t=a24k27&amp;q=XNAS%3aTSEM&amp;form=skydnc</v>
    <v>Learn more on Bing</v>
  </rv>
  <rv s="1">
    <v>en-US</v>
    <v>a24k27</v>
    <v>268435456</v>
    <v>1</v>
    <v>Powered by Refinitiv</v>
    <v>0</v>
    <v>TOWER SEMICONDUCTOR LTD (XNAS:TSEM)</v>
    <v>2</v>
    <v>3</v>
    <v>Finance</v>
    <v>4</v>
    <v>47.98</v>
    <v>37.594999999999999</v>
    <v>0.89270000000000005</v>
    <v>0.01</v>
    <v>0</v>
    <v>2.43E-4</v>
    <v>0</v>
    <v>USD</v>
    <v>Tower Semiconductor Ltd. operates as an independent semiconductor foundry focused primarily on specialty process technologies. The Company focuses on producing integrated circuits (ICs) based on the design specifications of its customers. The Company manufactures semiconductors for its customers primarily based on third-party designs. It offers process manufacture geometries of 0.35, 0.50, 0.55, 0.60, 0.80-micron and above on 150 millimeter wafers, 0.35, 0.18. 0.16, 0.13 and 0.11-micron on 200 millimeter wafers, and 65 nanometer and 45 nanometer on 300 millimeter wafers. It also provides design support and technical services. The Company's ICs are incorporated into a range of products in markets, including consumer electronics, personal computers, communications, automotive, industrial and medical device products. The Company has manufacturing facilities in the United States, Israel and Japan.</v>
    <v>5613</v>
    <v>Nasdaq Stock Market</v>
    <v>XNAS</v>
    <v>XNAS</v>
    <v>20 Shaul Amor Avenue Ramat Gavriel Industrial Park, P.O. Box 619, MIGDAL HAEMEQ, 2310502 IL</v>
    <v>41.28</v>
    <v>Semiconductors &amp; Semiconductor Equipment</v>
    <v>Stock</v>
    <v>45093.837098610937</v>
    <v>0</v>
    <v>40.835000000000001</v>
    <v>16114520000</v>
    <v>TOWER SEMICONDUCTOR LTD</v>
    <v>TOWER SEMICONDUCTOR LTD</v>
    <v>41.23</v>
    <v>16.185500000000001</v>
    <v>41.16</v>
    <v>41.17</v>
    <v>41.17</v>
    <v>110054800</v>
    <v>TSEM</v>
    <v>TOWER SEMICONDUCTOR LTD (XNAS:TSEM)</v>
    <v>448315</v>
    <v>955522</v>
    <v>1993</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 xml:space="preserve">_ [$₪-he-IL] * #,##0_ ;_ [$₪-he-IL] * -#,##0_ ;_ [$₪-he-IL] * "-"_ ;_ @_ </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L64"/>
  <sheetViews>
    <sheetView tabSelected="1" topLeftCell="A51" zoomScale="125" zoomScaleNormal="125" workbookViewId="0">
      <pane xSplit="1" topLeftCell="P1" activePane="topRight" state="frozen"/>
      <selection pane="topRight" activeCell="Y11" sqref="Y11"/>
    </sheetView>
  </sheetViews>
  <sheetFormatPr defaultColWidth="12.7109375" defaultRowHeight="12.75" x14ac:dyDescent="0.2"/>
  <cols>
    <col min="1" max="1" width="42.7109375" style="2" customWidth="1"/>
    <col min="2" max="20" width="12.7109375" style="5" customWidth="1"/>
    <col min="21" max="21" width="10.7109375" style="5" customWidth="1"/>
    <col min="22" max="22" width="12.7109375" style="5" customWidth="1"/>
    <col min="23" max="23" width="10.7109375" style="5" customWidth="1"/>
    <col min="24" max="24" width="12.7109375" style="5" customWidth="1"/>
    <col min="25" max="25" width="10.7109375" style="5" customWidth="1"/>
    <col min="26" max="16384" width="12.7109375" style="5"/>
  </cols>
  <sheetData>
    <row r="1" spans="1:38" s="7" customFormat="1" ht="15" customHeight="1" x14ac:dyDescent="0.2">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t="s">
        <v>73</v>
      </c>
      <c r="V1" s="1">
        <v>44926</v>
      </c>
      <c r="W1" s="1" t="s">
        <v>73</v>
      </c>
      <c r="X1" s="1">
        <v>45016</v>
      </c>
      <c r="Y1" s="1" t="s">
        <v>73</v>
      </c>
      <c r="Z1" s="1">
        <v>45107</v>
      </c>
      <c r="AA1" s="1">
        <v>45199</v>
      </c>
      <c r="AB1" s="1">
        <v>45291</v>
      </c>
      <c r="AC1" s="1">
        <v>45382</v>
      </c>
      <c r="AD1" s="1">
        <v>45473</v>
      </c>
      <c r="AE1" s="3"/>
      <c r="AF1" s="3"/>
      <c r="AG1" s="3"/>
      <c r="AH1" s="3"/>
      <c r="AI1" s="3"/>
      <c r="AJ1" s="3"/>
      <c r="AK1" s="3"/>
      <c r="AL1" s="3"/>
    </row>
    <row r="2" spans="1:38" s="7" customFormat="1" ht="15" customHeight="1" x14ac:dyDescent="0.2">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74</v>
      </c>
      <c r="V2" s="3" t="s">
        <v>21</v>
      </c>
      <c r="W2" s="3" t="s">
        <v>74</v>
      </c>
      <c r="X2" s="3" t="s">
        <v>22</v>
      </c>
      <c r="Y2" s="3" t="s">
        <v>74</v>
      </c>
      <c r="Z2" s="3" t="s">
        <v>23</v>
      </c>
      <c r="AA2" s="3" t="s">
        <v>24</v>
      </c>
      <c r="AB2" s="3" t="s">
        <v>25</v>
      </c>
      <c r="AC2" s="3" t="s">
        <v>26</v>
      </c>
      <c r="AD2" s="3" t="s">
        <v>27</v>
      </c>
      <c r="AE2" s="3"/>
      <c r="AF2" s="3"/>
      <c r="AG2" s="3"/>
      <c r="AH2" s="3"/>
      <c r="AI2" s="3"/>
      <c r="AJ2" s="3"/>
      <c r="AK2" s="3"/>
      <c r="AL2" s="3"/>
    </row>
    <row r="3" spans="1:38" s="12" customFormat="1" x14ac:dyDescent="0.2">
      <c r="A3" s="8" t="e" vm="1">
        <v>#VALUE!</v>
      </c>
    </row>
    <row r="4" spans="1:38" s="12" customFormat="1" x14ac:dyDescent="0.2">
      <c r="A4" s="16" cm="1">
        <f t="array" ref="A4">_FV(A3,"Price")</f>
        <v>41.17</v>
      </c>
    </row>
    <row r="5" spans="1:38" s="19" customFormat="1" x14ac:dyDescent="0.2">
      <c r="A5" s="10" t="s">
        <v>41</v>
      </c>
      <c r="B5" s="19">
        <v>26.92</v>
      </c>
      <c r="C5" s="19">
        <v>22.01</v>
      </c>
      <c r="D5" s="19">
        <v>21.77</v>
      </c>
      <c r="E5" s="19">
        <v>14.75</v>
      </c>
      <c r="F5" s="19">
        <v>16.55</v>
      </c>
      <c r="G5" s="19">
        <v>15.76</v>
      </c>
      <c r="H5" s="19">
        <v>19.239999999999998</v>
      </c>
      <c r="I5" s="19">
        <v>24.06</v>
      </c>
      <c r="J5" s="19">
        <v>15.42</v>
      </c>
      <c r="K5" s="19">
        <v>19.100000000000001</v>
      </c>
      <c r="L5" s="19">
        <v>18.23</v>
      </c>
      <c r="M5" s="19">
        <v>25.8</v>
      </c>
      <c r="N5" s="19">
        <v>28.05</v>
      </c>
      <c r="O5" s="19">
        <v>29.42</v>
      </c>
      <c r="P5" s="19">
        <v>29.9</v>
      </c>
      <c r="Q5" s="19">
        <v>39.69</v>
      </c>
      <c r="R5" s="19">
        <v>48.42</v>
      </c>
      <c r="S5" s="19">
        <v>46.19</v>
      </c>
      <c r="T5" s="19">
        <v>43.94</v>
      </c>
      <c r="U5" s="25">
        <f>(T5-P5)/P5</f>
        <v>0.46956521739130436</v>
      </c>
      <c r="V5" s="19">
        <v>43.21</v>
      </c>
      <c r="W5" s="25">
        <f>(V5-Q5)/Q5</f>
        <v>8.8687326782564968E-2</v>
      </c>
      <c r="X5" s="19">
        <v>42.49</v>
      </c>
      <c r="Y5" s="25">
        <f>(X5-R5)/R5</f>
        <v>-0.12247005369681949</v>
      </c>
    </row>
    <row r="6" spans="1:38" s="20" customFormat="1" x14ac:dyDescent="0.2">
      <c r="A6" s="8" t="s">
        <v>42</v>
      </c>
      <c r="B6" s="20">
        <v>101.1</v>
      </c>
      <c r="C6" s="20">
        <v>101.1</v>
      </c>
      <c r="D6" s="20">
        <v>102.1</v>
      </c>
      <c r="E6" s="20">
        <v>105.77</v>
      </c>
      <c r="F6" s="20">
        <v>106.97</v>
      </c>
      <c r="G6" s="20">
        <v>107.2</v>
      </c>
      <c r="H6" s="20">
        <v>107.6</v>
      </c>
      <c r="I6" s="20">
        <v>107.99</v>
      </c>
      <c r="J6" s="20">
        <v>108.149</v>
      </c>
      <c r="K6" s="20">
        <v>108.3</v>
      </c>
      <c r="L6" s="20">
        <v>108.5</v>
      </c>
      <c r="M6" s="20">
        <v>108.99</v>
      </c>
      <c r="N6" s="20">
        <v>109.5</v>
      </c>
      <c r="O6" s="20">
        <v>109.62</v>
      </c>
      <c r="P6" s="20">
        <v>109.82</v>
      </c>
      <c r="Q6" s="20">
        <v>110.3</v>
      </c>
      <c r="R6" s="20">
        <v>110.5</v>
      </c>
      <c r="S6" s="20">
        <v>110.6</v>
      </c>
      <c r="T6" s="20">
        <v>110.82</v>
      </c>
      <c r="U6" s="25">
        <f t="shared" ref="U6:U64" si="0">(T6-P6)/P6</f>
        <v>9.1058095064651245E-3</v>
      </c>
      <c r="V6" s="20">
        <v>110.93</v>
      </c>
      <c r="W6" s="25">
        <f>(V6-Q6)/Q6</f>
        <v>5.7116953762466876E-3</v>
      </c>
      <c r="X6" s="20">
        <v>111.1</v>
      </c>
      <c r="Y6" s="25">
        <f>(X6-R6)/R6</f>
        <v>5.4298642533936138E-3</v>
      </c>
    </row>
    <row r="7" spans="1:38" s="20" customFormat="1" x14ac:dyDescent="0.2">
      <c r="A7" s="10" t="s">
        <v>43</v>
      </c>
      <c r="B7" s="20">
        <f t="shared" ref="B7" si="1">B5*B6</f>
        <v>2721.6120000000001</v>
      </c>
      <c r="C7" s="20">
        <f t="shared" ref="C7" si="2">C5*C6</f>
        <v>2225.2110000000002</v>
      </c>
      <c r="D7" s="20">
        <f t="shared" ref="D7" si="3">D5*D6</f>
        <v>2222.7169999999996</v>
      </c>
      <c r="E7" s="20">
        <f t="shared" ref="E7" si="4">E5*E6</f>
        <v>1560.1074999999998</v>
      </c>
      <c r="F7" s="20">
        <f t="shared" ref="F7" si="5">F5*F6</f>
        <v>1770.3535000000002</v>
      </c>
      <c r="G7" s="20">
        <f t="shared" ref="G7" si="6">G5*G6</f>
        <v>1689.472</v>
      </c>
      <c r="H7" s="20">
        <f t="shared" ref="H7" si="7">H5*H6</f>
        <v>2070.2239999999997</v>
      </c>
      <c r="I7" s="20">
        <f t="shared" ref="I7" si="8">I5*I6</f>
        <v>2598.2393999999999</v>
      </c>
      <c r="J7" s="20">
        <f t="shared" ref="J7" si="9">J5*J6</f>
        <v>1667.6575800000001</v>
      </c>
      <c r="K7" s="20">
        <f t="shared" ref="K7" si="10">K5*K6</f>
        <v>2068.5300000000002</v>
      </c>
      <c r="L7" s="20">
        <f t="shared" ref="L7" si="11">L5*L6</f>
        <v>1977.9550000000002</v>
      </c>
      <c r="M7" s="20">
        <f t="shared" ref="M7" si="12">M5*M6</f>
        <v>2811.942</v>
      </c>
      <c r="N7" s="20">
        <f t="shared" ref="N7" si="13">N5*N6</f>
        <v>3071.4749999999999</v>
      </c>
      <c r="O7" s="20">
        <f t="shared" ref="O7" si="14">O5*O6</f>
        <v>3225.0204000000003</v>
      </c>
      <c r="P7" s="20">
        <f t="shared" ref="P7" si="15">P5*P6</f>
        <v>3283.6179999999995</v>
      </c>
      <c r="Q7" s="20">
        <f t="shared" ref="Q7" si="16">Q5*Q6</f>
        <v>4377.8069999999998</v>
      </c>
      <c r="R7" s="20">
        <f t="shared" ref="R7" si="17">R5*R6</f>
        <v>5350.41</v>
      </c>
      <c r="S7" s="20">
        <f t="shared" ref="S7" si="18">S5*S6</f>
        <v>5108.6139999999996</v>
      </c>
      <c r="T7" s="20">
        <f t="shared" ref="T7" si="19">T5*T6</f>
        <v>4869.4307999999992</v>
      </c>
      <c r="U7" s="25">
        <f t="shared" si="0"/>
        <v>0.48294679831819654</v>
      </c>
      <c r="V7" s="20">
        <f t="shared" ref="V7" si="20">V5*V6</f>
        <v>4793.2853000000005</v>
      </c>
      <c r="W7" s="25">
        <f>(V7-Q7)/Q7</f>
        <v>9.490557715312728E-2</v>
      </c>
      <c r="X7" s="20">
        <f>X5*X6</f>
        <v>4720.6390000000001</v>
      </c>
      <c r="Y7" s="25">
        <f>(X7-R7)/R7</f>
        <v>-0.11770518521010534</v>
      </c>
      <c r="Z7" s="20">
        <f t="shared" ref="Z7" si="21">Z5*Z6</f>
        <v>0</v>
      </c>
      <c r="AA7" s="20">
        <f t="shared" ref="AA7" si="22">AA5*AA6</f>
        <v>0</v>
      </c>
      <c r="AB7" s="20">
        <f t="shared" ref="AB7" si="23">AB5*AB6</f>
        <v>0</v>
      </c>
      <c r="AC7" s="20">
        <f t="shared" ref="AC7" si="24">AC5*AC6</f>
        <v>0</v>
      </c>
    </row>
    <row r="8" spans="1:38" s="20" customFormat="1" x14ac:dyDescent="0.2">
      <c r="A8" s="8" t="s">
        <v>44</v>
      </c>
      <c r="B8" s="20">
        <f t="shared" ref="B8:T8" si="25">B30+B32+B31</f>
        <v>589.76</v>
      </c>
      <c r="C8" s="20">
        <f t="shared" si="25"/>
        <v>627</v>
      </c>
      <c r="D8" s="20">
        <f t="shared" si="25"/>
        <v>771.18000000000006</v>
      </c>
      <c r="E8" s="20">
        <f t="shared" si="25"/>
        <v>641.1</v>
      </c>
      <c r="F8" s="20">
        <f t="shared" si="25"/>
        <v>673.2</v>
      </c>
      <c r="G8" s="20">
        <f t="shared" si="25"/>
        <v>699.1</v>
      </c>
      <c r="H8" s="20">
        <f t="shared" si="25"/>
        <v>723.13000000000011</v>
      </c>
      <c r="I8" s="20">
        <f t="shared" si="25"/>
        <v>747.30000000000007</v>
      </c>
      <c r="J8" s="20">
        <f t="shared" si="25"/>
        <v>720.63</v>
      </c>
      <c r="K8" s="20">
        <f t="shared" si="25"/>
        <v>723.98</v>
      </c>
      <c r="L8" s="20">
        <f t="shared" si="25"/>
        <v>704.64</v>
      </c>
      <c r="M8" s="20">
        <f t="shared" si="25"/>
        <v>710.89</v>
      </c>
      <c r="N8" s="20">
        <f t="shared" si="25"/>
        <v>710</v>
      </c>
      <c r="O8" s="20">
        <f t="shared" si="25"/>
        <v>728.95499999999993</v>
      </c>
      <c r="P8" s="20">
        <f t="shared" si="25"/>
        <v>717.98</v>
      </c>
      <c r="Q8" s="20">
        <f t="shared" si="25"/>
        <v>764.67</v>
      </c>
      <c r="R8" s="20">
        <f t="shared" si="25"/>
        <v>790.9</v>
      </c>
      <c r="S8" s="20">
        <f t="shared" si="25"/>
        <v>855.99800000000005</v>
      </c>
      <c r="T8" s="20">
        <f t="shared" si="25"/>
        <v>901.14999999999986</v>
      </c>
      <c r="U8" s="25">
        <f t="shared" si="0"/>
        <v>0.25511852697846715</v>
      </c>
      <c r="V8" s="20">
        <f>V30+V32+V31</f>
        <v>1005.9</v>
      </c>
      <c r="W8" s="25">
        <f>(V8-Q8)/Q8</f>
        <v>0.31546941818039159</v>
      </c>
      <c r="X8" s="20">
        <f>X30+X32+X31</f>
        <v>945.93399999999997</v>
      </c>
      <c r="Y8" s="25">
        <f>(X8-R8)/R8</f>
        <v>0.19602225312934632</v>
      </c>
      <c r="Z8" s="20">
        <f t="shared" ref="Z8:AC8" si="26">Z30+Z32+Z31</f>
        <v>0</v>
      </c>
      <c r="AA8" s="20">
        <f t="shared" si="26"/>
        <v>0</v>
      </c>
      <c r="AB8" s="20">
        <f t="shared" si="26"/>
        <v>0</v>
      </c>
      <c r="AC8" s="20">
        <f t="shared" si="26"/>
        <v>0</v>
      </c>
    </row>
    <row r="9" spans="1:38" s="20" customFormat="1" x14ac:dyDescent="0.2">
      <c r="A9" s="8" t="s">
        <v>45</v>
      </c>
      <c r="B9" s="20">
        <f t="shared" ref="B9:T9" si="27">B45+B50</f>
        <v>343.8</v>
      </c>
      <c r="C9" s="20">
        <f t="shared" si="27"/>
        <v>348.94200000000001</v>
      </c>
      <c r="D9" s="20">
        <f t="shared" si="27"/>
        <v>293.5</v>
      </c>
      <c r="E9" s="20">
        <f t="shared" si="27"/>
        <v>267.5</v>
      </c>
      <c r="F9" s="20">
        <f t="shared" si="27"/>
        <v>308.53999999999996</v>
      </c>
      <c r="G9" s="20">
        <f t="shared" si="27"/>
        <v>321.09999999999997</v>
      </c>
      <c r="H9" s="20">
        <f t="shared" si="27"/>
        <v>319.46999999999997</v>
      </c>
      <c r="I9" s="20">
        <f t="shared" si="27"/>
        <v>311.75</v>
      </c>
      <c r="J9" s="20">
        <f t="shared" si="27"/>
        <v>283.08</v>
      </c>
      <c r="K9" s="20">
        <f t="shared" si="27"/>
        <v>299.5</v>
      </c>
      <c r="L9" s="20">
        <f t="shared" si="27"/>
        <v>316</v>
      </c>
      <c r="M9" s="20">
        <f t="shared" si="27"/>
        <v>390.3</v>
      </c>
      <c r="N9" s="20">
        <f t="shared" si="27"/>
        <v>342.93</v>
      </c>
      <c r="O9" s="20">
        <f t="shared" si="27"/>
        <v>338.56200000000001</v>
      </c>
      <c r="P9" s="20">
        <f t="shared" si="27"/>
        <v>317.70000000000005</v>
      </c>
      <c r="Q9" s="20">
        <f t="shared" si="27"/>
        <v>314.87</v>
      </c>
      <c r="R9" s="20">
        <f t="shared" si="27"/>
        <v>268.60000000000002</v>
      </c>
      <c r="S9" s="20">
        <f t="shared" si="27"/>
        <v>280.2</v>
      </c>
      <c r="T9" s="20">
        <f t="shared" si="27"/>
        <v>263.33999999999997</v>
      </c>
      <c r="U9" s="25">
        <f t="shared" si="0"/>
        <v>-0.17110481586402285</v>
      </c>
      <c r="V9" s="20">
        <f>V45+V50</f>
        <v>272.39999999999998</v>
      </c>
      <c r="W9" s="25">
        <f>(V9-Q9)/Q9</f>
        <v>-0.13488106202559796</v>
      </c>
      <c r="X9" s="20">
        <f>X45+X50</f>
        <v>243.66499999999999</v>
      </c>
      <c r="Y9" s="25">
        <f>(X9-R9)/R9</f>
        <v>-9.2833209233060418E-2</v>
      </c>
      <c r="Z9" s="20">
        <f t="shared" ref="Z9:AC9" si="28">Z45+Z50</f>
        <v>0</v>
      </c>
      <c r="AA9" s="20">
        <f t="shared" si="28"/>
        <v>0</v>
      </c>
      <c r="AB9" s="20">
        <f t="shared" si="28"/>
        <v>0</v>
      </c>
      <c r="AC9" s="20">
        <f t="shared" si="28"/>
        <v>0</v>
      </c>
    </row>
    <row r="10" spans="1:38" x14ac:dyDescent="0.2">
      <c r="A10" s="13"/>
      <c r="U10" s="25"/>
      <c r="W10" s="25"/>
      <c r="Y10" s="25"/>
    </row>
    <row r="11" spans="1:38" s="21" customFormat="1" x14ac:dyDescent="0.2">
      <c r="A11" s="9" t="s">
        <v>28</v>
      </c>
      <c r="B11" s="21">
        <v>312.7</v>
      </c>
      <c r="C11" s="21">
        <v>335.13</v>
      </c>
      <c r="D11" s="21">
        <v>322.60000000000002</v>
      </c>
      <c r="E11" s="21">
        <v>333.6</v>
      </c>
      <c r="F11" s="21">
        <v>310.10000000000002</v>
      </c>
      <c r="G11" s="21">
        <v>306.10000000000002</v>
      </c>
      <c r="H11" s="21">
        <v>312.10000000000002</v>
      </c>
      <c r="I11" s="21">
        <v>305.7</v>
      </c>
      <c r="J11" s="21">
        <v>300.2</v>
      </c>
      <c r="K11" s="21">
        <v>310.10000000000002</v>
      </c>
      <c r="L11" s="21">
        <v>310.2</v>
      </c>
      <c r="M11" s="21">
        <v>345.2</v>
      </c>
      <c r="N11" s="21">
        <v>347.2</v>
      </c>
      <c r="O11" s="21">
        <v>362.13</v>
      </c>
      <c r="P11" s="21">
        <v>386.7</v>
      </c>
      <c r="Q11" s="21">
        <v>412.1</v>
      </c>
      <c r="R11" s="21">
        <v>421.1</v>
      </c>
      <c r="S11" s="21">
        <v>426.2</v>
      </c>
      <c r="T11" s="21">
        <v>427.1</v>
      </c>
      <c r="U11" s="25">
        <f t="shared" si="0"/>
        <v>0.10447375226273606</v>
      </c>
      <c r="V11" s="21">
        <v>403.22</v>
      </c>
      <c r="W11" s="25">
        <f>(V11-Q11)/Q11</f>
        <v>-2.1548167920407656E-2</v>
      </c>
      <c r="X11" s="21">
        <v>355.6</v>
      </c>
      <c r="Y11" s="25">
        <f>(X11-R11)/R11</f>
        <v>-0.15554500118736642</v>
      </c>
    </row>
    <row r="12" spans="1:38" s="21" customFormat="1" x14ac:dyDescent="0.2">
      <c r="A12" s="11" t="s">
        <v>29</v>
      </c>
      <c r="B12" s="21">
        <v>246.54499999999999</v>
      </c>
      <c r="C12" s="21">
        <v>256.60000000000002</v>
      </c>
      <c r="D12" s="21">
        <v>249.97</v>
      </c>
      <c r="E12" s="21">
        <v>257.95</v>
      </c>
      <c r="F12" s="21">
        <v>246.95599999999999</v>
      </c>
      <c r="G12" s="21">
        <v>252.7</v>
      </c>
      <c r="H12" s="21">
        <v>253.84</v>
      </c>
      <c r="I12" s="21">
        <v>250.9</v>
      </c>
      <c r="J12" s="21">
        <v>247.62</v>
      </c>
      <c r="K12" s="21">
        <v>252.4</v>
      </c>
      <c r="L12" s="21">
        <v>256.8</v>
      </c>
      <c r="M12" s="21">
        <v>275.60000000000002</v>
      </c>
      <c r="N12" s="21">
        <v>277.39999999999998</v>
      </c>
      <c r="O12" s="21">
        <v>288.39999999999998</v>
      </c>
      <c r="P12" s="21">
        <v>301.3</v>
      </c>
      <c r="Q12" s="21">
        <v>311.93</v>
      </c>
      <c r="R12" s="21">
        <v>316.5</v>
      </c>
      <c r="S12" s="21">
        <v>313.7</v>
      </c>
      <c r="T12" s="21">
        <v>302.60000000000002</v>
      </c>
      <c r="U12" s="25">
        <f t="shared" si="0"/>
        <v>4.3146365748423874E-3</v>
      </c>
      <c r="V12" s="21">
        <v>278.5</v>
      </c>
      <c r="W12" s="25">
        <f>(V12-Q12)/Q12</f>
        <v>-0.10717148078094446</v>
      </c>
      <c r="X12" s="21">
        <v>259.89999999999998</v>
      </c>
      <c r="Y12" s="25">
        <f>(X12-R12)/R12</f>
        <v>-0.17883096366508697</v>
      </c>
    </row>
    <row r="13" spans="1:38" s="21" customFormat="1" x14ac:dyDescent="0.2">
      <c r="A13" s="11" t="s">
        <v>30</v>
      </c>
      <c r="B13" s="21">
        <f t="shared" ref="B13:T13" si="29">B11-B12</f>
        <v>66.155000000000001</v>
      </c>
      <c r="C13" s="21">
        <f t="shared" si="29"/>
        <v>78.529999999999973</v>
      </c>
      <c r="D13" s="21">
        <f t="shared" si="29"/>
        <v>72.630000000000024</v>
      </c>
      <c r="E13" s="21">
        <f t="shared" si="29"/>
        <v>75.650000000000034</v>
      </c>
      <c r="F13" s="21">
        <f t="shared" si="29"/>
        <v>63.144000000000034</v>
      </c>
      <c r="G13" s="21">
        <f t="shared" si="29"/>
        <v>53.400000000000034</v>
      </c>
      <c r="H13" s="21">
        <f t="shared" si="29"/>
        <v>58.260000000000019</v>
      </c>
      <c r="I13" s="21">
        <f t="shared" si="29"/>
        <v>54.799999999999983</v>
      </c>
      <c r="J13" s="21">
        <f t="shared" si="29"/>
        <v>52.579999999999984</v>
      </c>
      <c r="K13" s="21">
        <f t="shared" si="29"/>
        <v>57.700000000000017</v>
      </c>
      <c r="L13" s="21">
        <f t="shared" si="29"/>
        <v>53.399999999999977</v>
      </c>
      <c r="M13" s="21">
        <f t="shared" si="29"/>
        <v>69.599999999999966</v>
      </c>
      <c r="N13" s="21">
        <f t="shared" si="29"/>
        <v>69.800000000000011</v>
      </c>
      <c r="O13" s="21">
        <f t="shared" si="29"/>
        <v>73.730000000000018</v>
      </c>
      <c r="P13" s="21">
        <f t="shared" si="29"/>
        <v>85.399999999999977</v>
      </c>
      <c r="Q13" s="21">
        <f t="shared" si="29"/>
        <v>100.17000000000002</v>
      </c>
      <c r="R13" s="21">
        <f t="shared" si="29"/>
        <v>104.60000000000002</v>
      </c>
      <c r="S13" s="21">
        <f t="shared" si="29"/>
        <v>112.5</v>
      </c>
      <c r="T13" s="21">
        <f t="shared" si="29"/>
        <v>124.5</v>
      </c>
      <c r="U13" s="25">
        <f t="shared" si="0"/>
        <v>0.45784543325526972</v>
      </c>
      <c r="V13" s="21">
        <f>V11-V12</f>
        <v>124.72000000000003</v>
      </c>
      <c r="W13" s="25">
        <f>(V13-Q13)/Q13</f>
        <v>0.24508335829090552</v>
      </c>
      <c r="X13" s="21">
        <f>X11-X12</f>
        <v>95.700000000000045</v>
      </c>
      <c r="Y13" s="25">
        <f>(X13-R13)/R13</f>
        <v>-8.5086042065009318E-2</v>
      </c>
      <c r="Z13" s="21">
        <f t="shared" ref="Z13:AC13" si="30">Z11-Z12</f>
        <v>0</v>
      </c>
      <c r="AA13" s="21">
        <f t="shared" si="30"/>
        <v>0</v>
      </c>
      <c r="AB13" s="21">
        <f t="shared" si="30"/>
        <v>0</v>
      </c>
      <c r="AC13" s="21">
        <f t="shared" si="30"/>
        <v>0</v>
      </c>
    </row>
    <row r="14" spans="1:38" s="24" customFormat="1" x14ac:dyDescent="0.2">
      <c r="A14" s="6"/>
      <c r="U14" s="25"/>
      <c r="W14" s="25"/>
      <c r="Y14" s="25"/>
    </row>
    <row r="15" spans="1:38" s="24" customFormat="1" x14ac:dyDescent="0.2">
      <c r="A15" s="11" t="s">
        <v>31</v>
      </c>
      <c r="U15" s="25"/>
      <c r="W15" s="25"/>
      <c r="Y15" s="25"/>
    </row>
    <row r="16" spans="1:38" s="24" customFormat="1" x14ac:dyDescent="0.2">
      <c r="A16" s="13" t="s">
        <v>32</v>
      </c>
      <c r="B16" s="24">
        <v>18.3</v>
      </c>
      <c r="C16" s="24">
        <v>18.2</v>
      </c>
      <c r="D16" s="24">
        <v>18.23</v>
      </c>
      <c r="E16" s="24">
        <v>18.399999999999999</v>
      </c>
      <c r="F16" s="24">
        <v>19.2</v>
      </c>
      <c r="G16" s="24">
        <v>18.8</v>
      </c>
      <c r="H16" s="24">
        <v>18.7</v>
      </c>
      <c r="I16" s="24">
        <v>18.899999999999999</v>
      </c>
      <c r="J16" s="24">
        <v>19.399999999999999</v>
      </c>
      <c r="K16" s="24">
        <v>19.423999999999999</v>
      </c>
      <c r="L16" s="24">
        <v>19.559999999999999</v>
      </c>
      <c r="M16" s="24">
        <v>19.899999999999999</v>
      </c>
      <c r="N16" s="24">
        <v>20.343</v>
      </c>
      <c r="O16" s="24">
        <v>21.1</v>
      </c>
      <c r="P16" s="24">
        <v>21.6</v>
      </c>
      <c r="Q16" s="24">
        <v>22.4</v>
      </c>
      <c r="R16" s="24">
        <v>20.3</v>
      </c>
      <c r="S16" s="24">
        <v>20.5</v>
      </c>
      <c r="T16" s="24">
        <v>22.4</v>
      </c>
      <c r="U16" s="25">
        <f t="shared" si="0"/>
        <v>3.7037037037036903E-2</v>
      </c>
      <c r="V16" s="24">
        <v>20.7</v>
      </c>
      <c r="W16" s="25">
        <f>(V16-Q16)/Q16</f>
        <v>-7.5892857142857109E-2</v>
      </c>
      <c r="X16" s="24">
        <v>19.329999999999998</v>
      </c>
      <c r="Y16" s="25">
        <f>(X16-R16)/R16</f>
        <v>-4.7783251231527213E-2</v>
      </c>
    </row>
    <row r="17" spans="1:29" s="24" customFormat="1" x14ac:dyDescent="0.2">
      <c r="A17" s="13" t="s">
        <v>33</v>
      </c>
      <c r="B17" s="24">
        <v>15.99</v>
      </c>
      <c r="C17" s="24">
        <v>16.11</v>
      </c>
      <c r="D17" s="24">
        <v>15.82</v>
      </c>
      <c r="E17" s="24">
        <v>17</v>
      </c>
      <c r="F17" s="24">
        <v>16.600000000000001</v>
      </c>
      <c r="G17" s="24">
        <v>16.8</v>
      </c>
      <c r="H17" s="24">
        <v>16.8</v>
      </c>
      <c r="I17" s="24">
        <v>17.100000000000001</v>
      </c>
      <c r="J17" s="24">
        <v>16.7</v>
      </c>
      <c r="K17" s="24">
        <v>16.2</v>
      </c>
      <c r="L17" s="24">
        <v>14.89</v>
      </c>
      <c r="M17" s="24">
        <v>16.3</v>
      </c>
      <c r="N17" s="24">
        <v>16.989999999999998</v>
      </c>
      <c r="O17" s="24">
        <v>18.7</v>
      </c>
      <c r="P17" s="24">
        <v>19.600000000000001</v>
      </c>
      <c r="Q17" s="24">
        <v>21.93</v>
      </c>
      <c r="R17" s="24">
        <v>21.3</v>
      </c>
      <c r="S17" s="24">
        <v>21.3</v>
      </c>
      <c r="T17" s="24">
        <v>18.86</v>
      </c>
      <c r="U17" s="25">
        <f t="shared" si="0"/>
        <v>-3.7755102040816425E-2</v>
      </c>
      <c r="V17" s="24">
        <v>18.899999999999999</v>
      </c>
      <c r="W17" s="25">
        <f>(V17-Q17)/Q17</f>
        <v>-0.13816689466484275</v>
      </c>
      <c r="X17" s="24">
        <v>18.62</v>
      </c>
      <c r="Y17" s="25">
        <f>(X17-R17)/R17</f>
        <v>-0.12582159624413145</v>
      </c>
    </row>
    <row r="18" spans="1:29" s="24" customFormat="1" x14ac:dyDescent="0.2">
      <c r="A18" s="13" t="s">
        <v>34</v>
      </c>
      <c r="B18" s="24">
        <v>0</v>
      </c>
      <c r="C18" s="24">
        <v>0</v>
      </c>
      <c r="D18" s="24">
        <v>0</v>
      </c>
      <c r="E18" s="24">
        <v>0</v>
      </c>
      <c r="F18" s="24">
        <v>0</v>
      </c>
      <c r="G18" s="24">
        <v>0</v>
      </c>
      <c r="H18" s="24">
        <v>0</v>
      </c>
      <c r="I18" s="24">
        <v>0</v>
      </c>
      <c r="J18" s="24">
        <v>0</v>
      </c>
      <c r="K18" s="24">
        <v>0</v>
      </c>
      <c r="O18" s="24">
        <v>0</v>
      </c>
      <c r="P18" s="20">
        <v>0</v>
      </c>
      <c r="Q18" s="24">
        <v>0</v>
      </c>
      <c r="R18" s="24">
        <v>0</v>
      </c>
      <c r="S18" s="24">
        <v>0</v>
      </c>
      <c r="T18" s="24">
        <v>4</v>
      </c>
      <c r="U18" s="25" t="e">
        <f t="shared" si="0"/>
        <v>#DIV/0!</v>
      </c>
      <c r="V18" s="24">
        <v>-13.6</v>
      </c>
      <c r="W18" s="25" t="e">
        <f>(V18-Q18)/Q18</f>
        <v>#DIV/0!</v>
      </c>
      <c r="X18" s="24">
        <v>-31.7</v>
      </c>
      <c r="Y18" s="25" t="e">
        <f>(X18-R18)/R18</f>
        <v>#DIV/0!</v>
      </c>
    </row>
    <row r="19" spans="1:29" s="21" customFormat="1" x14ac:dyDescent="0.2">
      <c r="A19" s="15" t="s">
        <v>35</v>
      </c>
      <c r="B19" s="21">
        <f t="shared" ref="B19:T19" si="31">SUM(B16:B18)</f>
        <v>34.29</v>
      </c>
      <c r="C19" s="21">
        <f t="shared" si="31"/>
        <v>34.31</v>
      </c>
      <c r="D19" s="21">
        <f t="shared" si="31"/>
        <v>34.049999999999997</v>
      </c>
      <c r="E19" s="21">
        <f t="shared" si="31"/>
        <v>35.4</v>
      </c>
      <c r="F19" s="21">
        <f t="shared" si="31"/>
        <v>35.799999999999997</v>
      </c>
      <c r="G19" s="21">
        <f t="shared" si="31"/>
        <v>35.6</v>
      </c>
      <c r="H19" s="21">
        <f t="shared" si="31"/>
        <v>35.5</v>
      </c>
      <c r="I19" s="21">
        <f t="shared" si="31"/>
        <v>36</v>
      </c>
      <c r="J19" s="21">
        <f t="shared" si="31"/>
        <v>36.099999999999994</v>
      </c>
      <c r="K19" s="21">
        <f t="shared" si="31"/>
        <v>35.623999999999995</v>
      </c>
      <c r="L19" s="21">
        <f t="shared" si="31"/>
        <v>34.450000000000003</v>
      </c>
      <c r="M19" s="21">
        <f t="shared" si="31"/>
        <v>36.200000000000003</v>
      </c>
      <c r="N19" s="21">
        <f t="shared" si="31"/>
        <v>37.332999999999998</v>
      </c>
      <c r="O19" s="21">
        <f t="shared" si="31"/>
        <v>39.799999999999997</v>
      </c>
      <c r="P19" s="21">
        <f t="shared" si="31"/>
        <v>41.2</v>
      </c>
      <c r="Q19" s="21">
        <f t="shared" si="31"/>
        <v>44.33</v>
      </c>
      <c r="R19" s="21">
        <f t="shared" si="31"/>
        <v>41.6</v>
      </c>
      <c r="S19" s="21">
        <f t="shared" si="31"/>
        <v>41.8</v>
      </c>
      <c r="T19" s="21">
        <f t="shared" si="31"/>
        <v>45.26</v>
      </c>
      <c r="U19" s="25">
        <f t="shared" si="0"/>
        <v>9.854368932038822E-2</v>
      </c>
      <c r="V19" s="21">
        <f>SUM(V16:V18)</f>
        <v>25.999999999999993</v>
      </c>
      <c r="W19" s="25">
        <f>(V19-Q19)/Q19</f>
        <v>-0.41348973607038136</v>
      </c>
      <c r="X19" s="21">
        <f>SUM(X16:X18)</f>
        <v>6.2500000000000036</v>
      </c>
      <c r="Y19" s="25">
        <f>(X19-R19)/R19</f>
        <v>-0.8497596153846152</v>
      </c>
      <c r="Z19" s="21">
        <f t="shared" ref="Z19:AC19" si="32">SUM(Z16:Z18)</f>
        <v>0</v>
      </c>
      <c r="AA19" s="21">
        <f t="shared" si="32"/>
        <v>0</v>
      </c>
      <c r="AB19" s="21">
        <f t="shared" si="32"/>
        <v>0</v>
      </c>
      <c r="AC19" s="21">
        <f t="shared" si="32"/>
        <v>0</v>
      </c>
    </row>
    <row r="20" spans="1:29" s="24" customFormat="1" x14ac:dyDescent="0.2">
      <c r="A20" s="2"/>
      <c r="U20" s="25"/>
      <c r="W20" s="25"/>
      <c r="Y20" s="25"/>
    </row>
    <row r="21" spans="1:29" s="24" customFormat="1" x14ac:dyDescent="0.2">
      <c r="A21" s="10" t="s">
        <v>36</v>
      </c>
      <c r="B21" s="24">
        <f t="shared" ref="B21:T21" si="33">B13-B19</f>
        <v>31.865000000000002</v>
      </c>
      <c r="C21" s="24">
        <f t="shared" si="33"/>
        <v>44.21999999999997</v>
      </c>
      <c r="D21" s="24">
        <f t="shared" si="33"/>
        <v>38.580000000000027</v>
      </c>
      <c r="E21" s="24">
        <f t="shared" si="33"/>
        <v>40.250000000000036</v>
      </c>
      <c r="F21" s="24">
        <f t="shared" si="33"/>
        <v>27.344000000000037</v>
      </c>
      <c r="G21" s="24">
        <f t="shared" si="33"/>
        <v>17.800000000000033</v>
      </c>
      <c r="H21" s="24">
        <f t="shared" si="33"/>
        <v>22.760000000000019</v>
      </c>
      <c r="I21" s="24">
        <f t="shared" si="33"/>
        <v>18.799999999999983</v>
      </c>
      <c r="J21" s="24">
        <f t="shared" si="33"/>
        <v>16.47999999999999</v>
      </c>
      <c r="K21" s="24">
        <f t="shared" si="33"/>
        <v>22.076000000000022</v>
      </c>
      <c r="L21" s="24">
        <f t="shared" si="33"/>
        <v>18.949999999999974</v>
      </c>
      <c r="M21" s="24">
        <f t="shared" si="33"/>
        <v>33.399999999999963</v>
      </c>
      <c r="N21" s="24">
        <f t="shared" si="33"/>
        <v>32.467000000000013</v>
      </c>
      <c r="O21" s="24">
        <f t="shared" si="33"/>
        <v>33.930000000000021</v>
      </c>
      <c r="P21" s="24">
        <f t="shared" si="33"/>
        <v>44.199999999999974</v>
      </c>
      <c r="Q21" s="24">
        <f t="shared" si="33"/>
        <v>55.840000000000018</v>
      </c>
      <c r="R21" s="24">
        <f t="shared" si="33"/>
        <v>63.000000000000021</v>
      </c>
      <c r="S21" s="24">
        <f t="shared" si="33"/>
        <v>70.7</v>
      </c>
      <c r="T21" s="24">
        <f t="shared" si="33"/>
        <v>79.240000000000009</v>
      </c>
      <c r="U21" s="25">
        <f t="shared" si="0"/>
        <v>0.7927601809954764</v>
      </c>
      <c r="V21" s="24">
        <f>V13-V19</f>
        <v>98.720000000000027</v>
      </c>
      <c r="W21" s="25">
        <f t="shared" ref="W21:W26" si="34">(V21-Q21)/Q21</f>
        <v>0.7679083094555873</v>
      </c>
      <c r="X21" s="24">
        <f>X13-X19</f>
        <v>89.450000000000045</v>
      </c>
      <c r="Y21" s="25">
        <f t="shared" ref="Y21:Y26" si="35">(X21-R21)/R21</f>
        <v>0.41984126984127007</v>
      </c>
      <c r="Z21" s="24">
        <f t="shared" ref="Z21:AC21" si="36">Z13-Z19</f>
        <v>0</v>
      </c>
      <c r="AA21" s="24">
        <f t="shared" si="36"/>
        <v>0</v>
      </c>
      <c r="AB21" s="24">
        <f t="shared" si="36"/>
        <v>0</v>
      </c>
      <c r="AC21" s="24">
        <f t="shared" si="36"/>
        <v>0</v>
      </c>
    </row>
    <row r="22" spans="1:29" s="24" customFormat="1" x14ac:dyDescent="0.2">
      <c r="A22" s="10" t="s">
        <v>37</v>
      </c>
      <c r="B22" s="24">
        <f>0.022-3.791</f>
        <v>-3.7690000000000001</v>
      </c>
      <c r="C22" s="24">
        <f>1.578-7.031</f>
        <v>-5.4529999999999994</v>
      </c>
      <c r="D22" s="24">
        <v>-2.4900000000000002</v>
      </c>
      <c r="E22" s="24">
        <v>-3.9</v>
      </c>
      <c r="F22" s="24">
        <v>0.7</v>
      </c>
      <c r="G22" s="24">
        <v>0.9</v>
      </c>
      <c r="H22" s="24">
        <v>-0.42</v>
      </c>
      <c r="I22" s="24">
        <v>3.1</v>
      </c>
      <c r="J22" s="24">
        <v>-2.11</v>
      </c>
      <c r="K22" s="24">
        <v>1.8</v>
      </c>
      <c r="L22" s="24">
        <v>-0.6</v>
      </c>
      <c r="M22" s="24">
        <v>-1.5</v>
      </c>
      <c r="N22" s="24">
        <v>-7.8419999999999996</v>
      </c>
      <c r="O22" s="24">
        <v>-0.5</v>
      </c>
      <c r="P22" s="24">
        <v>-2.7</v>
      </c>
      <c r="Q22" s="24">
        <v>-0.37</v>
      </c>
      <c r="R22" s="24">
        <v>-2.1</v>
      </c>
      <c r="S22" s="24">
        <v>-8.1999999999999993</v>
      </c>
      <c r="T22" s="24">
        <v>-9.4</v>
      </c>
      <c r="U22" s="25">
        <f t="shared" si="0"/>
        <v>2.4814814814814814</v>
      </c>
      <c r="V22" s="24">
        <v>-0.1</v>
      </c>
      <c r="W22" s="25">
        <f t="shared" si="34"/>
        <v>-0.72972972972972983</v>
      </c>
      <c r="X22" s="24">
        <v>6.99</v>
      </c>
      <c r="Y22" s="25">
        <f t="shared" si="35"/>
        <v>-4.3285714285714283</v>
      </c>
    </row>
    <row r="23" spans="1:29" s="24" customFormat="1" x14ac:dyDescent="0.2">
      <c r="A23" s="13" t="s">
        <v>38</v>
      </c>
      <c r="B23" s="24">
        <f t="shared" ref="B23:T23" si="37">SUM(B21:B22)</f>
        <v>28.096000000000004</v>
      </c>
      <c r="C23" s="24">
        <f t="shared" si="37"/>
        <v>38.766999999999967</v>
      </c>
      <c r="D23" s="24">
        <f t="shared" si="37"/>
        <v>36.090000000000025</v>
      </c>
      <c r="E23" s="24">
        <f t="shared" si="37"/>
        <v>36.350000000000037</v>
      </c>
      <c r="F23" s="24">
        <f t="shared" si="37"/>
        <v>28.044000000000036</v>
      </c>
      <c r="G23" s="24">
        <f t="shared" si="37"/>
        <v>18.700000000000031</v>
      </c>
      <c r="H23" s="24">
        <f t="shared" si="37"/>
        <v>22.340000000000018</v>
      </c>
      <c r="I23" s="24">
        <f t="shared" si="37"/>
        <v>21.899999999999984</v>
      </c>
      <c r="J23" s="24">
        <f t="shared" si="37"/>
        <v>14.36999999999999</v>
      </c>
      <c r="K23" s="24">
        <f t="shared" si="37"/>
        <v>23.876000000000023</v>
      </c>
      <c r="L23" s="24">
        <f t="shared" si="37"/>
        <v>18.349999999999973</v>
      </c>
      <c r="M23" s="24">
        <f t="shared" si="37"/>
        <v>31.899999999999963</v>
      </c>
      <c r="N23" s="24">
        <f t="shared" si="37"/>
        <v>24.625000000000014</v>
      </c>
      <c r="O23" s="24">
        <f t="shared" si="37"/>
        <v>33.430000000000021</v>
      </c>
      <c r="P23" s="24">
        <f t="shared" si="37"/>
        <v>41.499999999999972</v>
      </c>
      <c r="Q23" s="24">
        <f t="shared" si="37"/>
        <v>55.47000000000002</v>
      </c>
      <c r="R23" s="24">
        <f t="shared" si="37"/>
        <v>60.90000000000002</v>
      </c>
      <c r="S23" s="24">
        <f t="shared" si="37"/>
        <v>62.5</v>
      </c>
      <c r="T23" s="24">
        <f t="shared" si="37"/>
        <v>69.84</v>
      </c>
      <c r="U23" s="25">
        <f t="shared" si="0"/>
        <v>0.68289156626506142</v>
      </c>
      <c r="V23" s="24">
        <f>SUM(V21:V22)</f>
        <v>98.620000000000033</v>
      </c>
      <c r="W23" s="25">
        <f t="shared" si="34"/>
        <v>0.77789796286280866</v>
      </c>
      <c r="X23" s="24">
        <f>SUM(X21:X22)</f>
        <v>96.44000000000004</v>
      </c>
      <c r="Y23" s="25">
        <f t="shared" si="35"/>
        <v>0.58357963875205265</v>
      </c>
      <c r="Z23" s="24">
        <f t="shared" ref="Z23:AC23" si="38">SUM(Z21:Z22)</f>
        <v>0</v>
      </c>
      <c r="AA23" s="24">
        <f t="shared" si="38"/>
        <v>0</v>
      </c>
      <c r="AB23" s="24">
        <f t="shared" si="38"/>
        <v>0</v>
      </c>
      <c r="AC23" s="24">
        <f t="shared" si="38"/>
        <v>0</v>
      </c>
    </row>
    <row r="24" spans="1:29" s="24" customFormat="1" x14ac:dyDescent="0.2">
      <c r="A24" s="13" t="s">
        <v>39</v>
      </c>
      <c r="B24" s="24">
        <v>-1</v>
      </c>
      <c r="C24" s="24">
        <v>-2.77</v>
      </c>
      <c r="D24" s="24">
        <v>-2.3879999999999999</v>
      </c>
      <c r="E24" s="24">
        <v>0.2</v>
      </c>
      <c r="F24" s="24">
        <v>-1.677</v>
      </c>
      <c r="G24" s="24">
        <v>1</v>
      </c>
      <c r="H24" s="24">
        <v>0.1</v>
      </c>
      <c r="I24" s="24">
        <v>-2.4</v>
      </c>
      <c r="J24" s="24">
        <v>1.7</v>
      </c>
      <c r="K24" s="24">
        <v>-2.5</v>
      </c>
      <c r="L24" s="24">
        <v>-2.8</v>
      </c>
      <c r="M24" s="24">
        <v>-1.8</v>
      </c>
      <c r="N24" s="24">
        <v>5.87</v>
      </c>
      <c r="O24" s="24">
        <v>-2.2000000000000002</v>
      </c>
      <c r="P24" s="24">
        <v>-1.1000000000000001</v>
      </c>
      <c r="Q24" s="24">
        <v>-3.6139999999999999</v>
      </c>
      <c r="R24" s="24">
        <v>-5.2</v>
      </c>
      <c r="S24" s="24">
        <v>-4.33</v>
      </c>
      <c r="T24" s="24">
        <v>-3.2</v>
      </c>
      <c r="U24" s="25">
        <f t="shared" si="0"/>
        <v>1.9090909090909089</v>
      </c>
      <c r="V24" s="24">
        <v>-12.8</v>
      </c>
      <c r="W24" s="25">
        <f t="shared" si="34"/>
        <v>2.5417819590481461</v>
      </c>
      <c r="X24" s="24">
        <v>-15</v>
      </c>
      <c r="Y24" s="25">
        <f t="shared" si="35"/>
        <v>1.8846153846153846</v>
      </c>
    </row>
    <row r="25" spans="1:29" s="21" customFormat="1" x14ac:dyDescent="0.2">
      <c r="A25" s="15" t="s">
        <v>40</v>
      </c>
      <c r="B25" s="21">
        <f t="shared" ref="B25:T25" si="39">SUM(B23:B24)</f>
        <v>27.096000000000004</v>
      </c>
      <c r="C25" s="21">
        <f t="shared" si="39"/>
        <v>35.996999999999964</v>
      </c>
      <c r="D25" s="21">
        <f t="shared" si="39"/>
        <v>33.702000000000027</v>
      </c>
      <c r="E25" s="21">
        <f t="shared" si="39"/>
        <v>36.55000000000004</v>
      </c>
      <c r="F25" s="21">
        <f t="shared" si="39"/>
        <v>26.367000000000036</v>
      </c>
      <c r="G25" s="21">
        <f t="shared" si="39"/>
        <v>19.700000000000031</v>
      </c>
      <c r="H25" s="21">
        <f t="shared" si="39"/>
        <v>22.440000000000019</v>
      </c>
      <c r="I25" s="21">
        <f t="shared" si="39"/>
        <v>19.499999999999986</v>
      </c>
      <c r="J25" s="21">
        <f t="shared" si="39"/>
        <v>16.06999999999999</v>
      </c>
      <c r="K25" s="21">
        <f t="shared" si="39"/>
        <v>21.376000000000023</v>
      </c>
      <c r="L25" s="21">
        <f t="shared" si="39"/>
        <v>15.549999999999972</v>
      </c>
      <c r="M25" s="21">
        <f t="shared" si="39"/>
        <v>30.099999999999962</v>
      </c>
      <c r="N25" s="21">
        <f t="shared" si="39"/>
        <v>30.495000000000015</v>
      </c>
      <c r="O25" s="21">
        <f t="shared" si="39"/>
        <v>31.230000000000022</v>
      </c>
      <c r="P25" s="21">
        <f t="shared" si="39"/>
        <v>40.39999999999997</v>
      </c>
      <c r="Q25" s="21">
        <f t="shared" si="39"/>
        <v>51.856000000000023</v>
      </c>
      <c r="R25" s="21">
        <f t="shared" si="39"/>
        <v>55.700000000000017</v>
      </c>
      <c r="S25" s="21">
        <f t="shared" si="39"/>
        <v>58.17</v>
      </c>
      <c r="T25" s="21">
        <f t="shared" si="39"/>
        <v>66.64</v>
      </c>
      <c r="U25" s="25">
        <f t="shared" si="0"/>
        <v>0.64950495049505075</v>
      </c>
      <c r="V25" s="21">
        <f>SUM(V23:V24)</f>
        <v>85.820000000000036</v>
      </c>
      <c r="W25" s="25">
        <f t="shared" si="34"/>
        <v>0.65496760259179265</v>
      </c>
      <c r="X25" s="21">
        <f>SUM(X23:X24)</f>
        <v>81.44000000000004</v>
      </c>
      <c r="Y25" s="25">
        <f t="shared" si="35"/>
        <v>0.46211849192100568</v>
      </c>
      <c r="Z25" s="21">
        <f t="shared" ref="Z25:AC25" si="40">SUM(Z23:Z24)</f>
        <v>0</v>
      </c>
      <c r="AA25" s="21">
        <f t="shared" si="40"/>
        <v>0</v>
      </c>
      <c r="AB25" s="21">
        <f t="shared" si="40"/>
        <v>0</v>
      </c>
      <c r="AC25" s="21">
        <f t="shared" si="40"/>
        <v>0</v>
      </c>
    </row>
    <row r="26" spans="1:29" s="20" customFormat="1" x14ac:dyDescent="0.2">
      <c r="A26" s="8" t="s">
        <v>70</v>
      </c>
      <c r="B26" s="20">
        <v>-1.1000000000000001</v>
      </c>
      <c r="C26" s="20">
        <v>1.7</v>
      </c>
      <c r="D26" s="20">
        <v>2.8000000000000001E-2</v>
      </c>
      <c r="E26" s="20">
        <v>1.55</v>
      </c>
      <c r="F26" s="20">
        <v>-0.2</v>
      </c>
      <c r="G26" s="20">
        <v>1.21</v>
      </c>
      <c r="H26" s="20">
        <v>-0.2</v>
      </c>
      <c r="I26" s="20">
        <v>1.1000000000000001</v>
      </c>
      <c r="J26" s="20">
        <v>1</v>
      </c>
      <c r="K26" s="20">
        <v>-2.4</v>
      </c>
      <c r="L26" s="20">
        <v>-0.5</v>
      </c>
      <c r="M26" s="20">
        <v>1</v>
      </c>
      <c r="N26" s="20">
        <v>-2.2000000000000002</v>
      </c>
      <c r="O26" s="20">
        <v>-0.45</v>
      </c>
      <c r="P26" s="20">
        <v>-1.3</v>
      </c>
      <c r="Q26" s="20">
        <v>-0.13</v>
      </c>
      <c r="R26" s="20">
        <v>-1.7</v>
      </c>
      <c r="S26" s="20">
        <v>-0.1</v>
      </c>
      <c r="T26" s="20">
        <v>2.4500000000000002</v>
      </c>
      <c r="U26" s="25">
        <f t="shared" si="0"/>
        <v>-2.8846153846153846</v>
      </c>
      <c r="V26" s="20">
        <v>-2.5</v>
      </c>
      <c r="W26" s="25">
        <f t="shared" si="34"/>
        <v>18.23076923076923</v>
      </c>
      <c r="X26" s="20">
        <v>-9.9659999999999993</v>
      </c>
      <c r="Y26" s="25">
        <f t="shared" si="35"/>
        <v>4.8623529411764705</v>
      </c>
    </row>
    <row r="27" spans="1:29" s="24" customFormat="1" x14ac:dyDescent="0.2">
      <c r="A27" s="2"/>
      <c r="U27" s="25"/>
      <c r="W27" s="25"/>
      <c r="Y27" s="25"/>
    </row>
    <row r="28" spans="1:29" s="24" customFormat="1" x14ac:dyDescent="0.2">
      <c r="A28" s="11" t="s">
        <v>46</v>
      </c>
      <c r="U28" s="25"/>
      <c r="W28" s="25"/>
      <c r="Y28" s="25"/>
    </row>
    <row r="29" spans="1:29" s="24" customFormat="1" x14ac:dyDescent="0.2">
      <c r="A29" s="14" t="s">
        <v>47</v>
      </c>
      <c r="U29" s="25"/>
      <c r="W29" s="25"/>
      <c r="Y29" s="25"/>
    </row>
    <row r="30" spans="1:29" s="24" customFormat="1" x14ac:dyDescent="0.2">
      <c r="A30" s="17" t="s">
        <v>44</v>
      </c>
      <c r="B30" s="24">
        <v>464.66</v>
      </c>
      <c r="C30" s="24">
        <v>486.9</v>
      </c>
      <c r="D30" s="24">
        <v>464.44</v>
      </c>
      <c r="E30" s="24">
        <v>385.1</v>
      </c>
      <c r="F30" s="24">
        <v>408.1</v>
      </c>
      <c r="G30" s="24">
        <v>405.2</v>
      </c>
      <c r="H30" s="24">
        <v>417.6</v>
      </c>
      <c r="I30" s="24">
        <v>355.6</v>
      </c>
      <c r="J30" s="24">
        <v>251.3</v>
      </c>
      <c r="K30" s="24">
        <v>258.8</v>
      </c>
      <c r="L30" s="24">
        <v>207.7</v>
      </c>
      <c r="M30" s="24">
        <v>211.7</v>
      </c>
      <c r="N30" s="24">
        <v>215.6</v>
      </c>
      <c r="O30" s="24">
        <v>215.755</v>
      </c>
      <c r="P30" s="24">
        <v>211.5</v>
      </c>
      <c r="Q30" s="24">
        <v>210.93</v>
      </c>
      <c r="R30" s="24">
        <v>203.5</v>
      </c>
      <c r="S30" s="24">
        <v>211.2</v>
      </c>
      <c r="T30" s="24">
        <v>390.4</v>
      </c>
      <c r="U30" s="25">
        <f t="shared" si="0"/>
        <v>0.84586288416075639</v>
      </c>
      <c r="V30" s="24">
        <v>340.8</v>
      </c>
      <c r="W30" s="25">
        <f t="shared" ref="W30:W41" si="41">(V30-Q30)/Q30</f>
        <v>0.6157018916228133</v>
      </c>
      <c r="X30" s="24">
        <v>304.93400000000003</v>
      </c>
      <c r="Y30" s="25">
        <f t="shared" ref="Y30:Y41" si="42">(X30-R30)/R30</f>
        <v>0.49844717444717457</v>
      </c>
    </row>
    <row r="31" spans="1:29" s="24" customFormat="1" x14ac:dyDescent="0.2">
      <c r="A31" s="17" t="s">
        <v>48</v>
      </c>
      <c r="B31" s="24">
        <v>0</v>
      </c>
      <c r="C31" s="24">
        <v>0</v>
      </c>
      <c r="D31" s="24">
        <v>143</v>
      </c>
      <c r="E31" s="24">
        <v>120.1</v>
      </c>
      <c r="F31" s="24">
        <v>121.1</v>
      </c>
      <c r="G31" s="24">
        <v>147</v>
      </c>
      <c r="H31" s="24">
        <v>159.22999999999999</v>
      </c>
      <c r="I31" s="24">
        <v>215.6</v>
      </c>
      <c r="J31" s="24">
        <v>277.89999999999998</v>
      </c>
      <c r="K31" s="24">
        <v>269.3</v>
      </c>
      <c r="L31" s="24">
        <v>313</v>
      </c>
      <c r="M31" s="24">
        <v>310.23</v>
      </c>
      <c r="N31" s="24">
        <v>307.39999999999998</v>
      </c>
      <c r="O31" s="24">
        <v>323.7</v>
      </c>
      <c r="P31" s="24">
        <v>315.95999999999998</v>
      </c>
      <c r="Q31" s="24">
        <v>363.64</v>
      </c>
      <c r="R31" s="24">
        <v>402.9</v>
      </c>
      <c r="S31" s="24">
        <v>468.298</v>
      </c>
      <c r="T31" s="24">
        <v>338.8</v>
      </c>
      <c r="U31" s="25">
        <f t="shared" si="0"/>
        <v>7.2287631345740067E-2</v>
      </c>
      <c r="V31" s="24">
        <v>495.4</v>
      </c>
      <c r="W31" s="25">
        <f t="shared" si="41"/>
        <v>0.36233637663623364</v>
      </c>
      <c r="X31" s="24">
        <v>469.3</v>
      </c>
      <c r="Y31" s="25">
        <f t="shared" si="42"/>
        <v>0.16480516257135774</v>
      </c>
    </row>
    <row r="32" spans="1:29" s="24" customFormat="1" x14ac:dyDescent="0.2">
      <c r="A32" s="17" t="s">
        <v>49</v>
      </c>
      <c r="B32" s="24">
        <v>125.1</v>
      </c>
      <c r="C32" s="24">
        <v>140.1</v>
      </c>
      <c r="D32" s="24">
        <v>163.74</v>
      </c>
      <c r="E32" s="24">
        <v>135.9</v>
      </c>
      <c r="F32" s="24">
        <v>144</v>
      </c>
      <c r="G32" s="24">
        <v>146.9</v>
      </c>
      <c r="H32" s="24">
        <v>146.30000000000001</v>
      </c>
      <c r="I32" s="24">
        <v>176.1</v>
      </c>
      <c r="J32" s="24">
        <v>191.43</v>
      </c>
      <c r="K32" s="24">
        <v>195.88</v>
      </c>
      <c r="L32" s="24">
        <v>183.94</v>
      </c>
      <c r="M32" s="24">
        <v>188.96</v>
      </c>
      <c r="N32" s="24">
        <v>187</v>
      </c>
      <c r="O32" s="24">
        <v>189.5</v>
      </c>
      <c r="P32" s="24">
        <v>190.52</v>
      </c>
      <c r="Q32" s="24">
        <v>190.1</v>
      </c>
      <c r="R32" s="24">
        <v>184.5</v>
      </c>
      <c r="S32" s="24">
        <v>176.5</v>
      </c>
      <c r="T32" s="24">
        <v>171.95</v>
      </c>
      <c r="U32" s="25">
        <f t="shared" si="0"/>
        <v>-9.7470081881167445E-2</v>
      </c>
      <c r="V32" s="24">
        <v>169.7</v>
      </c>
      <c r="W32" s="25">
        <f t="shared" si="41"/>
        <v>-0.10731194108364023</v>
      </c>
      <c r="X32" s="24">
        <v>171.7</v>
      </c>
      <c r="Y32" s="25">
        <f t="shared" si="42"/>
        <v>-6.9376693766937725E-2</v>
      </c>
    </row>
    <row r="33" spans="1:29" s="24" customFormat="1" x14ac:dyDescent="0.2">
      <c r="A33" s="17" t="s">
        <v>50</v>
      </c>
      <c r="B33" s="24">
        <v>144.4</v>
      </c>
      <c r="C33" s="24">
        <v>161</v>
      </c>
      <c r="D33" s="24">
        <v>159.5</v>
      </c>
      <c r="E33" s="24">
        <v>153.4</v>
      </c>
      <c r="F33" s="24">
        <v>134.22300000000001</v>
      </c>
      <c r="G33" s="24">
        <v>123.8</v>
      </c>
      <c r="H33" s="24">
        <v>123.5</v>
      </c>
      <c r="I33" s="24">
        <v>126.99</v>
      </c>
      <c r="J33" s="24">
        <v>115.2</v>
      </c>
      <c r="K33" s="24">
        <v>128.4</v>
      </c>
      <c r="L33" s="24">
        <v>118.1</v>
      </c>
      <c r="M33" s="24">
        <v>162.1</v>
      </c>
      <c r="N33" s="24">
        <v>164.2</v>
      </c>
      <c r="O33" s="24">
        <v>144.9</v>
      </c>
      <c r="P33" s="24">
        <v>144.9</v>
      </c>
      <c r="Q33" s="24">
        <v>142.22</v>
      </c>
      <c r="R33" s="24">
        <v>176.44</v>
      </c>
      <c r="S33" s="24">
        <v>170.55</v>
      </c>
      <c r="T33" s="24">
        <v>165.1</v>
      </c>
      <c r="U33" s="25">
        <f t="shared" si="0"/>
        <v>0.13940648723257409</v>
      </c>
      <c r="V33" s="24">
        <v>152.93</v>
      </c>
      <c r="W33" s="25">
        <f t="shared" si="41"/>
        <v>7.5305864154127461E-2</v>
      </c>
      <c r="X33" s="24">
        <v>144.19999999999999</v>
      </c>
      <c r="Y33" s="25">
        <f t="shared" si="42"/>
        <v>-0.18272500566764913</v>
      </c>
    </row>
    <row r="34" spans="1:29" s="24" customFormat="1" x14ac:dyDescent="0.2">
      <c r="A34" s="17" t="s">
        <v>51</v>
      </c>
      <c r="B34" s="24">
        <v>148.4</v>
      </c>
      <c r="C34" s="24">
        <v>153.4</v>
      </c>
      <c r="D34" s="24">
        <v>20.966999999999999</v>
      </c>
      <c r="E34" s="24">
        <v>170.77</v>
      </c>
      <c r="F34" s="24">
        <v>173.8</v>
      </c>
      <c r="G34" s="24">
        <v>174.8</v>
      </c>
      <c r="H34" s="24">
        <v>187.9</v>
      </c>
      <c r="I34" s="24">
        <v>192.3</v>
      </c>
      <c r="J34" s="24">
        <v>198.3</v>
      </c>
      <c r="K34" s="24">
        <v>210.12</v>
      </c>
      <c r="L34" s="24">
        <v>204.93299999999999</v>
      </c>
      <c r="M34" s="24">
        <v>199.1</v>
      </c>
      <c r="N34" s="24">
        <v>197.2</v>
      </c>
      <c r="O34" s="24">
        <v>209.3</v>
      </c>
      <c r="P34" s="24">
        <v>220.7</v>
      </c>
      <c r="Q34" s="24">
        <v>234.5</v>
      </c>
      <c r="R34" s="24">
        <v>247.82</v>
      </c>
      <c r="S34" s="24">
        <v>249</v>
      </c>
      <c r="T34" s="24">
        <v>269.39999999999998</v>
      </c>
      <c r="U34" s="25">
        <f t="shared" si="0"/>
        <v>0.22066153149071133</v>
      </c>
      <c r="V34" s="24">
        <v>302.10000000000002</v>
      </c>
      <c r="W34" s="25">
        <f t="shared" si="41"/>
        <v>0.28827292110874209</v>
      </c>
      <c r="X34" s="24">
        <v>358.7</v>
      </c>
      <c r="Y34" s="25">
        <f t="shared" si="42"/>
        <v>0.44742151561617305</v>
      </c>
    </row>
    <row r="35" spans="1:29" s="24" customFormat="1" x14ac:dyDescent="0.2">
      <c r="A35" s="17" t="s">
        <v>52</v>
      </c>
      <c r="B35" s="24">
        <v>19.2</v>
      </c>
      <c r="C35" s="24">
        <v>19.100000000000001</v>
      </c>
      <c r="D35" s="24">
        <v>0</v>
      </c>
      <c r="E35" s="24">
        <v>22.8</v>
      </c>
      <c r="F35" s="24">
        <v>22.1</v>
      </c>
      <c r="G35" s="24">
        <v>22.4</v>
      </c>
      <c r="H35" s="24">
        <v>21.6</v>
      </c>
      <c r="I35" s="24">
        <v>22</v>
      </c>
      <c r="J35" s="24">
        <v>22.3</v>
      </c>
      <c r="K35" s="24">
        <v>28.2</v>
      </c>
      <c r="L35" s="24">
        <v>30.4</v>
      </c>
      <c r="M35" s="24">
        <v>30.8</v>
      </c>
      <c r="N35" s="24">
        <v>27.9</v>
      </c>
      <c r="O35" s="24">
        <v>39.9</v>
      </c>
      <c r="P35" s="24">
        <v>43.7</v>
      </c>
      <c r="Q35" s="24">
        <v>54.8</v>
      </c>
      <c r="R35" s="24">
        <v>41.628999999999998</v>
      </c>
      <c r="S35" s="24">
        <v>43.3</v>
      </c>
      <c r="T35" s="24">
        <v>41.7</v>
      </c>
      <c r="U35" s="25">
        <f t="shared" si="0"/>
        <v>-4.5766590389016017E-2</v>
      </c>
      <c r="V35" s="24">
        <v>34.299999999999997</v>
      </c>
      <c r="W35" s="25">
        <f t="shared" si="41"/>
        <v>-0.37408759124087593</v>
      </c>
      <c r="X35" s="24">
        <v>35.4</v>
      </c>
      <c r="Y35" s="25">
        <f t="shared" si="42"/>
        <v>-0.14963126666506521</v>
      </c>
    </row>
    <row r="36" spans="1:29" s="21" customFormat="1" x14ac:dyDescent="0.2">
      <c r="A36" s="18" t="s">
        <v>53</v>
      </c>
      <c r="B36" s="21">
        <f t="shared" ref="B36:T36" si="43">SUM(B30:B35)</f>
        <v>901.76</v>
      </c>
      <c r="C36" s="21">
        <f t="shared" si="43"/>
        <v>960.5</v>
      </c>
      <c r="D36" s="21">
        <f t="shared" si="43"/>
        <v>951.64700000000005</v>
      </c>
      <c r="E36" s="21">
        <f>SUM(E30:E35)</f>
        <v>988.06999999999994</v>
      </c>
      <c r="F36" s="21">
        <f t="shared" si="43"/>
        <v>1003.323</v>
      </c>
      <c r="G36" s="21">
        <f t="shared" si="43"/>
        <v>1020.1</v>
      </c>
      <c r="H36" s="21">
        <f t="shared" si="43"/>
        <v>1056.1300000000001</v>
      </c>
      <c r="I36" s="21">
        <f t="shared" si="43"/>
        <v>1088.5900000000001</v>
      </c>
      <c r="J36" s="21">
        <f t="shared" si="43"/>
        <v>1056.43</v>
      </c>
      <c r="K36" s="21">
        <f t="shared" si="43"/>
        <v>1090.7</v>
      </c>
      <c r="L36" s="21">
        <f t="shared" si="43"/>
        <v>1058.0730000000003</v>
      </c>
      <c r="M36" s="21">
        <f t="shared" si="43"/>
        <v>1102.8900000000001</v>
      </c>
      <c r="N36" s="21">
        <f t="shared" si="43"/>
        <v>1099.3000000000002</v>
      </c>
      <c r="O36" s="21">
        <f t="shared" si="43"/>
        <v>1123.0550000000001</v>
      </c>
      <c r="P36" s="21">
        <f t="shared" si="43"/>
        <v>1127.28</v>
      </c>
      <c r="Q36" s="21">
        <f t="shared" si="43"/>
        <v>1196.1899999999998</v>
      </c>
      <c r="R36" s="21">
        <f t="shared" si="43"/>
        <v>1256.7889999999998</v>
      </c>
      <c r="S36" s="21">
        <f t="shared" si="43"/>
        <v>1318.848</v>
      </c>
      <c r="T36" s="21">
        <f t="shared" si="43"/>
        <v>1377.3500000000001</v>
      </c>
      <c r="U36" s="25">
        <f t="shared" si="0"/>
        <v>0.22183485912994125</v>
      </c>
      <c r="V36" s="21">
        <f>SUM(V30:V35)</f>
        <v>1495.2300000000002</v>
      </c>
      <c r="W36" s="25">
        <f t="shared" si="41"/>
        <v>0.24999373009304582</v>
      </c>
      <c r="X36" s="21">
        <f>SUM(X30:X35)</f>
        <v>1484.2340000000002</v>
      </c>
      <c r="Y36" s="25">
        <f t="shared" si="42"/>
        <v>0.18097309890522628</v>
      </c>
      <c r="Z36" s="21">
        <f t="shared" ref="Z36:AC36" si="44">SUM(Z30:Z35)</f>
        <v>0</v>
      </c>
      <c r="AA36" s="21">
        <f t="shared" si="44"/>
        <v>0</v>
      </c>
      <c r="AB36" s="21">
        <f t="shared" si="44"/>
        <v>0</v>
      </c>
      <c r="AC36" s="21">
        <f t="shared" si="44"/>
        <v>0</v>
      </c>
    </row>
    <row r="37" spans="1:29" s="20" customFormat="1" x14ac:dyDescent="0.2">
      <c r="A37" s="13" t="s">
        <v>71</v>
      </c>
      <c r="B37" s="20">
        <v>28.8</v>
      </c>
      <c r="C37" s="20">
        <v>28.99</v>
      </c>
      <c r="D37" s="20">
        <v>31.2</v>
      </c>
      <c r="E37" s="20">
        <v>35.945</v>
      </c>
      <c r="F37" s="20">
        <v>36.11</v>
      </c>
      <c r="G37" s="20">
        <v>36.9</v>
      </c>
      <c r="H37" s="20">
        <v>36.659999999999997</v>
      </c>
      <c r="I37" s="20">
        <v>40.1</v>
      </c>
      <c r="J37" s="20">
        <v>39.6</v>
      </c>
      <c r="K37" s="20">
        <v>41.2</v>
      </c>
      <c r="L37" s="20">
        <v>41.3</v>
      </c>
      <c r="M37" s="20">
        <v>40.700000000000003</v>
      </c>
      <c r="N37" s="20">
        <v>40.799999999999997</v>
      </c>
      <c r="O37" s="20">
        <v>41.5</v>
      </c>
      <c r="P37" s="20">
        <v>39.200000000000003</v>
      </c>
      <c r="Q37" s="20">
        <v>39.6</v>
      </c>
      <c r="R37" s="20">
        <v>27.23</v>
      </c>
      <c r="S37" s="20">
        <v>26.544</v>
      </c>
      <c r="T37" s="20">
        <v>0</v>
      </c>
      <c r="U37" s="25">
        <f t="shared" si="0"/>
        <v>-1</v>
      </c>
      <c r="V37" s="20">
        <v>0</v>
      </c>
      <c r="W37" s="25">
        <f t="shared" si="41"/>
        <v>-1</v>
      </c>
      <c r="X37" s="20">
        <v>0</v>
      </c>
      <c r="Y37" s="25">
        <f t="shared" si="42"/>
        <v>-1</v>
      </c>
    </row>
    <row r="38" spans="1:29" s="24" customFormat="1" x14ac:dyDescent="0.2">
      <c r="A38" s="13" t="s">
        <v>54</v>
      </c>
      <c r="B38" s="24">
        <v>652.79999999999995</v>
      </c>
      <c r="C38" s="24">
        <v>648.4</v>
      </c>
      <c r="D38" s="24">
        <v>639</v>
      </c>
      <c r="E38" s="24">
        <v>657.23</v>
      </c>
      <c r="F38" s="24">
        <v>698.44</v>
      </c>
      <c r="G38" s="24">
        <v>707.12</v>
      </c>
      <c r="H38" s="24">
        <v>703.6</v>
      </c>
      <c r="I38" s="24">
        <v>681.93</v>
      </c>
      <c r="J38" s="24">
        <v>732.2</v>
      </c>
      <c r="K38" s="24">
        <v>765.9</v>
      </c>
      <c r="L38" s="24">
        <v>780.6</v>
      </c>
      <c r="M38" s="24">
        <v>839.2</v>
      </c>
      <c r="N38" s="24">
        <v>827.23</v>
      </c>
      <c r="O38" s="24">
        <v>859.6</v>
      </c>
      <c r="P38" s="24">
        <v>879.32299999999998</v>
      </c>
      <c r="Q38" s="24">
        <v>876.7</v>
      </c>
      <c r="R38" s="24">
        <v>879.8</v>
      </c>
      <c r="S38" s="24">
        <v>878.99</v>
      </c>
      <c r="T38" s="24">
        <v>902.44</v>
      </c>
      <c r="U38" s="25">
        <f t="shared" si="0"/>
        <v>2.6289543205397874E-2</v>
      </c>
      <c r="V38" s="24">
        <v>962.3</v>
      </c>
      <c r="W38" s="25">
        <f t="shared" si="41"/>
        <v>9.7638873046652114E-2</v>
      </c>
      <c r="X38" s="24">
        <v>1009.63</v>
      </c>
      <c r="Y38" s="25">
        <f t="shared" si="42"/>
        <v>0.14756762900659245</v>
      </c>
    </row>
    <row r="39" spans="1:29" s="24" customFormat="1" x14ac:dyDescent="0.2">
      <c r="A39" s="13" t="s">
        <v>55</v>
      </c>
      <c r="B39" s="24">
        <f>18.5+7</f>
        <v>25.5</v>
      </c>
      <c r="C39" s="24">
        <f>16.7+7</f>
        <v>23.7</v>
      </c>
      <c r="D39" s="24">
        <v>22</v>
      </c>
      <c r="E39" s="24">
        <v>20.43</v>
      </c>
      <c r="F39" s="24">
        <v>18.7</v>
      </c>
      <c r="G39" s="24">
        <v>18.3</v>
      </c>
      <c r="H39" s="24">
        <v>17.8</v>
      </c>
      <c r="I39" s="24">
        <v>17.3</v>
      </c>
      <c r="J39" s="24">
        <v>17</v>
      </c>
      <c r="K39" s="24">
        <v>16.3</v>
      </c>
      <c r="L39" s="24">
        <v>15.8</v>
      </c>
      <c r="M39" s="24">
        <v>17.96</v>
      </c>
      <c r="N39" s="24">
        <v>17.5</v>
      </c>
      <c r="O39" s="24">
        <v>16.978000000000002</v>
      </c>
      <c r="P39" s="24">
        <v>17.600000000000001</v>
      </c>
      <c r="Q39" s="24">
        <v>18.8</v>
      </c>
      <c r="R39" s="24">
        <v>16.66</v>
      </c>
      <c r="S39" s="24">
        <v>16.21</v>
      </c>
      <c r="T39" s="24">
        <v>15.77</v>
      </c>
      <c r="U39" s="25">
        <f t="shared" si="0"/>
        <v>-0.10397727272727282</v>
      </c>
      <c r="V39" s="24">
        <v>14</v>
      </c>
      <c r="W39" s="25">
        <f t="shared" si="41"/>
        <v>-0.25531914893617025</v>
      </c>
      <c r="X39" s="24">
        <v>13.5</v>
      </c>
      <c r="Y39" s="25">
        <f t="shared" si="42"/>
        <v>-0.18967587034813926</v>
      </c>
    </row>
    <row r="40" spans="1:29" s="24" customFormat="1" x14ac:dyDescent="0.2">
      <c r="A40" s="13" t="s">
        <v>56</v>
      </c>
      <c r="B40" s="24">
        <v>110.77</v>
      </c>
      <c r="C40" s="24">
        <v>101</v>
      </c>
      <c r="D40" s="24">
        <v>96.7</v>
      </c>
      <c r="E40" s="24">
        <v>88.4</v>
      </c>
      <c r="F40" s="24">
        <v>89.4</v>
      </c>
      <c r="G40" s="24">
        <v>89.2</v>
      </c>
      <c r="H40" s="24">
        <v>90.3</v>
      </c>
      <c r="I40" s="24">
        <v>105</v>
      </c>
      <c r="J40" s="24">
        <v>93</v>
      </c>
      <c r="K40" s="24">
        <v>91.83</v>
      </c>
      <c r="L40" s="24">
        <v>88.9</v>
      </c>
      <c r="M40" s="24">
        <v>93.4</v>
      </c>
      <c r="N40" s="24">
        <v>92.98</v>
      </c>
      <c r="O40" s="24">
        <v>91.3</v>
      </c>
      <c r="P40" s="24">
        <v>91.8</v>
      </c>
      <c r="Q40" s="24">
        <v>99.93</v>
      </c>
      <c r="R40" s="24">
        <v>89.7</v>
      </c>
      <c r="S40" s="24">
        <v>83.9</v>
      </c>
      <c r="T40" s="24">
        <v>88.86</v>
      </c>
      <c r="U40" s="25">
        <f t="shared" si="0"/>
        <v>-3.202614379084965E-2</v>
      </c>
      <c r="V40" s="24">
        <v>76.144999999999996</v>
      </c>
      <c r="W40" s="25">
        <f t="shared" si="41"/>
        <v>-0.23801661162813978</v>
      </c>
      <c r="X40" s="24">
        <v>69.599999999999994</v>
      </c>
      <c r="Y40" s="25">
        <f t="shared" si="42"/>
        <v>-0.22408026755852853</v>
      </c>
    </row>
    <row r="41" spans="1:29" s="21" customFormat="1" x14ac:dyDescent="0.2">
      <c r="A41" s="18" t="s">
        <v>57</v>
      </c>
      <c r="B41" s="21">
        <f t="shared" ref="B41:T41" si="45">SUM(B36:B40)</f>
        <v>1719.6299999999999</v>
      </c>
      <c r="C41" s="21">
        <f t="shared" si="45"/>
        <v>1762.59</v>
      </c>
      <c r="D41" s="21">
        <f t="shared" si="45"/>
        <v>1740.5470000000003</v>
      </c>
      <c r="E41" s="21">
        <f t="shared" si="45"/>
        <v>1790.075</v>
      </c>
      <c r="F41" s="21">
        <f t="shared" si="45"/>
        <v>1845.9730000000002</v>
      </c>
      <c r="G41" s="21">
        <f t="shared" si="45"/>
        <v>1871.62</v>
      </c>
      <c r="H41" s="21">
        <f t="shared" si="45"/>
        <v>1904.4900000000002</v>
      </c>
      <c r="I41" s="21">
        <f t="shared" si="45"/>
        <v>1932.9199999999998</v>
      </c>
      <c r="J41" s="21">
        <f t="shared" si="45"/>
        <v>1938.23</v>
      </c>
      <c r="K41" s="21">
        <f t="shared" si="45"/>
        <v>2005.93</v>
      </c>
      <c r="L41" s="21">
        <f t="shared" si="45"/>
        <v>1984.6730000000005</v>
      </c>
      <c r="M41" s="21">
        <f t="shared" si="45"/>
        <v>2094.15</v>
      </c>
      <c r="N41" s="21">
        <f t="shared" si="45"/>
        <v>2077.81</v>
      </c>
      <c r="O41" s="21">
        <f t="shared" si="45"/>
        <v>2132.4330000000004</v>
      </c>
      <c r="P41" s="21">
        <f t="shared" si="45"/>
        <v>2155.203</v>
      </c>
      <c r="Q41" s="21">
        <f t="shared" si="45"/>
        <v>2231.2199999999998</v>
      </c>
      <c r="R41" s="21">
        <f t="shared" si="45"/>
        <v>2270.1789999999992</v>
      </c>
      <c r="S41" s="21">
        <f t="shared" si="45"/>
        <v>2324.4920000000002</v>
      </c>
      <c r="T41" s="21">
        <f t="shared" si="45"/>
        <v>2384.42</v>
      </c>
      <c r="U41" s="25">
        <f t="shared" si="0"/>
        <v>0.10635517860730526</v>
      </c>
      <c r="V41" s="21">
        <f>SUM(V36:V40)</f>
        <v>2547.6750000000002</v>
      </c>
      <c r="W41" s="25">
        <f t="shared" si="41"/>
        <v>0.14183047839298699</v>
      </c>
      <c r="X41" s="21">
        <f>SUM(X36:X40)</f>
        <v>2576.9639999999999</v>
      </c>
      <c r="Y41" s="25">
        <f t="shared" si="42"/>
        <v>0.1351369209212141</v>
      </c>
      <c r="Z41" s="21">
        <f t="shared" ref="Z41:AC41" si="46">SUM(Z36:Z40)</f>
        <v>0</v>
      </c>
      <c r="AA41" s="21">
        <f t="shared" si="46"/>
        <v>0</v>
      </c>
      <c r="AB41" s="21">
        <f t="shared" si="46"/>
        <v>0</v>
      </c>
      <c r="AC41" s="21">
        <f t="shared" si="46"/>
        <v>0</v>
      </c>
    </row>
    <row r="42" spans="1:29" s="24" customFormat="1" x14ac:dyDescent="0.2">
      <c r="A42" s="2"/>
      <c r="U42" s="25"/>
      <c r="W42" s="25"/>
      <c r="Y42" s="25"/>
    </row>
    <row r="43" spans="1:29" s="24" customFormat="1" x14ac:dyDescent="0.2">
      <c r="A43" s="11" t="s">
        <v>58</v>
      </c>
      <c r="U43" s="25"/>
      <c r="W43" s="25"/>
      <c r="Y43" s="25"/>
    </row>
    <row r="44" spans="1:29" s="24" customFormat="1" x14ac:dyDescent="0.2">
      <c r="A44" s="14" t="s">
        <v>59</v>
      </c>
      <c r="U44" s="25"/>
      <c r="W44" s="25"/>
      <c r="Y44" s="25"/>
    </row>
    <row r="45" spans="1:29" s="24" customFormat="1" x14ac:dyDescent="0.2">
      <c r="A45" s="17" t="s">
        <v>60</v>
      </c>
      <c r="B45" s="24">
        <v>114.8</v>
      </c>
      <c r="C45" s="24">
        <v>100.242</v>
      </c>
      <c r="D45" s="24">
        <v>45.7</v>
      </c>
      <c r="E45" s="24">
        <v>10.8</v>
      </c>
      <c r="F45" s="24">
        <v>43.14</v>
      </c>
      <c r="G45" s="24">
        <v>45.2</v>
      </c>
      <c r="H45" s="24">
        <v>64.77</v>
      </c>
      <c r="I45" s="24">
        <v>65.930000000000007</v>
      </c>
      <c r="J45" s="24">
        <v>62.88</v>
      </c>
      <c r="K45" s="24">
        <v>79.7</v>
      </c>
      <c r="L45" s="24">
        <v>86.7</v>
      </c>
      <c r="M45" s="24">
        <v>106.5</v>
      </c>
      <c r="N45" s="24">
        <v>101.3</v>
      </c>
      <c r="O45" s="24">
        <v>104.062</v>
      </c>
      <c r="P45" s="24">
        <v>105.4</v>
      </c>
      <c r="Q45" s="24">
        <v>83.9</v>
      </c>
      <c r="R45" s="24">
        <v>78.2</v>
      </c>
      <c r="S45" s="24">
        <v>79.5</v>
      </c>
      <c r="T45" s="24">
        <v>61.2</v>
      </c>
      <c r="U45" s="25">
        <f t="shared" si="0"/>
        <v>-0.41935483870967744</v>
      </c>
      <c r="V45" s="24">
        <v>62.3</v>
      </c>
      <c r="W45" s="25">
        <f t="shared" ref="W45:W54" si="47">(V45-Q45)/Q45</f>
        <v>-0.2574493444576878</v>
      </c>
      <c r="X45" s="24">
        <v>42.22</v>
      </c>
      <c r="Y45" s="25">
        <f t="shared" ref="Y45:Y54" si="48">(X45-R45)/R45</f>
        <v>-0.46010230179028139</v>
      </c>
    </row>
    <row r="46" spans="1:29" s="24" customFormat="1" x14ac:dyDescent="0.2">
      <c r="A46" s="17" t="s">
        <v>61</v>
      </c>
      <c r="B46" s="24">
        <v>116.5</v>
      </c>
      <c r="C46" s="24">
        <v>126.13</v>
      </c>
      <c r="D46" s="24">
        <v>114.4</v>
      </c>
      <c r="E46" s="24">
        <v>104.32</v>
      </c>
      <c r="F46" s="24">
        <v>109.5</v>
      </c>
      <c r="G46" s="24">
        <v>92.7</v>
      </c>
      <c r="H46" s="24">
        <v>104.4</v>
      </c>
      <c r="I46" s="24">
        <v>119.2</v>
      </c>
      <c r="J46" s="24">
        <v>148.69999999999999</v>
      </c>
      <c r="K46" s="24">
        <v>154.5</v>
      </c>
      <c r="L46" s="24">
        <v>104.4</v>
      </c>
      <c r="M46" s="24">
        <v>96.9</v>
      </c>
      <c r="N46" s="24">
        <v>85.3</v>
      </c>
      <c r="O46" s="24">
        <v>100.4</v>
      </c>
      <c r="P46" s="24">
        <v>92.99</v>
      </c>
      <c r="Q46" s="24">
        <v>78.7</v>
      </c>
      <c r="R46" s="24">
        <v>109.1</v>
      </c>
      <c r="S46" s="24">
        <v>127.76</v>
      </c>
      <c r="T46" s="24">
        <v>143.99</v>
      </c>
      <c r="U46" s="25">
        <f t="shared" si="0"/>
        <v>0.54844606946983565</v>
      </c>
      <c r="V46" s="24">
        <v>150.93</v>
      </c>
      <c r="W46" s="25">
        <f t="shared" si="47"/>
        <v>0.91778907242693775</v>
      </c>
      <c r="X46" s="24">
        <v>191</v>
      </c>
      <c r="Y46" s="25">
        <f t="shared" si="48"/>
        <v>0.75068744271310728</v>
      </c>
    </row>
    <row r="47" spans="1:29" s="24" customFormat="1" x14ac:dyDescent="0.2">
      <c r="A47" s="17" t="s">
        <v>62</v>
      </c>
      <c r="B47" s="24">
        <v>14.3</v>
      </c>
      <c r="C47" s="24">
        <v>10.3</v>
      </c>
      <c r="D47" s="24">
        <v>10.1</v>
      </c>
      <c r="E47" s="24">
        <v>20.7</v>
      </c>
      <c r="F47" s="24">
        <v>9.1999999999999993</v>
      </c>
      <c r="G47" s="24">
        <v>7.97</v>
      </c>
      <c r="H47" s="24">
        <v>6.5</v>
      </c>
      <c r="I47" s="24">
        <v>10.32</v>
      </c>
      <c r="J47" s="24">
        <v>10.199999999999999</v>
      </c>
      <c r="K47" s="24">
        <v>8.4550000000000001</v>
      </c>
      <c r="L47" s="24">
        <v>9.66</v>
      </c>
      <c r="M47" s="24">
        <v>10</v>
      </c>
      <c r="N47" s="24">
        <v>20.8</v>
      </c>
      <c r="O47" s="24">
        <v>19.600000000000001</v>
      </c>
      <c r="P47" s="24">
        <v>31.9</v>
      </c>
      <c r="Q47" s="24">
        <v>39.99</v>
      </c>
      <c r="R47" s="24">
        <v>49.4</v>
      </c>
      <c r="S47" s="24">
        <v>38.6</v>
      </c>
      <c r="T47" s="24">
        <v>37.9</v>
      </c>
      <c r="U47" s="25">
        <f t="shared" si="0"/>
        <v>0.18808777429467086</v>
      </c>
      <c r="V47" s="24">
        <v>38.9</v>
      </c>
      <c r="W47" s="25">
        <f t="shared" si="47"/>
        <v>-2.7256814203550972E-2</v>
      </c>
      <c r="X47" s="24">
        <v>30.3</v>
      </c>
      <c r="Y47" s="25">
        <f t="shared" si="48"/>
        <v>-0.38663967611336031</v>
      </c>
    </row>
    <row r="48" spans="1:29" s="24" customFormat="1" x14ac:dyDescent="0.2">
      <c r="A48" s="17" t="s">
        <v>52</v>
      </c>
      <c r="B48" s="24">
        <v>64</v>
      </c>
      <c r="C48" s="24">
        <v>75.900000000000006</v>
      </c>
      <c r="D48" s="24">
        <v>72.2</v>
      </c>
      <c r="E48" s="24">
        <v>67.900000000000006</v>
      </c>
      <c r="F48" s="24">
        <v>60.5</v>
      </c>
      <c r="G48" s="24">
        <v>65.900000000000006</v>
      </c>
      <c r="H48" s="24">
        <v>59.1</v>
      </c>
      <c r="I48" s="24">
        <v>57.6</v>
      </c>
      <c r="J48" s="24">
        <v>54.2</v>
      </c>
      <c r="K48" s="24">
        <v>68.2</v>
      </c>
      <c r="L48" s="24">
        <v>58.1</v>
      </c>
      <c r="M48" s="24">
        <v>59.43</v>
      </c>
      <c r="N48" s="24">
        <v>66.2</v>
      </c>
      <c r="O48" s="24">
        <v>78.400000000000006</v>
      </c>
      <c r="P48" s="24">
        <v>69.8</v>
      </c>
      <c r="Q48" s="24">
        <v>73.8</v>
      </c>
      <c r="R48" s="24">
        <v>87.3</v>
      </c>
      <c r="S48" s="24">
        <v>100.245</v>
      </c>
      <c r="T48" s="24">
        <v>121.5</v>
      </c>
      <c r="U48" s="25">
        <f t="shared" si="0"/>
        <v>0.74068767908309463</v>
      </c>
      <c r="V48" s="24">
        <v>135.30000000000001</v>
      </c>
      <c r="W48" s="25">
        <f t="shared" si="47"/>
        <v>0.83333333333333359</v>
      </c>
      <c r="X48" s="24">
        <v>90.63</v>
      </c>
      <c r="Y48" s="25">
        <f t="shared" si="48"/>
        <v>3.8144329896907199E-2</v>
      </c>
    </row>
    <row r="49" spans="1:29" s="21" customFormat="1" x14ac:dyDescent="0.2">
      <c r="A49" s="18" t="s">
        <v>63</v>
      </c>
      <c r="B49" s="21">
        <f t="shared" ref="B49:T49" si="49">SUM(B45:B48)</f>
        <v>309.60000000000002</v>
      </c>
      <c r="C49" s="21">
        <f t="shared" si="49"/>
        <v>312.572</v>
      </c>
      <c r="D49" s="21">
        <f t="shared" si="49"/>
        <v>242.40000000000003</v>
      </c>
      <c r="E49" s="21">
        <f t="shared" si="49"/>
        <v>203.72</v>
      </c>
      <c r="F49" s="21">
        <f t="shared" si="49"/>
        <v>222.33999999999997</v>
      </c>
      <c r="G49" s="21">
        <f t="shared" si="49"/>
        <v>211.77</v>
      </c>
      <c r="H49" s="21">
        <f t="shared" si="49"/>
        <v>234.77</v>
      </c>
      <c r="I49" s="21">
        <f t="shared" si="49"/>
        <v>253.04999999999998</v>
      </c>
      <c r="J49" s="21">
        <f t="shared" si="49"/>
        <v>275.97999999999996</v>
      </c>
      <c r="K49" s="21">
        <f t="shared" si="49"/>
        <v>310.85500000000002</v>
      </c>
      <c r="L49" s="21">
        <f t="shared" si="49"/>
        <v>258.86</v>
      </c>
      <c r="M49" s="21">
        <f t="shared" si="49"/>
        <v>272.83</v>
      </c>
      <c r="N49" s="21">
        <f t="shared" si="49"/>
        <v>273.60000000000002</v>
      </c>
      <c r="O49" s="21">
        <f t="shared" si="49"/>
        <v>302.46199999999999</v>
      </c>
      <c r="P49" s="21">
        <f t="shared" si="49"/>
        <v>300.08999999999997</v>
      </c>
      <c r="Q49" s="21">
        <f t="shared" si="49"/>
        <v>276.39000000000004</v>
      </c>
      <c r="R49" s="21">
        <f t="shared" si="49"/>
        <v>324</v>
      </c>
      <c r="S49" s="21">
        <f t="shared" si="49"/>
        <v>346.10500000000002</v>
      </c>
      <c r="T49" s="21">
        <f t="shared" si="49"/>
        <v>364.59000000000003</v>
      </c>
      <c r="U49" s="25">
        <f t="shared" si="0"/>
        <v>0.21493551934419694</v>
      </c>
      <c r="V49" s="21">
        <f>SUM(V45:V48)</f>
        <v>387.43000000000006</v>
      </c>
      <c r="W49" s="25">
        <f t="shared" si="47"/>
        <v>0.40175114873910056</v>
      </c>
      <c r="X49" s="21">
        <f>SUM(X45:X48)</f>
        <v>354.15</v>
      </c>
      <c r="Y49" s="25">
        <f t="shared" si="48"/>
        <v>9.3055555555555489E-2</v>
      </c>
      <c r="Z49" s="21">
        <f t="shared" ref="Z49:AC49" si="50">SUM(Z45:Z48)</f>
        <v>0</v>
      </c>
      <c r="AA49" s="21">
        <f t="shared" si="50"/>
        <v>0</v>
      </c>
      <c r="AB49" s="21">
        <f t="shared" si="50"/>
        <v>0</v>
      </c>
      <c r="AC49" s="21">
        <f t="shared" si="50"/>
        <v>0</v>
      </c>
    </row>
    <row r="50" spans="1:29" s="24" customFormat="1" x14ac:dyDescent="0.2">
      <c r="A50" s="13" t="s">
        <v>64</v>
      </c>
      <c r="B50" s="24">
        <v>229</v>
      </c>
      <c r="C50" s="24">
        <v>248.7</v>
      </c>
      <c r="D50" s="24">
        <v>247.8</v>
      </c>
      <c r="E50" s="24">
        <v>256.7</v>
      </c>
      <c r="F50" s="24">
        <v>265.39999999999998</v>
      </c>
      <c r="G50" s="24">
        <v>275.89999999999998</v>
      </c>
      <c r="H50" s="24">
        <v>254.7</v>
      </c>
      <c r="I50" s="24">
        <v>245.82</v>
      </c>
      <c r="J50" s="24">
        <v>220.2</v>
      </c>
      <c r="K50" s="24">
        <v>219.8</v>
      </c>
      <c r="L50" s="24">
        <v>229.3</v>
      </c>
      <c r="M50" s="24">
        <v>283.8</v>
      </c>
      <c r="N50" s="24">
        <v>241.63</v>
      </c>
      <c r="O50" s="24">
        <v>234.5</v>
      </c>
      <c r="P50" s="24">
        <v>212.3</v>
      </c>
      <c r="Q50" s="24">
        <v>230.97</v>
      </c>
      <c r="R50" s="24">
        <v>190.4</v>
      </c>
      <c r="S50" s="24">
        <v>200.7</v>
      </c>
      <c r="T50" s="24">
        <v>202.14</v>
      </c>
      <c r="U50" s="25">
        <f t="shared" si="0"/>
        <v>-4.7856806406029316E-2</v>
      </c>
      <c r="V50" s="24">
        <v>210.1</v>
      </c>
      <c r="W50" s="25">
        <f t="shared" si="47"/>
        <v>-9.0358055158678632E-2</v>
      </c>
      <c r="X50" s="24">
        <v>201.44499999999999</v>
      </c>
      <c r="Y50" s="25">
        <f t="shared" si="48"/>
        <v>5.8009453781512538E-2</v>
      </c>
    </row>
    <row r="51" spans="1:29" s="24" customFormat="1" x14ac:dyDescent="0.2">
      <c r="A51" s="13" t="s">
        <v>65</v>
      </c>
      <c r="B51" s="24">
        <v>31.22</v>
      </c>
      <c r="C51" s="24">
        <v>29.77</v>
      </c>
      <c r="D51" s="24">
        <v>29.978000000000002</v>
      </c>
      <c r="E51" s="24">
        <v>28.13</v>
      </c>
      <c r="F51" s="24">
        <v>28.939</v>
      </c>
      <c r="G51" s="24">
        <v>27.23</v>
      </c>
      <c r="H51" s="24">
        <v>32.840000000000003</v>
      </c>
      <c r="I51" s="24">
        <v>28.2</v>
      </c>
      <c r="J51" s="24">
        <v>27.75</v>
      </c>
      <c r="K51" s="24">
        <v>27.6</v>
      </c>
      <c r="L51" s="24">
        <v>25.8</v>
      </c>
      <c r="M51" s="24">
        <v>25.5</v>
      </c>
      <c r="N51" s="24">
        <v>33.97</v>
      </c>
      <c r="O51" s="24">
        <v>32</v>
      </c>
      <c r="P51" s="24">
        <v>39.1</v>
      </c>
      <c r="Q51" s="24">
        <v>69.968000000000004</v>
      </c>
      <c r="R51" s="24">
        <v>63.9</v>
      </c>
      <c r="S51" s="24">
        <v>60.6</v>
      </c>
      <c r="T51" s="24">
        <v>44.414000000000001</v>
      </c>
      <c r="U51" s="25">
        <f t="shared" si="0"/>
        <v>0.1359079283887468</v>
      </c>
      <c r="V51" s="24">
        <v>40.9</v>
      </c>
      <c r="W51" s="25">
        <f t="shared" si="47"/>
        <v>-0.41544706151383493</v>
      </c>
      <c r="X51" s="24">
        <v>34.1</v>
      </c>
      <c r="Y51" s="25">
        <f t="shared" si="48"/>
        <v>-0.46635367762128321</v>
      </c>
    </row>
    <row r="52" spans="1:29" s="24" customFormat="1" x14ac:dyDescent="0.2">
      <c r="A52" s="13" t="s">
        <v>72</v>
      </c>
      <c r="B52" s="24">
        <v>14.51</v>
      </c>
      <c r="C52" s="24">
        <v>14.6</v>
      </c>
      <c r="D52" s="24">
        <v>14.6</v>
      </c>
      <c r="E52" s="24">
        <v>13.9</v>
      </c>
      <c r="F52" s="24">
        <v>14.1</v>
      </c>
      <c r="G52" s="24">
        <v>14.3</v>
      </c>
      <c r="H52" s="24">
        <v>13.818</v>
      </c>
      <c r="I52" s="24">
        <v>13.3</v>
      </c>
      <c r="J52" s="24">
        <v>12.7</v>
      </c>
      <c r="K52" s="24">
        <v>14.97</v>
      </c>
      <c r="L52" s="24">
        <v>16.7</v>
      </c>
      <c r="M52" s="24">
        <v>15.8</v>
      </c>
      <c r="N52" s="24">
        <v>15.44</v>
      </c>
      <c r="O52" s="24">
        <v>15.958</v>
      </c>
      <c r="P52" s="24">
        <v>15.959</v>
      </c>
      <c r="Q52" s="24">
        <v>14.6</v>
      </c>
      <c r="R52" s="24">
        <v>14.6</v>
      </c>
      <c r="S52" s="24">
        <v>0</v>
      </c>
      <c r="T52" s="24">
        <v>0</v>
      </c>
      <c r="U52" s="25">
        <f t="shared" si="0"/>
        <v>-1</v>
      </c>
      <c r="V52" s="24">
        <v>0</v>
      </c>
      <c r="W52" s="25">
        <f t="shared" si="47"/>
        <v>-1</v>
      </c>
      <c r="X52" s="24">
        <v>0</v>
      </c>
      <c r="Y52" s="25">
        <f t="shared" si="48"/>
        <v>-1</v>
      </c>
    </row>
    <row r="53" spans="1:29" s="24" customFormat="1" x14ac:dyDescent="0.2">
      <c r="A53" s="13" t="s">
        <v>56</v>
      </c>
      <c r="B53" s="24">
        <v>67.400000000000006</v>
      </c>
      <c r="C53" s="24">
        <v>56.33</v>
      </c>
      <c r="D53" s="24">
        <v>52.7</v>
      </c>
      <c r="E53" s="24">
        <v>51.4</v>
      </c>
      <c r="F53" s="24">
        <v>47.968000000000004</v>
      </c>
      <c r="G53" s="24">
        <v>47.4</v>
      </c>
      <c r="H53" s="24">
        <v>45.6</v>
      </c>
      <c r="I53" s="24">
        <v>45.8</v>
      </c>
      <c r="J53" s="24">
        <v>40.94</v>
      </c>
      <c r="K53" s="24">
        <v>40.6</v>
      </c>
      <c r="L53" s="24">
        <v>40.53</v>
      </c>
      <c r="M53" s="24">
        <v>41.3</v>
      </c>
      <c r="N53" s="24">
        <v>35.01</v>
      </c>
      <c r="O53" s="24">
        <v>29.77</v>
      </c>
      <c r="P53" s="24">
        <v>28.2</v>
      </c>
      <c r="Q53" s="24">
        <v>23.96</v>
      </c>
      <c r="R53" s="24">
        <v>19.7</v>
      </c>
      <c r="S53" s="24">
        <v>28.6</v>
      </c>
      <c r="T53" s="24">
        <v>20.399999999999999</v>
      </c>
      <c r="U53" s="25">
        <f t="shared" si="0"/>
        <v>-0.27659574468085107</v>
      </c>
      <c r="V53" s="24">
        <v>20.7</v>
      </c>
      <c r="W53" s="25">
        <f t="shared" si="47"/>
        <v>-0.13606010016694497</v>
      </c>
      <c r="X53" s="24">
        <v>11.2</v>
      </c>
      <c r="Y53" s="25">
        <f t="shared" si="48"/>
        <v>-0.43147208121827413</v>
      </c>
    </row>
    <row r="54" spans="1:29" s="21" customFormat="1" x14ac:dyDescent="0.2">
      <c r="A54" s="18" t="s">
        <v>66</v>
      </c>
      <c r="B54" s="21">
        <f t="shared" ref="B54:T54" si="51">SUM(B49:B53)</f>
        <v>651.73</v>
      </c>
      <c r="C54" s="21">
        <f t="shared" si="51"/>
        <v>661.97199999999998</v>
      </c>
      <c r="D54" s="21">
        <f t="shared" si="51"/>
        <v>587.47800000000007</v>
      </c>
      <c r="E54" s="21">
        <f t="shared" si="51"/>
        <v>553.84999999999991</v>
      </c>
      <c r="F54" s="21">
        <f t="shared" si="51"/>
        <v>578.74699999999996</v>
      </c>
      <c r="G54" s="21">
        <f t="shared" si="51"/>
        <v>576.59999999999991</v>
      </c>
      <c r="H54" s="21">
        <f t="shared" si="51"/>
        <v>581.72800000000007</v>
      </c>
      <c r="I54" s="21">
        <f t="shared" si="51"/>
        <v>586.16999999999996</v>
      </c>
      <c r="J54" s="21">
        <f t="shared" si="51"/>
        <v>577.56999999999994</v>
      </c>
      <c r="K54" s="21">
        <f t="shared" si="51"/>
        <v>613.82500000000005</v>
      </c>
      <c r="L54" s="21">
        <f t="shared" si="51"/>
        <v>571.19000000000005</v>
      </c>
      <c r="M54" s="21">
        <f t="shared" si="51"/>
        <v>639.2299999999999</v>
      </c>
      <c r="N54" s="21">
        <f t="shared" si="51"/>
        <v>599.65000000000009</v>
      </c>
      <c r="O54" s="21">
        <f t="shared" si="51"/>
        <v>614.68999999999994</v>
      </c>
      <c r="P54" s="21">
        <f t="shared" si="51"/>
        <v>595.649</v>
      </c>
      <c r="Q54" s="21">
        <f t="shared" si="51"/>
        <v>615.88800000000003</v>
      </c>
      <c r="R54" s="21">
        <f t="shared" si="51"/>
        <v>612.6</v>
      </c>
      <c r="S54" s="21">
        <f t="shared" si="51"/>
        <v>636.00500000000011</v>
      </c>
      <c r="T54" s="21">
        <f t="shared" si="51"/>
        <v>631.54399999999998</v>
      </c>
      <c r="U54" s="25">
        <f t="shared" si="0"/>
        <v>6.0261999936204007E-2</v>
      </c>
      <c r="V54" s="21">
        <f>SUM(V49:V53)</f>
        <v>659.13000000000011</v>
      </c>
      <c r="W54" s="25">
        <f t="shared" si="47"/>
        <v>7.0210817551243199E-2</v>
      </c>
      <c r="X54" s="21">
        <f>SUM(X49:X53)</f>
        <v>600.8950000000001</v>
      </c>
      <c r="Y54" s="25">
        <f t="shared" si="48"/>
        <v>-1.9107084557623125E-2</v>
      </c>
      <c r="Z54" s="21">
        <f t="shared" ref="Z54:AC54" si="52">SUM(Z49:Z53)</f>
        <v>0</v>
      </c>
      <c r="AA54" s="21">
        <f t="shared" si="52"/>
        <v>0</v>
      </c>
      <c r="AB54" s="21">
        <f t="shared" si="52"/>
        <v>0</v>
      </c>
      <c r="AC54" s="21">
        <f t="shared" si="52"/>
        <v>0</v>
      </c>
    </row>
    <row r="55" spans="1:29" s="24" customFormat="1" x14ac:dyDescent="0.2">
      <c r="A55" s="2"/>
      <c r="U55" s="25"/>
      <c r="W55" s="25"/>
      <c r="Y55" s="25"/>
    </row>
    <row r="56" spans="1:29" s="21" customFormat="1" x14ac:dyDescent="0.2">
      <c r="A56" s="11" t="s">
        <v>67</v>
      </c>
      <c r="B56" s="21">
        <f t="shared" ref="B56:T56" si="53">B41-B54</f>
        <v>1067.8999999999999</v>
      </c>
      <c r="C56" s="21">
        <f t="shared" si="53"/>
        <v>1100.6179999999999</v>
      </c>
      <c r="D56" s="21">
        <f t="shared" si="53"/>
        <v>1153.0690000000002</v>
      </c>
      <c r="E56" s="21">
        <f t="shared" si="53"/>
        <v>1236.2250000000001</v>
      </c>
      <c r="F56" s="21">
        <f t="shared" si="53"/>
        <v>1267.2260000000001</v>
      </c>
      <c r="G56" s="21">
        <f t="shared" si="53"/>
        <v>1295.02</v>
      </c>
      <c r="H56" s="21">
        <f t="shared" si="53"/>
        <v>1322.7620000000002</v>
      </c>
      <c r="I56" s="21">
        <f t="shared" si="53"/>
        <v>1346.75</v>
      </c>
      <c r="J56" s="21">
        <f t="shared" si="53"/>
        <v>1360.66</v>
      </c>
      <c r="K56" s="21">
        <f t="shared" si="53"/>
        <v>1392.105</v>
      </c>
      <c r="L56" s="21">
        <f t="shared" si="53"/>
        <v>1413.4830000000004</v>
      </c>
      <c r="M56" s="21">
        <f t="shared" si="53"/>
        <v>1454.92</v>
      </c>
      <c r="N56" s="21">
        <f t="shared" si="53"/>
        <v>1478.1599999999999</v>
      </c>
      <c r="O56" s="21">
        <f t="shared" si="53"/>
        <v>1517.7430000000004</v>
      </c>
      <c r="P56" s="21">
        <f t="shared" si="53"/>
        <v>1559.5540000000001</v>
      </c>
      <c r="Q56" s="21">
        <f t="shared" si="53"/>
        <v>1615.3319999999999</v>
      </c>
      <c r="R56" s="21">
        <f t="shared" si="53"/>
        <v>1657.5789999999993</v>
      </c>
      <c r="S56" s="21">
        <f t="shared" si="53"/>
        <v>1688.4870000000001</v>
      </c>
      <c r="T56" s="21">
        <f t="shared" si="53"/>
        <v>1752.8760000000002</v>
      </c>
      <c r="U56" s="25">
        <f t="shared" si="0"/>
        <v>0.12395979876297974</v>
      </c>
      <c r="V56" s="21">
        <f>V41-V54</f>
        <v>1888.5450000000001</v>
      </c>
      <c r="W56" s="25">
        <f t="shared" ref="W56:W64" si="54">(V56-Q56)/Q56</f>
        <v>0.16913736618849884</v>
      </c>
      <c r="X56" s="21">
        <f>X41-X54</f>
        <v>1976.069</v>
      </c>
      <c r="Y56" s="25">
        <f t="shared" ref="Y56:Y64" si="55">(X56-R56)/R56</f>
        <v>0.1921416716789974</v>
      </c>
      <c r="Z56" s="21">
        <f t="shared" ref="Z56:AC56" si="56">Z41-Z54</f>
        <v>0</v>
      </c>
      <c r="AA56" s="21">
        <f t="shared" si="56"/>
        <v>0</v>
      </c>
      <c r="AB56" s="21">
        <f t="shared" si="56"/>
        <v>0</v>
      </c>
      <c r="AC56" s="21">
        <f t="shared" si="56"/>
        <v>0</v>
      </c>
    </row>
    <row r="57" spans="1:29" s="24" customFormat="1" x14ac:dyDescent="0.2">
      <c r="A57" s="10" t="s">
        <v>68</v>
      </c>
      <c r="B57" s="24">
        <f t="shared" ref="B57:T57" si="57">B7-B8+B9</f>
        <v>2475.652</v>
      </c>
      <c r="C57" s="24">
        <f t="shared" si="57"/>
        <v>1947.1530000000002</v>
      </c>
      <c r="D57" s="24">
        <f t="shared" si="57"/>
        <v>1745.0369999999996</v>
      </c>
      <c r="E57" s="24">
        <f t="shared" si="57"/>
        <v>1186.5074999999997</v>
      </c>
      <c r="F57" s="24">
        <f t="shared" si="57"/>
        <v>1405.6935000000001</v>
      </c>
      <c r="G57" s="24">
        <f t="shared" si="57"/>
        <v>1311.472</v>
      </c>
      <c r="H57" s="24">
        <f t="shared" si="57"/>
        <v>1666.5639999999996</v>
      </c>
      <c r="I57" s="24">
        <f t="shared" si="57"/>
        <v>2162.6893999999998</v>
      </c>
      <c r="J57" s="24">
        <f t="shared" si="57"/>
        <v>1230.1075800000001</v>
      </c>
      <c r="K57" s="24">
        <f t="shared" si="57"/>
        <v>1644.0500000000002</v>
      </c>
      <c r="L57" s="24">
        <f t="shared" si="57"/>
        <v>1589.3150000000001</v>
      </c>
      <c r="M57" s="24">
        <f t="shared" si="57"/>
        <v>2491.3520000000003</v>
      </c>
      <c r="N57" s="24">
        <f t="shared" si="57"/>
        <v>2704.4049999999997</v>
      </c>
      <c r="O57" s="24">
        <f t="shared" si="57"/>
        <v>2834.6274000000003</v>
      </c>
      <c r="P57" s="24">
        <f t="shared" si="57"/>
        <v>2883.3379999999997</v>
      </c>
      <c r="Q57" s="24">
        <f t="shared" si="57"/>
        <v>3928.0069999999996</v>
      </c>
      <c r="R57" s="24">
        <f t="shared" si="57"/>
        <v>4828.1100000000006</v>
      </c>
      <c r="S57" s="24">
        <f t="shared" si="57"/>
        <v>4532.8159999999998</v>
      </c>
      <c r="T57" s="24">
        <f t="shared" si="57"/>
        <v>4231.6207999999997</v>
      </c>
      <c r="U57" s="25">
        <f t="shared" si="0"/>
        <v>0.46761177496360123</v>
      </c>
      <c r="V57" s="24">
        <f>V7-V8+V9</f>
        <v>4059.7853000000005</v>
      </c>
      <c r="W57" s="25">
        <f t="shared" si="54"/>
        <v>3.3548387261020884E-2</v>
      </c>
      <c r="X57" s="24">
        <f>X7-X8+X9</f>
        <v>4018.37</v>
      </c>
      <c r="Y57" s="25">
        <f t="shared" si="55"/>
        <v>-0.1677136602107244</v>
      </c>
      <c r="Z57" s="24">
        <f t="shared" ref="Z57:AC57" si="58">Z7-Z8+Z9</f>
        <v>0</v>
      </c>
      <c r="AA57" s="24">
        <f t="shared" si="58"/>
        <v>0</v>
      </c>
      <c r="AB57" s="24">
        <f t="shared" si="58"/>
        <v>0</v>
      </c>
      <c r="AC57" s="24">
        <f t="shared" si="58"/>
        <v>0</v>
      </c>
    </row>
    <row r="58" spans="1:29" x14ac:dyDescent="0.2">
      <c r="A58" s="10" t="s">
        <v>69</v>
      </c>
      <c r="B58" s="22">
        <f t="shared" ref="B58:T58" si="59">(B25+B26)/B6</f>
        <v>0.25713155291790313</v>
      </c>
      <c r="C58" s="22">
        <f t="shared" si="59"/>
        <v>0.37286844708209665</v>
      </c>
      <c r="D58" s="22">
        <f t="shared" si="59"/>
        <v>0.3303623898139082</v>
      </c>
      <c r="E58" s="22">
        <f t="shared" si="59"/>
        <v>0.36021556206863986</v>
      </c>
      <c r="F58" s="22">
        <f t="shared" si="59"/>
        <v>0.24461998691221873</v>
      </c>
      <c r="G58" s="22">
        <f t="shared" si="59"/>
        <v>0.19505597014925402</v>
      </c>
      <c r="H58" s="22">
        <f t="shared" si="59"/>
        <v>0.2066914498141266</v>
      </c>
      <c r="I58" s="22">
        <f t="shared" si="59"/>
        <v>0.19075840355588469</v>
      </c>
      <c r="J58" s="22">
        <f t="shared" si="59"/>
        <v>0.15783779785296201</v>
      </c>
      <c r="K58" s="22">
        <f t="shared" si="59"/>
        <v>0.17521698984302886</v>
      </c>
      <c r="L58" s="22">
        <f t="shared" si="59"/>
        <v>0.13870967741935458</v>
      </c>
      <c r="M58" s="22">
        <f t="shared" si="59"/>
        <v>0.2853472795669324</v>
      </c>
      <c r="N58" s="22">
        <f t="shared" si="59"/>
        <v>0.25840182648401844</v>
      </c>
      <c r="O58" s="22">
        <f t="shared" si="59"/>
        <v>0.28078817733990169</v>
      </c>
      <c r="P58" s="22">
        <f t="shared" si="59"/>
        <v>0.35603715170278616</v>
      </c>
      <c r="Q58" s="22">
        <f t="shared" si="59"/>
        <v>0.46895738893925676</v>
      </c>
      <c r="R58" s="22">
        <f t="shared" si="59"/>
        <v>0.48868778280543002</v>
      </c>
      <c r="S58" s="22">
        <f t="shared" si="59"/>
        <v>0.52504520795660037</v>
      </c>
      <c r="T58" s="22">
        <f t="shared" si="59"/>
        <v>0.62344342176502443</v>
      </c>
      <c r="U58" s="25">
        <f t="shared" si="0"/>
        <v>0.7510628280878523</v>
      </c>
      <c r="V58" s="22">
        <f>(V25+V26)/V6</f>
        <v>0.75110430000901496</v>
      </c>
      <c r="W58" s="25">
        <f t="shared" si="54"/>
        <v>0.60164722365917178</v>
      </c>
      <c r="X58" s="22">
        <f>(X25+X26)/X6</f>
        <v>0.64333033303330378</v>
      </c>
      <c r="Y58" s="25">
        <f t="shared" si="55"/>
        <v>0.31644447778111195</v>
      </c>
      <c r="Z58" s="22" t="e">
        <f t="shared" ref="Z58:AC58" si="60">(Z25+Z26)/Z6</f>
        <v>#DIV/0!</v>
      </c>
      <c r="AA58" s="22" t="e">
        <f t="shared" si="60"/>
        <v>#DIV/0!</v>
      </c>
      <c r="AB58" s="22" t="e">
        <f t="shared" si="60"/>
        <v>#DIV/0!</v>
      </c>
      <c r="AC58" s="22" t="e">
        <f t="shared" si="60"/>
        <v>#DIV/0!</v>
      </c>
    </row>
    <row r="59" spans="1:29" x14ac:dyDescent="0.2">
      <c r="A59" s="10" t="s">
        <v>76</v>
      </c>
      <c r="B59" s="26">
        <f t="shared" ref="B59:V59" si="61">B13/B11</f>
        <v>0.21156060121522227</v>
      </c>
      <c r="C59" s="26">
        <f t="shared" si="61"/>
        <v>0.23432697759078558</v>
      </c>
      <c r="D59" s="26">
        <f t="shared" si="61"/>
        <v>0.22513949163050223</v>
      </c>
      <c r="E59" s="26">
        <f t="shared" si="61"/>
        <v>0.22676858513189457</v>
      </c>
      <c r="F59" s="26">
        <f t="shared" si="61"/>
        <v>0.20362463721380208</v>
      </c>
      <c r="G59" s="26">
        <f t="shared" si="61"/>
        <v>0.17445279320483512</v>
      </c>
      <c r="H59" s="26">
        <f t="shared" si="61"/>
        <v>0.18667093880166619</v>
      </c>
      <c r="I59" s="26">
        <f t="shared" si="61"/>
        <v>0.17926071311743536</v>
      </c>
      <c r="J59" s="26">
        <f t="shared" si="61"/>
        <v>0.17514990006662221</v>
      </c>
      <c r="K59" s="26">
        <f t="shared" si="61"/>
        <v>0.18606900999677528</v>
      </c>
      <c r="L59" s="26">
        <f t="shared" si="61"/>
        <v>0.1721470019342359</v>
      </c>
      <c r="M59" s="26">
        <f t="shared" si="61"/>
        <v>0.20162224797218994</v>
      </c>
      <c r="N59" s="26">
        <f t="shared" si="61"/>
        <v>0.20103686635944704</v>
      </c>
      <c r="O59" s="26">
        <f t="shared" si="61"/>
        <v>0.2036009167978351</v>
      </c>
      <c r="P59" s="26">
        <f t="shared" si="61"/>
        <v>0.22084303077320916</v>
      </c>
      <c r="Q59" s="26">
        <f t="shared" si="61"/>
        <v>0.24307206988595004</v>
      </c>
      <c r="R59" s="26">
        <f t="shared" si="61"/>
        <v>0.24839705533127526</v>
      </c>
      <c r="S59" s="26">
        <f t="shared" si="61"/>
        <v>0.26396058188643828</v>
      </c>
      <c r="T59" s="26">
        <f t="shared" si="61"/>
        <v>0.29150081948021539</v>
      </c>
      <c r="U59" s="25">
        <f t="shared" si="0"/>
        <v>0.3199457481615845</v>
      </c>
      <c r="V59" s="26">
        <f t="shared" si="61"/>
        <v>0.30931005406477857</v>
      </c>
      <c r="W59" s="25">
        <f t="shared" si="54"/>
        <v>0.27250347689023896</v>
      </c>
      <c r="X59" s="26">
        <f>X13/X11</f>
        <v>0.26912260967379087</v>
      </c>
      <c r="Y59" s="25">
        <f t="shared" si="55"/>
        <v>8.3437198218291792E-2</v>
      </c>
      <c r="Z59" s="26" t="e">
        <f t="shared" ref="Z59:AC59" si="62">Z13/Z11</f>
        <v>#DIV/0!</v>
      </c>
      <c r="AA59" s="26" t="e">
        <f t="shared" si="62"/>
        <v>#DIV/0!</v>
      </c>
      <c r="AB59" s="26" t="e">
        <f t="shared" si="62"/>
        <v>#DIV/0!</v>
      </c>
      <c r="AC59" s="26" t="e">
        <f t="shared" si="62"/>
        <v>#DIV/0!</v>
      </c>
    </row>
    <row r="60" spans="1:29" x14ac:dyDescent="0.2">
      <c r="A60" s="10" t="s">
        <v>75</v>
      </c>
      <c r="B60" s="26">
        <f t="shared" ref="B60:V60" si="63">B25/B11</f>
        <v>8.6651742884553906E-2</v>
      </c>
      <c r="C60" s="26">
        <f t="shared" si="63"/>
        <v>0.10741204905559026</v>
      </c>
      <c r="D60" s="26">
        <f t="shared" si="63"/>
        <v>0.10446993180409182</v>
      </c>
      <c r="E60" s="26">
        <f t="shared" si="63"/>
        <v>0.10956235011990419</v>
      </c>
      <c r="F60" s="26">
        <f t="shared" si="63"/>
        <v>8.5027410512737933E-2</v>
      </c>
      <c r="G60" s="26">
        <f t="shared" si="63"/>
        <v>6.4358052923881179E-2</v>
      </c>
      <c r="H60" s="26">
        <f t="shared" si="63"/>
        <v>7.1900032041012557E-2</v>
      </c>
      <c r="I60" s="26">
        <f t="shared" si="63"/>
        <v>6.3788027477919479E-2</v>
      </c>
      <c r="J60" s="26">
        <f t="shared" si="63"/>
        <v>5.3530979347101902E-2</v>
      </c>
      <c r="K60" s="26">
        <f t="shared" si="63"/>
        <v>6.8932602386327063E-2</v>
      </c>
      <c r="L60" s="26">
        <f t="shared" si="63"/>
        <v>5.0128949065119194E-2</v>
      </c>
      <c r="M60" s="26">
        <f t="shared" si="63"/>
        <v>8.7195828505214262E-2</v>
      </c>
      <c r="N60" s="26">
        <f t="shared" si="63"/>
        <v>8.7831221198156728E-2</v>
      </c>
      <c r="O60" s="26">
        <f t="shared" si="63"/>
        <v>8.6239748156739349E-2</v>
      </c>
      <c r="P60" s="26">
        <f t="shared" si="63"/>
        <v>0.10447375226273589</v>
      </c>
      <c r="Q60" s="26">
        <f t="shared" si="63"/>
        <v>0.12583353554962393</v>
      </c>
      <c r="R60" s="26">
        <f t="shared" si="63"/>
        <v>0.13227261933032536</v>
      </c>
      <c r="S60" s="26">
        <f t="shared" si="63"/>
        <v>0.13648521820741435</v>
      </c>
      <c r="T60" s="26">
        <f t="shared" si="63"/>
        <v>0.15602903301334581</v>
      </c>
      <c r="U60" s="25">
        <f t="shared" si="0"/>
        <v>0.49347591748170472</v>
      </c>
      <c r="V60" s="26">
        <f t="shared" si="63"/>
        <v>0.21283666484797389</v>
      </c>
      <c r="W60" s="25">
        <f t="shared" si="54"/>
        <v>0.69141448595823063</v>
      </c>
      <c r="X60" s="26">
        <f>X25/X11</f>
        <v>0.22902137232845904</v>
      </c>
      <c r="Y60" s="25">
        <f t="shared" si="55"/>
        <v>0.73143446835752401</v>
      </c>
      <c r="Z60" s="26" t="e">
        <f t="shared" ref="Z60:AC60" si="64">Z25/Z11</f>
        <v>#DIV/0!</v>
      </c>
      <c r="AA60" s="26" t="e">
        <f t="shared" si="64"/>
        <v>#DIV/0!</v>
      </c>
      <c r="AB60" s="26" t="e">
        <f t="shared" si="64"/>
        <v>#DIV/0!</v>
      </c>
      <c r="AC60" s="26" t="e">
        <f t="shared" si="64"/>
        <v>#DIV/0!</v>
      </c>
    </row>
    <row r="61" spans="1:29" x14ac:dyDescent="0.2">
      <c r="A61" s="10" t="s">
        <v>77</v>
      </c>
      <c r="B61" s="23">
        <f t="shared" ref="B61:V61" si="65">B12/B11</f>
        <v>0.78843939878477776</v>
      </c>
      <c r="C61" s="23">
        <f t="shared" si="65"/>
        <v>0.76567302240921442</v>
      </c>
      <c r="D61" s="23">
        <f t="shared" si="65"/>
        <v>0.77486050836949782</v>
      </c>
      <c r="E61" s="23">
        <f t="shared" si="65"/>
        <v>0.77323141486810543</v>
      </c>
      <c r="F61" s="23">
        <f t="shared" si="65"/>
        <v>0.79637536278619792</v>
      </c>
      <c r="G61" s="23">
        <f t="shared" si="65"/>
        <v>0.82554720679516491</v>
      </c>
      <c r="H61" s="23">
        <f t="shared" si="65"/>
        <v>0.81332906119833381</v>
      </c>
      <c r="I61" s="23">
        <f t="shared" si="65"/>
        <v>0.8207392868825647</v>
      </c>
      <c r="J61" s="23">
        <f t="shared" si="65"/>
        <v>0.82485009993337777</v>
      </c>
      <c r="K61" s="23">
        <f t="shared" si="65"/>
        <v>0.81393099000322477</v>
      </c>
      <c r="L61" s="23">
        <f t="shared" si="65"/>
        <v>0.82785299806576407</v>
      </c>
      <c r="M61" s="23">
        <f t="shared" si="65"/>
        <v>0.79837775202781003</v>
      </c>
      <c r="N61" s="23">
        <f t="shared" si="65"/>
        <v>0.79896313364055294</v>
      </c>
      <c r="O61" s="23">
        <f t="shared" si="65"/>
        <v>0.7963990832021649</v>
      </c>
      <c r="P61" s="23">
        <f t="shared" si="65"/>
        <v>0.7791569692267909</v>
      </c>
      <c r="Q61" s="23">
        <f t="shared" si="65"/>
        <v>0.75692793011404991</v>
      </c>
      <c r="R61" s="23">
        <f t="shared" si="65"/>
        <v>0.75160294466872468</v>
      </c>
      <c r="S61" s="23">
        <f t="shared" si="65"/>
        <v>0.73603941811356166</v>
      </c>
      <c r="T61" s="23">
        <f t="shared" si="65"/>
        <v>0.70849918051978455</v>
      </c>
      <c r="U61" s="25">
        <f t="shared" si="0"/>
        <v>-9.0684921649516595E-2</v>
      </c>
      <c r="V61" s="23">
        <f t="shared" si="65"/>
        <v>0.69068994593522137</v>
      </c>
      <c r="W61" s="25">
        <f t="shared" si="54"/>
        <v>-8.7508970859151866E-2</v>
      </c>
      <c r="X61" s="23">
        <f>X12/X11</f>
        <v>0.73087739032620913</v>
      </c>
      <c r="Y61" s="25">
        <f t="shared" si="55"/>
        <v>-2.7575137231068875E-2</v>
      </c>
      <c r="Z61" s="23" t="e">
        <f t="shared" ref="Z61:AC61" si="66">Z12/Z11</f>
        <v>#DIV/0!</v>
      </c>
      <c r="AA61" s="23" t="e">
        <f t="shared" si="66"/>
        <v>#DIV/0!</v>
      </c>
      <c r="AB61" s="23" t="e">
        <f t="shared" si="66"/>
        <v>#DIV/0!</v>
      </c>
      <c r="AC61" s="23" t="e">
        <f t="shared" si="66"/>
        <v>#DIV/0!</v>
      </c>
    </row>
    <row r="62" spans="1:29" x14ac:dyDescent="0.2">
      <c r="A62" s="10" t="s">
        <v>78</v>
      </c>
      <c r="B62" s="23">
        <f>B36/B49</f>
        <v>2.9126614987080099</v>
      </c>
      <c r="C62" s="23">
        <f t="shared" ref="C62:AC62" si="67">C36/C49</f>
        <v>3.0728920056818909</v>
      </c>
      <c r="D62" s="23">
        <f t="shared" si="67"/>
        <v>3.9259364686468645</v>
      </c>
      <c r="E62" s="23">
        <f t="shared" si="67"/>
        <v>4.8501374435499702</v>
      </c>
      <c r="F62" s="23">
        <f t="shared" si="67"/>
        <v>4.5125618422236222</v>
      </c>
      <c r="G62" s="23">
        <f t="shared" si="67"/>
        <v>4.8170184634273028</v>
      </c>
      <c r="H62" s="23">
        <f t="shared" si="67"/>
        <v>4.4985730715168035</v>
      </c>
      <c r="I62" s="23">
        <f t="shared" si="67"/>
        <v>4.3018770993874735</v>
      </c>
      <c r="J62" s="23">
        <f t="shared" si="67"/>
        <v>3.8279223132111029</v>
      </c>
      <c r="K62" s="23">
        <f t="shared" si="67"/>
        <v>3.508709848643258</v>
      </c>
      <c r="L62" s="23">
        <f t="shared" si="67"/>
        <v>4.0874333616626757</v>
      </c>
      <c r="M62" s="23">
        <f t="shared" si="67"/>
        <v>4.0424073598944403</v>
      </c>
      <c r="N62" s="23">
        <f t="shared" si="67"/>
        <v>4.0179093567251467</v>
      </c>
      <c r="O62" s="23">
        <f t="shared" si="67"/>
        <v>3.7130449444888947</v>
      </c>
      <c r="P62" s="23">
        <f t="shared" si="67"/>
        <v>3.7564730580825754</v>
      </c>
      <c r="Q62" s="23">
        <f t="shared" si="67"/>
        <v>4.3279062194724833</v>
      </c>
      <c r="R62" s="23">
        <f t="shared" si="67"/>
        <v>3.8789783950617278</v>
      </c>
      <c r="S62" s="23">
        <f t="shared" si="67"/>
        <v>3.8105430432961094</v>
      </c>
      <c r="T62" s="23">
        <f t="shared" si="67"/>
        <v>3.7778052058476645</v>
      </c>
      <c r="U62" s="25">
        <f t="shared" si="0"/>
        <v>5.6787703346334647E-3</v>
      </c>
      <c r="V62" s="23">
        <f t="shared" si="67"/>
        <v>3.8593552383656404</v>
      </c>
      <c r="W62" s="25">
        <f t="shared" si="54"/>
        <v>-0.10826273891950304</v>
      </c>
      <c r="X62" s="23">
        <f t="shared" si="67"/>
        <v>4.1909755753211924</v>
      </c>
      <c r="Y62" s="25">
        <f t="shared" si="55"/>
        <v>8.043282237835192E-2</v>
      </c>
      <c r="Z62" s="23" t="e">
        <f t="shared" si="67"/>
        <v>#DIV/0!</v>
      </c>
      <c r="AA62" s="23" t="e">
        <f t="shared" si="67"/>
        <v>#DIV/0!</v>
      </c>
      <c r="AB62" s="23" t="e">
        <f t="shared" si="67"/>
        <v>#DIV/0!</v>
      </c>
      <c r="AC62" s="23" t="e">
        <f t="shared" si="67"/>
        <v>#DIV/0!</v>
      </c>
    </row>
    <row r="63" spans="1:29" x14ac:dyDescent="0.2">
      <c r="A63" s="10" t="s">
        <v>79</v>
      </c>
      <c r="B63" s="27" t="s">
        <v>80</v>
      </c>
      <c r="C63" s="23">
        <f t="shared" ref="C63:T63" si="68">C12/((C34+B34)/2)</f>
        <v>1.700463883366468</v>
      </c>
      <c r="D63" s="23">
        <f t="shared" si="68"/>
        <v>2.8671709669834313</v>
      </c>
      <c r="E63" s="23">
        <f t="shared" si="68"/>
        <v>2.6906648169106635</v>
      </c>
      <c r="F63" s="23">
        <f t="shared" si="68"/>
        <v>1.4334155614243838</v>
      </c>
      <c r="G63" s="23">
        <f t="shared" si="68"/>
        <v>1.4497991967871484</v>
      </c>
      <c r="H63" s="23">
        <f t="shared" si="68"/>
        <v>1.3997242900468705</v>
      </c>
      <c r="I63" s="23">
        <f t="shared" si="68"/>
        <v>1.3198316675433981</v>
      </c>
      <c r="J63" s="23">
        <f t="shared" si="68"/>
        <v>1.2678955453149001</v>
      </c>
      <c r="K63" s="23">
        <f t="shared" si="68"/>
        <v>1.2359825669653788</v>
      </c>
      <c r="L63" s="23">
        <f t="shared" si="68"/>
        <v>1.2374323279195669</v>
      </c>
      <c r="M63" s="23">
        <f t="shared" si="68"/>
        <v>1.3642449997896211</v>
      </c>
      <c r="N63" s="23">
        <f t="shared" si="68"/>
        <v>1.3999495331819329</v>
      </c>
      <c r="O63" s="23">
        <f t="shared" si="68"/>
        <v>1.4189421894218941</v>
      </c>
      <c r="P63" s="23">
        <f t="shared" si="68"/>
        <v>1.4013953488372093</v>
      </c>
      <c r="Q63" s="23">
        <f t="shared" si="68"/>
        <v>1.3705184534270651</v>
      </c>
      <c r="R63" s="23">
        <f t="shared" si="68"/>
        <v>1.3124067009454305</v>
      </c>
      <c r="S63" s="23">
        <f t="shared" si="68"/>
        <v>1.2628316090334528</v>
      </c>
      <c r="T63" s="23">
        <f t="shared" si="68"/>
        <v>1.1674382716049385</v>
      </c>
      <c r="U63" s="25">
        <f t="shared" si="0"/>
        <v>-0.16694580685342919</v>
      </c>
      <c r="V63" s="23">
        <f>V12/((V34+T34)/2)</f>
        <v>0.97462817147856518</v>
      </c>
      <c r="W63" s="25">
        <f t="shared" si="54"/>
        <v>-0.28886169387836558</v>
      </c>
      <c r="X63" s="23">
        <f>X12/((X34+V34)/2)</f>
        <v>0.78662227602905566</v>
      </c>
      <c r="Y63" s="25">
        <f t="shared" si="55"/>
        <v>-0.40062613558557014</v>
      </c>
      <c r="Z63" s="23">
        <f>Z12/((Z34+X34)/2)</f>
        <v>0</v>
      </c>
      <c r="AA63" s="23" t="e">
        <f t="shared" ref="AA63:AC63" si="69">AA12/((AA34+Z34)/2)</f>
        <v>#DIV/0!</v>
      </c>
      <c r="AB63" s="23" t="e">
        <f t="shared" si="69"/>
        <v>#DIV/0!</v>
      </c>
      <c r="AC63" s="23" t="e">
        <f t="shared" si="69"/>
        <v>#DIV/0!</v>
      </c>
    </row>
    <row r="64" spans="1:29" x14ac:dyDescent="0.2">
      <c r="B64" s="27" t="s">
        <v>80</v>
      </c>
      <c r="C64" s="5">
        <f t="shared" ref="C64:V64" si="70">91/C63</f>
        <v>53.514809041309427</v>
      </c>
      <c r="D64" s="5">
        <f t="shared" si="70"/>
        <v>31.738602632315878</v>
      </c>
      <c r="E64" s="5">
        <f t="shared" si="70"/>
        <v>33.820637720488477</v>
      </c>
      <c r="F64" s="5">
        <f t="shared" si="70"/>
        <v>63.484730073373406</v>
      </c>
      <c r="G64" s="5">
        <f t="shared" si="70"/>
        <v>62.767313019390592</v>
      </c>
      <c r="H64" s="5">
        <f t="shared" si="70"/>
        <v>65.012803340687057</v>
      </c>
      <c r="I64" s="5">
        <f t="shared" si="70"/>
        <v>68.948186528497416</v>
      </c>
      <c r="J64" s="5">
        <f t="shared" si="70"/>
        <v>71.772473952023262</v>
      </c>
      <c r="K64" s="5">
        <f t="shared" si="70"/>
        <v>73.625633914421556</v>
      </c>
      <c r="L64" s="5">
        <f t="shared" si="70"/>
        <v>73.539374999999993</v>
      </c>
      <c r="M64" s="5">
        <f t="shared" si="70"/>
        <v>66.703561320754716</v>
      </c>
      <c r="N64" s="5">
        <f t="shared" si="70"/>
        <v>65.002343186733953</v>
      </c>
      <c r="O64" s="5">
        <f t="shared" si="70"/>
        <v>64.132281553398059</v>
      </c>
      <c r="P64" s="5">
        <f t="shared" si="70"/>
        <v>64.935280451377366</v>
      </c>
      <c r="Q64" s="5">
        <f t="shared" si="70"/>
        <v>66.398230372198881</v>
      </c>
      <c r="R64" s="5">
        <f t="shared" si="70"/>
        <v>69.338262243285939</v>
      </c>
      <c r="S64" s="5">
        <f t="shared" si="70"/>
        <v>72.060280522792468</v>
      </c>
      <c r="T64" s="5">
        <f t="shared" si="70"/>
        <v>77.948446794448103</v>
      </c>
      <c r="U64" s="25">
        <f t="shared" si="0"/>
        <v>0.20040209655850819</v>
      </c>
      <c r="V64" s="5">
        <f t="shared" si="70"/>
        <v>93.3689407540395</v>
      </c>
      <c r="W64" s="25">
        <f t="shared" si="54"/>
        <v>0.40619622286098345</v>
      </c>
      <c r="X64" s="5">
        <f>91/X63</f>
        <v>115.68449403616776</v>
      </c>
      <c r="Y64" s="25">
        <f t="shared" si="55"/>
        <v>0.66840774910492584</v>
      </c>
      <c r="Z64" s="5" t="e">
        <f t="shared" ref="Z64:AC64" si="71">91/Z63</f>
        <v>#DIV/0!</v>
      </c>
      <c r="AA64" s="5" t="e">
        <f t="shared" si="71"/>
        <v>#DIV/0!</v>
      </c>
      <c r="AB64" s="5" t="e">
        <f t="shared" si="71"/>
        <v>#DIV/0!</v>
      </c>
      <c r="AC64" s="5" t="e">
        <f t="shared" si="71"/>
        <v>#DIV/0!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C974B17-DE1B-4009-8DB7-E95764209D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2AF3359-AA7B-4C3F-BB32-4122371AAA35}">
  <ds:schemaRefs>
    <ds:schemaRef ds:uri="http://schemas.microsoft.com/office/infopath/2007/PartnerControls"/>
    <ds:schemaRef ds:uri="http://purl.org/dc/terms/"/>
    <ds:schemaRef ds:uri="http://www.w3.org/XML/1998/namespace"/>
    <ds:schemaRef ds:uri="http://schemas.microsoft.com/office/2006/documentManagement/types"/>
    <ds:schemaRef ds:uri="http://purl.org/dc/elements/1.1/"/>
    <ds:schemaRef ds:uri="http://purl.org/dc/dcmitype/"/>
    <ds:schemaRef ds:uri="http://schemas.microsoft.com/office/2006/metadata/properties"/>
    <ds:schemaRef ds:uri="http://schemas.openxmlformats.org/package/2006/metadata/core-properties"/>
    <ds:schemaRef ds:uri="36567613-e428-4167-ab55-a4f66cede826"/>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cp:lastModifiedBy>
  <dcterms:created xsi:type="dcterms:W3CDTF">2023-02-21T16:55:27Z</dcterms:created>
  <dcterms:modified xsi:type="dcterms:W3CDTF">2023-06-17T04:12:17Z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