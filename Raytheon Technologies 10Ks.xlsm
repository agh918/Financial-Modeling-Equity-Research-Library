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26" documentId="8_{7E5C25FD-82F8-4E5A-9A57-82B69445869E}" xr6:coauthVersionLast="47" xr6:coauthVersionMax="47" xr10:uidLastSave="{D001D07F-F8CD-4ECE-8213-87A7FDFC3207}"/>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8" i="1" l="1"/>
  <c r="K78" i="1"/>
  <c r="J78" i="1"/>
  <c r="L77" i="1"/>
  <c r="K77" i="1"/>
  <c r="J77" i="1"/>
  <c r="L76" i="1"/>
  <c r="K76" i="1"/>
  <c r="J76" i="1"/>
  <c r="L75" i="1"/>
  <c r="K75" i="1"/>
  <c r="J75" i="1"/>
  <c r="L74" i="1"/>
  <c r="K74" i="1"/>
  <c r="J74" i="1"/>
  <c r="L73" i="1"/>
  <c r="K73" i="1"/>
  <c r="J73" i="1"/>
  <c r="L72" i="1"/>
  <c r="K72" i="1"/>
  <c r="J72" i="1"/>
  <c r="L71" i="1"/>
  <c r="K71" i="1"/>
  <c r="J71" i="1"/>
  <c r="L70" i="1"/>
  <c r="K70" i="1"/>
  <c r="J70" i="1"/>
  <c r="L69" i="1"/>
  <c r="K69" i="1"/>
  <c r="J69" i="1"/>
  <c r="L67" i="1"/>
  <c r="K67" i="1"/>
  <c r="J67" i="1"/>
  <c r="L61" i="1"/>
  <c r="K61" i="1"/>
  <c r="J61" i="1"/>
  <c r="L51" i="1"/>
  <c r="K51" i="1"/>
  <c r="J51" i="1"/>
  <c r="L43" i="1"/>
  <c r="K43" i="1"/>
  <c r="J43" i="1"/>
  <c r="L34" i="1"/>
  <c r="K34" i="1"/>
  <c r="J34" i="1"/>
  <c r="L32" i="1"/>
  <c r="K32" i="1"/>
  <c r="J32" i="1"/>
  <c r="L28" i="1"/>
  <c r="K28" i="1"/>
  <c r="J28" i="1"/>
  <c r="L26" i="1"/>
  <c r="K26" i="1"/>
  <c r="J26" i="1"/>
  <c r="L19" i="1"/>
  <c r="K19" i="1"/>
  <c r="J19" i="1"/>
  <c r="L9" i="1"/>
  <c r="K9" i="1"/>
  <c r="J9" i="1"/>
  <c r="L8" i="1"/>
  <c r="K8" i="1"/>
  <c r="J8" i="1"/>
  <c r="G6" i="1"/>
  <c r="G7" i="1"/>
  <c r="G8" i="1"/>
  <c r="G9" i="1"/>
  <c r="G12" i="1"/>
  <c r="G13" i="1"/>
  <c r="G14" i="1"/>
  <c r="G15" i="1"/>
  <c r="G16" i="1"/>
  <c r="G17" i="1"/>
  <c r="G18" i="1"/>
  <c r="G19" i="1"/>
  <c r="G22" i="1"/>
  <c r="G23" i="1"/>
  <c r="G24" i="1"/>
  <c r="G25" i="1"/>
  <c r="G26" i="1"/>
  <c r="G28" i="1"/>
  <c r="G29" i="1"/>
  <c r="G30" i="1"/>
  <c r="G31" i="1"/>
  <c r="G32" i="1"/>
  <c r="G33" i="1"/>
  <c r="G34" i="1"/>
  <c r="G35" i="1"/>
  <c r="G39" i="1"/>
  <c r="G40" i="1"/>
  <c r="G41" i="1"/>
  <c r="G42" i="1"/>
  <c r="G43" i="1"/>
  <c r="G44" i="1"/>
  <c r="G45" i="1"/>
  <c r="G46" i="1"/>
  <c r="G47" i="1"/>
  <c r="G48" i="1"/>
  <c r="G49" i="1"/>
  <c r="G50" i="1"/>
  <c r="G51" i="1"/>
  <c r="G55" i="1"/>
  <c r="G56" i="1"/>
  <c r="G57" i="1"/>
  <c r="G58" i="1"/>
  <c r="G59" i="1"/>
  <c r="G60" i="1"/>
  <c r="G61" i="1"/>
  <c r="G62" i="1"/>
  <c r="G63" i="1"/>
  <c r="G64" i="1"/>
  <c r="G65" i="1"/>
  <c r="G66" i="1"/>
  <c r="G67" i="1"/>
  <c r="G69" i="1"/>
  <c r="G70" i="1"/>
  <c r="G71" i="1"/>
  <c r="G72" i="1"/>
  <c r="G73" i="1"/>
  <c r="G74" i="1"/>
  <c r="G75" i="1"/>
  <c r="G76" i="1"/>
  <c r="G77" i="1"/>
  <c r="G78" i="1"/>
  <c r="G5" i="1"/>
  <c r="H78" i="1"/>
  <c r="F78" i="1"/>
  <c r="H77" i="1"/>
  <c r="I77" i="1" s="1"/>
  <c r="F77" i="1"/>
  <c r="H76" i="1"/>
  <c r="E77" i="1"/>
  <c r="E75" i="1"/>
  <c r="H74" i="1"/>
  <c r="E74" i="1"/>
  <c r="D74" i="1"/>
  <c r="C74" i="1"/>
  <c r="B75" i="1"/>
  <c r="B74" i="1"/>
  <c r="B73" i="1"/>
  <c r="B72" i="1"/>
  <c r="I6" i="1"/>
  <c r="I7" i="1"/>
  <c r="I8" i="1"/>
  <c r="I9" i="1"/>
  <c r="I5" i="1"/>
  <c r="I15" i="1"/>
  <c r="I16" i="1"/>
  <c r="I17" i="1"/>
  <c r="I18" i="1"/>
  <c r="I22" i="1"/>
  <c r="I23" i="1"/>
  <c r="I24" i="1"/>
  <c r="I25" i="1"/>
  <c r="I29" i="1"/>
  <c r="I30" i="1"/>
  <c r="I31" i="1"/>
  <c r="I33" i="1"/>
  <c r="I35" i="1"/>
  <c r="I39" i="1"/>
  <c r="I40" i="1"/>
  <c r="I42" i="1"/>
  <c r="I44" i="1"/>
  <c r="I45" i="1"/>
  <c r="I46" i="1"/>
  <c r="I47" i="1"/>
  <c r="I48" i="1"/>
  <c r="I49" i="1"/>
  <c r="I50" i="1"/>
  <c r="I55" i="1"/>
  <c r="I56" i="1"/>
  <c r="I58" i="1"/>
  <c r="I59" i="1"/>
  <c r="I60" i="1"/>
  <c r="I62" i="1"/>
  <c r="I63" i="1"/>
  <c r="I64" i="1"/>
  <c r="I65" i="1"/>
  <c r="I66" i="1"/>
  <c r="I14" i="1"/>
  <c r="H57" i="1"/>
  <c r="H61" i="1" s="1"/>
  <c r="H67" i="1" s="1"/>
  <c r="H41" i="1"/>
  <c r="H43" i="1" s="1"/>
  <c r="F57" i="1"/>
  <c r="F41" i="1"/>
  <c r="F43" i="1" s="1"/>
  <c r="F51" i="1" s="1"/>
  <c r="F29" i="1"/>
  <c r="E57" i="1"/>
  <c r="E42" i="1"/>
  <c r="E43" i="1" s="1"/>
  <c r="E51" i="1" s="1"/>
  <c r="E41" i="1"/>
  <c r="E29" i="1"/>
  <c r="D41" i="1"/>
  <c r="D43" i="1" s="1"/>
  <c r="D51" i="1" s="1"/>
  <c r="C41" i="1"/>
  <c r="C43" i="1" s="1"/>
  <c r="C51" i="1" s="1"/>
  <c r="E61" i="1"/>
  <c r="E67" i="1" s="1"/>
  <c r="D61" i="1"/>
  <c r="D67" i="1" s="1"/>
  <c r="C61" i="1"/>
  <c r="C67" i="1" s="1"/>
  <c r="H26" i="1"/>
  <c r="I26" i="1" s="1"/>
  <c r="F26" i="1"/>
  <c r="E26" i="1"/>
  <c r="E70" i="1" s="1"/>
  <c r="D26" i="1"/>
  <c r="C26" i="1"/>
  <c r="H19" i="1"/>
  <c r="H75" i="1" s="1"/>
  <c r="F19" i="1"/>
  <c r="F74" i="1" s="1"/>
  <c r="E19" i="1"/>
  <c r="E78" i="1" s="1"/>
  <c r="D19" i="1"/>
  <c r="D75" i="1" s="1"/>
  <c r="C19" i="1"/>
  <c r="C75" i="1" s="1"/>
  <c r="H9" i="1"/>
  <c r="F9" i="1"/>
  <c r="E9" i="1"/>
  <c r="D9" i="1"/>
  <c r="C9" i="1"/>
  <c r="H8" i="1"/>
  <c r="F8" i="1"/>
  <c r="E8" i="1"/>
  <c r="E73" i="1" s="1"/>
  <c r="D8" i="1"/>
  <c r="D73" i="1" s="1"/>
  <c r="C8" i="1"/>
  <c r="C73" i="1" s="1"/>
  <c r="B9" i="1"/>
  <c r="B8" i="1"/>
  <c r="B61" i="1"/>
  <c r="B67" i="1" s="1"/>
  <c r="B43" i="1"/>
  <c r="B51" i="1" s="1"/>
  <c r="H7" i="1"/>
  <c r="F7" i="1"/>
  <c r="E7" i="1"/>
  <c r="D7" i="1"/>
  <c r="C7" i="1"/>
  <c r="B7" i="1"/>
  <c r="B26" i="1"/>
  <c r="B19" i="1"/>
  <c r="B70" i="1" s="1"/>
  <c r="A4" i="1" a="1"/>
  <c r="A4" i="1" s="1"/>
  <c r="H51" i="1" l="1"/>
  <c r="I51" i="1" s="1"/>
  <c r="I43" i="1"/>
  <c r="H72" i="1"/>
  <c r="I74" i="1"/>
  <c r="H73" i="1"/>
  <c r="I73" i="1" s="1"/>
  <c r="C70" i="1"/>
  <c r="C72" i="1"/>
  <c r="D72" i="1"/>
  <c r="F61" i="1"/>
  <c r="D70" i="1"/>
  <c r="I61" i="1"/>
  <c r="I19" i="1"/>
  <c r="F73" i="1"/>
  <c r="I41" i="1"/>
  <c r="F70" i="1"/>
  <c r="F75" i="1"/>
  <c r="E76" i="1"/>
  <c r="I78" i="1"/>
  <c r="I57" i="1"/>
  <c r="F76" i="1"/>
  <c r="H70" i="1"/>
  <c r="I70" i="1" s="1"/>
  <c r="E72" i="1"/>
  <c r="B28" i="1"/>
  <c r="B32" i="1" s="1"/>
  <c r="B34" i="1" s="1"/>
  <c r="B71" i="1" s="1"/>
  <c r="H69" i="1"/>
  <c r="E69" i="1"/>
  <c r="D69" i="1"/>
  <c r="D28" i="1"/>
  <c r="E28" i="1"/>
  <c r="F28" i="1"/>
  <c r="H28" i="1"/>
  <c r="I28" i="1" s="1"/>
  <c r="C69" i="1"/>
  <c r="C28" i="1"/>
  <c r="B69" i="1"/>
  <c r="F67" i="1" l="1"/>
  <c r="I75" i="1"/>
  <c r="F72" i="1"/>
  <c r="I76" i="1"/>
  <c r="E32" i="1"/>
  <c r="E34" i="1" s="1"/>
  <c r="E71" i="1" s="1"/>
  <c r="H32" i="1"/>
  <c r="D32" i="1"/>
  <c r="D34" i="1" s="1"/>
  <c r="D71" i="1" s="1"/>
  <c r="F32" i="1"/>
  <c r="C32" i="1"/>
  <c r="C34" i="1" s="1"/>
  <c r="C71" i="1" s="1"/>
  <c r="F34" i="1" l="1"/>
  <c r="H34" i="1"/>
  <c r="I32" i="1"/>
  <c r="I72" i="1"/>
  <c r="F69" i="1"/>
  <c r="I67" i="1"/>
  <c r="I69" i="1" l="1"/>
  <c r="H71" i="1"/>
  <c r="I34" i="1"/>
  <c r="F71" i="1"/>
  <c r="I7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tc={DF0014C9-48AA-49E7-AD6C-1C17957D645E}</author>
    <author>Abraham</author>
  </authors>
  <commentList>
    <comment ref="A12" authorId="0" shapeId="0" xr:uid="{DF0014C9-48AA-49E7-AD6C-1C17957D645E}">
      <text>
        <t>[Threaded comment]
Your version of Excel allows you to read this threaded comment; however, any edits to it will get removed if the file is opened in a newer version of Excel. Learn more: https://go.microsoft.com/fwlink/?linkid=870924
Comment:
    Otis &amp; Carrier spin off into RTX from UTX</t>
      </text>
    </comment>
    <comment ref="E29" authorId="1" shapeId="0" xr:uid="{D92565BA-F44B-412B-8918-70C65BC41EDE}">
      <text>
        <r>
          <rPr>
            <b/>
            <sz val="9"/>
            <color indexed="81"/>
            <rFont val="Tahoma"/>
            <family val="2"/>
          </rPr>
          <t>Abraham:</t>
        </r>
        <r>
          <rPr>
            <sz val="9"/>
            <color indexed="81"/>
            <rFont val="Tahoma"/>
            <family val="2"/>
          </rPr>
          <t xml:space="preserve">
Goodwill Impairment of -3,183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<sst xmlns="http://schemas.openxmlformats.org/spreadsheetml/2006/main" count="83" uniqueCount="69">
  <si>
    <t>Reported Date</t>
  </si>
  <si>
    <t>Cash</t>
  </si>
  <si>
    <t>Debt</t>
  </si>
  <si>
    <t>Revenues</t>
  </si>
  <si>
    <t>Interest expense</t>
  </si>
  <si>
    <t>Net income</t>
  </si>
  <si>
    <t>Research &amp; development</t>
  </si>
  <si>
    <t>Selling, general &amp; administrative</t>
  </si>
  <si>
    <t>Other</t>
  </si>
  <si>
    <t>Total costs &amp; expenses</t>
  </si>
  <si>
    <t>Income from operations</t>
  </si>
  <si>
    <t>Income before income taxes</t>
  </si>
  <si>
    <t>Year</t>
  </si>
  <si>
    <t>Assets</t>
  </si>
  <si>
    <t>Current assets</t>
  </si>
  <si>
    <t>Accounts receivable</t>
  </si>
  <si>
    <t>Total current assets</t>
  </si>
  <si>
    <t>Goodwill</t>
  </si>
  <si>
    <t>Total assets</t>
  </si>
  <si>
    <t>Liabilities</t>
  </si>
  <si>
    <t>Current liabilities</t>
  </si>
  <si>
    <t>Long-term debt</t>
  </si>
  <si>
    <t>Total liabilities</t>
  </si>
  <si>
    <t>% Change</t>
  </si>
  <si>
    <t>YoY</t>
  </si>
  <si>
    <t>Price</t>
  </si>
  <si>
    <t>Shares outstanding</t>
  </si>
  <si>
    <t>Market cap</t>
  </si>
  <si>
    <t>Otis</t>
  </si>
  <si>
    <t>Pratt &amp; Whitney</t>
  </si>
  <si>
    <t>Eliminations &amp; other</t>
  </si>
  <si>
    <t>Total revenue</t>
  </si>
  <si>
    <t>Costs &amp; expenses</t>
  </si>
  <si>
    <t>Cost of products sold</t>
  </si>
  <si>
    <t>Cost of services sold</t>
  </si>
  <si>
    <t>Other income (expense), net</t>
  </si>
  <si>
    <t>Income tax expense</t>
  </si>
  <si>
    <t>Noncontrolling interest in subsidiaries</t>
  </si>
  <si>
    <t>Inventories &amp; contracts in progress, net</t>
  </si>
  <si>
    <t>Customer financing assets</t>
  </si>
  <si>
    <t>Future income tax benefits</t>
  </si>
  <si>
    <t>Fixed assets</t>
  </si>
  <si>
    <t>Intangible assets</t>
  </si>
  <si>
    <t>Short-term borrowings</t>
  </si>
  <si>
    <t>Accounts payable</t>
  </si>
  <si>
    <t>Accrued liabilities</t>
  </si>
  <si>
    <t>Long-term debt, current due</t>
  </si>
  <si>
    <t>Total current liabilities</t>
  </si>
  <si>
    <t>Future pensions &amp; postretirement obligations</t>
  </si>
  <si>
    <t>Equity</t>
  </si>
  <si>
    <t>Collins Aerospace Systems</t>
  </si>
  <si>
    <t>Non-service pension cost</t>
  </si>
  <si>
    <t>Contract liabilities</t>
  </si>
  <si>
    <t>Carrier</t>
  </si>
  <si>
    <t>Operating lease liabilities</t>
  </si>
  <si>
    <t>Raytheon Intelligence &amp; Space</t>
  </si>
  <si>
    <t>Raytheon Missles &amp; Defense</t>
  </si>
  <si>
    <t>Operating lease ROU assets</t>
  </si>
  <si>
    <t>Liabilities related to discounted operations</t>
  </si>
  <si>
    <t>Net income %</t>
  </si>
  <si>
    <t>Gross profit %</t>
  </si>
  <si>
    <t>Current ratio</t>
  </si>
  <si>
    <t>Cash to assets ratio</t>
  </si>
  <si>
    <t>Pratt &amp; Whitney to revenue</t>
  </si>
  <si>
    <t>Collins Aerospace Systems to revenue</t>
  </si>
  <si>
    <t>Raytheon Intelligence &amp; Space to revenue</t>
  </si>
  <si>
    <t>Raytheon Missles &amp; Defense to revenue</t>
  </si>
  <si>
    <t>Eliminations &amp; other to revenue</t>
  </si>
  <si>
    <t>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</si>
</sst>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_([$$-409]* #,##0.00_);_([$$-409]* \(#,##0.00\);_([$$-409]* &quot;-&quot;??_);_(@_)"/>
    <numFmt numFmtId="166" formatCode="_(* #,##0.000_);_(* \(#,##0.000\);_(* &quot;-&quot;??_);_(@_)"/>
  </numFmts>
  <fonts count="9" x14ac:knownFonts="1">
    <font>
      <sz val="11"/>
      <color theme="1"/>
      <name val="Calibri"/>
      <family val="2"/>
      <scheme val="minor"/>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
      <sz val="9"/>
      <color indexed="81"/>
      <name val="Tahoma"/>
      <family val="2"/>
    </font>
    <font>
      <b/>
      <sz val="9"/>
      <color indexed="81"/>
      <name val="Tahoma"/>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cellStyleXfs>
  <cellXfs count="23">
    <xf numFmtId="0" fontId="0" fillId="0" borderId="0" xfId="0"/>
    <xf numFmtId="14" fontId="2" fillId="2" borderId="0" xfId="0" applyNumberFormat="1" applyFont="1" applyFill="1" applyAlignment="1">
      <alignment horizontal="center" vertical="center"/>
    </xf>
    <xf numFmtId="0" fontId="3" fillId="0" borderId="0" xfId="0" applyFont="1"/>
    <xf numFmtId="0" fontId="2" fillId="2" borderId="0" xfId="0" applyFont="1" applyFill="1" applyAlignment="1">
      <alignment horizontal="center" vertical="center"/>
    </xf>
    <xf numFmtId="0" fontId="2" fillId="2" borderId="0" xfId="0" applyFont="1" applyFill="1" applyAlignment="1">
      <alignment vertical="center"/>
    </xf>
    <xf numFmtId="164" fontId="3" fillId="0" borderId="0" xfId="1" applyNumberFormat="1" applyFont="1"/>
    <xf numFmtId="0" fontId="2" fillId="2" borderId="0" xfId="0" applyFont="1" applyFill="1" applyAlignment="1">
      <alignment horizontal="center"/>
    </xf>
    <xf numFmtId="165" fontId="3" fillId="0" borderId="0" xfId="0" applyNumberFormat="1" applyFont="1"/>
    <xf numFmtId="0" fontId="5" fillId="0" borderId="0" xfId="0" applyFont="1"/>
    <xf numFmtId="164" fontId="5" fillId="0" borderId="0" xfId="1" applyNumberFormat="1" applyFont="1"/>
    <xf numFmtId="0" fontId="5"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3"/>
    </xf>
    <xf numFmtId="0" fontId="1" fillId="0" borderId="0" xfId="0" applyFont="1"/>
    <xf numFmtId="0" fontId="1" fillId="0" borderId="0" xfId="0" applyFont="1" applyAlignment="1">
      <alignment horizontal="left" indent="1"/>
    </xf>
    <xf numFmtId="44" fontId="3" fillId="0" borderId="0" xfId="3" applyFont="1"/>
    <xf numFmtId="44" fontId="1" fillId="0" borderId="0" xfId="3" applyFont="1"/>
    <xf numFmtId="0" fontId="1" fillId="0" borderId="0" xfId="0" applyFont="1" applyAlignment="1">
      <alignment horizontal="left" indent="2"/>
    </xf>
    <xf numFmtId="164" fontId="1" fillId="0" borderId="0" xfId="1" applyNumberFormat="1" applyFont="1"/>
    <xf numFmtId="9" fontId="3" fillId="0" borderId="0" xfId="2" applyFont="1"/>
    <xf numFmtId="9" fontId="6" fillId="0" borderId="0" xfId="2" applyFont="1" applyAlignment="1">
      <alignment horizontal="center"/>
    </xf>
    <xf numFmtId="166" fontId="3" fillId="0" borderId="0" xfId="1" applyNumberFormat="1" applyFont="1"/>
    <xf numFmtId="0" fontId="1" fillId="0" borderId="0" xfId="0" applyFont="1" applyAlignment="1">
      <alignment horizontal="left"/>
    </xf>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alcChain" Target="calcChain.xml"/><Relationship Id="rId3" Type="http://schemas.openxmlformats.org/officeDocument/2006/relationships/styles" Target="styles.xml"/><Relationship Id="rId7" Type="http://schemas.microsoft.com/office/2017/06/relationships/rdRichValueStructure" Target="richData/rdrichvaluestructure.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theme" Target="theme/theme1.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2.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Abraham" id="{9C24EEAF-00CC-4F92-8B97-36F2C49A418A}" userId="Abraham" providerId="Non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https://www.bing.com/financeapi/forcetrigger?t=a25552&amp;q=XNYS%3aRTX&amp;form=skydnc</v>
    <v>Learn more on Bing</v>
  </rv>
  <rv s="1">
    <v>en-US</v>
    <v>a25552</v>
    <v>268435456</v>
    <v>1</v>
    <v>Powered by Refinitiv</v>
    <v>0</v>
    <v>RTX CORPORATION (XNYS:RTX)</v>
    <v>2</v>
    <v>3</v>
    <v>Finance</v>
    <v>4</v>
    <v>104.91</v>
    <v>68.555000000000007</v>
    <v>0.98899999999999999</v>
    <v>-1.02</v>
    <v>1.28E-6</v>
    <v>-1.2884E-2</v>
    <v>1E-4</v>
    <v>USD</v>
    <v>RTX Corporation is an aerospace and defense company. The Company is advancing aviation, engineering integrated defense systems, and developing technology solutions. The Company operates through three segments: Collins Aerospace, Pratt &amp; Whitney, and Raytheon. Collins Aerospace segment provides technologically advanced aerospace and defense products and aftermarket service solutions for aircraft manufacturers, airlines, and regional, business and general aviation, as well as for defense and commercial space operations. Pratt &amp; Whitney segment supplies aircraft engines for commercial, defense, business jet and general aviation customers. Raytheon segment provides advanced air and missile defense systems, effectors, hypersonic, sensors and radars, cybersecurity services, and integrated space solutions for government and commercial customers.</v>
    <v>182000</v>
    <v>New York Stock Exchange</v>
    <v>XNYS</v>
    <v>XNYS</v>
    <v>1000 Wilson Blvd, ARLINGTON, VA, 22209 US</v>
    <v>79.099999999999994</v>
    <v>Aerospace &amp; Defense</v>
    <v>Stock</v>
    <v>45252.037424363283</v>
    <v>0</v>
    <v>78.114999999999995</v>
    <v>112371963150</v>
    <v>RTX CORPORATION</v>
    <v>RTX CORPORATION</v>
    <v>78.930000000000007</v>
    <v>36.279000000000003</v>
    <v>79.17</v>
    <v>78.150000000000006</v>
    <v>78.150099999999995</v>
    <v>1437901000</v>
    <v>RTX</v>
    <v>RTX CORPORATION (XNYS:RTX)</v>
    <v>7125044</v>
    <v>13573892</v>
    <v>1934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2" dT="2023-09-15T17:41:08.96" personId="{9C24EEAF-00CC-4F92-8B97-36F2C49A418A}" id="{DF0014C9-48AA-49E7-AD6C-1C17957D645E}">
    <text>Otis &amp; Carrier spin off into RTX from UTX</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K78"/>
  <sheetViews>
    <sheetView tabSelected="1" topLeftCell="A17" zoomScale="125" zoomScaleNormal="125" workbookViewId="0">
      <pane xSplit="1" topLeftCell="B1" activePane="topRight" state="frozen"/>
      <selection pane="topRight" activeCell="H80" sqref="H80"/>
    </sheetView>
  </sheetViews>
  <sheetFormatPr defaultColWidth="12.7109375" defaultRowHeight="12.75" x14ac:dyDescent="0.2"/>
  <cols>
    <col min="1" max="1" width="42.7109375" style="2" customWidth="1"/>
    <col min="2" max="6" width="12.7109375" style="5" customWidth="1"/>
    <col min="7" max="7" width="10.7109375" style="5" customWidth="1"/>
    <col min="8" max="8" width="12.7109375" style="5" customWidth="1"/>
    <col min="9" max="9" width="10.7109375" style="5" customWidth="1"/>
    <col min="10" max="24" width="12.7109375" style="5" customWidth="1"/>
    <col min="25" max="16384" width="12.7109375" style="5"/>
  </cols>
  <sheetData>
    <row r="1" spans="1:37" s="6" customFormat="1" ht="15" customHeight="1" x14ac:dyDescent="0.2">
      <c r="A1" s="4" t="s">
        <v>0</v>
      </c>
      <c r="B1" s="1">
        <v>43140</v>
      </c>
      <c r="C1" s="1">
        <v>43503</v>
      </c>
      <c r="D1" s="1">
        <v>43867</v>
      </c>
      <c r="E1" s="1">
        <v>44235</v>
      </c>
      <c r="F1" s="1">
        <v>44603</v>
      </c>
      <c r="G1" s="1" t="s">
        <v>23</v>
      </c>
      <c r="H1" s="1">
        <v>44964</v>
      </c>
      <c r="I1" s="1" t="s">
        <v>23</v>
      </c>
      <c r="J1" s="1"/>
      <c r="K1" s="1"/>
      <c r="L1" s="1"/>
      <c r="M1" s="1"/>
      <c r="N1" s="1"/>
      <c r="O1" s="1"/>
      <c r="P1" s="1"/>
      <c r="Q1" s="1"/>
      <c r="R1" s="1"/>
      <c r="S1" s="1"/>
      <c r="T1" s="1"/>
      <c r="U1" s="1"/>
      <c r="V1" s="1"/>
      <c r="W1" s="1"/>
      <c r="X1" s="1"/>
      <c r="Y1" s="1"/>
      <c r="Z1" s="1"/>
      <c r="AA1" s="1"/>
      <c r="AB1" s="1"/>
      <c r="AC1" s="1"/>
      <c r="AD1" s="3"/>
      <c r="AE1" s="3"/>
      <c r="AF1" s="3"/>
      <c r="AG1" s="3"/>
      <c r="AH1" s="3"/>
      <c r="AI1" s="3"/>
      <c r="AJ1" s="3"/>
      <c r="AK1" s="3"/>
    </row>
    <row r="2" spans="1:37" s="6" customFormat="1" ht="15" customHeight="1" x14ac:dyDescent="0.2">
      <c r="A2" s="4" t="s">
        <v>12</v>
      </c>
      <c r="B2" s="3">
        <v>2017</v>
      </c>
      <c r="C2" s="3">
        <v>2018</v>
      </c>
      <c r="D2" s="3">
        <v>2019</v>
      </c>
      <c r="E2" s="3">
        <v>2020</v>
      </c>
      <c r="F2" s="3">
        <v>2021</v>
      </c>
      <c r="G2" s="3" t="s">
        <v>24</v>
      </c>
      <c r="H2" s="3">
        <v>2022</v>
      </c>
      <c r="I2" s="3" t="s">
        <v>24</v>
      </c>
      <c r="J2" s="3">
        <v>2023</v>
      </c>
      <c r="K2" s="3">
        <v>2024</v>
      </c>
      <c r="L2" s="3">
        <v>2025</v>
      </c>
      <c r="M2" s="3"/>
      <c r="N2" s="3"/>
      <c r="O2" s="3"/>
      <c r="P2" s="3"/>
      <c r="Q2" s="3"/>
      <c r="R2" s="3"/>
      <c r="S2" s="3"/>
      <c r="T2" s="3"/>
      <c r="U2" s="3"/>
      <c r="V2" s="3"/>
      <c r="W2" s="3"/>
      <c r="X2" s="3"/>
      <c r="Y2" s="3"/>
      <c r="Z2" s="3"/>
      <c r="AA2" s="3"/>
      <c r="AB2" s="3"/>
      <c r="AC2" s="3"/>
      <c r="AD2" s="3"/>
      <c r="AE2" s="3"/>
      <c r="AF2" s="3"/>
      <c r="AG2" s="3"/>
      <c r="AH2" s="3"/>
      <c r="AI2" s="3"/>
      <c r="AJ2" s="3"/>
      <c r="AK2" s="3"/>
    </row>
    <row r="3" spans="1:37" x14ac:dyDescent="0.2">
      <c r="A3" s="13" t="e" vm="1">
        <v>#VALUE!</v>
      </c>
    </row>
    <row r="4" spans="1:37" x14ac:dyDescent="0.2">
      <c r="A4" s="7" cm="1">
        <f t="array" ref="A4">_FV(A3,"Price")</f>
        <v>78.150000000000006</v>
      </c>
    </row>
    <row r="5" spans="1:37" s="15" customFormat="1" x14ac:dyDescent="0.2">
      <c r="A5" s="13" t="s">
        <v>25</v>
      </c>
      <c r="B5" s="16">
        <v>78.680000000000007</v>
      </c>
      <c r="C5" s="15">
        <v>75.97</v>
      </c>
      <c r="D5" s="15">
        <v>98.3</v>
      </c>
      <c r="E5" s="15">
        <v>72.489999999999995</v>
      </c>
      <c r="F5" s="15">
        <v>95.27</v>
      </c>
      <c r="G5" s="20">
        <f>(F5-E5)/E5</f>
        <v>0.31425024141260866</v>
      </c>
      <c r="H5" s="15">
        <v>97.87</v>
      </c>
      <c r="I5" s="20">
        <f>(H5-F5)/F5</f>
        <v>2.729085756271658E-2</v>
      </c>
    </row>
    <row r="6" spans="1:37" x14ac:dyDescent="0.2">
      <c r="A6" s="13" t="s">
        <v>26</v>
      </c>
      <c r="B6" s="5">
        <v>799.1</v>
      </c>
      <c r="C6" s="5">
        <v>810.1</v>
      </c>
      <c r="D6" s="5">
        <v>863.9</v>
      </c>
      <c r="E6" s="5">
        <v>1357.8</v>
      </c>
      <c r="F6" s="5">
        <v>1508.5</v>
      </c>
      <c r="G6" s="20">
        <f t="shared" ref="G6:G69" si="0">(F6-E6)/E6</f>
        <v>0.11098836352923851</v>
      </c>
      <c r="H6" s="5">
        <v>1485.9</v>
      </c>
      <c r="I6" s="20">
        <f t="shared" ref="I6:I9" si="1">(H6-F6)/F6</f>
        <v>-1.4981769970168982E-2</v>
      </c>
    </row>
    <row r="7" spans="1:37" x14ac:dyDescent="0.2">
      <c r="A7" s="13" t="s">
        <v>27</v>
      </c>
      <c r="B7" s="18">
        <f>B5*B6</f>
        <v>62873.188000000009</v>
      </c>
      <c r="C7" s="18">
        <f t="shared" ref="C7:H7" si="2">C5*C6</f>
        <v>61543.296999999999</v>
      </c>
      <c r="D7" s="18">
        <f t="shared" si="2"/>
        <v>84921.37</v>
      </c>
      <c r="E7" s="18">
        <f t="shared" si="2"/>
        <v>98426.921999999991</v>
      </c>
      <c r="F7" s="18">
        <f t="shared" si="2"/>
        <v>143714.79499999998</v>
      </c>
      <c r="G7" s="20">
        <f t="shared" si="0"/>
        <v>0.46011672497490064</v>
      </c>
      <c r="H7" s="18">
        <f t="shared" si="2"/>
        <v>145425.03300000002</v>
      </c>
      <c r="I7" s="20">
        <f t="shared" si="1"/>
        <v>1.190022224225447E-2</v>
      </c>
    </row>
    <row r="8" spans="1:37" x14ac:dyDescent="0.2">
      <c r="A8" s="13" t="s">
        <v>1</v>
      </c>
      <c r="B8" s="5">
        <f>B39</f>
        <v>8985</v>
      </c>
      <c r="C8" s="5">
        <f t="shared" ref="C8:L8" si="3">C39</f>
        <v>6152</v>
      </c>
      <c r="D8" s="5">
        <f t="shared" si="3"/>
        <v>7378</v>
      </c>
      <c r="E8" s="5">
        <f t="shared" si="3"/>
        <v>8802</v>
      </c>
      <c r="F8" s="5">
        <f t="shared" si="3"/>
        <v>7832</v>
      </c>
      <c r="G8" s="20">
        <f t="shared" si="0"/>
        <v>-0.11020222676664394</v>
      </c>
      <c r="H8" s="5">
        <f t="shared" si="3"/>
        <v>6220</v>
      </c>
      <c r="I8" s="20">
        <f t="shared" si="1"/>
        <v>-0.20582226762002043</v>
      </c>
      <c r="J8" s="5">
        <f t="shared" si="3"/>
        <v>0</v>
      </c>
      <c r="K8" s="5">
        <f t="shared" si="3"/>
        <v>0</v>
      </c>
      <c r="L8" s="5">
        <f t="shared" si="3"/>
        <v>0</v>
      </c>
    </row>
    <row r="9" spans="1:37" x14ac:dyDescent="0.2">
      <c r="A9" s="13" t="s">
        <v>2</v>
      </c>
      <c r="B9" s="5">
        <f>B55+B60+B62</f>
        <v>27485</v>
      </c>
      <c r="C9" s="5">
        <f t="shared" ref="C9:L9" si="4">C55+C60+C62</f>
        <v>45537</v>
      </c>
      <c r="D9" s="5">
        <f t="shared" si="4"/>
        <v>43648</v>
      </c>
      <c r="E9" s="5">
        <f t="shared" si="4"/>
        <v>31823</v>
      </c>
      <c r="F9" s="5">
        <f t="shared" si="4"/>
        <v>31485</v>
      </c>
      <c r="G9" s="20">
        <f t="shared" si="0"/>
        <v>-1.0621248782327248E-2</v>
      </c>
      <c r="H9" s="5">
        <f t="shared" si="4"/>
        <v>31914</v>
      </c>
      <c r="I9" s="20">
        <f t="shared" si="1"/>
        <v>1.362553596950929E-2</v>
      </c>
      <c r="J9" s="5">
        <f t="shared" si="4"/>
        <v>0</v>
      </c>
      <c r="K9" s="5">
        <f t="shared" si="4"/>
        <v>0</v>
      </c>
      <c r="L9" s="5">
        <f t="shared" si="4"/>
        <v>0</v>
      </c>
    </row>
    <row r="10" spans="1:37" x14ac:dyDescent="0.2">
      <c r="G10" s="20"/>
    </row>
    <row r="11" spans="1:37" x14ac:dyDescent="0.2">
      <c r="A11" s="8" t="s">
        <v>3</v>
      </c>
      <c r="G11" s="20"/>
    </row>
    <row r="12" spans="1:37" hidden="1" x14ac:dyDescent="0.2">
      <c r="A12" s="14" t="s">
        <v>28</v>
      </c>
      <c r="B12" s="5">
        <v>12341</v>
      </c>
      <c r="C12" s="5">
        <v>12904</v>
      </c>
      <c r="D12" s="5">
        <v>13113</v>
      </c>
      <c r="E12" s="5">
        <v>0</v>
      </c>
      <c r="G12" s="20" t="e">
        <f t="shared" si="0"/>
        <v>#DIV/0!</v>
      </c>
    </row>
    <row r="13" spans="1:37" hidden="1" x14ac:dyDescent="0.2">
      <c r="A13" s="14" t="s">
        <v>53</v>
      </c>
      <c r="B13" s="5">
        <v>17812</v>
      </c>
      <c r="C13" s="5">
        <v>18922</v>
      </c>
      <c r="D13" s="5">
        <v>18608</v>
      </c>
      <c r="E13" s="5">
        <v>0</v>
      </c>
      <c r="G13" s="20" t="e">
        <f t="shared" si="0"/>
        <v>#DIV/0!</v>
      </c>
    </row>
    <row r="14" spans="1:37" x14ac:dyDescent="0.2">
      <c r="A14" s="14" t="s">
        <v>29</v>
      </c>
      <c r="B14" s="5">
        <v>16160</v>
      </c>
      <c r="C14" s="5">
        <v>19397</v>
      </c>
      <c r="D14" s="5">
        <v>20892</v>
      </c>
      <c r="E14" s="5">
        <v>19288</v>
      </c>
      <c r="F14" s="5">
        <v>18150</v>
      </c>
      <c r="G14" s="20">
        <f t="shared" si="0"/>
        <v>-5.9000414765657407E-2</v>
      </c>
      <c r="H14" s="5">
        <v>20530</v>
      </c>
      <c r="I14" s="20">
        <f>(H14-F14)/F14</f>
        <v>0.13112947658402205</v>
      </c>
    </row>
    <row r="15" spans="1:37" x14ac:dyDescent="0.2">
      <c r="A15" s="14" t="s">
        <v>50</v>
      </c>
      <c r="B15" s="5">
        <v>14691</v>
      </c>
      <c r="C15" s="5">
        <v>16634</v>
      </c>
      <c r="D15" s="5">
        <v>26028</v>
      </c>
      <c r="E15" s="5">
        <v>16799</v>
      </c>
      <c r="F15" s="5">
        <v>18449</v>
      </c>
      <c r="G15" s="20">
        <f t="shared" si="0"/>
        <v>9.8220132150723255E-2</v>
      </c>
      <c r="H15" s="5">
        <v>20597</v>
      </c>
      <c r="I15" s="20">
        <f t="shared" ref="I15:I78" si="5">(H15-F15)/F15</f>
        <v>0.11642907474659873</v>
      </c>
    </row>
    <row r="16" spans="1:37" x14ac:dyDescent="0.2">
      <c r="A16" s="14" t="s">
        <v>55</v>
      </c>
      <c r="B16" s="5">
        <v>0</v>
      </c>
      <c r="C16" s="5">
        <v>0</v>
      </c>
      <c r="D16" s="5">
        <v>0</v>
      </c>
      <c r="E16" s="5">
        <v>10841</v>
      </c>
      <c r="F16" s="5">
        <v>15180</v>
      </c>
      <c r="G16" s="20">
        <f t="shared" si="0"/>
        <v>0.40023983027395998</v>
      </c>
      <c r="H16" s="5">
        <v>14312</v>
      </c>
      <c r="I16" s="20">
        <f t="shared" si="5"/>
        <v>-5.7180500658761527E-2</v>
      </c>
    </row>
    <row r="17" spans="1:12" x14ac:dyDescent="0.2">
      <c r="A17" s="14" t="s">
        <v>56</v>
      </c>
      <c r="B17" s="5">
        <v>0</v>
      </c>
      <c r="C17" s="5">
        <v>0</v>
      </c>
      <c r="D17" s="5">
        <v>0</v>
      </c>
      <c r="E17" s="5">
        <v>11660</v>
      </c>
      <c r="F17" s="5">
        <v>15539</v>
      </c>
      <c r="G17" s="20">
        <f t="shared" si="0"/>
        <v>0.33267581475128644</v>
      </c>
      <c r="H17" s="5">
        <v>14863</v>
      </c>
      <c r="I17" s="20">
        <f t="shared" si="5"/>
        <v>-4.3503442949996779E-2</v>
      </c>
    </row>
    <row r="18" spans="1:12" x14ac:dyDescent="0.2">
      <c r="A18" s="14" t="s">
        <v>30</v>
      </c>
      <c r="B18" s="5">
        <v>-1167</v>
      </c>
      <c r="C18" s="5">
        <v>-1356</v>
      </c>
      <c r="D18" s="5">
        <v>-1595</v>
      </c>
      <c r="E18" s="5">
        <v>-2001</v>
      </c>
      <c r="F18" s="5">
        <v>-2930</v>
      </c>
      <c r="G18" s="20">
        <f t="shared" si="0"/>
        <v>0.46426786606696652</v>
      </c>
      <c r="H18" s="5">
        <v>-3228</v>
      </c>
      <c r="I18" s="20">
        <f t="shared" si="5"/>
        <v>0.10170648464163823</v>
      </c>
    </row>
    <row r="19" spans="1:12" s="9" customFormat="1" x14ac:dyDescent="0.2">
      <c r="A19" s="11" t="s">
        <v>31</v>
      </c>
      <c r="B19" s="9">
        <f>SUM(B12:B18)</f>
        <v>59837</v>
      </c>
      <c r="C19" s="9">
        <f>SUM(C12:C18)</f>
        <v>66501</v>
      </c>
      <c r="D19" s="9">
        <f t="shared" ref="D19:H19" si="6">SUM(D12:D18)</f>
        <v>77046</v>
      </c>
      <c r="E19" s="9">
        <f t="shared" si="6"/>
        <v>56587</v>
      </c>
      <c r="F19" s="9">
        <f t="shared" si="6"/>
        <v>64388</v>
      </c>
      <c r="G19" s="20">
        <f t="shared" si="0"/>
        <v>0.13785851874105359</v>
      </c>
      <c r="H19" s="9">
        <f t="shared" si="6"/>
        <v>67074</v>
      </c>
      <c r="I19" s="20">
        <f t="shared" si="5"/>
        <v>4.1715847673479529E-2</v>
      </c>
      <c r="J19" s="9">
        <f t="shared" ref="J19" si="7">SUM(J12:J18)</f>
        <v>0</v>
      </c>
      <c r="K19" s="9">
        <f t="shared" ref="K19" si="8">SUM(K12:K18)</f>
        <v>0</v>
      </c>
      <c r="L19" s="9">
        <f t="shared" ref="L19" si="9">SUM(L12:L18)</f>
        <v>0</v>
      </c>
    </row>
    <row r="20" spans="1:12" x14ac:dyDescent="0.2">
      <c r="G20" s="20"/>
      <c r="I20" s="20"/>
    </row>
    <row r="21" spans="1:12" x14ac:dyDescent="0.2">
      <c r="A21" s="8" t="s">
        <v>32</v>
      </c>
      <c r="G21" s="20"/>
      <c r="I21" s="20"/>
    </row>
    <row r="22" spans="1:12" x14ac:dyDescent="0.2">
      <c r="A22" s="14" t="s">
        <v>33</v>
      </c>
      <c r="B22" s="5">
        <v>31027</v>
      </c>
      <c r="C22" s="5">
        <v>36754</v>
      </c>
      <c r="D22" s="5">
        <v>42444</v>
      </c>
      <c r="E22" s="5">
        <v>38137</v>
      </c>
      <c r="F22" s="5">
        <v>41095</v>
      </c>
      <c r="G22" s="20">
        <f t="shared" si="0"/>
        <v>7.7562472139916613E-2</v>
      </c>
      <c r="H22" s="5">
        <v>41927</v>
      </c>
      <c r="I22" s="20">
        <f t="shared" si="5"/>
        <v>2.0245771991726488E-2</v>
      </c>
    </row>
    <row r="23" spans="1:12" x14ac:dyDescent="0.2">
      <c r="A23" s="14" t="s">
        <v>34</v>
      </c>
      <c r="B23" s="5">
        <v>12926</v>
      </c>
      <c r="C23" s="5">
        <v>13231</v>
      </c>
      <c r="D23" s="5">
        <v>14621</v>
      </c>
      <c r="E23" s="5">
        <v>9919</v>
      </c>
      <c r="F23" s="5">
        <v>10802</v>
      </c>
      <c r="G23" s="20">
        <f t="shared" si="0"/>
        <v>8.9021070672446814E-2</v>
      </c>
      <c r="H23" s="5">
        <v>11479</v>
      </c>
      <c r="I23" s="20">
        <f t="shared" si="5"/>
        <v>6.267357896685799E-2</v>
      </c>
    </row>
    <row r="24" spans="1:12" x14ac:dyDescent="0.2">
      <c r="A24" s="14" t="s">
        <v>6</v>
      </c>
      <c r="B24" s="5">
        <v>2387</v>
      </c>
      <c r="C24" s="5">
        <v>2462</v>
      </c>
      <c r="D24" s="5">
        <v>3015</v>
      </c>
      <c r="E24" s="5">
        <v>2582</v>
      </c>
      <c r="F24" s="5">
        <v>2732</v>
      </c>
      <c r="G24" s="20">
        <f t="shared" si="0"/>
        <v>5.8094500387296667E-2</v>
      </c>
      <c r="H24" s="5">
        <v>2711</v>
      </c>
      <c r="I24" s="20">
        <f t="shared" si="5"/>
        <v>-7.6866764275256225E-3</v>
      </c>
    </row>
    <row r="25" spans="1:12" x14ac:dyDescent="0.2">
      <c r="A25" s="14" t="s">
        <v>7</v>
      </c>
      <c r="B25" s="5">
        <v>6183</v>
      </c>
      <c r="C25" s="5">
        <v>7066</v>
      </c>
      <c r="D25" s="5">
        <v>8521</v>
      </c>
      <c r="E25" s="5">
        <v>5540</v>
      </c>
      <c r="F25" s="5">
        <v>5224</v>
      </c>
      <c r="G25" s="20">
        <f t="shared" si="0"/>
        <v>-5.7039711191335739E-2</v>
      </c>
      <c r="H25" s="5">
        <v>5663</v>
      </c>
      <c r="I25" s="20">
        <f t="shared" si="5"/>
        <v>8.4035222052067385E-2</v>
      </c>
    </row>
    <row r="26" spans="1:12" s="9" customFormat="1" x14ac:dyDescent="0.2">
      <c r="A26" s="11" t="s">
        <v>9</v>
      </c>
      <c r="B26" s="9">
        <f>SUM(B22:B25)</f>
        <v>52523</v>
      </c>
      <c r="C26" s="9">
        <f t="shared" ref="C26:H26" si="10">SUM(C22:C25)</f>
        <v>59513</v>
      </c>
      <c r="D26" s="9">
        <f t="shared" si="10"/>
        <v>68601</v>
      </c>
      <c r="E26" s="9">
        <f t="shared" si="10"/>
        <v>56178</v>
      </c>
      <c r="F26" s="9">
        <f t="shared" si="10"/>
        <v>59853</v>
      </c>
      <c r="G26" s="20">
        <f t="shared" si="0"/>
        <v>6.5417067179322871E-2</v>
      </c>
      <c r="H26" s="9">
        <f t="shared" si="10"/>
        <v>61780</v>
      </c>
      <c r="I26" s="20">
        <f t="shared" si="5"/>
        <v>3.2195545753763384E-2</v>
      </c>
      <c r="J26" s="9">
        <f t="shared" ref="J26" si="11">SUM(J22:J25)</f>
        <v>0</v>
      </c>
      <c r="K26" s="9">
        <f t="shared" ref="K26" si="12">SUM(K22:K25)</f>
        <v>0</v>
      </c>
      <c r="L26" s="9">
        <f t="shared" ref="L26" si="13">SUM(L22:L25)</f>
        <v>0</v>
      </c>
    </row>
    <row r="27" spans="1:12" x14ac:dyDescent="0.2">
      <c r="G27" s="20"/>
      <c r="I27" s="20"/>
    </row>
    <row r="28" spans="1:12" x14ac:dyDescent="0.2">
      <c r="A28" s="13" t="s">
        <v>10</v>
      </c>
      <c r="B28" s="5">
        <f>B19-B26</f>
        <v>7314</v>
      </c>
      <c r="C28" s="5">
        <f t="shared" ref="C28:L28" si="14">C19-C26</f>
        <v>6988</v>
      </c>
      <c r="D28" s="5">
        <f t="shared" si="14"/>
        <v>8445</v>
      </c>
      <c r="E28" s="5">
        <f t="shared" si="14"/>
        <v>409</v>
      </c>
      <c r="F28" s="5">
        <f t="shared" si="14"/>
        <v>4535</v>
      </c>
      <c r="G28" s="20">
        <f t="shared" si="0"/>
        <v>10.0880195599022</v>
      </c>
      <c r="H28" s="5">
        <f t="shared" si="14"/>
        <v>5294</v>
      </c>
      <c r="I28" s="20">
        <f t="shared" si="5"/>
        <v>0.16736493936052921</v>
      </c>
      <c r="J28" s="5">
        <f t="shared" si="14"/>
        <v>0</v>
      </c>
      <c r="K28" s="5">
        <f t="shared" si="14"/>
        <v>0</v>
      </c>
      <c r="L28" s="5">
        <f t="shared" si="14"/>
        <v>0</v>
      </c>
    </row>
    <row r="29" spans="1:12" x14ac:dyDescent="0.2">
      <c r="A29" s="13" t="s">
        <v>35</v>
      </c>
      <c r="B29" s="5">
        <v>1358</v>
      </c>
      <c r="C29" s="5">
        <v>1565</v>
      </c>
      <c r="D29" s="5">
        <v>521</v>
      </c>
      <c r="E29" s="5">
        <f>885+(-3183)</f>
        <v>-2298</v>
      </c>
      <c r="F29" s="5">
        <f>423-649</f>
        <v>-226</v>
      </c>
      <c r="G29" s="20">
        <f t="shared" si="0"/>
        <v>-0.90165361183637949</v>
      </c>
      <c r="H29" s="5">
        <v>120</v>
      </c>
      <c r="I29" s="20">
        <f t="shared" si="5"/>
        <v>-1.5309734513274336</v>
      </c>
    </row>
    <row r="30" spans="1:12" x14ac:dyDescent="0.2">
      <c r="A30" s="13" t="s">
        <v>51</v>
      </c>
      <c r="B30" s="5">
        <v>0</v>
      </c>
      <c r="C30" s="5">
        <v>-765</v>
      </c>
      <c r="D30" s="5">
        <v>-888</v>
      </c>
      <c r="E30" s="5">
        <v>-902</v>
      </c>
      <c r="F30" s="5">
        <v>-1944</v>
      </c>
      <c r="G30" s="20">
        <f t="shared" si="0"/>
        <v>1.1552106430155211</v>
      </c>
      <c r="H30" s="5">
        <v>-1889</v>
      </c>
      <c r="I30" s="20">
        <f t="shared" si="5"/>
        <v>-2.8292181069958847E-2</v>
      </c>
    </row>
    <row r="31" spans="1:12" x14ac:dyDescent="0.2">
      <c r="A31" s="13" t="s">
        <v>4</v>
      </c>
      <c r="B31" s="5">
        <v>909</v>
      </c>
      <c r="C31" s="5">
        <v>1038</v>
      </c>
      <c r="D31" s="5">
        <v>1611</v>
      </c>
      <c r="E31" s="5">
        <v>1366</v>
      </c>
      <c r="F31" s="5">
        <v>1322</v>
      </c>
      <c r="G31" s="20">
        <f t="shared" si="0"/>
        <v>-3.2210834553440704E-2</v>
      </c>
      <c r="H31" s="5">
        <v>1276</v>
      </c>
      <c r="I31" s="20">
        <f t="shared" si="5"/>
        <v>-3.4795763993948563E-2</v>
      </c>
    </row>
    <row r="32" spans="1:12" x14ac:dyDescent="0.2">
      <c r="A32" s="14" t="s">
        <v>11</v>
      </c>
      <c r="B32" s="5">
        <f>B28+B29-B31</f>
        <v>7763</v>
      </c>
      <c r="C32" s="5">
        <f>C28+C29-C31-C30</f>
        <v>8280</v>
      </c>
      <c r="D32" s="5">
        <f t="shared" ref="D32:H32" si="15">D28+D29-D31-D30</f>
        <v>8243</v>
      </c>
      <c r="E32" s="5">
        <f t="shared" si="15"/>
        <v>-2353</v>
      </c>
      <c r="F32" s="5">
        <f t="shared" si="15"/>
        <v>4931</v>
      </c>
      <c r="G32" s="20">
        <f t="shared" si="0"/>
        <v>-3.0956226094347641</v>
      </c>
      <c r="H32" s="5">
        <f t="shared" si="15"/>
        <v>6027</v>
      </c>
      <c r="I32" s="20">
        <f t="shared" si="5"/>
        <v>0.22226728858243763</v>
      </c>
      <c r="J32" s="5">
        <f t="shared" ref="J32" si="16">J28+J29-J31-J30</f>
        <v>0</v>
      </c>
      <c r="K32" s="5">
        <f t="shared" ref="K32" si="17">K28+K29-K31-K30</f>
        <v>0</v>
      </c>
      <c r="L32" s="5">
        <f t="shared" ref="L32" si="18">L28+L29-L31-L30</f>
        <v>0</v>
      </c>
    </row>
    <row r="33" spans="1:12" x14ac:dyDescent="0.2">
      <c r="A33" s="14" t="s">
        <v>36</v>
      </c>
      <c r="B33" s="5">
        <v>2843</v>
      </c>
      <c r="C33" s="5">
        <v>2626</v>
      </c>
      <c r="D33" s="5">
        <v>2295</v>
      </c>
      <c r="E33" s="5">
        <v>575</v>
      </c>
      <c r="F33" s="5">
        <v>786</v>
      </c>
      <c r="G33" s="20">
        <f t="shared" si="0"/>
        <v>0.36695652173913046</v>
      </c>
      <c r="H33" s="5">
        <v>700</v>
      </c>
      <c r="I33" s="20">
        <f t="shared" si="5"/>
        <v>-0.10941475826972011</v>
      </c>
    </row>
    <row r="34" spans="1:12" s="9" customFormat="1" x14ac:dyDescent="0.2">
      <c r="A34" s="11" t="s">
        <v>5</v>
      </c>
      <c r="B34" s="9">
        <f>B32-B33</f>
        <v>4920</v>
      </c>
      <c r="C34" s="9">
        <f t="shared" ref="C34:H34" si="19">C32-C33</f>
        <v>5654</v>
      </c>
      <c r="D34" s="9">
        <f t="shared" si="19"/>
        <v>5948</v>
      </c>
      <c r="E34" s="9">
        <f t="shared" si="19"/>
        <v>-2928</v>
      </c>
      <c r="F34" s="9">
        <f t="shared" si="19"/>
        <v>4145</v>
      </c>
      <c r="G34" s="20">
        <f t="shared" si="0"/>
        <v>-2.4156420765027322</v>
      </c>
      <c r="H34" s="9">
        <f t="shared" si="19"/>
        <v>5327</v>
      </c>
      <c r="I34" s="20">
        <f t="shared" si="5"/>
        <v>0.28516284680337756</v>
      </c>
      <c r="J34" s="9">
        <f t="shared" ref="J34" si="20">J32-J33</f>
        <v>0</v>
      </c>
      <c r="K34" s="9">
        <f t="shared" ref="K34" si="21">K32-K33</f>
        <v>0</v>
      </c>
      <c r="L34" s="9">
        <f t="shared" ref="L34" si="22">L32-L33</f>
        <v>0</v>
      </c>
    </row>
    <row r="35" spans="1:12" x14ac:dyDescent="0.2">
      <c r="A35" s="13" t="s">
        <v>37</v>
      </c>
      <c r="B35" s="5">
        <v>368</v>
      </c>
      <c r="C35" s="5">
        <v>385</v>
      </c>
      <c r="D35" s="5">
        <v>411</v>
      </c>
      <c r="E35" s="5">
        <v>181</v>
      </c>
      <c r="F35" s="5">
        <v>248</v>
      </c>
      <c r="G35" s="20">
        <f t="shared" si="0"/>
        <v>0.37016574585635359</v>
      </c>
      <c r="H35" s="5">
        <v>111</v>
      </c>
      <c r="I35" s="20">
        <f t="shared" si="5"/>
        <v>-0.55241935483870963</v>
      </c>
    </row>
    <row r="36" spans="1:12" x14ac:dyDescent="0.2">
      <c r="G36" s="20"/>
      <c r="I36" s="20"/>
    </row>
    <row r="37" spans="1:12" x14ac:dyDescent="0.2">
      <c r="A37" s="8" t="s">
        <v>13</v>
      </c>
      <c r="G37" s="20"/>
      <c r="I37" s="20"/>
    </row>
    <row r="38" spans="1:12" x14ac:dyDescent="0.2">
      <c r="A38" s="10" t="s">
        <v>14</v>
      </c>
      <c r="G38" s="20"/>
      <c r="I38" s="20"/>
    </row>
    <row r="39" spans="1:12" x14ac:dyDescent="0.2">
      <c r="A39" s="17" t="s">
        <v>1</v>
      </c>
      <c r="B39" s="5">
        <v>8985</v>
      </c>
      <c r="C39" s="5">
        <v>6152</v>
      </c>
      <c r="D39" s="5">
        <v>7378</v>
      </c>
      <c r="E39" s="5">
        <v>8802</v>
      </c>
      <c r="F39" s="5">
        <v>7832</v>
      </c>
      <c r="G39" s="20">
        <f t="shared" si="0"/>
        <v>-0.11020222676664394</v>
      </c>
      <c r="H39" s="5">
        <v>6220</v>
      </c>
      <c r="I39" s="20">
        <f t="shared" si="5"/>
        <v>-0.20582226762002043</v>
      </c>
    </row>
    <row r="40" spans="1:12" x14ac:dyDescent="0.2">
      <c r="A40" s="17" t="s">
        <v>15</v>
      </c>
      <c r="B40" s="5">
        <v>12595</v>
      </c>
      <c r="C40" s="5">
        <v>14271</v>
      </c>
      <c r="D40" s="5">
        <v>13524</v>
      </c>
      <c r="E40" s="5">
        <v>9254</v>
      </c>
      <c r="F40" s="5">
        <v>9661</v>
      </c>
      <c r="G40" s="20">
        <f t="shared" si="0"/>
        <v>4.3980981197320079E-2</v>
      </c>
      <c r="H40" s="5">
        <v>9108</v>
      </c>
      <c r="I40" s="20">
        <f t="shared" si="5"/>
        <v>-5.7240451299037369E-2</v>
      </c>
    </row>
    <row r="41" spans="1:12" x14ac:dyDescent="0.2">
      <c r="A41" s="17" t="s">
        <v>38</v>
      </c>
      <c r="B41" s="5">
        <v>9881</v>
      </c>
      <c r="C41" s="5">
        <f>3486+10083</f>
        <v>13569</v>
      </c>
      <c r="D41" s="5">
        <f>4184+10950</f>
        <v>15134</v>
      </c>
      <c r="E41" s="5">
        <f>9931+9411</f>
        <v>19342</v>
      </c>
      <c r="F41" s="5">
        <f>11361+9178</f>
        <v>20539</v>
      </c>
      <c r="G41" s="20">
        <f t="shared" si="0"/>
        <v>6.1886051080550099E-2</v>
      </c>
      <c r="H41" s="5">
        <f>11534+10617</f>
        <v>22151</v>
      </c>
      <c r="I41" s="20">
        <f t="shared" si="5"/>
        <v>7.8484833730950873E-2</v>
      </c>
    </row>
    <row r="42" spans="1:12" x14ac:dyDescent="0.2">
      <c r="A42" s="17" t="s">
        <v>8</v>
      </c>
      <c r="B42" s="5">
        <v>1397</v>
      </c>
      <c r="C42" s="5">
        <v>1511</v>
      </c>
      <c r="D42" s="5">
        <v>1461</v>
      </c>
      <c r="E42" s="5">
        <f>5914+64</f>
        <v>5978</v>
      </c>
      <c r="F42" s="5">
        <v>4018</v>
      </c>
      <c r="G42" s="20">
        <f t="shared" si="0"/>
        <v>-0.32786885245901637</v>
      </c>
      <c r="H42" s="5">
        <v>4964</v>
      </c>
      <c r="I42" s="20">
        <f t="shared" si="5"/>
        <v>0.23544051767048282</v>
      </c>
    </row>
    <row r="43" spans="1:12" s="9" customFormat="1" x14ac:dyDescent="0.2">
      <c r="A43" s="12" t="s">
        <v>16</v>
      </c>
      <c r="B43" s="9">
        <f>SUM(B39:B42)</f>
        <v>32858</v>
      </c>
      <c r="C43" s="9">
        <f t="shared" ref="C43:H43" si="23">SUM(C39:C42)</f>
        <v>35503</v>
      </c>
      <c r="D43" s="9">
        <f t="shared" si="23"/>
        <v>37497</v>
      </c>
      <c r="E43" s="9">
        <f t="shared" si="23"/>
        <v>43376</v>
      </c>
      <c r="F43" s="9">
        <f t="shared" si="23"/>
        <v>42050</v>
      </c>
      <c r="G43" s="20">
        <f t="shared" si="0"/>
        <v>-3.0569900405754333E-2</v>
      </c>
      <c r="H43" s="9">
        <f t="shared" si="23"/>
        <v>42443</v>
      </c>
      <c r="I43" s="20">
        <f t="shared" si="5"/>
        <v>9.3460166468489897E-3</v>
      </c>
      <c r="J43" s="9">
        <f t="shared" ref="J43" si="24">SUM(J39:J42)</f>
        <v>0</v>
      </c>
      <c r="K43" s="9">
        <f t="shared" ref="K43" si="25">SUM(K39:K42)</f>
        <v>0</v>
      </c>
      <c r="L43" s="9">
        <f t="shared" ref="L43" si="26">SUM(L39:L42)</f>
        <v>0</v>
      </c>
    </row>
    <row r="44" spans="1:12" x14ac:dyDescent="0.2">
      <c r="A44" s="14" t="s">
        <v>39</v>
      </c>
      <c r="B44" s="5">
        <v>2372</v>
      </c>
      <c r="C44" s="5">
        <v>3023</v>
      </c>
      <c r="D44" s="5">
        <v>3477</v>
      </c>
      <c r="E44" s="5">
        <v>3144</v>
      </c>
      <c r="F44" s="5">
        <v>2848</v>
      </c>
      <c r="G44" s="20">
        <f t="shared" si="0"/>
        <v>-9.4147582697201013E-2</v>
      </c>
      <c r="H44" s="5">
        <v>2603</v>
      </c>
      <c r="I44" s="20">
        <f t="shared" si="5"/>
        <v>-8.60252808988764E-2</v>
      </c>
    </row>
    <row r="45" spans="1:12" hidden="1" x14ac:dyDescent="0.2">
      <c r="A45" s="14" t="s">
        <v>40</v>
      </c>
      <c r="B45" s="5">
        <v>1723</v>
      </c>
      <c r="C45" s="5">
        <v>1646</v>
      </c>
      <c r="D45" s="5">
        <v>1611</v>
      </c>
      <c r="E45" s="5">
        <v>0</v>
      </c>
      <c r="F45" s="5">
        <v>0</v>
      </c>
      <c r="G45" s="20" t="e">
        <f t="shared" si="0"/>
        <v>#DIV/0!</v>
      </c>
      <c r="H45" s="5">
        <v>0</v>
      </c>
      <c r="I45" s="20" t="e">
        <f t="shared" si="5"/>
        <v>#DIV/0!</v>
      </c>
    </row>
    <row r="46" spans="1:12" x14ac:dyDescent="0.2">
      <c r="A46" s="14" t="s">
        <v>41</v>
      </c>
      <c r="B46" s="5">
        <v>10186</v>
      </c>
      <c r="C46" s="5">
        <v>12297</v>
      </c>
      <c r="D46" s="5">
        <v>12755</v>
      </c>
      <c r="E46" s="5">
        <v>14962</v>
      </c>
      <c r="F46" s="5">
        <v>14972</v>
      </c>
      <c r="G46" s="20">
        <f t="shared" si="0"/>
        <v>6.6835984494051598E-4</v>
      </c>
      <c r="H46" s="5">
        <v>15170</v>
      </c>
      <c r="I46" s="20">
        <f t="shared" si="5"/>
        <v>1.3224686080683943E-2</v>
      </c>
    </row>
    <row r="47" spans="1:12" x14ac:dyDescent="0.2">
      <c r="A47" s="14" t="s">
        <v>57</v>
      </c>
      <c r="B47" s="5">
        <v>0</v>
      </c>
      <c r="C47" s="5">
        <v>0</v>
      </c>
      <c r="D47" s="5">
        <v>0</v>
      </c>
      <c r="E47" s="5">
        <v>1880</v>
      </c>
      <c r="F47" s="5">
        <v>1958</v>
      </c>
      <c r="G47" s="20">
        <f t="shared" si="0"/>
        <v>4.1489361702127657E-2</v>
      </c>
      <c r="H47" s="5">
        <v>1829</v>
      </c>
      <c r="I47" s="20">
        <f t="shared" si="5"/>
        <v>-6.5883554647599596E-2</v>
      </c>
    </row>
    <row r="48" spans="1:12" x14ac:dyDescent="0.2">
      <c r="A48" s="14" t="s">
        <v>17</v>
      </c>
      <c r="B48" s="5">
        <v>27910</v>
      </c>
      <c r="C48" s="5">
        <v>48112</v>
      </c>
      <c r="D48" s="5">
        <v>48063</v>
      </c>
      <c r="E48" s="5">
        <v>54285</v>
      </c>
      <c r="F48" s="5">
        <v>54436</v>
      </c>
      <c r="G48" s="20">
        <f t="shared" si="0"/>
        <v>2.7816155475729942E-3</v>
      </c>
      <c r="H48" s="5">
        <v>53840</v>
      </c>
      <c r="I48" s="20">
        <f t="shared" si="5"/>
        <v>-1.0948636931442428E-2</v>
      </c>
    </row>
    <row r="49" spans="1:12" x14ac:dyDescent="0.2">
      <c r="A49" s="14" t="s">
        <v>42</v>
      </c>
      <c r="B49" s="5">
        <v>15883</v>
      </c>
      <c r="C49" s="5">
        <v>26424</v>
      </c>
      <c r="D49" s="5">
        <v>26046</v>
      </c>
      <c r="E49" s="5">
        <v>40539</v>
      </c>
      <c r="F49" s="5">
        <v>38516</v>
      </c>
      <c r="G49" s="20">
        <f t="shared" si="0"/>
        <v>-4.9902562964059302E-2</v>
      </c>
      <c r="H49" s="5">
        <v>36823</v>
      </c>
      <c r="I49" s="20">
        <f t="shared" si="5"/>
        <v>-4.3955758645757605E-2</v>
      </c>
    </row>
    <row r="50" spans="1:12" x14ac:dyDescent="0.2">
      <c r="A50" s="14" t="s">
        <v>8</v>
      </c>
      <c r="B50" s="5">
        <v>5988</v>
      </c>
      <c r="C50" s="5">
        <v>7206</v>
      </c>
      <c r="D50" s="5">
        <v>7668</v>
      </c>
      <c r="E50" s="5">
        <v>3967</v>
      </c>
      <c r="F50" s="5">
        <v>6624</v>
      </c>
      <c r="G50" s="20">
        <f t="shared" si="0"/>
        <v>0.66977564910511722</v>
      </c>
      <c r="H50" s="5">
        <v>6156</v>
      </c>
      <c r="I50" s="20">
        <f t="shared" si="5"/>
        <v>-7.0652173913043473E-2</v>
      </c>
    </row>
    <row r="51" spans="1:12" s="9" customFormat="1" x14ac:dyDescent="0.2">
      <c r="A51" s="12" t="s">
        <v>18</v>
      </c>
      <c r="B51" s="9">
        <f>SUM(B43:B50)</f>
        <v>96920</v>
      </c>
      <c r="C51" s="9">
        <f t="shared" ref="C51:H51" si="27">SUM(C43:C50)</f>
        <v>134211</v>
      </c>
      <c r="D51" s="9">
        <f t="shared" si="27"/>
        <v>137117</v>
      </c>
      <c r="E51" s="9">
        <f t="shared" si="27"/>
        <v>162153</v>
      </c>
      <c r="F51" s="9">
        <f t="shared" si="27"/>
        <v>161404</v>
      </c>
      <c r="G51" s="20">
        <f t="shared" si="0"/>
        <v>-4.6190943121619706E-3</v>
      </c>
      <c r="H51" s="9">
        <f t="shared" si="27"/>
        <v>158864</v>
      </c>
      <c r="I51" s="20">
        <f t="shared" si="5"/>
        <v>-1.5736908626799832E-2</v>
      </c>
      <c r="J51" s="9">
        <f t="shared" ref="J51" si="28">SUM(J43:J50)</f>
        <v>0</v>
      </c>
      <c r="K51" s="9">
        <f t="shared" ref="K51" si="29">SUM(K43:K50)</f>
        <v>0</v>
      </c>
      <c r="L51" s="9">
        <f t="shared" ref="L51" si="30">SUM(L43:L50)</f>
        <v>0</v>
      </c>
    </row>
    <row r="52" spans="1:12" x14ac:dyDescent="0.2">
      <c r="G52" s="20"/>
      <c r="I52" s="20"/>
    </row>
    <row r="53" spans="1:12" x14ac:dyDescent="0.2">
      <c r="A53" s="8" t="s">
        <v>19</v>
      </c>
      <c r="G53" s="20"/>
      <c r="I53" s="20"/>
    </row>
    <row r="54" spans="1:12" x14ac:dyDescent="0.2">
      <c r="A54" s="10" t="s">
        <v>20</v>
      </c>
      <c r="G54" s="20"/>
      <c r="I54" s="20"/>
    </row>
    <row r="55" spans="1:12" x14ac:dyDescent="0.2">
      <c r="A55" s="17" t="s">
        <v>43</v>
      </c>
      <c r="B55" s="5">
        <v>392</v>
      </c>
      <c r="C55" s="5">
        <v>1469</v>
      </c>
      <c r="D55" s="5">
        <v>2364</v>
      </c>
      <c r="E55" s="5">
        <v>247</v>
      </c>
      <c r="F55" s="5">
        <v>134</v>
      </c>
      <c r="G55" s="20">
        <f t="shared" si="0"/>
        <v>-0.45748987854251011</v>
      </c>
      <c r="H55" s="5">
        <v>625</v>
      </c>
      <c r="I55" s="20">
        <f t="shared" si="5"/>
        <v>3.6641791044776117</v>
      </c>
    </row>
    <row r="56" spans="1:12" x14ac:dyDescent="0.2">
      <c r="A56" s="17" t="s">
        <v>44</v>
      </c>
      <c r="B56" s="5">
        <v>9579</v>
      </c>
      <c r="C56" s="5">
        <v>11080</v>
      </c>
      <c r="D56" s="5">
        <v>10809</v>
      </c>
      <c r="E56" s="5">
        <v>8639</v>
      </c>
      <c r="F56" s="5">
        <v>8751</v>
      </c>
      <c r="G56" s="20">
        <f t="shared" si="0"/>
        <v>1.2964463479569395E-2</v>
      </c>
      <c r="H56" s="5">
        <v>9896</v>
      </c>
      <c r="I56" s="20">
        <f t="shared" si="5"/>
        <v>0.13084218946406126</v>
      </c>
    </row>
    <row r="57" spans="1:12" x14ac:dyDescent="0.2">
      <c r="A57" s="17" t="s">
        <v>45</v>
      </c>
      <c r="B57" s="5">
        <v>12316</v>
      </c>
      <c r="C57" s="5">
        <v>10223</v>
      </c>
      <c r="D57" s="5">
        <v>11737</v>
      </c>
      <c r="E57" s="5">
        <f>10401+3006</f>
        <v>13407</v>
      </c>
      <c r="F57" s="5">
        <f>2658+10162</f>
        <v>12820</v>
      </c>
      <c r="G57" s="20">
        <f t="shared" si="0"/>
        <v>-4.378309838144253E-2</v>
      </c>
      <c r="H57" s="5">
        <f>2401+10999</f>
        <v>13400</v>
      </c>
      <c r="I57" s="20">
        <f t="shared" si="5"/>
        <v>4.5241809672386897E-2</v>
      </c>
    </row>
    <row r="58" spans="1:12" x14ac:dyDescent="0.2">
      <c r="A58" s="17" t="s">
        <v>52</v>
      </c>
      <c r="B58" s="5">
        <v>0</v>
      </c>
      <c r="C58" s="5">
        <v>5720</v>
      </c>
      <c r="D58" s="5">
        <v>6180</v>
      </c>
      <c r="E58" s="5">
        <v>12889</v>
      </c>
      <c r="F58" s="5">
        <v>13720</v>
      </c>
      <c r="G58" s="20">
        <f t="shared" si="0"/>
        <v>6.4473582124292036E-2</v>
      </c>
      <c r="H58" s="5">
        <v>14598</v>
      </c>
      <c r="I58" s="20">
        <f t="shared" si="5"/>
        <v>6.3994169096209919E-2</v>
      </c>
    </row>
    <row r="59" spans="1:12" hidden="1" x14ac:dyDescent="0.2">
      <c r="A59" s="17" t="s">
        <v>58</v>
      </c>
      <c r="B59" s="5">
        <v>0</v>
      </c>
      <c r="C59" s="5">
        <v>0</v>
      </c>
      <c r="D59" s="5">
        <v>0</v>
      </c>
      <c r="E59" s="5">
        <v>116</v>
      </c>
      <c r="F59" s="5">
        <v>0</v>
      </c>
      <c r="G59" s="20">
        <f t="shared" si="0"/>
        <v>-1</v>
      </c>
      <c r="H59" s="5">
        <v>0</v>
      </c>
      <c r="I59" s="20" t="e">
        <f t="shared" si="5"/>
        <v>#DIV/0!</v>
      </c>
    </row>
    <row r="60" spans="1:12" x14ac:dyDescent="0.2">
      <c r="A60" s="17" t="s">
        <v>46</v>
      </c>
      <c r="B60" s="5">
        <v>2104</v>
      </c>
      <c r="C60" s="5">
        <v>2876</v>
      </c>
      <c r="D60" s="5">
        <v>3496</v>
      </c>
      <c r="E60" s="5">
        <v>550</v>
      </c>
      <c r="F60" s="5">
        <v>24</v>
      </c>
      <c r="G60" s="20">
        <f t="shared" si="0"/>
        <v>-0.95636363636363642</v>
      </c>
      <c r="H60" s="5">
        <v>595</v>
      </c>
      <c r="I60" s="20">
        <f t="shared" si="5"/>
        <v>23.791666666666668</v>
      </c>
    </row>
    <row r="61" spans="1:12" s="9" customFormat="1" x14ac:dyDescent="0.2">
      <c r="A61" s="12" t="s">
        <v>47</v>
      </c>
      <c r="B61" s="9">
        <f>SUM(B55:B60)</f>
        <v>24391</v>
      </c>
      <c r="C61" s="9">
        <f t="shared" ref="C61:H61" si="31">SUM(C55:C60)</f>
        <v>31368</v>
      </c>
      <c r="D61" s="9">
        <f t="shared" si="31"/>
        <v>34586</v>
      </c>
      <c r="E61" s="9">
        <f t="shared" si="31"/>
        <v>35848</v>
      </c>
      <c r="F61" s="9">
        <f t="shared" si="31"/>
        <v>35449</v>
      </c>
      <c r="G61" s="20">
        <f t="shared" si="0"/>
        <v>-1.1130328051774158E-2</v>
      </c>
      <c r="H61" s="9">
        <f t="shared" si="31"/>
        <v>39114</v>
      </c>
      <c r="I61" s="20">
        <f t="shared" si="5"/>
        <v>0.10338796581003695</v>
      </c>
      <c r="J61" s="9">
        <f t="shared" ref="J61" si="32">SUM(J55:J60)</f>
        <v>0</v>
      </c>
      <c r="K61" s="9">
        <f t="shared" ref="K61" si="33">SUM(K55:K60)</f>
        <v>0</v>
      </c>
      <c r="L61" s="9">
        <f t="shared" ref="L61" si="34">SUM(L55:L60)</f>
        <v>0</v>
      </c>
    </row>
    <row r="62" spans="1:12" x14ac:dyDescent="0.2">
      <c r="A62" s="14" t="s">
        <v>21</v>
      </c>
      <c r="B62" s="5">
        <v>24989</v>
      </c>
      <c r="C62" s="5">
        <v>41192</v>
      </c>
      <c r="D62" s="5">
        <v>37788</v>
      </c>
      <c r="E62" s="5">
        <v>31026</v>
      </c>
      <c r="F62" s="5">
        <v>31327</v>
      </c>
      <c r="G62" s="20">
        <f t="shared" si="0"/>
        <v>9.7015406433314001E-3</v>
      </c>
      <c r="H62" s="5">
        <v>30694</v>
      </c>
      <c r="I62" s="20">
        <f t="shared" si="5"/>
        <v>-2.0206211893893447E-2</v>
      </c>
    </row>
    <row r="63" spans="1:12" x14ac:dyDescent="0.2">
      <c r="A63" s="14" t="s">
        <v>48</v>
      </c>
      <c r="B63" s="5">
        <v>3036</v>
      </c>
      <c r="C63" s="5">
        <v>4018</v>
      </c>
      <c r="D63" s="5">
        <v>3502</v>
      </c>
      <c r="E63" s="5">
        <v>10342</v>
      </c>
      <c r="F63" s="5">
        <v>7855</v>
      </c>
      <c r="G63" s="20">
        <f t="shared" si="0"/>
        <v>-0.24047573003287565</v>
      </c>
      <c r="H63" s="5">
        <v>4807</v>
      </c>
      <c r="I63" s="20">
        <f t="shared" si="5"/>
        <v>-0.38803309993634627</v>
      </c>
    </row>
    <row r="64" spans="1:12" x14ac:dyDescent="0.2">
      <c r="A64" s="14" t="s">
        <v>54</v>
      </c>
      <c r="B64" s="5">
        <v>0</v>
      </c>
      <c r="C64" s="5">
        <v>0</v>
      </c>
      <c r="D64" s="5">
        <v>2144</v>
      </c>
      <c r="E64" s="5">
        <v>1516</v>
      </c>
      <c r="F64" s="5">
        <v>1657</v>
      </c>
      <c r="G64" s="20">
        <f t="shared" si="0"/>
        <v>9.3007915567282329E-2</v>
      </c>
      <c r="H64" s="5">
        <v>1586</v>
      </c>
      <c r="I64" s="20">
        <f t="shared" si="5"/>
        <v>-4.284852142426071E-2</v>
      </c>
    </row>
    <row r="65" spans="1:12" hidden="1" x14ac:dyDescent="0.2">
      <c r="A65" s="14" t="s">
        <v>52</v>
      </c>
      <c r="B65" s="5">
        <v>0</v>
      </c>
      <c r="C65" s="5">
        <v>0</v>
      </c>
      <c r="D65" s="5">
        <v>5732</v>
      </c>
      <c r="E65" s="5">
        <v>0</v>
      </c>
      <c r="F65" s="5">
        <v>0</v>
      </c>
      <c r="G65" s="20" t="e">
        <f t="shared" si="0"/>
        <v>#DIV/0!</v>
      </c>
      <c r="H65" s="5">
        <v>0</v>
      </c>
      <c r="I65" s="20" t="e">
        <f t="shared" si="5"/>
        <v>#DIV/0!</v>
      </c>
    </row>
    <row r="66" spans="1:12" x14ac:dyDescent="0.2">
      <c r="A66" s="14" t="s">
        <v>8</v>
      </c>
      <c r="B66" s="5">
        <v>12952</v>
      </c>
      <c r="C66" s="5">
        <v>16914</v>
      </c>
      <c r="D66" s="5">
        <v>11638</v>
      </c>
      <c r="E66" s="5">
        <v>9537</v>
      </c>
      <c r="F66" s="5">
        <v>10417</v>
      </c>
      <c r="G66" s="20">
        <f t="shared" si="0"/>
        <v>9.22722029988466E-2</v>
      </c>
      <c r="H66" s="5">
        <v>8449</v>
      </c>
      <c r="I66" s="20">
        <f t="shared" si="5"/>
        <v>-0.18892195449745608</v>
      </c>
    </row>
    <row r="67" spans="1:12" s="9" customFormat="1" x14ac:dyDescent="0.2">
      <c r="A67" s="12" t="s">
        <v>22</v>
      </c>
      <c r="B67" s="9">
        <f>SUM(B61:B66)</f>
        <v>65368</v>
      </c>
      <c r="C67" s="9">
        <f t="shared" ref="C67:H67" si="35">SUM(C61:C66)</f>
        <v>93492</v>
      </c>
      <c r="D67" s="9">
        <f t="shared" si="35"/>
        <v>95390</v>
      </c>
      <c r="E67" s="9">
        <f t="shared" si="35"/>
        <v>88269</v>
      </c>
      <c r="F67" s="9">
        <f t="shared" si="35"/>
        <v>86705</v>
      </c>
      <c r="G67" s="20">
        <f t="shared" si="0"/>
        <v>-1.7718564841563856E-2</v>
      </c>
      <c r="H67" s="9">
        <f t="shared" si="35"/>
        <v>84650</v>
      </c>
      <c r="I67" s="20">
        <f t="shared" si="5"/>
        <v>-2.3701055302462373E-2</v>
      </c>
      <c r="J67" s="9">
        <f t="shared" ref="J67" si="36">SUM(J61:J66)</f>
        <v>0</v>
      </c>
      <c r="K67" s="9">
        <f t="shared" ref="K67" si="37">SUM(K61:K66)</f>
        <v>0</v>
      </c>
      <c r="L67" s="9">
        <f t="shared" ref="L67" si="38">SUM(L61:L66)</f>
        <v>0</v>
      </c>
    </row>
    <row r="68" spans="1:12" x14ac:dyDescent="0.2">
      <c r="G68" s="20"/>
      <c r="I68" s="20"/>
    </row>
    <row r="69" spans="1:12" s="9" customFormat="1" x14ac:dyDescent="0.2">
      <c r="A69" s="8" t="s">
        <v>49</v>
      </c>
      <c r="B69" s="9">
        <f>B51-B67</f>
        <v>31552</v>
      </c>
      <c r="C69" s="9">
        <f t="shared" ref="C69:L69" si="39">C51-C67</f>
        <v>40719</v>
      </c>
      <c r="D69" s="9">
        <f t="shared" si="39"/>
        <v>41727</v>
      </c>
      <c r="E69" s="9">
        <f t="shared" si="39"/>
        <v>73884</v>
      </c>
      <c r="F69" s="9">
        <f t="shared" si="39"/>
        <v>74699</v>
      </c>
      <c r="G69" s="20">
        <f t="shared" si="0"/>
        <v>1.1030805045747388E-2</v>
      </c>
      <c r="H69" s="9">
        <f t="shared" si="39"/>
        <v>74214</v>
      </c>
      <c r="I69" s="20">
        <f t="shared" si="5"/>
        <v>-6.4927241328531842E-3</v>
      </c>
      <c r="J69" s="9">
        <f t="shared" si="39"/>
        <v>0</v>
      </c>
      <c r="K69" s="9">
        <f t="shared" si="39"/>
        <v>0</v>
      </c>
      <c r="L69" s="9">
        <f t="shared" si="39"/>
        <v>0</v>
      </c>
    </row>
    <row r="70" spans="1:12" x14ac:dyDescent="0.2">
      <c r="A70" s="13" t="s">
        <v>60</v>
      </c>
      <c r="B70" s="19">
        <f t="shared" ref="B70:F70" si="40">(B19-B26)/B19</f>
        <v>0.12223206377325066</v>
      </c>
      <c r="C70" s="19">
        <f t="shared" si="40"/>
        <v>0.10508112659960001</v>
      </c>
      <c r="D70" s="19">
        <f t="shared" si="40"/>
        <v>0.10960984347013472</v>
      </c>
      <c r="E70" s="19">
        <f t="shared" si="40"/>
        <v>7.2278085072543163E-3</v>
      </c>
      <c r="F70" s="19">
        <f t="shared" si="40"/>
        <v>7.043237870410636E-2</v>
      </c>
      <c r="G70" s="20">
        <f t="shared" ref="G70:G78" si="41">(F70-E70)/E70</f>
        <v>8.7446381753771814</v>
      </c>
      <c r="H70" s="19">
        <f>(H19-H26)/H19</f>
        <v>7.892775143870949E-2</v>
      </c>
      <c r="I70" s="20">
        <f t="shared" si="5"/>
        <v>0.12061743321623512</v>
      </c>
      <c r="J70" s="19" t="e">
        <f t="shared" ref="J70:L70" si="42">(J19-J26)/J19</f>
        <v>#DIV/0!</v>
      </c>
      <c r="K70" s="19" t="e">
        <f t="shared" si="42"/>
        <v>#DIV/0!</v>
      </c>
      <c r="L70" s="19" t="e">
        <f t="shared" si="42"/>
        <v>#DIV/0!</v>
      </c>
    </row>
    <row r="71" spans="1:12" x14ac:dyDescent="0.2">
      <c r="A71" s="13" t="s">
        <v>59</v>
      </c>
      <c r="B71" s="19">
        <f t="shared" ref="B71:F71" si="43">B34/B19</f>
        <v>8.2223373498002905E-2</v>
      </c>
      <c r="C71" s="19">
        <f t="shared" si="43"/>
        <v>8.5021277875520662E-2</v>
      </c>
      <c r="D71" s="19">
        <f t="shared" si="43"/>
        <v>7.7200633387846218E-2</v>
      </c>
      <c r="E71" s="19">
        <f t="shared" si="43"/>
        <v>-5.1743333274426991E-2</v>
      </c>
      <c r="F71" s="19">
        <f t="shared" si="43"/>
        <v>6.4375349443995769E-2</v>
      </c>
      <c r="G71" s="20">
        <f t="shared" si="41"/>
        <v>-2.2441283808017038</v>
      </c>
      <c r="H71" s="19">
        <f>H34/H19</f>
        <v>7.9419745355875607E-2</v>
      </c>
      <c r="I71" s="20">
        <f t="shared" si="5"/>
        <v>0.23369808539785744</v>
      </c>
      <c r="J71" s="19" t="e">
        <f t="shared" ref="J71:L71" si="44">J34/J19</f>
        <v>#DIV/0!</v>
      </c>
      <c r="K71" s="19" t="e">
        <f t="shared" si="44"/>
        <v>#DIV/0!</v>
      </c>
      <c r="L71" s="19" t="e">
        <f t="shared" si="44"/>
        <v>#DIV/0!</v>
      </c>
    </row>
    <row r="72" spans="1:12" x14ac:dyDescent="0.2">
      <c r="A72" s="13" t="s">
        <v>61</v>
      </c>
      <c r="B72" s="21">
        <f>B43/B61</f>
        <v>1.3471362387765979</v>
      </c>
      <c r="C72" s="21">
        <f t="shared" ref="C72:H72" si="45">C43/C61</f>
        <v>1.1318222392246875</v>
      </c>
      <c r="D72" s="21">
        <f t="shared" si="45"/>
        <v>1.0841670039900537</v>
      </c>
      <c r="E72" s="21">
        <f t="shared" si="45"/>
        <v>1.2099977683552778</v>
      </c>
      <c r="F72" s="21">
        <f t="shared" si="45"/>
        <v>1.1862111766199328</v>
      </c>
      <c r="G72" s="20">
        <f t="shared" si="41"/>
        <v>-1.9658376533766338E-2</v>
      </c>
      <c r="H72" s="21">
        <f t="shared" si="45"/>
        <v>1.0851101907245488</v>
      </c>
      <c r="I72" s="20">
        <f t="shared" si="5"/>
        <v>-8.5230174768263167E-2</v>
      </c>
      <c r="J72" s="21" t="e">
        <f t="shared" ref="J72:L72" si="46">J43/J61</f>
        <v>#DIV/0!</v>
      </c>
      <c r="K72" s="21" t="e">
        <f t="shared" si="46"/>
        <v>#DIV/0!</v>
      </c>
      <c r="L72" s="21" t="e">
        <f t="shared" si="46"/>
        <v>#DIV/0!</v>
      </c>
    </row>
    <row r="73" spans="1:12" x14ac:dyDescent="0.2">
      <c r="A73" s="13" t="s">
        <v>62</v>
      </c>
      <c r="B73" s="21">
        <f>B8/B51</f>
        <v>9.2705323978539006E-2</v>
      </c>
      <c r="C73" s="21">
        <f t="shared" ref="C73:H73" si="47">C8/C51</f>
        <v>4.5838269590421053E-2</v>
      </c>
      <c r="D73" s="21">
        <f t="shared" si="47"/>
        <v>5.3808061728305025E-2</v>
      </c>
      <c r="E73" s="21">
        <f t="shared" si="47"/>
        <v>5.4282066936781927E-2</v>
      </c>
      <c r="F73" s="21">
        <f t="shared" si="47"/>
        <v>4.8524200143738691E-2</v>
      </c>
      <c r="G73" s="20">
        <f t="shared" si="41"/>
        <v>-0.10607309408002043</v>
      </c>
      <c r="H73" s="21">
        <f t="shared" si="47"/>
        <v>3.9152986202034445E-2</v>
      </c>
      <c r="I73" s="20">
        <f t="shared" si="5"/>
        <v>-0.19312454226849235</v>
      </c>
      <c r="J73" s="21" t="e">
        <f t="shared" ref="J73:L73" si="48">J8/J51</f>
        <v>#DIV/0!</v>
      </c>
      <c r="K73" s="21" t="e">
        <f t="shared" si="48"/>
        <v>#DIV/0!</v>
      </c>
      <c r="L73" s="21" t="e">
        <f t="shared" si="48"/>
        <v>#DIV/0!</v>
      </c>
    </row>
    <row r="74" spans="1:12" x14ac:dyDescent="0.2">
      <c r="A74" s="13" t="s">
        <v>63</v>
      </c>
      <c r="B74" s="21">
        <f>B14/B19</f>
        <v>0.27006701539181444</v>
      </c>
      <c r="C74" s="21">
        <f t="shared" ref="C74:H74" si="49">C14/C19</f>
        <v>0.29167982436354339</v>
      </c>
      <c r="D74" s="21">
        <f t="shared" si="49"/>
        <v>0.27116268203410948</v>
      </c>
      <c r="E74" s="21">
        <f t="shared" si="49"/>
        <v>0.34085567356459967</v>
      </c>
      <c r="F74" s="21">
        <f t="shared" si="49"/>
        <v>0.28188482325899233</v>
      </c>
      <c r="G74" s="20">
        <f t="shared" si="41"/>
        <v>-0.17300826971398808</v>
      </c>
      <c r="H74" s="21">
        <f t="shared" si="49"/>
        <v>0.30607985210364674</v>
      </c>
      <c r="I74" s="20">
        <f t="shared" si="5"/>
        <v>8.583303125342194E-2</v>
      </c>
      <c r="J74" s="21" t="e">
        <f t="shared" ref="J74:L74" si="50">J14/J19</f>
        <v>#DIV/0!</v>
      </c>
      <c r="K74" s="21" t="e">
        <f t="shared" si="50"/>
        <v>#DIV/0!</v>
      </c>
      <c r="L74" s="21" t="e">
        <f t="shared" si="50"/>
        <v>#DIV/0!</v>
      </c>
    </row>
    <row r="75" spans="1:12" x14ac:dyDescent="0.2">
      <c r="A75" s="22" t="s">
        <v>64</v>
      </c>
      <c r="B75" s="21">
        <f>B15/B19</f>
        <v>0.24551698781690259</v>
      </c>
      <c r="C75" s="21">
        <f t="shared" ref="C75:H75" si="51">C15/C19</f>
        <v>0.25013157696876737</v>
      </c>
      <c r="D75" s="21">
        <f t="shared" si="51"/>
        <v>0.3378241569971186</v>
      </c>
      <c r="E75" s="21">
        <f t="shared" si="51"/>
        <v>0.29687030590064856</v>
      </c>
      <c r="F75" s="21">
        <f t="shared" si="51"/>
        <v>0.2865285456917438</v>
      </c>
      <c r="G75" s="20">
        <f t="shared" si="41"/>
        <v>-3.4835953624697519E-2</v>
      </c>
      <c r="H75" s="21">
        <f t="shared" si="51"/>
        <v>0.30707874884455971</v>
      </c>
      <c r="I75" s="20">
        <f t="shared" si="5"/>
        <v>7.1721311756925102E-2</v>
      </c>
      <c r="J75" s="21" t="e">
        <f t="shared" ref="J75:L75" si="52">J15/J19</f>
        <v>#DIV/0!</v>
      </c>
      <c r="K75" s="21" t="e">
        <f t="shared" si="52"/>
        <v>#DIV/0!</v>
      </c>
      <c r="L75" s="21" t="e">
        <f t="shared" si="52"/>
        <v>#DIV/0!</v>
      </c>
    </row>
    <row r="76" spans="1:12" x14ac:dyDescent="0.2">
      <c r="A76" s="22" t="s">
        <v>65</v>
      </c>
      <c r="B76" s="18" t="s">
        <v>68</v>
      </c>
      <c r="C76" s="18" t="s">
        <v>68</v>
      </c>
      <c r="D76" s="18" t="s">
        <v>68</v>
      </c>
      <c r="E76" s="21">
        <f>E16/E19</f>
        <v>0.19158110520084118</v>
      </c>
      <c r="F76" s="21">
        <f t="shared" ref="F76:H76" si="53">F16/F19</f>
        <v>0.2357582158166118</v>
      </c>
      <c r="G76" s="20">
        <f t="shared" si="41"/>
        <v>0.23059221090440107</v>
      </c>
      <c r="H76" s="21">
        <f t="shared" si="53"/>
        <v>0.21337627098428602</v>
      </c>
      <c r="I76" s="20">
        <f t="shared" si="5"/>
        <v>-9.4936012112239274E-2</v>
      </c>
      <c r="J76" s="21" t="e">
        <f t="shared" ref="J76:L76" si="54">J16/J19</f>
        <v>#DIV/0!</v>
      </c>
      <c r="K76" s="21" t="e">
        <f t="shared" si="54"/>
        <v>#DIV/0!</v>
      </c>
      <c r="L76" s="21" t="e">
        <f t="shared" si="54"/>
        <v>#DIV/0!</v>
      </c>
    </row>
    <row r="77" spans="1:12" x14ac:dyDescent="0.2">
      <c r="A77" s="22" t="s">
        <v>66</v>
      </c>
      <c r="B77" s="18" t="s">
        <v>68</v>
      </c>
      <c r="C77" s="18" t="s">
        <v>68</v>
      </c>
      <c r="D77" s="18" t="s">
        <v>68</v>
      </c>
      <c r="E77" s="21">
        <f>E17/E19</f>
        <v>0.20605439411879053</v>
      </c>
      <c r="F77" s="21">
        <f t="shared" ref="F77:H77" si="55">F17/F19</f>
        <v>0.24133378890476487</v>
      </c>
      <c r="G77" s="20">
        <f t="shared" si="41"/>
        <v>0.17121398908695795</v>
      </c>
      <c r="H77" s="21">
        <f t="shared" si="55"/>
        <v>0.22159107851030205</v>
      </c>
      <c r="I77" s="20">
        <f t="shared" si="5"/>
        <v>-8.1806656598151228E-2</v>
      </c>
      <c r="J77" s="21" t="e">
        <f t="shared" ref="J77:L77" si="56">J17/J19</f>
        <v>#DIV/0!</v>
      </c>
      <c r="K77" s="21" t="e">
        <f t="shared" si="56"/>
        <v>#DIV/0!</v>
      </c>
      <c r="L77" s="21" t="e">
        <f t="shared" si="56"/>
        <v>#DIV/0!</v>
      </c>
    </row>
    <row r="78" spans="1:12" x14ac:dyDescent="0.2">
      <c r="A78" s="22" t="s">
        <v>67</v>
      </c>
      <c r="B78" s="18" t="s">
        <v>68</v>
      </c>
      <c r="C78" s="18" t="s">
        <v>68</v>
      </c>
      <c r="D78" s="18" t="s">
        <v>68</v>
      </c>
      <c r="E78" s="21">
        <f>E18/E19</f>
        <v>-3.536147878487992E-2</v>
      </c>
      <c r="F78" s="21">
        <f t="shared" ref="F78:H78" si="57">F18/F19</f>
        <v>-4.5505373672112819E-2</v>
      </c>
      <c r="G78" s="20">
        <f t="shared" si="41"/>
        <v>0.28686285856264271</v>
      </c>
      <c r="H78" s="21">
        <f t="shared" si="57"/>
        <v>-4.8125950442794524E-2</v>
      </c>
      <c r="I78" s="20">
        <f t="shared" si="5"/>
        <v>5.7588292529233323E-2</v>
      </c>
      <c r="J78" s="21" t="e">
        <f t="shared" ref="J78:L78" si="58">J18/J19</f>
        <v>#DIV/0!</v>
      </c>
      <c r="K78" s="21" t="e">
        <f t="shared" si="58"/>
        <v>#DIV/0!</v>
      </c>
      <c r="L78" s="21" t="e">
        <f t="shared" si="58"/>
        <v>#DIV/0!</v>
      </c>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29E13D9A-DD22-4523-8FC5-AAF3D3956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82AF3359-AA7B-4C3F-BB32-4122371AAA35}">
  <ds:schemaRefs>
    <ds:schemaRef ds:uri="http://schemas.microsoft.com/office/infopath/2007/PartnerControls"/>
    <ds:schemaRef ds:uri="http://purl.org/dc/elements/1.1/"/>
    <ds:schemaRef ds:uri="http://purl.org/dc/dcmitype/"/>
    <ds:schemaRef ds:uri="http://schemas.microsoft.com/office/2006/metadata/properties"/>
    <ds:schemaRef ds:uri="36567613-e428-4167-ab55-a4f66cede826"/>
    <ds:schemaRef ds:uri="http://schemas.openxmlformats.org/package/2006/metadata/core-properties"/>
    <ds:schemaRef ds:uri="http://schemas.microsoft.com/office/2006/documentManagement/typ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2023-02-21T16:55:27Z</dcterms:created>
  <dcterms:modified xsi:type="dcterms:W3CDTF">2023-11-22T07:03:04Z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