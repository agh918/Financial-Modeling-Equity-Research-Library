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defaultThemeVersion="202300"/>
  <mc:AlternateContent xmlns:mc="http://schemas.openxmlformats.org/markup-compatibility/2006">
    <mc:Choice Requires="x15">
      <x15ac:absPath xmlns:x15ac="http://schemas.microsoft.com/office/spreadsheetml/2010/11/ac" url="E:\Earnings models (BACKUP)\"/>
    </mc:Choice>
  </mc:AlternateContent>
  <xr:revisionPtr revIDLastSave="0" documentId="8_{3936102C-005C-47B3-919B-9A4CBA658782}" xr6:coauthVersionLast="47" xr6:coauthVersionMax="47" xr10:uidLastSave="{00000000-0000-0000-0000-000000000000}"/>
  <bookViews>
    <workbookView xWindow="-120" yWindow="-120" windowWidth="29040" windowHeight="15720" xr2:uid="{15AF13BD-02CB-474F-920D-D22295B07700}"/>
  </bookViews>
  <sheets>
    <sheet name="Statements" sheetId="1" r:id="rId1"/>
    <sheet name="Note"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8" i="1" l="1"/>
  <c r="D11" i="2"/>
  <c r="D10" i="2"/>
  <c r="D9" i="2"/>
  <c r="T38" i="1"/>
  <c r="S38" i="1"/>
  <c r="R38" i="1"/>
  <c r="Q38" i="1"/>
  <c r="P38" i="1"/>
  <c r="U38" i="1"/>
  <c r="X29" i="1"/>
  <c r="W29" i="1"/>
  <c r="V29" i="1"/>
  <c r="X28" i="1"/>
  <c r="W28" i="1"/>
  <c r="V28" i="1"/>
  <c r="X26" i="1"/>
  <c r="W26" i="1"/>
  <c r="V26" i="1"/>
  <c r="X25" i="1"/>
  <c r="W25" i="1"/>
  <c r="V25" i="1"/>
  <c r="X24" i="1"/>
  <c r="W24" i="1"/>
  <c r="V24" i="1"/>
  <c r="X23" i="1"/>
  <c r="W23" i="1"/>
  <c r="V23" i="1"/>
  <c r="X18" i="1"/>
  <c r="W18" i="1"/>
  <c r="V18" i="1"/>
  <c r="X17" i="1"/>
  <c r="W17" i="1"/>
  <c r="V17" i="1"/>
  <c r="X16" i="1"/>
  <c r="W16" i="1"/>
  <c r="V16" i="1"/>
  <c r="X15" i="1"/>
  <c r="W15" i="1"/>
  <c r="V15" i="1"/>
  <c r="X13" i="1"/>
  <c r="W13" i="1"/>
  <c r="V13" i="1"/>
  <c r="X12" i="1"/>
  <c r="W12" i="1"/>
  <c r="V12" i="1"/>
  <c r="X11" i="1"/>
  <c r="W11" i="1"/>
  <c r="V11" i="1"/>
  <c r="X10" i="1"/>
  <c r="W10" i="1"/>
  <c r="V10" i="1"/>
  <c r="L52" i="1"/>
  <c r="L51" i="1"/>
  <c r="K51" i="1"/>
  <c r="J51" i="1"/>
  <c r="L49" i="1"/>
  <c r="K49" i="1"/>
  <c r="J49" i="1"/>
  <c r="L46" i="1"/>
  <c r="K46" i="1"/>
  <c r="J46" i="1"/>
  <c r="L44" i="1"/>
  <c r="K44" i="1"/>
  <c r="L43" i="1"/>
  <c r="K43" i="1"/>
  <c r="J43" i="1"/>
  <c r="L39" i="1"/>
  <c r="K39" i="1"/>
  <c r="J39" i="1"/>
  <c r="L38" i="1"/>
  <c r="K38" i="1"/>
  <c r="J38" i="1"/>
  <c r="L37" i="1"/>
  <c r="K37" i="1"/>
  <c r="J37" i="1"/>
  <c r="L36" i="1"/>
  <c r="K36" i="1"/>
  <c r="J36" i="1"/>
  <c r="L30" i="1"/>
  <c r="K30" i="1"/>
  <c r="J30" i="1"/>
  <c r="L29" i="1"/>
  <c r="K29" i="1"/>
  <c r="J29" i="1"/>
  <c r="L28" i="1"/>
  <c r="K28" i="1"/>
  <c r="J28" i="1"/>
  <c r="L27" i="1"/>
  <c r="K27" i="1"/>
  <c r="J27" i="1"/>
  <c r="L19" i="1"/>
  <c r="K19" i="1"/>
  <c r="J19" i="1"/>
  <c r="L18" i="1"/>
  <c r="K18" i="1"/>
  <c r="J18" i="1"/>
  <c r="L15" i="1"/>
  <c r="K15" i="1"/>
  <c r="J15" i="1"/>
  <c r="L14" i="1"/>
  <c r="K14" i="1"/>
  <c r="J14" i="1"/>
  <c r="L11" i="1"/>
  <c r="K11" i="1"/>
  <c r="J11" i="1"/>
  <c r="L10" i="1"/>
  <c r="K10" i="1"/>
  <c r="J10" i="1"/>
  <c r="C52" i="1"/>
  <c r="D52" i="1"/>
  <c r="E52" i="1"/>
  <c r="F52" i="1"/>
  <c r="U34" i="1"/>
  <c r="T34" i="1"/>
  <c r="S34" i="1"/>
  <c r="R34" i="1"/>
  <c r="Q34" i="1"/>
  <c r="P34" i="1"/>
  <c r="U33" i="1"/>
  <c r="T33" i="1"/>
  <c r="S33" i="1"/>
  <c r="R33" i="1"/>
  <c r="Q33" i="1"/>
  <c r="P33" i="1"/>
  <c r="O34" i="1"/>
  <c r="O33" i="1"/>
  <c r="T27" i="1"/>
  <c r="T30" i="1" s="1"/>
  <c r="S27" i="1"/>
  <c r="S30" i="1" s="1"/>
  <c r="R27" i="1"/>
  <c r="R30" i="1" s="1"/>
  <c r="Q27" i="1"/>
  <c r="Q30" i="1" s="1"/>
  <c r="P27" i="1"/>
  <c r="P30" i="1" s="1"/>
  <c r="O27" i="1"/>
  <c r="O30" i="1" s="1"/>
  <c r="U27" i="1"/>
  <c r="T14" i="1"/>
  <c r="S14" i="1"/>
  <c r="R14" i="1"/>
  <c r="Q14" i="1"/>
  <c r="P14" i="1"/>
  <c r="O14" i="1"/>
  <c r="U14" i="1"/>
  <c r="H52" i="1"/>
  <c r="G52" i="1"/>
  <c r="O35" i="1"/>
  <c r="I52" i="1"/>
  <c r="U35" i="1" s="1"/>
  <c r="I40" i="1"/>
  <c r="I31" i="1"/>
  <c r="I23" i="1"/>
  <c r="I22" i="1"/>
  <c r="I20" i="1"/>
  <c r="I16" i="1"/>
  <c r="I12" i="1"/>
  <c r="C3" i="1" a="1"/>
  <c r="C5" i="1" s="1"/>
  <c r="H44" i="1"/>
  <c r="J44" i="1" s="1"/>
  <c r="G40" i="1"/>
  <c r="F40" i="1"/>
  <c r="E40" i="1"/>
  <c r="D40" i="1"/>
  <c r="C40" i="1"/>
  <c r="H40" i="1"/>
  <c r="G31" i="1"/>
  <c r="F31" i="1"/>
  <c r="E31" i="1"/>
  <c r="D31" i="1"/>
  <c r="C31" i="1"/>
  <c r="H31" i="1"/>
  <c r="G23" i="1"/>
  <c r="F23" i="1"/>
  <c r="E23" i="1"/>
  <c r="D23" i="1"/>
  <c r="C23" i="1"/>
  <c r="G22" i="1"/>
  <c r="F22" i="1"/>
  <c r="E22" i="1"/>
  <c r="D22" i="1"/>
  <c r="C22" i="1"/>
  <c r="G20" i="1"/>
  <c r="F20" i="1"/>
  <c r="E20" i="1"/>
  <c r="D20" i="1"/>
  <c r="C20" i="1"/>
  <c r="G16" i="1"/>
  <c r="F16" i="1"/>
  <c r="E16" i="1"/>
  <c r="D16" i="1"/>
  <c r="C16" i="1"/>
  <c r="G12" i="1"/>
  <c r="F12" i="1"/>
  <c r="E12" i="1"/>
  <c r="D12" i="1"/>
  <c r="C12" i="1"/>
  <c r="H23" i="1"/>
  <c r="H22" i="1"/>
  <c r="H20" i="1"/>
  <c r="H16" i="1"/>
  <c r="H12" i="1"/>
  <c r="P35" i="1" l="1"/>
  <c r="Q35" i="1"/>
  <c r="R35" i="1"/>
  <c r="X34" i="1"/>
  <c r="W34" i="1"/>
  <c r="V34" i="1"/>
  <c r="V33" i="1"/>
  <c r="W33" i="1"/>
  <c r="X33" i="1"/>
  <c r="Q32" i="1"/>
  <c r="Q37" i="1"/>
  <c r="P32" i="1"/>
  <c r="P37" i="1"/>
  <c r="O32" i="1"/>
  <c r="O37" i="1"/>
  <c r="U30" i="1"/>
  <c r="V27" i="1"/>
  <c r="X27" i="1"/>
  <c r="W27" i="1"/>
  <c r="T19" i="1"/>
  <c r="T32" i="1" s="1"/>
  <c r="T37" i="1" s="1"/>
  <c r="T36" i="1"/>
  <c r="S19" i="1"/>
  <c r="S32" i="1" s="1"/>
  <c r="S37" i="1" s="1"/>
  <c r="S36" i="1"/>
  <c r="R19" i="1"/>
  <c r="R32" i="1" s="1"/>
  <c r="R37" i="1" s="1"/>
  <c r="R36" i="1"/>
  <c r="Q19" i="1"/>
  <c r="Q36" i="1"/>
  <c r="P19" i="1"/>
  <c r="P36" i="1"/>
  <c r="O19" i="1"/>
  <c r="O36" i="1"/>
  <c r="W14" i="1"/>
  <c r="X14" i="1"/>
  <c r="U19" i="1"/>
  <c r="U36" i="1"/>
  <c r="V14" i="1"/>
  <c r="T35" i="1"/>
  <c r="J52" i="1"/>
  <c r="S35" i="1"/>
  <c r="K52" i="1"/>
  <c r="V35" i="1"/>
  <c r="X35" i="1"/>
  <c r="W35" i="1"/>
  <c r="J40" i="1"/>
  <c r="L40" i="1"/>
  <c r="K40" i="1"/>
  <c r="J31" i="1"/>
  <c r="K31" i="1"/>
  <c r="L31" i="1"/>
  <c r="J23" i="1"/>
  <c r="L23" i="1"/>
  <c r="K23" i="1"/>
  <c r="J22" i="1"/>
  <c r="L22" i="1"/>
  <c r="I24" i="1"/>
  <c r="K22" i="1"/>
  <c r="J20" i="1"/>
  <c r="L20" i="1"/>
  <c r="K20" i="1"/>
  <c r="J16" i="1"/>
  <c r="L16" i="1"/>
  <c r="K16" i="1"/>
  <c r="L12" i="1"/>
  <c r="K12" i="1"/>
  <c r="J12" i="1"/>
  <c r="H24" i="1"/>
  <c r="E24" i="1"/>
  <c r="E33" i="1" s="1"/>
  <c r="E53" i="1" s="1"/>
  <c r="F24" i="1"/>
  <c r="G24" i="1"/>
  <c r="C24" i="1"/>
  <c r="D24" i="1"/>
  <c r="V30" i="1" l="1"/>
  <c r="X30" i="1"/>
  <c r="W30" i="1"/>
  <c r="U32" i="1"/>
  <c r="U37" i="1" s="1"/>
  <c r="V19" i="1"/>
  <c r="X19" i="1"/>
  <c r="W19" i="1"/>
  <c r="X36" i="1"/>
  <c r="W36" i="1"/>
  <c r="V36" i="1"/>
  <c r="W38" i="1"/>
  <c r="V38" i="1"/>
  <c r="X38" i="1"/>
  <c r="I33" i="1"/>
  <c r="L24" i="1"/>
  <c r="D5" i="2"/>
  <c r="K24" i="1"/>
  <c r="J24" i="1"/>
  <c r="H33" i="1"/>
  <c r="F33" i="1"/>
  <c r="F53" i="1" s="1"/>
  <c r="G33" i="1"/>
  <c r="G53" i="1" s="1"/>
  <c r="E42" i="1"/>
  <c r="C33" i="1"/>
  <c r="C53" i="1" s="1"/>
  <c r="D33" i="1"/>
  <c r="D53" i="1" s="1"/>
  <c r="V37" i="1" l="1"/>
  <c r="X37" i="1"/>
  <c r="W37" i="1"/>
  <c r="V32" i="1"/>
  <c r="X32" i="1"/>
  <c r="W32" i="1"/>
  <c r="I42" i="1"/>
  <c r="I53" i="1"/>
  <c r="J33" i="1"/>
  <c r="K33" i="1"/>
  <c r="L33" i="1"/>
  <c r="H42" i="1"/>
  <c r="H53" i="1"/>
  <c r="E45" i="1"/>
  <c r="E47" i="1" s="1"/>
  <c r="E57" i="1"/>
  <c r="E56" i="1"/>
  <c r="Q39" i="1" s="1"/>
  <c r="E54" i="1"/>
  <c r="F42" i="1"/>
  <c r="G42" i="1"/>
  <c r="C42" i="1"/>
  <c r="D42" i="1"/>
  <c r="H45" i="1"/>
  <c r="I45" i="1" l="1"/>
  <c r="I57" i="1" s="1"/>
  <c r="I56" i="1"/>
  <c r="J42" i="1"/>
  <c r="K42" i="1"/>
  <c r="L42" i="1"/>
  <c r="I54" i="1"/>
  <c r="J53" i="1"/>
  <c r="L53" i="1"/>
  <c r="K53" i="1"/>
  <c r="H54" i="1"/>
  <c r="H56" i="1"/>
  <c r="T39" i="1" s="1"/>
  <c r="H57" i="1"/>
  <c r="E55" i="1"/>
  <c r="E50" i="1"/>
  <c r="Q40" i="1"/>
  <c r="F45" i="1"/>
  <c r="F47" i="1" s="1"/>
  <c r="F57" i="1"/>
  <c r="F56" i="1"/>
  <c r="R39" i="1" s="1"/>
  <c r="F54" i="1"/>
  <c r="G45" i="1"/>
  <c r="G47" i="1" s="1"/>
  <c r="G54" i="1"/>
  <c r="G57" i="1"/>
  <c r="G56" i="1"/>
  <c r="S39" i="1" s="1"/>
  <c r="C56" i="1"/>
  <c r="O39" i="1" s="1"/>
  <c r="C54" i="1"/>
  <c r="D45" i="1"/>
  <c r="D47" i="1" s="1"/>
  <c r="D57" i="1"/>
  <c r="D56" i="1"/>
  <c r="P39" i="1" s="1"/>
  <c r="D54" i="1"/>
  <c r="C45" i="1"/>
  <c r="H47" i="1"/>
  <c r="I47" i="1" l="1"/>
  <c r="J45" i="1"/>
  <c r="K45" i="1"/>
  <c r="L45" i="1"/>
  <c r="U39" i="1"/>
  <c r="J56" i="1"/>
  <c r="K56" i="1"/>
  <c r="D6" i="2"/>
  <c r="L56" i="1"/>
  <c r="D8" i="2"/>
  <c r="K57" i="1"/>
  <c r="J57" i="1"/>
  <c r="L57" i="1"/>
  <c r="J54" i="1"/>
  <c r="K54" i="1"/>
  <c r="L54" i="1"/>
  <c r="F50" i="1"/>
  <c r="F55" i="1"/>
  <c r="R40" i="1"/>
  <c r="G55" i="1"/>
  <c r="G50" i="1"/>
  <c r="S40" i="1"/>
  <c r="P40" i="1"/>
  <c r="D50" i="1"/>
  <c r="D55" i="1"/>
  <c r="C47" i="1"/>
  <c r="C57" i="1"/>
  <c r="T40" i="1"/>
  <c r="H55" i="1"/>
  <c r="H50" i="1"/>
  <c r="I50" i="1" l="1"/>
  <c r="I55" i="1"/>
  <c r="J47" i="1"/>
  <c r="K47" i="1"/>
  <c r="L47" i="1"/>
  <c r="D7" i="2"/>
  <c r="U40" i="1"/>
  <c r="V39" i="1"/>
  <c r="X39" i="1"/>
  <c r="W39" i="1"/>
  <c r="O40" i="1"/>
  <c r="C50" i="1"/>
  <c r="C55" i="1"/>
  <c r="J50" i="1" l="1"/>
  <c r="K50" i="1"/>
  <c r="L50" i="1"/>
  <c r="K55" i="1"/>
  <c r="J55" i="1"/>
  <c r="V40" i="1"/>
  <c r="W40" i="1"/>
  <c r="X40" i="1"/>
  <c r="L55"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<sst xmlns="http://schemas.openxmlformats.org/spreadsheetml/2006/main" count="119" uniqueCount="93">
  <si>
    <t>Price</t>
  </si>
  <si>
    <t>Shares outstanding</t>
  </si>
  <si>
    <t>Market cap</t>
  </si>
  <si>
    <t>Revenue</t>
  </si>
  <si>
    <t>Americas</t>
  </si>
  <si>
    <t>Products</t>
  </si>
  <si>
    <t>Subscriptions &amp; services</t>
  </si>
  <si>
    <t>Total Americas revenue</t>
  </si>
  <si>
    <t>Asia Pacific</t>
  </si>
  <si>
    <t>Total Asia Pacific revenue</t>
  </si>
  <si>
    <t>EMEA</t>
  </si>
  <si>
    <t>Total EMEA revenue</t>
  </si>
  <si>
    <t>Total Revenue</t>
  </si>
  <si>
    <t>Total Products Revenue</t>
  </si>
  <si>
    <t>Total Subscriptions Revenue</t>
  </si>
  <si>
    <t>Cost of Revenue</t>
  </si>
  <si>
    <t>Cost of products sold</t>
  </si>
  <si>
    <t>Cost of subscriptions &amp; services</t>
  </si>
  <si>
    <t>Amortization of acquisitions</t>
  </si>
  <si>
    <t xml:space="preserve">Restructuring charges </t>
  </si>
  <si>
    <t>Total Cost of Revenue</t>
  </si>
  <si>
    <t>Gross profit</t>
  </si>
  <si>
    <t>Operating Expenses</t>
  </si>
  <si>
    <t>R&amp;D</t>
  </si>
  <si>
    <t>SG&amp;A</t>
  </si>
  <si>
    <t>Restructuring &amp; other</t>
  </si>
  <si>
    <t>Total Operating Expenses</t>
  </si>
  <si>
    <t>Interest expense</t>
  </si>
  <si>
    <t>Other income (expense)</t>
  </si>
  <si>
    <t>Provision for taxes</t>
  </si>
  <si>
    <t>Net income</t>
  </si>
  <si>
    <t>1Y</t>
  </si>
  <si>
    <t>2Y</t>
  </si>
  <si>
    <t>5Y</t>
  </si>
  <si>
    <t>Operating margin</t>
  </si>
  <si>
    <t>The biggest takeaway is the substantial growth seen in the past couple of years, as the company</t>
  </si>
  <si>
    <t>transitions its revenue pool from a primary product-revenue-model to a dominant subscription-and-service</t>
  </si>
  <si>
    <r>
      <t xml:space="preserve">revenue-model. However, as of 2024, the biggest takeaways was </t>
    </r>
    <r>
      <rPr>
        <i/>
        <sz val="10"/>
        <color theme="1"/>
        <rFont val="Arial"/>
        <family val="2"/>
      </rPr>
      <t xml:space="preserve">Asia Pacific's </t>
    </r>
    <r>
      <rPr>
        <sz val="10"/>
        <color theme="1"/>
        <rFont val="Arial"/>
        <family val="2"/>
      </rPr>
      <t>growth in both revenue</t>
    </r>
  </si>
  <si>
    <t>models and massive surges subscriptions' revenue across all markets. The most likely reason for this</t>
  </si>
  <si>
    <r>
      <t xml:space="preserve">massive increase is due to hype around AI. However, with </t>
    </r>
    <r>
      <rPr>
        <i/>
        <sz val="10"/>
        <color theme="1"/>
        <rFont val="Arial"/>
        <family val="2"/>
      </rPr>
      <t xml:space="preserve">DeepScale's </t>
    </r>
    <r>
      <rPr>
        <sz val="10"/>
        <color theme="1"/>
        <rFont val="Arial"/>
        <family val="2"/>
      </rPr>
      <t>new model becoming the biggest</t>
    </r>
  </si>
  <si>
    <t>AI player without the "supposed support of Nvidia's AI-chips, they've rechanged the way AI infrastructure</t>
  </si>
  <si>
    <t>is, and is the reason why its overtaken as the leading AI-model."</t>
  </si>
  <si>
    <t>Column1</t>
  </si>
  <si>
    <t>2019</t>
  </si>
  <si>
    <t>2020</t>
  </si>
  <si>
    <t>2021</t>
  </si>
  <si>
    <t>2022</t>
  </si>
  <si>
    <t>2023</t>
  </si>
  <si>
    <t>2024</t>
  </si>
  <si>
    <t>2025</t>
  </si>
  <si>
    <t>EPS</t>
  </si>
  <si>
    <t>Mkt cap</t>
  </si>
  <si>
    <t>Gross margin</t>
  </si>
  <si>
    <t>Net margin</t>
  </si>
  <si>
    <t>6Y</t>
  </si>
  <si>
    <t>Assets</t>
  </si>
  <si>
    <t>Current</t>
  </si>
  <si>
    <t>Cash</t>
  </si>
  <si>
    <t>EBT</t>
  </si>
  <si>
    <t>EBIT</t>
  </si>
  <si>
    <t>Screening Score</t>
  </si>
  <si>
    <t>Revenue (CAGR)</t>
  </si>
  <si>
    <t>EBITDA Margin</t>
  </si>
  <si>
    <t>ROE</t>
  </si>
  <si>
    <t>ROIC</t>
  </si>
  <si>
    <t>Debt-to-EBITDA</t>
  </si>
  <si>
    <t>EPS σ</t>
  </si>
  <si>
    <t>EV-to-EBITDA</t>
  </si>
  <si>
    <t>Industry</t>
  </si>
  <si>
    <t>Trade accounts receivable, net</t>
  </si>
  <si>
    <t>Inventory</t>
  </si>
  <si>
    <t>Other</t>
  </si>
  <si>
    <t>Total current</t>
  </si>
  <si>
    <t>PPE, net</t>
  </si>
  <si>
    <t>Goodwill</t>
  </si>
  <si>
    <t>Intangible assets</t>
  </si>
  <si>
    <t>Total assets</t>
  </si>
  <si>
    <t>Liabilities</t>
  </si>
  <si>
    <t>AP</t>
  </si>
  <si>
    <t>Employee comp &amp; benefits</t>
  </si>
  <si>
    <t>ST debt</t>
  </si>
  <si>
    <t>LT debt</t>
  </si>
  <si>
    <t>Total liabilities</t>
  </si>
  <si>
    <t>Equity</t>
  </si>
  <si>
    <t>Semiconductors</t>
  </si>
  <si>
    <t>Debt</t>
  </si>
  <si>
    <t>EV</t>
  </si>
  <si>
    <t>EBITDA</t>
  </si>
  <si>
    <t>NOPAT</t>
  </si>
  <si>
    <t>Current ratio</t>
  </si>
  <si>
    <t>D/E</t>
  </si>
  <si>
    <t>IC</t>
  </si>
  <si>
    <t>EV / EBITDA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</si>
</sst>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43" formatCode="_(* #,##0.00_);_(* \(#,##0.00\);_(* &quot;-&quot;??_);_(@_)"/>
    <numFmt numFmtId="164" formatCode="_([$$-409]* #,##0.00_);_([$$-409]* \(#,##0.00\);_([$$-409]* &quot;-&quot;??_);_(@_)"/>
    <numFmt numFmtId="165" formatCode="_(* #,##0_);_(* \(#,##0\);_(* &quot;-&quot;??_);_(@_)"/>
    <numFmt numFmtId="166" formatCode="0.0%"/>
    <numFmt numFmtId="167" formatCode="0.000%"/>
    <numFmt numFmtId="168" formatCode="_(* #,##0.0_);_(* \(#,##0.0\);_(* &quot;-&quot;??_);_(@_)"/>
    <numFmt numFmtId="169" formatCode="0.000"/>
    <numFmt numFmtId="170" formatCode="_(* #,##0.000_);_(* \(#,##0.000\);_(* &quot;-&quot;??_);_(@_)"/>
  </numFmts>
  <fonts count="14" x14ac:knownFonts="1">
    <font>
      <sz val="11"/>
      <color theme="1"/>
      <name val="Aptos Narrow"/>
      <family val="2"/>
      <scheme val="minor"/>
    </font>
    <font>
      <sz val="10"/>
      <color theme="1"/>
      <name val="Arial"/>
      <family val="2"/>
    </font>
    <font>
      <sz val="10"/>
      <color theme="1"/>
      <name val="Arial"/>
      <family val="2"/>
    </font>
    <font>
      <sz val="11"/>
      <color theme="1"/>
      <name val="Aptos Narrow"/>
      <family val="2"/>
      <scheme val="minor"/>
    </font>
    <font>
      <sz val="10"/>
      <color theme="1"/>
      <name val="Arial"/>
      <family val="2"/>
    </font>
    <font>
      <b/>
      <sz val="10"/>
      <color theme="1"/>
      <name val="Arial"/>
      <family val="2"/>
    </font>
    <font>
      <i/>
      <sz val="10"/>
      <color theme="1"/>
      <name val="Arial"/>
      <family val="2"/>
    </font>
    <font>
      <b/>
      <sz val="10"/>
      <color theme="0"/>
      <name val="Arial"/>
      <family val="2"/>
    </font>
    <font>
      <sz val="10"/>
      <color theme="4"/>
      <name val="Arial"/>
      <family val="2"/>
    </font>
    <font>
      <b/>
      <sz val="10"/>
      <color theme="3" tint="0.249977111117893"/>
      <name val="Arial"/>
      <family val="2"/>
    </font>
    <font>
      <b/>
      <sz val="12"/>
      <color theme="1"/>
      <name val="Arial"/>
      <family val="2"/>
    </font>
    <font>
      <sz val="12"/>
      <color theme="4"/>
      <name val="Arial"/>
      <family val="2"/>
    </font>
    <font>
      <sz val="12"/>
      <color theme="0"/>
      <name val="Arial"/>
      <family val="2"/>
    </font>
    <font>
      <sz val="12"/>
      <color theme="1"/>
      <name val="Arial"/>
      <family val="2"/>
    </font>
  </fonts>
  <fills count="6">
    <fill>
      <patternFill patternType="none"/>
    </fill>
    <fill>
      <patternFill patternType="gray125"/>
    </fill>
    <fill>
      <patternFill patternType="solid">
        <fgColor rgb="FFFFFF00"/>
        <bgColor indexed="64"/>
      </patternFill>
    </fill>
    <fill>
      <patternFill patternType="solid">
        <fgColor rgb="FF94DCF8"/>
        <bgColor indexed="64"/>
      </patternFill>
    </fill>
    <fill>
      <patternFill patternType="solid">
        <fgColor rgb="FFB5E6A2"/>
        <bgColor indexed="64"/>
      </patternFill>
    </fill>
    <fill>
      <patternFill patternType="solid">
        <fgColor rgb="FFFF0000"/>
        <bgColor indexed="64"/>
      </patternFill>
    </fill>
  </fills>
  <borders count="7">
    <border>
      <left/>
      <right/>
      <top/>
      <bottom/>
      <diagonal/>
    </border>
    <border>
      <left/>
      <right/>
      <top style="thin">
        <color indexed="64"/>
      </top>
      <bottom style="medium">
        <color indexed="64"/>
      </bottom>
      <diagonal/>
    </border>
    <border>
      <left/>
      <right style="thin">
        <color indexed="64"/>
      </right>
      <top/>
      <bottom/>
      <diagonal/>
    </border>
    <border>
      <left/>
      <right style="thin">
        <color indexed="64"/>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s>
  <cellStyleXfs count="4">
    <xf numFmtId="0" fontId="0"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cellStyleXfs>
  <cellXfs count="71">
    <xf numFmtId="0" fontId="0" fillId="0" borderId="0" xfId="0"/>
    <xf numFmtId="0" fontId="4" fillId="0" borderId="0" xfId="0" applyFont="1"/>
    <xf numFmtId="164" fontId="4" fillId="0" borderId="0" xfId="0" applyNumberFormat="1" applyFont="1"/>
    <xf numFmtId="3" fontId="4" fillId="0" borderId="0" xfId="0" applyNumberFormat="1" applyFont="1"/>
    <xf numFmtId="0" fontId="5" fillId="0" borderId="0" xfId="0" applyFont="1"/>
    <xf numFmtId="0" fontId="4" fillId="0" borderId="2" xfId="0" applyFont="1" applyBorder="1"/>
    <xf numFmtId="0" fontId="5" fillId="0" borderId="2" xfId="0" applyFont="1" applyBorder="1"/>
    <xf numFmtId="0" fontId="6" fillId="0" borderId="2" xfId="0" applyFont="1" applyBorder="1"/>
    <xf numFmtId="0" fontId="5" fillId="0" borderId="3" xfId="0" applyFont="1" applyBorder="1"/>
    <xf numFmtId="165" fontId="4" fillId="0" borderId="0" xfId="1" applyNumberFormat="1" applyFont="1"/>
    <xf numFmtId="165" fontId="5" fillId="0" borderId="1" xfId="1" applyNumberFormat="1" applyFont="1" applyBorder="1"/>
    <xf numFmtId="165" fontId="5" fillId="0" borderId="0" xfId="1" applyNumberFormat="1" applyFont="1"/>
    <xf numFmtId="0" fontId="5" fillId="0" borderId="4" xfId="0" applyFont="1" applyBorder="1"/>
    <xf numFmtId="0" fontId="4" fillId="0" borderId="2" xfId="0" applyFont="1" applyBorder="1" applyAlignment="1">
      <alignment horizontal="left" indent="1"/>
    </xf>
    <xf numFmtId="0" fontId="5" fillId="0" borderId="3" xfId="0" applyFont="1" applyBorder="1" applyAlignment="1">
      <alignment horizontal="left" indent="2"/>
    </xf>
    <xf numFmtId="0" fontId="4" fillId="2" borderId="0" xfId="0" applyFont="1" applyFill="1"/>
    <xf numFmtId="165" fontId="4" fillId="2" borderId="0" xfId="1" applyNumberFormat="1" applyFont="1" applyFill="1"/>
    <xf numFmtId="166" fontId="4" fillId="2" borderId="0" xfId="2" applyNumberFormat="1" applyFont="1" applyFill="1"/>
    <xf numFmtId="166" fontId="5" fillId="2" borderId="1" xfId="2" applyNumberFormat="1" applyFont="1" applyFill="1" applyBorder="1"/>
    <xf numFmtId="0" fontId="4" fillId="0" borderId="6" xfId="0" applyFont="1" applyBorder="1"/>
    <xf numFmtId="44" fontId="4" fillId="0" borderId="0" xfId="3" applyFont="1"/>
    <xf numFmtId="0" fontId="5" fillId="2" borderId="4" xfId="0" applyFont="1" applyFill="1" applyBorder="1" applyAlignment="1">
      <alignment horizontal="center"/>
    </xf>
    <xf numFmtId="0" fontId="5" fillId="3" borderId="4" xfId="0" applyFont="1" applyFill="1" applyBorder="1" applyAlignment="1">
      <alignment horizontal="center"/>
    </xf>
    <xf numFmtId="0" fontId="4" fillId="3" borderId="0" xfId="0" applyFont="1" applyFill="1"/>
    <xf numFmtId="165" fontId="4" fillId="3" borderId="0" xfId="1" applyNumberFormat="1" applyFont="1" applyFill="1"/>
    <xf numFmtId="166" fontId="4" fillId="3" borderId="0" xfId="2" applyNumberFormat="1" applyFont="1" applyFill="1"/>
    <xf numFmtId="166" fontId="5" fillId="3" borderId="1" xfId="2" applyNumberFormat="1" applyFont="1" applyFill="1" applyBorder="1"/>
    <xf numFmtId="166" fontId="5" fillId="3" borderId="0" xfId="2" applyNumberFormat="1" applyFont="1" applyFill="1"/>
    <xf numFmtId="0" fontId="5" fillId="4" borderId="4" xfId="0" applyFont="1" applyFill="1" applyBorder="1" applyAlignment="1">
      <alignment horizontal="center"/>
    </xf>
    <xf numFmtId="0" fontId="4" fillId="4" borderId="0" xfId="0" applyFont="1" applyFill="1"/>
    <xf numFmtId="165" fontId="4" fillId="4" borderId="0" xfId="1" applyNumberFormat="1" applyFont="1" applyFill="1"/>
    <xf numFmtId="166" fontId="4" fillId="4" borderId="0" xfId="2" applyNumberFormat="1" applyFont="1" applyFill="1"/>
    <xf numFmtId="166" fontId="5" fillId="4" borderId="1" xfId="2" applyNumberFormat="1" applyFont="1" applyFill="1" applyBorder="1"/>
    <xf numFmtId="166" fontId="5" fillId="4" borderId="0" xfId="2" applyNumberFormat="1" applyFont="1" applyFill="1"/>
    <xf numFmtId="166" fontId="7" fillId="5" borderId="0" xfId="2" applyNumberFormat="1" applyFont="1" applyFill="1"/>
    <xf numFmtId="166" fontId="7" fillId="5" borderId="1" xfId="2" applyNumberFormat="1" applyFont="1" applyFill="1" applyBorder="1"/>
    <xf numFmtId="166" fontId="7" fillId="5" borderId="0" xfId="2" applyNumberFormat="1" applyFont="1" applyFill="1" applyBorder="1"/>
    <xf numFmtId="0" fontId="8" fillId="0" borderId="5" xfId="0" applyFont="1" applyBorder="1"/>
    <xf numFmtId="9" fontId="2" fillId="0" borderId="0" xfId="2" applyFont="1"/>
    <xf numFmtId="0" fontId="2" fillId="0" borderId="2" xfId="0" applyFont="1" applyBorder="1"/>
    <xf numFmtId="0" fontId="2" fillId="0" borderId="0" xfId="0" applyFont="1"/>
    <xf numFmtId="167" fontId="4" fillId="0" borderId="0" xfId="2" applyNumberFormat="1" applyFont="1"/>
    <xf numFmtId="0" fontId="9" fillId="0" borderId="5" xfId="0" applyFont="1" applyBorder="1"/>
    <xf numFmtId="0" fontId="7" fillId="0" borderId="4" xfId="0" applyFont="1" applyBorder="1"/>
    <xf numFmtId="0" fontId="5" fillId="0" borderId="0" xfId="0" applyFont="1" applyAlignment="1">
      <alignment horizontal="left" indent="1"/>
    </xf>
    <xf numFmtId="165" fontId="2" fillId="0" borderId="0" xfId="1" applyNumberFormat="1" applyFont="1"/>
    <xf numFmtId="168" fontId="2" fillId="0" borderId="0" xfId="1" applyNumberFormat="1" applyFont="1"/>
    <xf numFmtId="0" fontId="2" fillId="2" borderId="0" xfId="0" applyFont="1" applyFill="1"/>
    <xf numFmtId="0" fontId="2" fillId="3" borderId="0" xfId="0" applyFont="1" applyFill="1"/>
    <xf numFmtId="0" fontId="2" fillId="4" borderId="0" xfId="0" applyFont="1" applyFill="1"/>
    <xf numFmtId="9" fontId="2" fillId="3" borderId="0" xfId="2" applyFont="1" applyFill="1"/>
    <xf numFmtId="9" fontId="2" fillId="4" borderId="0" xfId="2" applyFont="1" applyFill="1"/>
    <xf numFmtId="165" fontId="2" fillId="0" borderId="0" xfId="1" applyNumberFormat="1" applyFont="1" applyAlignment="1">
      <alignment horizontal="right" indent="2"/>
    </xf>
    <xf numFmtId="0" fontId="5" fillId="0" borderId="3" xfId="0" applyFont="1" applyBorder="1" applyAlignment="1">
      <alignment horizontal="left" indent="1"/>
    </xf>
    <xf numFmtId="44" fontId="2" fillId="0" borderId="0" xfId="3" applyFont="1"/>
    <xf numFmtId="0" fontId="10" fillId="0" borderId="0" xfId="0" applyFont="1"/>
    <xf numFmtId="0" fontId="11" fillId="0" borderId="0" xfId="0" applyFont="1"/>
    <xf numFmtId="0" fontId="12" fillId="0" borderId="0" xfId="0" applyFont="1" applyAlignment="1">
      <alignment horizontal="right"/>
    </xf>
    <xf numFmtId="0" fontId="13" fillId="0" borderId="0" xfId="0" applyFont="1"/>
    <xf numFmtId="10" fontId="13" fillId="0" borderId="0" xfId="2" applyNumberFormat="1" applyFont="1"/>
    <xf numFmtId="169" fontId="13" fillId="0" borderId="0" xfId="0" applyNumberFormat="1" applyFont="1"/>
    <xf numFmtId="2" fontId="13" fillId="0" borderId="0" xfId="0" applyNumberFormat="1" applyFont="1"/>
    <xf numFmtId="0" fontId="13" fillId="0" borderId="0" xfId="0" applyFont="1" applyAlignment="1">
      <alignment horizontal="right"/>
    </xf>
    <xf numFmtId="0" fontId="5" fillId="0" borderId="2" xfId="0" applyFont="1" applyBorder="1" applyAlignment="1">
      <alignment horizontal="left"/>
    </xf>
    <xf numFmtId="0" fontId="2" fillId="0" borderId="2" xfId="0" applyFont="1" applyBorder="1" applyAlignment="1">
      <alignment horizontal="left" indent="1"/>
    </xf>
    <xf numFmtId="9" fontId="2" fillId="2" borderId="0" xfId="2" applyFont="1" applyFill="1" applyBorder="1"/>
    <xf numFmtId="166" fontId="2" fillId="2" borderId="0" xfId="2" applyNumberFormat="1" applyFont="1" applyFill="1" applyBorder="1"/>
    <xf numFmtId="166" fontId="2" fillId="3" borderId="0" xfId="2" applyNumberFormat="1" applyFont="1" applyFill="1"/>
    <xf numFmtId="166" fontId="2" fillId="4" borderId="0" xfId="2" applyNumberFormat="1" applyFont="1" applyFill="1"/>
    <xf numFmtId="170" fontId="2" fillId="0" borderId="0" xfId="1" applyNumberFormat="1" applyFont="1"/>
    <xf numFmtId="167" fontId="2" fillId="0" borderId="0" xfId="2" applyNumberFormat="1" applyFont="1"/>
  </cellXfs>
  <cellStyles count="4">
    <cellStyle name="Comma" xfId="1" builtinId="3"/>
    <cellStyle name="Currency" xfId="3" builtinId="4"/>
    <cellStyle name="Normal" xfId="0" builtinId="0"/>
    <cellStyle name="Percent" xfId="2" builtinId="5"/>
  </cellStyles>
  <dxfs count="20">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strike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5" formatCode="_(* #,##0_);_(* \(#,##0\);_(* &quot;-&quot;??_);_(@_)"/>
    </dxf>
    <dxf>
      <font>
        <b val="0"/>
        <i val="0"/>
        <strike val="0"/>
        <condense val="0"/>
        <extend val="0"/>
        <outline val="0"/>
        <shadow val="0"/>
        <u val="none"/>
        <vertAlign val="baseline"/>
        <sz val="10"/>
        <color theme="1"/>
        <name val="Arial"/>
        <family val="2"/>
        <scheme val="none"/>
      </font>
      <numFmt numFmtId="165" formatCode="_(* #,##0_);_(* \(#,##0\);_(* &quot;-&quot;??_);_(@_)"/>
    </dxf>
    <dxf>
      <font>
        <b val="0"/>
        <i val="0"/>
        <strike val="0"/>
        <condense val="0"/>
        <extend val="0"/>
        <outline val="0"/>
        <shadow val="0"/>
        <u val="none"/>
        <vertAlign val="baseline"/>
        <sz val="10"/>
        <color theme="1"/>
        <name val="Arial"/>
        <family val="2"/>
        <scheme val="none"/>
      </font>
      <numFmt numFmtId="165" formatCode="_(* #,##0_);_(* \(#,##0\);_(* &quot;-&quot;??_);_(@_)"/>
    </dxf>
    <dxf>
      <font>
        <b val="0"/>
        <i val="0"/>
        <strike val="0"/>
        <condense val="0"/>
        <extend val="0"/>
        <outline val="0"/>
        <shadow val="0"/>
        <u val="none"/>
        <vertAlign val="baseline"/>
        <sz val="10"/>
        <color theme="1"/>
        <name val="Arial"/>
        <family val="2"/>
        <scheme val="none"/>
      </font>
      <numFmt numFmtId="165" formatCode="_(* #,##0_);_(* \(#,##0\);_(* &quot;-&quot;??_);_(@_)"/>
    </dxf>
    <dxf>
      <font>
        <strike val="0"/>
        <outline val="0"/>
        <shadow val="0"/>
        <u val="none"/>
        <vertAlign val="baseline"/>
        <sz val="10"/>
        <color theme="1"/>
        <name val="Arial"/>
        <family val="2"/>
        <scheme val="none"/>
      </font>
    </dxf>
    <dxf>
      <font>
        <strike val="0"/>
        <outline val="0"/>
        <shadow val="0"/>
        <u val="none"/>
        <vertAlign val="baseline"/>
        <sz val="10"/>
        <color theme="1"/>
        <name val="Arial"/>
        <family val="2"/>
        <scheme val="none"/>
      </font>
    </dxf>
    <dxf>
      <font>
        <strike val="0"/>
        <outline val="0"/>
        <shadow val="0"/>
        <u val="none"/>
        <vertAlign val="baseline"/>
        <sz val="10"/>
        <color theme="1"/>
        <name val="Arial"/>
        <family val="2"/>
        <scheme val="none"/>
      </font>
      <border diagonalUp="0" diagonalDown="0">
        <left/>
        <right style="thin">
          <color indexed="64"/>
        </right>
        <vertical/>
      </border>
    </dxf>
    <dxf>
      <font>
        <strike val="0"/>
        <outline val="0"/>
        <shadow val="0"/>
        <u val="none"/>
        <vertAlign val="baseline"/>
        <sz val="10"/>
        <color theme="1"/>
        <name val="Arial"/>
        <family val="2"/>
        <scheme val="none"/>
      </font>
    </dxf>
    <dxf>
      <border outline="0">
        <bottom style="thin">
          <color indexed="64"/>
        </bottom>
      </border>
    </dxf>
    <dxf>
      <font>
        <b val="0"/>
        <i val="0"/>
        <strike val="0"/>
        <condense val="0"/>
        <extend val="0"/>
        <outline val="0"/>
        <shadow val="0"/>
        <u val="none"/>
        <vertAlign val="baseline"/>
        <sz val="10"/>
        <color theme="1"/>
        <name val="Arial"/>
        <family val="2"/>
        <scheme val="none"/>
      </font>
    </dxf>
    <dxf>
      <font>
        <b val="0"/>
        <i/>
        <strike val="0"/>
        <condense val="0"/>
        <extend val="0"/>
        <outline val="0"/>
        <shadow val="0"/>
        <u val="none"/>
        <vertAlign val="baseline"/>
        <sz val="10"/>
        <color theme="1"/>
        <name val="Arial"/>
        <family val="2"/>
        <scheme val="none"/>
      </font>
      <border diagonalUp="0" diagonalDown="0">
        <left/>
        <right style="thin">
          <color indexed="64"/>
        </right>
        <top/>
        <bottom/>
        <vertical/>
        <horizontal/>
      </border>
    </dxf>
    <dxf>
      <border outline="0">
        <bottom style="medium">
          <color indexed="64"/>
        </bottom>
      </border>
    </dxf>
    <dxf>
      <border outline="0">
        <bottom style="thin">
          <color indexed="64"/>
        </bottom>
      </border>
    </dxf>
    <dxf>
      <font>
        <b/>
        <i val="0"/>
        <strike val="0"/>
        <condense val="0"/>
        <extend val="0"/>
        <outline val="0"/>
        <shadow val="0"/>
        <u val="none"/>
        <vertAlign val="baseline"/>
        <sz val="10"/>
        <color theme="1"/>
        <name val="Arial"/>
        <family val="2"/>
        <scheme val="none"/>
      </font>
    </dxf>
  </dxfs>
  <tableStyles count="0" defaultTableStyle="TableStyleMedium2" defaultPivotStyle="PivotStyleLight16"/>
  <colors>
    <mruColors>
      <color rgb="FFB5E6A2"/>
      <color rgb="FF94DC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Structure" Target="richData/rdrichvaluestructure.xml"/><Relationship Id="rId13" Type="http://schemas.openxmlformats.org/officeDocument/2006/relationships/calcChain" Target="calcChain.xml"/><Relationship Id="rId3" Type="http://schemas.openxmlformats.org/officeDocument/2006/relationships/theme" Target="theme/theme1.xml"/><Relationship Id="rId7" Type="http://schemas.microsoft.com/office/2017/06/relationships/rdRichValue" Target="richData/rdrichvalue.xml"/><Relationship Id="rId12"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sheetMetadata" Target="metadata.xml"/><Relationship Id="rId11" Type="http://schemas.microsoft.com/office/2017/06/relationships/rdSupportingPropertyBag" Target="richData/rdsupportingpropertybag.xml"/><Relationship Id="rId5" Type="http://schemas.openxmlformats.org/officeDocument/2006/relationships/sharedStrings" Target="sharedStrings.xml"/><Relationship Id="rId15" Type="http://schemas.openxmlformats.org/officeDocument/2006/relationships/customXml" Target="../customXml/item2.xml"/><Relationship Id="rId10" Type="http://schemas.microsoft.com/office/2017/06/relationships/rdSupportingPropertyBagStructure" Target="richData/rdsupportingpropertybagstructure.xml"/><Relationship Id="rId4" Type="http://schemas.openxmlformats.org/officeDocument/2006/relationships/styles" Target="styles.xml"/><Relationship Id="rId9" Type="http://schemas.microsoft.com/office/2017/06/relationships/richStyles" Target="richData/richStyles.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576264</xdr:colOff>
      <xdr:row>1</xdr:row>
      <xdr:rowOff>3334</xdr:rowOff>
    </xdr:from>
    <xdr:to>
      <xdr:col>9</xdr:col>
      <xdr:colOff>619126</xdr:colOff>
      <xdr:row>4</xdr:row>
      <xdr:rowOff>140112</xdr:rowOff>
    </xdr:to>
    <xdr:pic>
      <xdr:nvPicPr>
        <xdr:cNvPr id="2" name="Picture 1">
          <a:extLst>
            <a:ext uri="{FF2B5EF4-FFF2-40B4-BE49-F238E27FC236}">
              <a16:creationId xmlns:a16="http://schemas.microsoft.com/office/drawing/2014/main" id="{C8EACAB5-6DE7-4B3C-6421-6C4A9286F5C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90939" y="165259"/>
          <a:ext cx="4271962" cy="6225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https://www.bing.com/financeapi/forcetrigger?t=a1nz8m&amp;q=XNAS%3aAVGO&amp;form=skydnc</v>
    <v>Learn more on Bing</v>
  </rv>
  <rv s="1">
    <v>en-US</v>
    <v>a1nz8m</v>
    <v>268435456</v>
    <v>1</v>
    <v>Powered by Refinitiv</v>
    <v>0</v>
    <v>BROADCOM INC. (XNAS:AVGO)</v>
    <v>2</v>
    <v>3</v>
    <v>Finance</v>
    <v>4</v>
    <v>495</v>
    <v>262.65550000000002</v>
    <v>1.4876</v>
    <v>7.43</v>
    <v>-2.2900000000000001E-4</v>
    <v>2.0354999999999998E-2</v>
    <v>-8.5300000000000001E-2</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33000</v>
    <v>Nasdaq Stock Market</v>
    <v>XNAS</v>
    <v>XNAS</v>
    <v>3421 Hillview Avenue, PALO ALTO, CA, 94304 US</v>
    <v>376.2099</v>
    <v>Semiconductors &amp; Semiconductor Equipment</v>
    <v>Stock</v>
    <v>46202.908378217187</v>
    <v>0</v>
    <v>360.46</v>
    <v>1771960671000</v>
    <v>BROADCOM INC.</v>
    <v>BROADCOM INC.</v>
    <v>373.61500000000001</v>
    <v>60.801400000000001</v>
    <v>365.02</v>
    <v>372.45</v>
    <v>372.36470000000003</v>
    <v>4757580000</v>
    <v>AVGO</v>
    <v>BROADCOM INC. (XNAS:AVGO)</v>
    <v>24247464</v>
    <v>34152660</v>
    <v>2018</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EE4DFE-C1B1-489F-A3F4-15A4A3A92BEB}" name="Table1" displayName="Table1" ref="B7:I58" totalsRowShown="0" headerRowDxfId="19" headerRowBorderDxfId="18" tableBorderDxfId="17">
  <autoFilter ref="B7:I58" xr:uid="{0DEE4DFE-C1B1-489F-A3F4-15A4A3A92BEB}">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637F51B6-4794-468D-9A4C-755ECCE0D17A}" name="Column1" dataDxfId="16"/>
    <tableColumn id="2" xr3:uid="{EF4FEDEF-02CB-4594-B38C-220E09C01894}" name="2019"/>
    <tableColumn id="3" xr3:uid="{BF35C5C5-BF9B-4E32-A891-B19BB8E28294}" name="2020"/>
    <tableColumn id="4" xr3:uid="{5C5815A9-AC3A-43C8-9491-C9793D74373A}" name="2021"/>
    <tableColumn id="5" xr3:uid="{734225B9-0FD4-4DEE-924B-4C43FE6DCB36}" name="2022"/>
    <tableColumn id="6" xr3:uid="{BB72AFD5-AE0F-4B14-A5D5-499CDD6B8AAA}" name="2023"/>
    <tableColumn id="7" xr3:uid="{7285EDB9-CEE9-4DE8-8991-919D48D6413E}" name="2024"/>
    <tableColumn id="8" xr3:uid="{D2EF13E5-DDB2-45FD-AD7D-36A14D6F81FE}" name="2025" dataDxfId="15" dataCellStyle="Perc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9B32B8-88DC-4AC5-8EA2-11560E76E06F}" name="Table2" displayName="Table2" ref="N7:U40" totalsRowShown="0" dataDxfId="13" headerRowBorderDxfId="14">
  <autoFilter ref="N7:U40" xr:uid="{5B9B32B8-88DC-4AC5-8EA2-11560E76E06F}">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6992C6A4-A8C5-4F8E-8DC6-86E13579FF5F}" name="Column1" dataDxfId="12"/>
    <tableColumn id="2" xr3:uid="{78EDAEC0-F9AF-46FF-A0D3-7C8F23F15159}" name="2019" dataDxfId="11"/>
    <tableColumn id="3" xr3:uid="{99982452-61C5-40C9-84A2-C6298CDD6FFC}" name="2020" dataDxfId="10"/>
    <tableColumn id="4" xr3:uid="{81784F68-5D8C-4C88-AA00-35E390C17668}" name="2021" dataDxfId="9" dataCellStyle="Comma"/>
    <tableColumn id="5" xr3:uid="{EC752A7A-9BBB-4DE1-BE14-99039DF1D07D}" name="2022" dataDxfId="8" dataCellStyle="Comma"/>
    <tableColumn id="6" xr3:uid="{8F761B02-467F-45A4-8B5F-535BDCC58E1D}" name="2023" dataDxfId="7" dataCellStyle="Comma"/>
    <tableColumn id="7" xr3:uid="{A35116C8-AA52-4830-90FA-21B8BC307DD8}" name="2024" dataDxfId="6" dataCellStyle="Comma"/>
    <tableColumn id="8" xr3:uid="{A8D30B94-0165-4EE5-90C0-E0DA0B9A1CD8}" name="2025" dataDxfId="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86EAA2E-5D43-4E22-BB6B-C48591C87401}" name="Table810" displayName="Table810" ref="B4:D12" totalsRowShown="0" headerRowDxfId="4" dataDxfId="3">
  <autoFilter ref="B4:D12" xr:uid="{786EAA2E-5D43-4E22-BB6B-C48591C87401}">
    <filterColumn colId="0" hiddenButton="1"/>
    <filterColumn colId="1" hiddenButton="1"/>
    <filterColumn colId="2" hiddenButton="1"/>
  </autoFilter>
  <tableColumns count="3">
    <tableColumn id="1" xr3:uid="{BF6A0335-65EE-412E-BF7A-8086F65361F9}" name="Screening Score" dataDxfId="2"/>
    <tableColumn id="2" xr3:uid="{EC484520-A159-46AB-A6CB-997394962D58}" name="Column1" dataDxfId="1"/>
    <tableColumn id="3" xr3:uid="{94AA8204-4C53-4025-B5F4-595E399B7706}" name="2025"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8A5D4F-613F-48E5-92F1-B4DF0E5282E7}">
  <dimension ref="B1:X58"/>
  <sheetViews>
    <sheetView tabSelected="1" zoomScale="115" zoomScaleNormal="115" workbookViewId="0">
      <selection activeCell="P41" sqref="P41"/>
    </sheetView>
  </sheetViews>
  <sheetFormatPr defaultColWidth="10.5703125" defaultRowHeight="12.75" x14ac:dyDescent="0.2"/>
  <cols>
    <col min="1" max="1" width="10.5703125" style="1"/>
    <col min="2" max="2" width="25.5703125" style="40" customWidth="1"/>
    <col min="3" max="12" width="10.5703125" style="9"/>
    <col min="13" max="13" width="10.5703125" style="1"/>
    <col min="14" max="14" width="28.7109375" style="40" customWidth="1"/>
    <col min="15" max="21" width="10.7109375" style="45" customWidth="1"/>
    <col min="22" max="24" width="10.7109375" style="40" customWidth="1"/>
    <col min="25" max="16384" width="10.5703125" style="1"/>
  </cols>
  <sheetData>
    <row r="1" spans="2:24" x14ac:dyDescent="0.2">
      <c r="B1" s="1"/>
      <c r="C1" s="1"/>
      <c r="D1" s="1"/>
      <c r="E1" s="1"/>
      <c r="F1" s="1"/>
      <c r="G1" s="1"/>
      <c r="H1" s="1"/>
      <c r="I1" s="1"/>
      <c r="J1" s="1"/>
      <c r="K1" s="1"/>
      <c r="L1" s="1"/>
      <c r="N1" s="1"/>
      <c r="O1" s="1"/>
      <c r="P1" s="1"/>
      <c r="Q1" s="1"/>
      <c r="R1" s="1"/>
      <c r="S1" s="1"/>
      <c r="T1" s="1"/>
      <c r="U1" s="1"/>
      <c r="V1" s="1"/>
      <c r="W1" s="1"/>
      <c r="X1" s="1"/>
    </row>
    <row r="2" spans="2:24" x14ac:dyDescent="0.2">
      <c r="B2" s="1" t="e" vm="1">
        <v>#VALUE!</v>
      </c>
      <c r="C2" s="1"/>
      <c r="D2" s="1"/>
      <c r="E2" s="1"/>
      <c r="F2" s="1"/>
      <c r="G2" s="1"/>
      <c r="H2" s="1"/>
      <c r="I2" s="1"/>
      <c r="J2" s="1"/>
      <c r="K2" s="1"/>
      <c r="L2" s="1"/>
      <c r="N2" s="1"/>
      <c r="O2" s="1"/>
      <c r="P2" s="1"/>
      <c r="Q2" s="1"/>
      <c r="R2" s="1"/>
      <c r="S2" s="1"/>
      <c r="T2" s="1"/>
      <c r="U2" s="1"/>
      <c r="V2" s="1"/>
      <c r="W2" s="1"/>
      <c r="X2" s="1"/>
    </row>
    <row r="3" spans="2:24" x14ac:dyDescent="0.2">
      <c r="B3" s="1" t="s">
        <v>0</v>
      </c>
      <c r="C3" s="2" cm="1">
        <f t="array" aca="1" ref="C3" ca="1">_FV(B2,"Price")</f>
        <v>372.45</v>
      </c>
      <c r="D3" s="1"/>
      <c r="E3" s="1"/>
      <c r="F3" s="20"/>
      <c r="G3" s="1"/>
      <c r="H3" s="1"/>
      <c r="I3" s="1"/>
      <c r="J3" s="1"/>
      <c r="K3" s="1"/>
      <c r="L3" s="1"/>
      <c r="N3" s="1"/>
      <c r="O3" s="1"/>
      <c r="P3" s="1"/>
      <c r="Q3" s="1"/>
      <c r="R3" s="1"/>
      <c r="S3" s="1"/>
      <c r="T3" s="1"/>
      <c r="U3" s="1"/>
      <c r="V3" s="1"/>
      <c r="W3" s="1"/>
      <c r="X3" s="1"/>
    </row>
    <row r="4" spans="2:24" x14ac:dyDescent="0.2">
      <c r="B4" s="1" t="s">
        <v>1</v>
      </c>
      <c r="C4" s="3">
        <v>4687</v>
      </c>
      <c r="D4" s="1"/>
      <c r="E4" s="1"/>
      <c r="G4" s="1"/>
      <c r="H4" s="1"/>
      <c r="I4" s="1"/>
      <c r="J4" s="1"/>
      <c r="K4" s="1"/>
      <c r="L4" s="1"/>
      <c r="N4" s="1"/>
      <c r="O4" s="1"/>
      <c r="P4" s="1"/>
      <c r="Q4" s="1"/>
      <c r="R4" s="1"/>
      <c r="S4" s="1"/>
      <c r="T4" s="1"/>
      <c r="U4" s="1"/>
      <c r="V4" s="1"/>
      <c r="W4" s="1"/>
      <c r="X4" s="1"/>
    </row>
    <row r="5" spans="2:24" x14ac:dyDescent="0.2">
      <c r="B5" s="1" t="s">
        <v>2</v>
      </c>
      <c r="C5" s="3">
        <f ca="1">C3*C4</f>
        <v>1745673.15</v>
      </c>
      <c r="D5" s="1"/>
      <c r="E5" s="1"/>
      <c r="F5" s="1"/>
      <c r="G5" s="1"/>
      <c r="H5" s="1"/>
      <c r="I5" s="1"/>
      <c r="J5" s="1"/>
      <c r="K5" s="1"/>
      <c r="L5" s="1"/>
      <c r="N5" s="1"/>
      <c r="O5" s="1"/>
      <c r="P5" s="1"/>
      <c r="Q5" s="1"/>
      <c r="R5" s="1"/>
      <c r="S5" s="1"/>
      <c r="T5" s="1"/>
      <c r="U5" s="1"/>
      <c r="V5" s="1"/>
      <c r="W5" s="1"/>
      <c r="X5" s="1"/>
    </row>
    <row r="6" spans="2:24" x14ac:dyDescent="0.2">
      <c r="B6" s="1"/>
      <c r="C6" s="1"/>
      <c r="D6" s="1"/>
      <c r="E6" s="1"/>
      <c r="F6" s="1"/>
      <c r="G6" s="1"/>
      <c r="H6" s="1"/>
      <c r="I6" s="1"/>
      <c r="J6" s="1"/>
      <c r="K6" s="1"/>
      <c r="L6" s="1"/>
      <c r="N6" s="1"/>
      <c r="O6" s="1"/>
      <c r="P6" s="1"/>
      <c r="Q6" s="1"/>
      <c r="R6" s="1"/>
      <c r="S6" s="1"/>
      <c r="T6" s="1"/>
      <c r="U6" s="1"/>
      <c r="V6" s="1"/>
      <c r="W6" s="1"/>
      <c r="X6" s="1"/>
    </row>
    <row r="7" spans="2:24" x14ac:dyDescent="0.2">
      <c r="B7" s="37" t="s">
        <v>42</v>
      </c>
      <c r="C7" s="12" t="s">
        <v>43</v>
      </c>
      <c r="D7" s="12" t="s">
        <v>44</v>
      </c>
      <c r="E7" s="12" t="s">
        <v>45</v>
      </c>
      <c r="F7" s="12" t="s">
        <v>46</v>
      </c>
      <c r="G7" s="12" t="s">
        <v>47</v>
      </c>
      <c r="H7" s="12" t="s">
        <v>48</v>
      </c>
      <c r="I7" s="12" t="s">
        <v>49</v>
      </c>
      <c r="J7" s="21" t="s">
        <v>31</v>
      </c>
      <c r="K7" s="22" t="s">
        <v>32</v>
      </c>
      <c r="L7" s="28" t="s">
        <v>33</v>
      </c>
      <c r="N7" s="42" t="s">
        <v>42</v>
      </c>
      <c r="O7" s="43" t="s">
        <v>43</v>
      </c>
      <c r="P7" s="43" t="s">
        <v>44</v>
      </c>
      <c r="Q7" s="12" t="s">
        <v>45</v>
      </c>
      <c r="R7" s="12" t="s">
        <v>46</v>
      </c>
      <c r="S7" s="12" t="s">
        <v>47</v>
      </c>
      <c r="T7" s="12" t="s">
        <v>48</v>
      </c>
      <c r="U7" s="12" t="s">
        <v>49</v>
      </c>
      <c r="V7" s="21" t="s">
        <v>31</v>
      </c>
      <c r="W7" s="22" t="s">
        <v>32</v>
      </c>
      <c r="X7" s="28" t="s">
        <v>54</v>
      </c>
    </row>
    <row r="8" spans="2:24" x14ac:dyDescent="0.2">
      <c r="B8" s="6" t="s">
        <v>3</v>
      </c>
      <c r="C8" s="1"/>
      <c r="D8" s="1"/>
      <c r="E8" s="1"/>
      <c r="F8" s="1"/>
      <c r="G8" s="1"/>
      <c r="H8" s="1"/>
      <c r="I8" s="1"/>
      <c r="J8" s="15"/>
      <c r="K8" s="23"/>
      <c r="L8" s="29"/>
      <c r="N8" s="6" t="s">
        <v>55</v>
      </c>
      <c r="O8" s="4"/>
      <c r="P8" s="4"/>
      <c r="U8" s="46"/>
      <c r="V8" s="47"/>
      <c r="W8" s="48"/>
      <c r="X8" s="49"/>
    </row>
    <row r="9" spans="2:24" x14ac:dyDescent="0.2">
      <c r="B9" s="7" t="s">
        <v>4</v>
      </c>
      <c r="J9" s="16"/>
      <c r="K9" s="24"/>
      <c r="L9" s="30"/>
      <c r="N9" s="63" t="s">
        <v>56</v>
      </c>
      <c r="O9" s="44"/>
      <c r="P9" s="44"/>
      <c r="U9" s="46"/>
      <c r="V9" s="65"/>
      <c r="W9" s="50"/>
      <c r="X9" s="51"/>
    </row>
    <row r="10" spans="2:24" x14ac:dyDescent="0.2">
      <c r="B10" s="5" t="s">
        <v>5</v>
      </c>
      <c r="C10" s="9">
        <v>2023</v>
      </c>
      <c r="D10" s="9">
        <v>1775</v>
      </c>
      <c r="E10" s="9">
        <v>1809</v>
      </c>
      <c r="F10" s="9">
        <v>2371</v>
      </c>
      <c r="G10" s="9">
        <v>2601</v>
      </c>
      <c r="H10" s="9">
        <v>4898</v>
      </c>
      <c r="I10" s="9">
        <v>7908</v>
      </c>
      <c r="J10" s="34">
        <f>LN(Table1[[#This Row],[2025]]/Table1[[#This Row],[2024]])</f>
        <v>0.47904794677839446</v>
      </c>
      <c r="K10" s="34">
        <f>LN(Table1[[#This Row],[2025]]/Table1[[#This Row],[2023]])</f>
        <v>1.1119789188418558</v>
      </c>
      <c r="L10" s="31">
        <f>LN(Table1[[#This Row],[2025]]/Table1[[#This Row],[2019]])</f>
        <v>1.3632933471227622</v>
      </c>
      <c r="N10" s="64" t="s">
        <v>57</v>
      </c>
      <c r="O10" s="52">
        <v>5055</v>
      </c>
      <c r="P10" s="52">
        <v>7618</v>
      </c>
      <c r="Q10" s="45">
        <v>12163</v>
      </c>
      <c r="R10" s="45">
        <v>12416</v>
      </c>
      <c r="S10" s="45">
        <v>14189</v>
      </c>
      <c r="T10" s="45">
        <v>9348</v>
      </c>
      <c r="U10" s="45">
        <v>16178</v>
      </c>
      <c r="V10" s="36">
        <f>LN(Table2[[#This Row],[2025]]/Table2[[#This Row],[2024]])</f>
        <v>0.54848987791914938</v>
      </c>
      <c r="W10" s="67">
        <f>LN(Table2[[#This Row],[2025]]/Table2[[#This Row],[2023]])</f>
        <v>0.13118527807058455</v>
      </c>
      <c r="X10" s="68">
        <f>LN(Table2[[#This Row],[2025]]/Table2[[#This Row],[2019]])</f>
        <v>1.1632744421233261</v>
      </c>
    </row>
    <row r="11" spans="2:24" x14ac:dyDescent="0.2">
      <c r="B11" s="5" t="s">
        <v>6</v>
      </c>
      <c r="C11" s="9">
        <v>3126</v>
      </c>
      <c r="D11" s="9">
        <v>4059</v>
      </c>
      <c r="E11" s="9">
        <v>4290</v>
      </c>
      <c r="F11" s="9">
        <v>4573</v>
      </c>
      <c r="G11" s="9">
        <v>5678</v>
      </c>
      <c r="H11" s="9">
        <v>10072</v>
      </c>
      <c r="I11" s="9">
        <v>11031</v>
      </c>
      <c r="J11" s="17">
        <f>LN(Table1[[#This Row],[2025]]/Table1[[#This Row],[2024]])</f>
        <v>9.0950194245198693E-2</v>
      </c>
      <c r="K11" s="34">
        <f>LN(Table1[[#This Row],[2025]]/Table1[[#This Row],[2023]])</f>
        <v>0.66411043293646521</v>
      </c>
      <c r="L11" s="31">
        <f>LN(Table1[[#This Row],[2025]]/Table1[[#This Row],[2019]])</f>
        <v>1.2609552589879598</v>
      </c>
      <c r="N11" s="64" t="s">
        <v>69</v>
      </c>
      <c r="O11" s="45">
        <v>3259</v>
      </c>
      <c r="P11" s="45">
        <v>2297</v>
      </c>
      <c r="Q11" s="45">
        <v>2071</v>
      </c>
      <c r="R11" s="45">
        <v>2958</v>
      </c>
      <c r="S11" s="45">
        <v>3154</v>
      </c>
      <c r="T11" s="45">
        <v>4416</v>
      </c>
      <c r="U11" s="45">
        <v>7145</v>
      </c>
      <c r="V11" s="36">
        <f>LN(Table2[[#This Row],[2025]]/Table2[[#This Row],[2024]])</f>
        <v>0.48117850240703652</v>
      </c>
      <c r="W11" s="67">
        <f>LN(Table2[[#This Row],[2025]]/Table2[[#This Row],[2023]])</f>
        <v>0.81774132284098411</v>
      </c>
      <c r="X11" s="68">
        <f>LN(Table2[[#This Row],[2025]]/Table2[[#This Row],[2019]])</f>
        <v>0.7849924115264062</v>
      </c>
    </row>
    <row r="12" spans="2:24" ht="13.5" thickBot="1" x14ac:dyDescent="0.25">
      <c r="B12" s="8" t="s">
        <v>7</v>
      </c>
      <c r="C12" s="10">
        <f t="shared" ref="C12:G12" si="0">SUM(C10:C11)</f>
        <v>5149</v>
      </c>
      <c r="D12" s="10">
        <f t="shared" si="0"/>
        <v>5834</v>
      </c>
      <c r="E12" s="10">
        <f t="shared" si="0"/>
        <v>6099</v>
      </c>
      <c r="F12" s="10">
        <f t="shared" si="0"/>
        <v>6944</v>
      </c>
      <c r="G12" s="10">
        <f t="shared" si="0"/>
        <v>8279</v>
      </c>
      <c r="H12" s="10">
        <f>SUM(H10:H11)</f>
        <v>14970</v>
      </c>
      <c r="I12" s="10">
        <f>SUM(I10:I11)</f>
        <v>18939</v>
      </c>
      <c r="J12" s="35">
        <f>LN(Table1[[#This Row],[2025]]/Table1[[#This Row],[2024]])</f>
        <v>0.23517508962206132</v>
      </c>
      <c r="K12" s="35">
        <f>LN(Table1[[#This Row],[2025]]/Table1[[#This Row],[2023]])</f>
        <v>0.82750109989692933</v>
      </c>
      <c r="L12" s="35">
        <f>LN(Table1[[#This Row],[2025]]/Table1[[#This Row],[2019]])</f>
        <v>1.302420766989594</v>
      </c>
      <c r="N12" s="64" t="s">
        <v>70</v>
      </c>
      <c r="O12" s="45">
        <v>874</v>
      </c>
      <c r="P12" s="45">
        <v>1003</v>
      </c>
      <c r="Q12" s="45">
        <v>1297</v>
      </c>
      <c r="R12" s="45">
        <v>1925</v>
      </c>
      <c r="S12" s="45">
        <v>1898</v>
      </c>
      <c r="T12" s="45">
        <v>1760</v>
      </c>
      <c r="U12" s="45">
        <v>2270</v>
      </c>
      <c r="V12" s="36">
        <f>LN(Table2[[#This Row],[2025]]/Table2[[#This Row],[2024]])</f>
        <v>0.25446602244325089</v>
      </c>
      <c r="W12" s="67">
        <f>LN(Table2[[#This Row],[2025]]/Table2[[#This Row],[2023]])</f>
        <v>0.17897913130557522</v>
      </c>
      <c r="X12" s="68">
        <f>LN(Table2[[#This Row],[2025]]/Table2[[#This Row],[2019]])</f>
        <v>0.95445473481991283</v>
      </c>
    </row>
    <row r="13" spans="2:24" x14ac:dyDescent="0.2">
      <c r="B13" s="7" t="s">
        <v>8</v>
      </c>
      <c r="J13" s="16"/>
      <c r="K13" s="24"/>
      <c r="L13" s="30"/>
      <c r="N13" s="64" t="s">
        <v>71</v>
      </c>
      <c r="O13" s="45">
        <v>729</v>
      </c>
      <c r="P13" s="45">
        <v>977</v>
      </c>
      <c r="Q13" s="45">
        <v>1055</v>
      </c>
      <c r="R13" s="45">
        <v>1205</v>
      </c>
      <c r="S13" s="45">
        <v>1606</v>
      </c>
      <c r="T13" s="45">
        <v>4071</v>
      </c>
      <c r="U13" s="45">
        <v>5980</v>
      </c>
      <c r="V13" s="36">
        <f>LN(Table2[[#This Row],[2025]]/Table2[[#This Row],[2024]])</f>
        <v>0.38453189844169861</v>
      </c>
      <c r="W13" s="67">
        <f>LN(Table2[[#This Row],[2025]]/Table2[[#This Row],[2023]])</f>
        <v>1.3146739524379705</v>
      </c>
      <c r="X13" s="68">
        <f>LN(Table2[[#This Row],[2025]]/Table2[[#This Row],[2019]])</f>
        <v>2.1045021149360195</v>
      </c>
    </row>
    <row r="14" spans="2:24" ht="13.5" thickBot="1" x14ac:dyDescent="0.25">
      <c r="B14" s="5" t="s">
        <v>5</v>
      </c>
      <c r="C14" s="9">
        <v>14857</v>
      </c>
      <c r="D14" s="9">
        <v>14442</v>
      </c>
      <c r="E14" s="9">
        <v>17258</v>
      </c>
      <c r="F14" s="9">
        <v>21761</v>
      </c>
      <c r="G14" s="9">
        <v>23263</v>
      </c>
      <c r="H14" s="9">
        <v>26869</v>
      </c>
      <c r="I14" s="9">
        <v>33596</v>
      </c>
      <c r="J14" s="34">
        <f>LN(Table1[[#This Row],[2025]]/Table1[[#This Row],[2024]])</f>
        <v>0.22343380655479647</v>
      </c>
      <c r="K14" s="25">
        <f>LN(Table1[[#This Row],[2025]]/Table1[[#This Row],[2023]])</f>
        <v>0.3675428967054738</v>
      </c>
      <c r="L14" s="31">
        <f>LN(Table1[[#This Row],[2025]]/Table1[[#This Row],[2019]])</f>
        <v>0.81593587760816477</v>
      </c>
      <c r="N14" s="14" t="s">
        <v>72</v>
      </c>
      <c r="O14" s="10">
        <f t="shared" ref="O14:T14" si="1">SUM(O10:O13)</f>
        <v>9917</v>
      </c>
      <c r="P14" s="10">
        <f t="shared" si="1"/>
        <v>11895</v>
      </c>
      <c r="Q14" s="10">
        <f t="shared" si="1"/>
        <v>16586</v>
      </c>
      <c r="R14" s="10">
        <f t="shared" si="1"/>
        <v>18504</v>
      </c>
      <c r="S14" s="10">
        <f t="shared" si="1"/>
        <v>20847</v>
      </c>
      <c r="T14" s="10">
        <f t="shared" si="1"/>
        <v>19595</v>
      </c>
      <c r="U14" s="10">
        <f>SUM(U10:U13)</f>
        <v>31573</v>
      </c>
      <c r="V14" s="35">
        <f>LN(Table2[[#This Row],[2025]]/Table2[[#This Row],[2024]])</f>
        <v>0.47702789332782863</v>
      </c>
      <c r="W14" s="26">
        <f>LN(Table2[[#This Row],[2025]]/Table2[[#This Row],[2023]])</f>
        <v>0.41509227197912335</v>
      </c>
      <c r="X14" s="35">
        <f>LN(Table2[[#This Row],[2025]]/Table2[[#This Row],[2019]])</f>
        <v>1.1580518687754353</v>
      </c>
    </row>
    <row r="15" spans="2:24" x14ac:dyDescent="0.2">
      <c r="B15" s="5" t="s">
        <v>6</v>
      </c>
      <c r="C15" s="9">
        <v>374</v>
      </c>
      <c r="D15" s="9">
        <v>881</v>
      </c>
      <c r="E15" s="9">
        <v>720</v>
      </c>
      <c r="F15" s="9">
        <v>744</v>
      </c>
      <c r="G15" s="9">
        <v>657</v>
      </c>
      <c r="H15" s="9">
        <v>1553</v>
      </c>
      <c r="I15" s="9">
        <v>2300</v>
      </c>
      <c r="J15" s="34">
        <f>LN(Table1[[#This Row],[2025]]/Table1[[#This Row],[2024]])</f>
        <v>0.39272057876855393</v>
      </c>
      <c r="K15" s="34">
        <f>LN(Table1[[#This Row],[2025]]/Table1[[#This Row],[2023]])</f>
        <v>1.2529803834326305</v>
      </c>
      <c r="L15" s="34">
        <f>LN(Table1[[#This Row],[2025]]/Table1[[#This Row],[2019]])</f>
        <v>1.816408604502709</v>
      </c>
      <c r="N15" s="39" t="s">
        <v>73</v>
      </c>
      <c r="O15" s="45">
        <v>2565</v>
      </c>
      <c r="P15" s="45">
        <v>2509</v>
      </c>
      <c r="Q15" s="45">
        <v>2348</v>
      </c>
      <c r="R15" s="45">
        <v>2223</v>
      </c>
      <c r="S15" s="45">
        <v>2154</v>
      </c>
      <c r="T15" s="45">
        <v>2521</v>
      </c>
      <c r="U15" s="45">
        <v>2530</v>
      </c>
      <c r="V15" s="66">
        <f>LN(Table2[[#This Row],[2025]]/Table2[[#This Row],[2024]])</f>
        <v>3.5636545336461206E-3</v>
      </c>
      <c r="W15" s="67">
        <f>LN(Table2[[#This Row],[2025]]/Table2[[#This Row],[2023]])</f>
        <v>0.16089272400523214</v>
      </c>
      <c r="X15" s="68">
        <f>LN(Table2[[#This Row],[2025]]/Table2[[#This Row],[2019]])</f>
        <v>-1.3739175883304046E-2</v>
      </c>
    </row>
    <row r="16" spans="2:24" ht="13.5" thickBot="1" x14ac:dyDescent="0.25">
      <c r="B16" s="8" t="s">
        <v>9</v>
      </c>
      <c r="C16" s="10">
        <f t="shared" ref="C16:G16" si="2">SUM(C14:C15)</f>
        <v>15231</v>
      </c>
      <c r="D16" s="10">
        <f t="shared" si="2"/>
        <v>15323</v>
      </c>
      <c r="E16" s="10">
        <f t="shared" si="2"/>
        <v>17978</v>
      </c>
      <c r="F16" s="10">
        <f t="shared" si="2"/>
        <v>22505</v>
      </c>
      <c r="G16" s="10">
        <f t="shared" si="2"/>
        <v>23920</v>
      </c>
      <c r="H16" s="10">
        <f>SUM(H14:H15)</f>
        <v>28422</v>
      </c>
      <c r="I16" s="10">
        <f>SUM(I14:I15)</f>
        <v>35896</v>
      </c>
      <c r="J16" s="35">
        <f>LN(Table1[[#This Row],[2025]]/Table1[[#This Row],[2024]])</f>
        <v>0.2334623755040125</v>
      </c>
      <c r="K16" s="26">
        <f>LN(Table1[[#This Row],[2025]]/Table1[[#This Row],[2023]])</f>
        <v>0.40591093959125119</v>
      </c>
      <c r="L16" s="32">
        <f>LN(Table1[[#This Row],[2025]]/Table1[[#This Row],[2019]])</f>
        <v>0.85729304404031526</v>
      </c>
      <c r="N16" s="39" t="s">
        <v>74</v>
      </c>
      <c r="O16" s="45">
        <v>36714</v>
      </c>
      <c r="P16" s="45">
        <v>43447</v>
      </c>
      <c r="Q16" s="45">
        <v>43450</v>
      </c>
      <c r="R16" s="45">
        <v>43614</v>
      </c>
      <c r="S16" s="45">
        <v>43653</v>
      </c>
      <c r="T16" s="45">
        <v>97873</v>
      </c>
      <c r="U16" s="45">
        <v>97801</v>
      </c>
      <c r="V16" s="66">
        <f>LN(Table2[[#This Row],[2025]]/Table2[[#This Row],[2024]])</f>
        <v>-7.3591793748224602E-4</v>
      </c>
      <c r="W16" s="67">
        <f>LN(Table2[[#This Row],[2025]]/Table2[[#This Row],[2023]])</f>
        <v>0.80666279349112124</v>
      </c>
      <c r="X16" s="68">
        <f>LN(Table2[[#This Row],[2025]]/Table2[[#This Row],[2019]])</f>
        <v>0.97977664822891397</v>
      </c>
    </row>
    <row r="17" spans="2:24" x14ac:dyDescent="0.2">
      <c r="B17" s="7" t="s">
        <v>10</v>
      </c>
      <c r="J17" s="16"/>
      <c r="K17" s="24"/>
      <c r="L17" s="30"/>
      <c r="N17" s="39" t="s">
        <v>75</v>
      </c>
      <c r="O17" s="45">
        <v>17554</v>
      </c>
      <c r="P17" s="45">
        <v>16782</v>
      </c>
      <c r="Q17" s="45">
        <v>11374</v>
      </c>
      <c r="R17" s="45">
        <v>7111</v>
      </c>
      <c r="S17" s="45">
        <v>3867</v>
      </c>
      <c r="T17" s="45">
        <v>40583</v>
      </c>
      <c r="U17" s="45">
        <v>32273</v>
      </c>
      <c r="V17" s="36">
        <f>LN(Table2[[#This Row],[2025]]/Table2[[#This Row],[2024]])</f>
        <v>-0.2291182923629331</v>
      </c>
      <c r="W17" s="67">
        <f>LN(Table2[[#This Row],[2025]]/Table2[[#This Row],[2023]])</f>
        <v>2.1217519547204033</v>
      </c>
      <c r="X17" s="68">
        <f>LN(Table2[[#This Row],[2025]]/Table2[[#This Row],[2019]])</f>
        <v>0.60894912317563765</v>
      </c>
    </row>
    <row r="18" spans="2:24" x14ac:dyDescent="0.2">
      <c r="B18" s="5" t="s">
        <v>5</v>
      </c>
      <c r="C18" s="9">
        <v>1237</v>
      </c>
      <c r="D18" s="9">
        <v>1218</v>
      </c>
      <c r="E18" s="9">
        <v>1819</v>
      </c>
      <c r="F18" s="9">
        <v>2145</v>
      </c>
      <c r="G18" s="9">
        <v>2027</v>
      </c>
      <c r="H18" s="9">
        <v>3193</v>
      </c>
      <c r="I18" s="9">
        <v>3343</v>
      </c>
      <c r="J18" s="17">
        <f>LN(Table1[[#This Row],[2025]]/Table1[[#This Row],[2024]])</f>
        <v>4.5907693705316582E-2</v>
      </c>
      <c r="K18" s="67">
        <f>LN(Table1[[#This Row],[2025]]/Table1[[#This Row],[2023]])</f>
        <v>0.50031173996809852</v>
      </c>
      <c r="L18" s="34">
        <f>LN(Table1[[#This Row],[2025]]/Table1[[#This Row],[2019]])</f>
        <v>0.99417951402761073</v>
      </c>
      <c r="N18" s="39" t="s">
        <v>71</v>
      </c>
      <c r="O18" s="45">
        <v>743</v>
      </c>
      <c r="P18" s="45">
        <v>1300</v>
      </c>
      <c r="Q18" s="45">
        <v>1812</v>
      </c>
      <c r="R18" s="45">
        <v>1797</v>
      </c>
      <c r="S18" s="45">
        <v>2340</v>
      </c>
      <c r="T18" s="45">
        <v>5073</v>
      </c>
      <c r="U18" s="45">
        <v>6915</v>
      </c>
      <c r="V18" s="66">
        <f>LN(Table2[[#This Row],[2025]]/Table2[[#This Row],[2024]])</f>
        <v>0.30976060653216858</v>
      </c>
      <c r="W18" s="67">
        <f>LN(Table2[[#This Row],[2025]]/Table2[[#This Row],[2023]])</f>
        <v>1.0835420357471115</v>
      </c>
      <c r="X18" s="68">
        <f>LN(Table2[[#This Row],[2025]]/Table2[[#This Row],[2019]])</f>
        <v>2.2307521993810995</v>
      </c>
    </row>
    <row r="19" spans="2:24" ht="13.5" thickBot="1" x14ac:dyDescent="0.25">
      <c r="B19" s="5" t="s">
        <v>6</v>
      </c>
      <c r="C19" s="9">
        <v>980</v>
      </c>
      <c r="D19" s="9">
        <v>1513</v>
      </c>
      <c r="E19" s="9">
        <v>1554</v>
      </c>
      <c r="F19" s="9">
        <v>1609</v>
      </c>
      <c r="G19" s="9">
        <v>1593</v>
      </c>
      <c r="H19" s="9">
        <v>4989</v>
      </c>
      <c r="I19" s="9">
        <v>5709</v>
      </c>
      <c r="J19" s="34">
        <f>LN(Table1[[#This Row],[2025]]/Table1[[#This Row],[2024]])</f>
        <v>0.13480838810322174</v>
      </c>
      <c r="K19" s="34">
        <f>LN(Table1[[#This Row],[2025]]/Table1[[#This Row],[2023]])</f>
        <v>1.2764248460542107</v>
      </c>
      <c r="L19" s="31">
        <f>LN(Table1[[#This Row],[2025]]/Table1[[#This Row],[2019]])</f>
        <v>1.7622465842996415</v>
      </c>
      <c r="N19" s="14" t="s">
        <v>76</v>
      </c>
      <c r="O19" s="10">
        <f t="shared" ref="O19:T19" si="3">SUM(O14:O18)</f>
        <v>67493</v>
      </c>
      <c r="P19" s="10">
        <f t="shared" si="3"/>
        <v>75933</v>
      </c>
      <c r="Q19" s="10">
        <f t="shared" si="3"/>
        <v>75570</v>
      </c>
      <c r="R19" s="10">
        <f t="shared" si="3"/>
        <v>73249</v>
      </c>
      <c r="S19" s="10">
        <f t="shared" si="3"/>
        <v>72861</v>
      </c>
      <c r="T19" s="10">
        <f t="shared" si="3"/>
        <v>165645</v>
      </c>
      <c r="U19" s="10">
        <f>SUM(U14:U18)</f>
        <v>171092</v>
      </c>
      <c r="V19" s="18">
        <f>LN(Table2[[#This Row],[2025]]/Table2[[#This Row],[2024]])</f>
        <v>3.2354479354959463E-2</v>
      </c>
      <c r="W19" s="26">
        <f>LN(Table2[[#This Row],[2025]]/Table2[[#This Row],[2023]])</f>
        <v>0.85364790708396909</v>
      </c>
      <c r="X19" s="32">
        <f>LN(Table2[[#This Row],[2025]]/Table2[[#This Row],[2019]])</f>
        <v>0.93017753472498366</v>
      </c>
    </row>
    <row r="20" spans="2:24" ht="13.5" thickBot="1" x14ac:dyDescent="0.25">
      <c r="B20" s="8" t="s">
        <v>11</v>
      </c>
      <c r="C20" s="10">
        <f t="shared" ref="C20:G20" si="4">SUM(C18:C19)</f>
        <v>2217</v>
      </c>
      <c r="D20" s="10">
        <f t="shared" si="4"/>
        <v>2731</v>
      </c>
      <c r="E20" s="10">
        <f t="shared" si="4"/>
        <v>3373</v>
      </c>
      <c r="F20" s="10">
        <f t="shared" si="4"/>
        <v>3754</v>
      </c>
      <c r="G20" s="10">
        <f t="shared" si="4"/>
        <v>3620</v>
      </c>
      <c r="H20" s="10">
        <f>SUM(H18:H19)</f>
        <v>8182</v>
      </c>
      <c r="I20" s="10">
        <f>SUM(I18:I19)</f>
        <v>9052</v>
      </c>
      <c r="J20" s="35">
        <f>LN(Table1[[#This Row],[2025]]/Table1[[#This Row],[2024]])</f>
        <v>0.10104910826408406</v>
      </c>
      <c r="K20" s="26">
        <f>LN(Table1[[#This Row],[2025]]/Table1[[#This Row],[2023]])</f>
        <v>0.91651170193361131</v>
      </c>
      <c r="L20" s="32">
        <f>LN(Table1[[#This Row],[2025]]/Table1[[#This Row],[2019]])</f>
        <v>1.4068307971371166</v>
      </c>
      <c r="N20" s="39"/>
      <c r="V20" s="65"/>
      <c r="W20" s="50"/>
      <c r="X20" s="51"/>
    </row>
    <row r="21" spans="2:24" x14ac:dyDescent="0.2">
      <c r="B21" s="5"/>
      <c r="J21" s="16"/>
      <c r="K21" s="24"/>
      <c r="L21" s="30"/>
      <c r="N21" s="6" t="s">
        <v>77</v>
      </c>
      <c r="V21" s="65"/>
      <c r="W21" s="50"/>
      <c r="X21" s="51"/>
    </row>
    <row r="22" spans="2:24" x14ac:dyDescent="0.2">
      <c r="B22" s="39" t="s">
        <v>13</v>
      </c>
      <c r="C22" s="45">
        <f t="shared" ref="C22:G22" si="5">C10+C14+C18</f>
        <v>18117</v>
      </c>
      <c r="D22" s="45">
        <f t="shared" si="5"/>
        <v>17435</v>
      </c>
      <c r="E22" s="45">
        <f t="shared" si="5"/>
        <v>20886</v>
      </c>
      <c r="F22" s="45">
        <f t="shared" si="5"/>
        <v>26277</v>
      </c>
      <c r="G22" s="45">
        <f t="shared" si="5"/>
        <v>27891</v>
      </c>
      <c r="H22" s="45">
        <f>H10+H14+H18</f>
        <v>34960</v>
      </c>
      <c r="I22" s="45">
        <f>I10+I14+I18</f>
        <v>44847</v>
      </c>
      <c r="J22" s="34">
        <f>LN(Table1[[#This Row],[2025]]/Table1[[#This Row],[2024]])</f>
        <v>0.24905214584815227</v>
      </c>
      <c r="K22" s="34">
        <f>LN(Table1[[#This Row],[2025]]/Table1[[#This Row],[2023]])</f>
        <v>0.47495264049365626</v>
      </c>
      <c r="L22" s="34">
        <f>LN(Table1[[#This Row],[2025]]/Table1[[#This Row],[2019]])</f>
        <v>0.90640597264161304</v>
      </c>
      <c r="N22" s="6" t="s">
        <v>56</v>
      </c>
      <c r="V22" s="65"/>
      <c r="W22" s="50"/>
      <c r="X22" s="51"/>
    </row>
    <row r="23" spans="2:24" x14ac:dyDescent="0.2">
      <c r="B23" s="39" t="s">
        <v>14</v>
      </c>
      <c r="C23" s="45">
        <f t="shared" ref="C23:G23" si="6">C11+C15+C19</f>
        <v>4480</v>
      </c>
      <c r="D23" s="45">
        <f t="shared" si="6"/>
        <v>6453</v>
      </c>
      <c r="E23" s="45">
        <f t="shared" si="6"/>
        <v>6564</v>
      </c>
      <c r="F23" s="45">
        <f t="shared" si="6"/>
        <v>6926</v>
      </c>
      <c r="G23" s="45">
        <f t="shared" si="6"/>
        <v>7928</v>
      </c>
      <c r="H23" s="45">
        <f>H11+H15+H19</f>
        <v>16614</v>
      </c>
      <c r="I23" s="45">
        <f>I11+I15+I19</f>
        <v>19040</v>
      </c>
      <c r="J23" s="34">
        <f>LN(Table1[[#This Row],[2025]]/Table1[[#This Row],[2024]])</f>
        <v>0.13629631594633945</v>
      </c>
      <c r="K23" s="34">
        <f>LN(Table1[[#This Row],[2025]]/Table1[[#This Row],[2023]])</f>
        <v>0.87614123233553243</v>
      </c>
      <c r="L23" s="34">
        <f>LN(Table1[[#This Row],[2025]]/Table1[[#This Row],[2019]])</f>
        <v>1.4469189829363254</v>
      </c>
      <c r="N23" s="64" t="s">
        <v>78</v>
      </c>
      <c r="O23" s="45">
        <v>855</v>
      </c>
      <c r="P23" s="45">
        <v>836</v>
      </c>
      <c r="Q23" s="45">
        <v>1086</v>
      </c>
      <c r="R23" s="45">
        <v>998</v>
      </c>
      <c r="S23" s="45">
        <v>1210</v>
      </c>
      <c r="T23" s="45">
        <v>1662</v>
      </c>
      <c r="U23" s="45">
        <v>1560</v>
      </c>
      <c r="V23" s="66">
        <f>LN(Table2[[#This Row],[2025]]/Table2[[#This Row],[2024]])</f>
        <v>-6.333587517181076E-2</v>
      </c>
      <c r="W23" s="67">
        <f>LN(Table2[[#This Row],[2025]]/Table2[[#This Row],[2023]])</f>
        <v>0.25406546165279592</v>
      </c>
      <c r="X23" s="68">
        <f>LN(Table2[[#This Row],[2025]]/Table2[[#This Row],[2019]])</f>
        <v>0.60133963130682244</v>
      </c>
    </row>
    <row r="24" spans="2:24" ht="13.5" thickBot="1" x14ac:dyDescent="0.25">
      <c r="B24" s="8" t="s">
        <v>12</v>
      </c>
      <c r="C24" s="10">
        <f t="shared" ref="C24:G24" si="7">SUM(C22:C23)</f>
        <v>22597</v>
      </c>
      <c r="D24" s="10">
        <f t="shared" si="7"/>
        <v>23888</v>
      </c>
      <c r="E24" s="10">
        <f t="shared" si="7"/>
        <v>27450</v>
      </c>
      <c r="F24" s="10">
        <f t="shared" si="7"/>
        <v>33203</v>
      </c>
      <c r="G24" s="10">
        <f t="shared" si="7"/>
        <v>35819</v>
      </c>
      <c r="H24" s="10">
        <f>SUM(H22:H23)</f>
        <v>51574</v>
      </c>
      <c r="I24" s="10">
        <f>SUM(I22:I23)</f>
        <v>63887</v>
      </c>
      <c r="J24" s="35">
        <f>LN(Table1[[#This Row],[2025]]/Table1[[#This Row],[2024]])</f>
        <v>0.21409822827631061</v>
      </c>
      <c r="K24" s="35">
        <f>LN(Table1[[#This Row],[2025]]/Table1[[#This Row],[2023]])</f>
        <v>0.57863741892841203</v>
      </c>
      <c r="L24" s="35">
        <f>LN(Table1[[#This Row],[2025]]/Table1[[#This Row],[2019]])</f>
        <v>1.0392987437024517</v>
      </c>
      <c r="N24" s="64" t="s">
        <v>79</v>
      </c>
      <c r="O24" s="45">
        <v>641</v>
      </c>
      <c r="P24" s="45">
        <v>877</v>
      </c>
      <c r="Q24" s="45">
        <v>1066</v>
      </c>
      <c r="R24" s="45">
        <v>1202</v>
      </c>
      <c r="S24" s="45">
        <v>935</v>
      </c>
      <c r="T24" s="45">
        <v>1971</v>
      </c>
      <c r="U24" s="45">
        <v>2129</v>
      </c>
      <c r="V24" s="66">
        <f>LN(Table2[[#This Row],[2025]]/Table2[[#This Row],[2024]])</f>
        <v>7.7111357740759362E-2</v>
      </c>
      <c r="W24" s="67">
        <f>LN(Table2[[#This Row],[2025]]/Table2[[#This Row],[2023]])</f>
        <v>0.82286113560479246</v>
      </c>
      <c r="X24" s="68">
        <f>LN(Table2[[#This Row],[2025]]/Table2[[#This Row],[2019]])</f>
        <v>1.2003782079728094</v>
      </c>
    </row>
    <row r="25" spans="2:24" x14ac:dyDescent="0.2">
      <c r="B25" s="5"/>
      <c r="J25" s="16"/>
      <c r="K25" s="24"/>
      <c r="L25" s="30"/>
      <c r="N25" s="64" t="s">
        <v>80</v>
      </c>
      <c r="O25" s="45">
        <v>2787</v>
      </c>
      <c r="P25" s="45">
        <v>827</v>
      </c>
      <c r="Q25" s="45">
        <v>290</v>
      </c>
      <c r="R25" s="45">
        <v>440</v>
      </c>
      <c r="S25" s="45">
        <v>1608</v>
      </c>
      <c r="T25" s="45">
        <v>1271</v>
      </c>
      <c r="U25" s="45">
        <v>3152</v>
      </c>
      <c r="V25" s="36">
        <f>LN(Table2[[#This Row],[2025]]/Table2[[#This Row],[2024]])</f>
        <v>0.90823317978831575</v>
      </c>
      <c r="W25" s="67">
        <f>LN(Table2[[#This Row],[2025]]/Table2[[#This Row],[2023]])</f>
        <v>0.67304600123885805</v>
      </c>
      <c r="X25" s="68">
        <f>LN(Table2[[#This Row],[2025]]/Table2[[#This Row],[2019]])</f>
        <v>0.12307142349582145</v>
      </c>
    </row>
    <row r="26" spans="2:24" x14ac:dyDescent="0.2">
      <c r="B26" s="6" t="s">
        <v>15</v>
      </c>
      <c r="J26" s="16"/>
      <c r="K26" s="24"/>
      <c r="L26" s="30"/>
      <c r="N26" s="64" t="s">
        <v>71</v>
      </c>
      <c r="O26" s="45">
        <v>2616</v>
      </c>
      <c r="P26" s="45">
        <v>3831</v>
      </c>
      <c r="Q26" s="45">
        <v>3839</v>
      </c>
      <c r="R26" s="45">
        <v>4412</v>
      </c>
      <c r="S26" s="45">
        <v>3652</v>
      </c>
      <c r="T26" s="45">
        <v>11793</v>
      </c>
      <c r="U26" s="45">
        <v>11673</v>
      </c>
      <c r="V26" s="66">
        <f>LN(Table2[[#This Row],[2025]]/Table2[[#This Row],[2024]])</f>
        <v>-1.0227652437306705E-2</v>
      </c>
      <c r="W26" s="67">
        <f>LN(Table2[[#This Row],[2025]]/Table2[[#This Row],[2023]])</f>
        <v>1.162003519937804</v>
      </c>
      <c r="X26" s="68">
        <f>LN(Table2[[#This Row],[2025]]/Table2[[#This Row],[2019]])</f>
        <v>1.4956320490755739</v>
      </c>
    </row>
    <row r="27" spans="2:24" ht="13.5" thickBot="1" x14ac:dyDescent="0.25">
      <c r="B27" s="5" t="s">
        <v>16</v>
      </c>
      <c r="C27" s="9">
        <v>6208</v>
      </c>
      <c r="D27" s="9">
        <v>5892</v>
      </c>
      <c r="E27" s="9">
        <v>6555</v>
      </c>
      <c r="F27" s="9">
        <v>7629</v>
      </c>
      <c r="G27" s="9">
        <v>8636</v>
      </c>
      <c r="H27" s="9">
        <v>9797</v>
      </c>
      <c r="I27" s="9">
        <v>12115</v>
      </c>
      <c r="J27" s="34">
        <f>LN(Table1[[#This Row],[2025]]/Table1[[#This Row],[2024]])</f>
        <v>0.21236813790598391</v>
      </c>
      <c r="K27" s="25">
        <f>LN(Table1[[#This Row],[2025]]/Table1[[#This Row],[2023]])</f>
        <v>0.3385048416159282</v>
      </c>
      <c r="L27" s="31">
        <f>LN(Table1[[#This Row],[2025]]/Table1[[#This Row],[2019]])</f>
        <v>0.66860557138757137</v>
      </c>
      <c r="N27" s="14" t="s">
        <v>72</v>
      </c>
      <c r="O27" s="10">
        <f t="shared" ref="O27:T27" si="8">SUM(O23:O26)</f>
        <v>6899</v>
      </c>
      <c r="P27" s="10">
        <f t="shared" si="8"/>
        <v>6371</v>
      </c>
      <c r="Q27" s="10">
        <f t="shared" si="8"/>
        <v>6281</v>
      </c>
      <c r="R27" s="10">
        <f t="shared" si="8"/>
        <v>7052</v>
      </c>
      <c r="S27" s="10">
        <f t="shared" si="8"/>
        <v>7405</v>
      </c>
      <c r="T27" s="10">
        <f t="shared" si="8"/>
        <v>16697</v>
      </c>
      <c r="U27" s="10">
        <f>SUM(U23:U26)</f>
        <v>18514</v>
      </c>
      <c r="V27" s="35">
        <f>LN(Table2[[#This Row],[2025]]/Table2[[#This Row],[2024]])</f>
        <v>0.10329814007819944</v>
      </c>
      <c r="W27" s="26">
        <f>LN(Table2[[#This Row],[2025]]/Table2[[#This Row],[2023]])</f>
        <v>0.91637175492525735</v>
      </c>
      <c r="X27" s="35">
        <f>LN(Table2[[#This Row],[2025]]/Table2[[#This Row],[2019]])</f>
        <v>0.98715072908104795</v>
      </c>
    </row>
    <row r="28" spans="2:24" x14ac:dyDescent="0.2">
      <c r="B28" s="5" t="s">
        <v>17</v>
      </c>
      <c r="C28" s="9">
        <v>515</v>
      </c>
      <c r="D28" s="9">
        <v>626</v>
      </c>
      <c r="E28" s="9">
        <v>607</v>
      </c>
      <c r="F28" s="9">
        <v>627</v>
      </c>
      <c r="G28" s="9">
        <v>636</v>
      </c>
      <c r="H28" s="9">
        <v>2991</v>
      </c>
      <c r="I28" s="9">
        <v>2371</v>
      </c>
      <c r="J28" s="34">
        <f>LN(Table1[[#This Row],[2025]]/Table1[[#This Row],[2024]])</f>
        <v>-0.23229597256454249</v>
      </c>
      <c r="K28" s="25">
        <f>LN(Table1[[#This Row],[2025]]/Table1[[#This Row],[2023]])</f>
        <v>1.3158685227252833</v>
      </c>
      <c r="L28" s="31">
        <f>LN(Table1[[#This Row],[2025]]/Table1[[#This Row],[2019]])</f>
        <v>1.5269001854016693</v>
      </c>
      <c r="N28" s="39" t="s">
        <v>81</v>
      </c>
      <c r="O28" s="45">
        <v>30011</v>
      </c>
      <c r="P28" s="45">
        <v>40235</v>
      </c>
      <c r="Q28" s="45">
        <v>39440</v>
      </c>
      <c r="R28" s="45">
        <v>39075</v>
      </c>
      <c r="S28" s="45">
        <v>37621</v>
      </c>
      <c r="T28" s="45">
        <v>66295</v>
      </c>
      <c r="U28" s="45">
        <v>61984</v>
      </c>
      <c r="V28" s="66">
        <f>LN(Table2[[#This Row],[2025]]/Table2[[#This Row],[2024]])</f>
        <v>-6.7238192342096686E-2</v>
      </c>
      <c r="W28" s="67">
        <f>LN(Table2[[#This Row],[2025]]/Table2[[#This Row],[2023]])</f>
        <v>0.49931388209945671</v>
      </c>
      <c r="X28" s="68">
        <f>LN(Table2[[#This Row],[2025]]/Table2[[#This Row],[2019]])</f>
        <v>0.72531230610155795</v>
      </c>
    </row>
    <row r="29" spans="2:24" x14ac:dyDescent="0.2">
      <c r="B29" s="5" t="s">
        <v>18</v>
      </c>
      <c r="C29" s="9">
        <v>3314</v>
      </c>
      <c r="D29" s="9">
        <v>3819</v>
      </c>
      <c r="E29" s="9">
        <v>3427</v>
      </c>
      <c r="F29" s="9">
        <v>2847</v>
      </c>
      <c r="G29" s="9">
        <v>1853</v>
      </c>
      <c r="H29" s="9">
        <v>6023</v>
      </c>
      <c r="I29" s="9">
        <v>6031</v>
      </c>
      <c r="J29" s="17">
        <f>LN(Table1[[#This Row],[2025]]/Table1[[#This Row],[2024]])</f>
        <v>1.3273604072657076E-3</v>
      </c>
      <c r="K29" s="25">
        <f>LN(Table1[[#This Row],[2025]]/Table1[[#This Row],[2023]])</f>
        <v>1.1801068871656271</v>
      </c>
      <c r="L29" s="31">
        <f>LN(Table1[[#This Row],[2025]]/Table1[[#This Row],[2019]])</f>
        <v>0.59875691546447862</v>
      </c>
      <c r="N29" s="39" t="s">
        <v>71</v>
      </c>
      <c r="O29" s="45">
        <v>5613</v>
      </c>
      <c r="P29" s="45">
        <v>5426</v>
      </c>
      <c r="Q29" s="45">
        <v>4860</v>
      </c>
      <c r="R29" s="45">
        <v>4413</v>
      </c>
      <c r="S29" s="45">
        <v>3847</v>
      </c>
      <c r="T29" s="45">
        <v>14975</v>
      </c>
      <c r="U29" s="45">
        <v>9302</v>
      </c>
      <c r="V29" s="66">
        <f>LN(Table2[[#This Row],[2025]]/Table2[[#This Row],[2024]])</f>
        <v>-0.47615271319960778</v>
      </c>
      <c r="W29" s="67">
        <f>LN(Table2[[#This Row],[2025]]/Table2[[#This Row],[2023]])</f>
        <v>0.88293580703174712</v>
      </c>
      <c r="X29" s="68">
        <f>LN(Table2[[#This Row],[2025]]/Table2[[#This Row],[2019]])</f>
        <v>0.50514409484184308</v>
      </c>
    </row>
    <row r="30" spans="2:24" ht="13.5" thickBot="1" x14ac:dyDescent="0.25">
      <c r="B30" s="5" t="s">
        <v>19</v>
      </c>
      <c r="C30" s="9">
        <v>77</v>
      </c>
      <c r="D30" s="9">
        <v>35</v>
      </c>
      <c r="E30" s="9">
        <v>17</v>
      </c>
      <c r="F30" s="9">
        <v>5</v>
      </c>
      <c r="G30" s="9">
        <v>4</v>
      </c>
      <c r="H30" s="9">
        <v>254</v>
      </c>
      <c r="I30" s="9">
        <v>76</v>
      </c>
      <c r="J30" s="17">
        <f>LN(Table1[[#This Row],[2025]]/Table1[[#This Row],[2024]])</f>
        <v>-1.2066009267322053</v>
      </c>
      <c r="K30" s="25">
        <f>LN(Table1[[#This Row],[2025]]/Table1[[#This Row],[2023]])</f>
        <v>2.9444389791664403</v>
      </c>
      <c r="L30" s="31">
        <f>LN(Table1[[#This Row],[2025]]/Table1[[#This Row],[2019]])</f>
        <v>-1.3072081567352775E-2</v>
      </c>
      <c r="N30" s="14" t="s">
        <v>82</v>
      </c>
      <c r="O30" s="10">
        <f t="shared" ref="O30:T30" si="9">SUM(O27:O29)</f>
        <v>42523</v>
      </c>
      <c r="P30" s="10">
        <f t="shared" si="9"/>
        <v>52032</v>
      </c>
      <c r="Q30" s="10">
        <f t="shared" si="9"/>
        <v>50581</v>
      </c>
      <c r="R30" s="10">
        <f t="shared" si="9"/>
        <v>50540</v>
      </c>
      <c r="S30" s="10">
        <f t="shared" si="9"/>
        <v>48873</v>
      </c>
      <c r="T30" s="10">
        <f t="shared" si="9"/>
        <v>97967</v>
      </c>
      <c r="U30" s="10">
        <f>SUM(U27:U29)</f>
        <v>89800</v>
      </c>
      <c r="V30" s="35">
        <f>LN(Table2[[#This Row],[2025]]/Table2[[#This Row],[2024]])</f>
        <v>-8.7045711960682726E-2</v>
      </c>
      <c r="W30" s="26">
        <f>LN(Table2[[#This Row],[2025]]/Table2[[#This Row],[2023]])</f>
        <v>0.60835987855601192</v>
      </c>
      <c r="X30" s="32">
        <f>LN(Table2[[#This Row],[2025]]/Table2[[#This Row],[2019]])</f>
        <v>0.74753986929037042</v>
      </c>
    </row>
    <row r="31" spans="2:24" ht="13.5" thickBot="1" x14ac:dyDescent="0.25">
      <c r="B31" s="8" t="s">
        <v>20</v>
      </c>
      <c r="C31" s="10">
        <f t="shared" ref="C31:G31" si="10">SUM(C27:C30)</f>
        <v>10114</v>
      </c>
      <c r="D31" s="10">
        <f t="shared" si="10"/>
        <v>10372</v>
      </c>
      <c r="E31" s="10">
        <f t="shared" si="10"/>
        <v>10606</v>
      </c>
      <c r="F31" s="10">
        <f t="shared" si="10"/>
        <v>11108</v>
      </c>
      <c r="G31" s="10">
        <f t="shared" si="10"/>
        <v>11129</v>
      </c>
      <c r="H31" s="10">
        <f>SUM(H27:H30)</f>
        <v>19065</v>
      </c>
      <c r="I31" s="10">
        <f>SUM(I27:I30)</f>
        <v>20593</v>
      </c>
      <c r="J31" s="18">
        <f>LN(Table1[[#This Row],[2025]]/Table1[[#This Row],[2024]])</f>
        <v>7.7097018913683882E-2</v>
      </c>
      <c r="K31" s="26">
        <f>LN(Table1[[#This Row],[2025]]/Table1[[#This Row],[2023]])</f>
        <v>0.61539689823192301</v>
      </c>
      <c r="L31" s="32">
        <f>LN(Table1[[#This Row],[2025]]/Table1[[#This Row],[2019]])</f>
        <v>0.71103060956541964</v>
      </c>
      <c r="N31" s="39"/>
      <c r="V31" s="65"/>
      <c r="W31" s="50"/>
      <c r="X31" s="51"/>
    </row>
    <row r="32" spans="2:24" x14ac:dyDescent="0.2">
      <c r="B32" s="5"/>
      <c r="J32" s="16"/>
      <c r="K32" s="24"/>
      <c r="L32" s="30"/>
      <c r="N32" s="6" t="s">
        <v>83</v>
      </c>
      <c r="O32" s="11">
        <f t="shared" ref="O32:T32" si="11">O19-O30</f>
        <v>24970</v>
      </c>
      <c r="P32" s="11">
        <f t="shared" si="11"/>
        <v>23901</v>
      </c>
      <c r="Q32" s="11">
        <f t="shared" si="11"/>
        <v>24989</v>
      </c>
      <c r="R32" s="11">
        <f t="shared" si="11"/>
        <v>22709</v>
      </c>
      <c r="S32" s="11">
        <f t="shared" si="11"/>
        <v>23988</v>
      </c>
      <c r="T32" s="11">
        <f t="shared" si="11"/>
        <v>67678</v>
      </c>
      <c r="U32" s="11">
        <f>U19-U30</f>
        <v>81292</v>
      </c>
      <c r="V32" s="36">
        <f>LN(Table2[[#This Row],[2025]]/Table2[[#This Row],[2024]])</f>
        <v>0.1832864466941502</v>
      </c>
      <c r="W32" s="27">
        <f>LN(Table2[[#This Row],[2025]]/Table2[[#This Row],[2023]])</f>
        <v>1.2204939054217974</v>
      </c>
      <c r="X32" s="33">
        <f>LN(Table2[[#This Row],[2025]]/Table2[[#This Row],[2019]])</f>
        <v>1.1803725064363788</v>
      </c>
    </row>
    <row r="33" spans="2:24" ht="13.5" thickBot="1" x14ac:dyDescent="0.25">
      <c r="B33" s="8" t="s">
        <v>21</v>
      </c>
      <c r="C33" s="10">
        <f t="shared" ref="C33:G33" si="12">C24-C31</f>
        <v>12483</v>
      </c>
      <c r="D33" s="10">
        <f t="shared" si="12"/>
        <v>13516</v>
      </c>
      <c r="E33" s="10">
        <f t="shared" si="12"/>
        <v>16844</v>
      </c>
      <c r="F33" s="10">
        <f t="shared" si="12"/>
        <v>22095</v>
      </c>
      <c r="G33" s="10">
        <f t="shared" si="12"/>
        <v>24690</v>
      </c>
      <c r="H33" s="10">
        <f>H24-H31</f>
        <v>32509</v>
      </c>
      <c r="I33" s="10">
        <f>I24-I31</f>
        <v>43294</v>
      </c>
      <c r="J33" s="35">
        <f>LN(Table1[[#This Row],[2025]]/Table1[[#This Row],[2024]])</f>
        <v>0.28649708320116679</v>
      </c>
      <c r="K33" s="35">
        <f>LN(Table1[[#This Row],[2025]]/Table1[[#This Row],[2023]])</f>
        <v>0.5616157539205755</v>
      </c>
      <c r="L33" s="35">
        <f>LN(Table1[[#This Row],[2025]]/Table1[[#This Row],[2019]])</f>
        <v>1.2436463386087497</v>
      </c>
      <c r="N33" s="39" t="s">
        <v>57</v>
      </c>
      <c r="O33" s="45">
        <f>O10</f>
        <v>5055</v>
      </c>
      <c r="P33" s="45">
        <f t="shared" ref="P33:U33" si="13">P10</f>
        <v>7618</v>
      </c>
      <c r="Q33" s="45">
        <f t="shared" si="13"/>
        <v>12163</v>
      </c>
      <c r="R33" s="45">
        <f t="shared" si="13"/>
        <v>12416</v>
      </c>
      <c r="S33" s="45">
        <f t="shared" si="13"/>
        <v>14189</v>
      </c>
      <c r="T33" s="45">
        <f t="shared" si="13"/>
        <v>9348</v>
      </c>
      <c r="U33" s="45">
        <f t="shared" si="13"/>
        <v>16178</v>
      </c>
      <c r="V33" s="36">
        <f>LN(Table2[[#This Row],[2025]]/Table2[[#This Row],[2024]])</f>
        <v>0.54848987791914938</v>
      </c>
      <c r="W33" s="67">
        <f>LN(Table2[[#This Row],[2025]]/Table2[[#This Row],[2023]])</f>
        <v>0.13118527807058455</v>
      </c>
      <c r="X33" s="68">
        <f>LN(Table2[[#This Row],[2025]]/Table2[[#This Row],[2019]])</f>
        <v>1.1632744421233261</v>
      </c>
    </row>
    <row r="34" spans="2:24" x14ac:dyDescent="0.2">
      <c r="B34" s="5"/>
      <c r="J34" s="16"/>
      <c r="K34" s="24"/>
      <c r="L34" s="30"/>
      <c r="N34" s="39" t="s">
        <v>85</v>
      </c>
      <c r="O34" s="45">
        <f>O25+O28</f>
        <v>32798</v>
      </c>
      <c r="P34" s="45">
        <f t="shared" ref="P34:U34" si="14">P25+P28</f>
        <v>41062</v>
      </c>
      <c r="Q34" s="45">
        <f t="shared" si="14"/>
        <v>39730</v>
      </c>
      <c r="R34" s="45">
        <f t="shared" si="14"/>
        <v>39515</v>
      </c>
      <c r="S34" s="45">
        <f t="shared" si="14"/>
        <v>39229</v>
      </c>
      <c r="T34" s="45">
        <f t="shared" si="14"/>
        <v>67566</v>
      </c>
      <c r="U34" s="45">
        <f t="shared" si="14"/>
        <v>65136</v>
      </c>
      <c r="V34" s="66">
        <f>LN(Table2[[#This Row],[2025]]/Table2[[#This Row],[2024]])</f>
        <v>-3.6627506182320545E-2</v>
      </c>
      <c r="W34" s="67">
        <f>LN(Table2[[#This Row],[2025]]/Table2[[#This Row],[2023]])</f>
        <v>0.50706112255995117</v>
      </c>
      <c r="X34" s="68">
        <f>LN(Table2[[#This Row],[2025]]/Table2[[#This Row],[2019]])</f>
        <v>0.68610985383936907</v>
      </c>
    </row>
    <row r="35" spans="2:24" x14ac:dyDescent="0.2">
      <c r="B35" s="6" t="s">
        <v>22</v>
      </c>
      <c r="J35" s="16"/>
      <c r="K35" s="24"/>
      <c r="L35" s="30"/>
      <c r="N35" s="39" t="s">
        <v>86</v>
      </c>
      <c r="O35" s="45">
        <f>C52-O33+O34</f>
        <v>136515.40000000002</v>
      </c>
      <c r="P35" s="45">
        <f t="shared" ref="P35:U35" si="15">D52-P33+P34</f>
        <v>171953</v>
      </c>
      <c r="Q35" s="45">
        <f t="shared" si="15"/>
        <v>254293.5</v>
      </c>
      <c r="R35" s="45">
        <f t="shared" si="15"/>
        <v>221636.7</v>
      </c>
      <c r="S35" s="45">
        <f t="shared" si="15"/>
        <v>376796.48000000004</v>
      </c>
      <c r="T35" s="45">
        <f t="shared" si="15"/>
        <v>883665.27999999991</v>
      </c>
      <c r="U35" s="45">
        <f t="shared" si="15"/>
        <v>1996709.55</v>
      </c>
      <c r="V35" s="36">
        <f>LN(Table2[[#This Row],[2025]]/Table2[[#This Row],[2024]])</f>
        <v>0.81517753127266335</v>
      </c>
      <c r="W35" s="34">
        <f>LN(Table2[[#This Row],[2025]]/Table2[[#This Row],[2023]])</f>
        <v>1.6675506788405146</v>
      </c>
      <c r="X35" s="34">
        <f>LN(Table2[[#This Row],[2025]]/Table2[[#This Row],[2019]])</f>
        <v>2.6828184508991058</v>
      </c>
    </row>
    <row r="36" spans="2:24" x14ac:dyDescent="0.2">
      <c r="B36" s="5" t="s">
        <v>23</v>
      </c>
      <c r="C36" s="9">
        <v>4696</v>
      </c>
      <c r="D36" s="9">
        <v>4968</v>
      </c>
      <c r="E36" s="9">
        <v>4854</v>
      </c>
      <c r="F36" s="9">
        <v>4919</v>
      </c>
      <c r="G36" s="9">
        <v>5253</v>
      </c>
      <c r="H36" s="9">
        <v>9310</v>
      </c>
      <c r="I36" s="9">
        <v>10977</v>
      </c>
      <c r="J36" s="17">
        <f>LN(Table1[[#This Row],[2025]]/Table1[[#This Row],[2024]])</f>
        <v>0.16471308341620375</v>
      </c>
      <c r="K36" s="25">
        <f>LN(Table1[[#This Row],[2025]]/Table1[[#This Row],[2023]])</f>
        <v>0.73700283273335498</v>
      </c>
      <c r="L36" s="34">
        <f>LN(Table1[[#This Row],[2025]]/Table1[[#This Row],[2019]])</f>
        <v>0.84909109217938417</v>
      </c>
      <c r="N36" s="39" t="s">
        <v>89</v>
      </c>
      <c r="O36" s="69">
        <f>O14/O27</f>
        <v>1.437454703580229</v>
      </c>
      <c r="P36" s="69">
        <f t="shared" ref="P36:U36" si="16">P14/P27</f>
        <v>1.8670538377020875</v>
      </c>
      <c r="Q36" s="69">
        <f t="shared" si="16"/>
        <v>2.6406623149180066</v>
      </c>
      <c r="R36" s="69">
        <f t="shared" si="16"/>
        <v>2.6239364719228586</v>
      </c>
      <c r="S36" s="69">
        <f t="shared" si="16"/>
        <v>2.8152599594868333</v>
      </c>
      <c r="T36" s="69">
        <f t="shared" si="16"/>
        <v>1.1735641133137689</v>
      </c>
      <c r="U36" s="69">
        <f t="shared" si="16"/>
        <v>1.7053581073782003</v>
      </c>
      <c r="V36" s="36">
        <f>LN(Table2[[#This Row],[2025]]/Table2[[#This Row],[2024]])</f>
        <v>0.37372975324962915</v>
      </c>
      <c r="W36" s="67">
        <f>LN(Table2[[#This Row],[2025]]/Table2[[#This Row],[2023]])</f>
        <v>-0.501279482946134</v>
      </c>
      <c r="X36" s="68">
        <f>LN(Table2[[#This Row],[2025]]/Table2[[#This Row],[2019]])</f>
        <v>0.17090113969438753</v>
      </c>
    </row>
    <row r="37" spans="2:24" x14ac:dyDescent="0.2">
      <c r="B37" s="5" t="s">
        <v>24</v>
      </c>
      <c r="C37" s="9">
        <v>1709</v>
      </c>
      <c r="D37" s="9">
        <v>1935</v>
      </c>
      <c r="E37" s="9">
        <v>1347</v>
      </c>
      <c r="F37" s="9">
        <v>1382</v>
      </c>
      <c r="G37" s="9">
        <v>1592</v>
      </c>
      <c r="H37" s="9">
        <v>4959</v>
      </c>
      <c r="I37" s="9">
        <v>4211</v>
      </c>
      <c r="J37" s="34">
        <f>LN(Table1[[#This Row],[2025]]/Table1[[#This Row],[2024]])</f>
        <v>-0.16350395832720613</v>
      </c>
      <c r="K37" s="25">
        <f>LN(Table1[[#This Row],[2025]]/Table1[[#This Row],[2023]])</f>
        <v>0.97270906175759952</v>
      </c>
      <c r="L37" s="31">
        <f>LN(Table1[[#This Row],[2025]]/Table1[[#This Row],[2019]])</f>
        <v>0.90179174504633686</v>
      </c>
      <c r="N37" s="39" t="s">
        <v>90</v>
      </c>
      <c r="O37" s="69">
        <f>O30/O32</f>
        <v>1.7029635562675209</v>
      </c>
      <c r="P37" s="69">
        <f t="shared" ref="P37:U37" si="17">P30/P32</f>
        <v>2.1769800426760386</v>
      </c>
      <c r="Q37" s="69">
        <f t="shared" si="17"/>
        <v>2.0241306174716875</v>
      </c>
      <c r="R37" s="69">
        <f t="shared" si="17"/>
        <v>2.2255493416707033</v>
      </c>
      <c r="S37" s="69">
        <f t="shared" si="17"/>
        <v>2.0373936968484241</v>
      </c>
      <c r="T37" s="69">
        <f t="shared" si="17"/>
        <v>1.4475457312568338</v>
      </c>
      <c r="U37" s="69">
        <f t="shared" si="17"/>
        <v>1.1046597451163707</v>
      </c>
      <c r="V37" s="36">
        <f>LN(Table2[[#This Row],[2025]]/Table2[[#This Row],[2024]])</f>
        <v>-0.27033215865483301</v>
      </c>
      <c r="W37" s="67">
        <f>LN(Table2[[#This Row],[2025]]/Table2[[#This Row],[2023]])</f>
        <v>-0.61213402686578511</v>
      </c>
      <c r="X37" s="68">
        <f>LN(Table2[[#This Row],[2025]]/Table2[[#This Row],[2019]])</f>
        <v>-0.43283263714600839</v>
      </c>
    </row>
    <row r="38" spans="2:24" x14ac:dyDescent="0.2">
      <c r="B38" s="5" t="s">
        <v>18</v>
      </c>
      <c r="C38" s="9">
        <v>1898</v>
      </c>
      <c r="D38" s="9">
        <v>2401</v>
      </c>
      <c r="E38" s="9">
        <v>1976</v>
      </c>
      <c r="F38" s="9">
        <v>1512</v>
      </c>
      <c r="G38" s="9">
        <v>1394</v>
      </c>
      <c r="H38" s="9">
        <v>3244</v>
      </c>
      <c r="I38" s="9">
        <v>2031</v>
      </c>
      <c r="J38" s="34">
        <f>LN(Table1[[#This Row],[2025]]/Table1[[#This Row],[2024]])</f>
        <v>-0.46827885365491889</v>
      </c>
      <c r="K38" s="25">
        <f>LN(Table1[[#This Row],[2025]]/Table1[[#This Row],[2023]])</f>
        <v>0.37635097025991554</v>
      </c>
      <c r="L38" s="31">
        <f>LN(Table1[[#This Row],[2025]]/Table1[[#This Row],[2019]])</f>
        <v>6.7727582410511439E-2</v>
      </c>
      <c r="N38" s="39" t="s">
        <v>91</v>
      </c>
      <c r="O38" s="45">
        <f>O14-O27+O15+O16</f>
        <v>42297</v>
      </c>
      <c r="P38" s="45">
        <f t="shared" ref="P38:T38" si="18">P14-P27+P15+P16</f>
        <v>51480</v>
      </c>
      <c r="Q38" s="45">
        <f t="shared" si="18"/>
        <v>56103</v>
      </c>
      <c r="R38" s="45">
        <f t="shared" si="18"/>
        <v>57289</v>
      </c>
      <c r="S38" s="45">
        <f t="shared" si="18"/>
        <v>59249</v>
      </c>
      <c r="T38" s="45">
        <f t="shared" si="18"/>
        <v>103292</v>
      </c>
      <c r="U38" s="45">
        <f>U14-U27+U15+U16</f>
        <v>113390</v>
      </c>
      <c r="V38" s="36">
        <f>LN(Table2[[#This Row],[2025]]/Table2[[#This Row],[2024]])</f>
        <v>9.3273275194005995E-2</v>
      </c>
      <c r="W38" s="67">
        <f>LN(Table2[[#This Row],[2025]]/Table2[[#This Row],[2023]])</f>
        <v>0.64908430174806764</v>
      </c>
      <c r="X38" s="68">
        <f>LN(Table2[[#This Row],[2025]]/Table2[[#This Row],[2019]])</f>
        <v>0.98611704243241471</v>
      </c>
    </row>
    <row r="39" spans="2:24" x14ac:dyDescent="0.2">
      <c r="B39" s="5" t="s">
        <v>25</v>
      </c>
      <c r="C39" s="9">
        <v>736</v>
      </c>
      <c r="D39" s="9">
        <v>198</v>
      </c>
      <c r="E39" s="9">
        <v>148</v>
      </c>
      <c r="F39" s="9">
        <v>57</v>
      </c>
      <c r="G39" s="9">
        <v>244</v>
      </c>
      <c r="H39" s="9">
        <v>1533</v>
      </c>
      <c r="I39" s="9">
        <v>591</v>
      </c>
      <c r="J39" s="34">
        <f>LN(Table1[[#This Row],[2025]]/Table1[[#This Row],[2024]])</f>
        <v>-0.95316586146571602</v>
      </c>
      <c r="K39" s="25">
        <f>LN(Table1[[#This Row],[2025]]/Table1[[#This Row],[2023]])</f>
        <v>0.88464779211289635</v>
      </c>
      <c r="L39" s="31">
        <f>LN(Table1[[#This Row],[2025]]/Table1[[#This Row],[2019]])</f>
        <v>-0.21941410132277805</v>
      </c>
      <c r="N39" s="39" t="s">
        <v>92</v>
      </c>
      <c r="O39" s="46">
        <f>O35/C56</f>
        <v>25.555110445526026</v>
      </c>
      <c r="P39" s="46">
        <f t="shared" ref="P39:U39" si="19">P35/D56</f>
        <v>26.804832424006236</v>
      </c>
      <c r="Q39" s="46">
        <f t="shared" si="19"/>
        <v>24.229966650786089</v>
      </c>
      <c r="R39" s="46">
        <f t="shared" si="19"/>
        <v>14.083796149202517</v>
      </c>
      <c r="S39" s="46">
        <f t="shared" si="19"/>
        <v>21.407674563945232</v>
      </c>
      <c r="T39" s="46">
        <f t="shared" si="19"/>
        <v>52.891918357574667</v>
      </c>
      <c r="U39" s="46">
        <f t="shared" si="19"/>
        <v>72.568037434126836</v>
      </c>
      <c r="V39" s="36">
        <f>LN(Table2[[#This Row],[2025]]/Table2[[#This Row],[2024]])</f>
        <v>0.31627401403658245</v>
      </c>
      <c r="W39" s="67">
        <f>LN(Table2[[#This Row],[2025]]/Table2[[#This Row],[2023]])</f>
        <v>1.2207750869406251</v>
      </c>
      <c r="X39" s="68">
        <f>LN(Table2[[#This Row],[2025]]/Table2[[#This Row],[2019]])</f>
        <v>1.0436872550751526</v>
      </c>
    </row>
    <row r="40" spans="2:24" ht="13.5" thickBot="1" x14ac:dyDescent="0.25">
      <c r="B40" s="8" t="s">
        <v>26</v>
      </c>
      <c r="C40" s="10">
        <f t="shared" ref="C40:G40" si="20">SUM(C36:C39)</f>
        <v>9039</v>
      </c>
      <c r="D40" s="10">
        <f t="shared" si="20"/>
        <v>9502</v>
      </c>
      <c r="E40" s="10">
        <f t="shared" si="20"/>
        <v>8325</v>
      </c>
      <c r="F40" s="10">
        <f t="shared" si="20"/>
        <v>7870</v>
      </c>
      <c r="G40" s="10">
        <f t="shared" si="20"/>
        <v>8483</v>
      </c>
      <c r="H40" s="10">
        <f>SUM(H36:H39)</f>
        <v>19046</v>
      </c>
      <c r="I40" s="10">
        <f>SUM(I36:I39)</f>
        <v>17810</v>
      </c>
      <c r="J40" s="18">
        <f>LN(Table1[[#This Row],[2025]]/Table1[[#This Row],[2024]])</f>
        <v>-6.7097008470284006E-2</v>
      </c>
      <c r="K40" s="26">
        <f>LN(Table1[[#This Row],[2025]]/Table1[[#This Row],[2023]])</f>
        <v>0.74169593647597254</v>
      </c>
      <c r="L40" s="35">
        <f>LN(Table1[[#This Row],[2025]]/Table1[[#This Row],[2019]])</f>
        <v>0.67821154848529641</v>
      </c>
      <c r="N40" s="39" t="s">
        <v>63</v>
      </c>
      <c r="O40" s="70">
        <f>C47/O32</f>
        <v>0.10909090909090909</v>
      </c>
      <c r="P40" s="70">
        <f t="shared" ref="P40:U40" si="21">D47/P32</f>
        <v>0.12384419061963935</v>
      </c>
      <c r="Q40" s="70">
        <f t="shared" si="21"/>
        <v>0.26955860578654606</v>
      </c>
      <c r="R40" s="70">
        <f t="shared" si="21"/>
        <v>0.50618697432735915</v>
      </c>
      <c r="S40" s="70">
        <f t="shared" si="21"/>
        <v>0.58704352176088048</v>
      </c>
      <c r="T40" s="70">
        <f t="shared" si="21"/>
        <v>8.7103637814356219E-2</v>
      </c>
      <c r="U40" s="70">
        <f t="shared" si="21"/>
        <v>0.2844806377011268</v>
      </c>
      <c r="V40" s="36">
        <f>LN(Table2[[#This Row],[2025]]/Table2[[#This Row],[2024]])</f>
        <v>1.1835665450232855</v>
      </c>
      <c r="W40" s="67">
        <f>LN(Table2[[#This Row],[2025]]/Table2[[#This Row],[2023]])</f>
        <v>-0.72443376581196883</v>
      </c>
      <c r="X40" s="68">
        <f>LN(Table2[[#This Row],[2025]]/Table2[[#This Row],[2019]])</f>
        <v>0.95848363098312539</v>
      </c>
    </row>
    <row r="41" spans="2:24" x14ac:dyDescent="0.2">
      <c r="B41" s="5"/>
      <c r="J41" s="16"/>
      <c r="K41" s="24"/>
      <c r="L41" s="30"/>
    </row>
    <row r="42" spans="2:24" x14ac:dyDescent="0.2">
      <c r="B42" s="6" t="s">
        <v>59</v>
      </c>
      <c r="C42" s="11">
        <f t="shared" ref="C42:F42" si="22">C33-C40</f>
        <v>3444</v>
      </c>
      <c r="D42" s="11">
        <f t="shared" si="22"/>
        <v>4014</v>
      </c>
      <c r="E42" s="11">
        <f t="shared" si="22"/>
        <v>8519</v>
      </c>
      <c r="F42" s="11">
        <f t="shared" si="22"/>
        <v>14225</v>
      </c>
      <c r="G42" s="11">
        <f>G33-G40</f>
        <v>16207</v>
      </c>
      <c r="H42" s="11">
        <f>H33-H40</f>
        <v>13463</v>
      </c>
      <c r="I42" s="11">
        <f>I33-I40</f>
        <v>25484</v>
      </c>
      <c r="J42" s="34">
        <f>LN(Table1[[#This Row],[2025]]/Table1[[#This Row],[2024]])</f>
        <v>0.63810562225714396</v>
      </c>
      <c r="K42" s="34">
        <f>LN(Table1[[#This Row],[2025]]/Table1[[#This Row],[2023]])</f>
        <v>0.45260755657825924</v>
      </c>
      <c r="L42" s="34">
        <f>LN(Table1[[#This Row],[2025]]/Table1[[#This Row],[2019]])</f>
        <v>2.0014172176887572</v>
      </c>
    </row>
    <row r="43" spans="2:24" x14ac:dyDescent="0.2">
      <c r="B43" s="5" t="s">
        <v>27</v>
      </c>
      <c r="C43" s="9">
        <v>-1444</v>
      </c>
      <c r="D43" s="9">
        <v>-1777</v>
      </c>
      <c r="E43" s="9">
        <v>-1885</v>
      </c>
      <c r="F43" s="9">
        <v>-1737</v>
      </c>
      <c r="G43" s="9">
        <v>-1622</v>
      </c>
      <c r="H43" s="9">
        <v>-3953</v>
      </c>
      <c r="I43" s="9">
        <v>-3210</v>
      </c>
      <c r="J43" s="17">
        <f>LN(Table1[[#This Row],[2025]]/Table1[[#This Row],[2024]])</f>
        <v>-0.20820384717262402</v>
      </c>
      <c r="K43" s="25">
        <f>LN(Table1[[#This Row],[2025]]/Table1[[#This Row],[2023]])</f>
        <v>0.68261098144870336</v>
      </c>
      <c r="L43" s="31">
        <f>LN(Table1[[#This Row],[2025]]/Table1[[#This Row],[2019]])</f>
        <v>0.79885389667129003</v>
      </c>
    </row>
    <row r="44" spans="2:24" x14ac:dyDescent="0.2">
      <c r="B44" s="5" t="s">
        <v>28</v>
      </c>
      <c r="C44" s="9">
        <v>226</v>
      </c>
      <c r="D44" s="9">
        <v>206</v>
      </c>
      <c r="E44" s="9">
        <v>131</v>
      </c>
      <c r="F44" s="9">
        <v>-54</v>
      </c>
      <c r="G44" s="9">
        <v>512</v>
      </c>
      <c r="H44" s="9">
        <f>406-273</f>
        <v>133</v>
      </c>
      <c r="I44" s="9">
        <v>455</v>
      </c>
      <c r="J44" s="17">
        <f>LN(Table1[[#This Row],[2025]]/Table1[[#This Row],[2024]])</f>
        <v>1.2299482907291965</v>
      </c>
      <c r="K44" s="25">
        <f>LN(Table1[[#This Row],[2025]]/Table1[[#This Row],[2023]])</f>
        <v>-0.11802720608855737</v>
      </c>
      <c r="L44" s="31">
        <f>LN(Table1[[#This Row],[2025]]/Table1[[#This Row],[2019]])</f>
        <v>0.69976241967866448</v>
      </c>
    </row>
    <row r="45" spans="2:24" ht="13.5" thickBot="1" x14ac:dyDescent="0.25">
      <c r="B45" s="53" t="s">
        <v>58</v>
      </c>
      <c r="C45" s="10">
        <f t="shared" ref="C45:G45" si="23">SUM(C42:C44)</f>
        <v>2226</v>
      </c>
      <c r="D45" s="10">
        <f t="shared" si="23"/>
        <v>2443</v>
      </c>
      <c r="E45" s="10">
        <f t="shared" si="23"/>
        <v>6765</v>
      </c>
      <c r="F45" s="10">
        <f t="shared" si="23"/>
        <v>12434</v>
      </c>
      <c r="G45" s="10">
        <f t="shared" si="23"/>
        <v>15097</v>
      </c>
      <c r="H45" s="10">
        <f>SUM(H42:H44)</f>
        <v>9643</v>
      </c>
      <c r="I45" s="10">
        <f>SUM(I42:I44)</f>
        <v>22729</v>
      </c>
      <c r="J45" s="35">
        <f>LN(Table1[[#This Row],[2025]]/Table1[[#This Row],[2024]])</f>
        <v>0.85740937864777489</v>
      </c>
      <c r="K45" s="26">
        <f>LN(Table1[[#This Row],[2025]]/Table1[[#This Row],[2023]])</f>
        <v>0.40914559359042324</v>
      </c>
      <c r="L45" s="32">
        <f>LN(Table1[[#This Row],[2025]]/Table1[[#This Row],[2019]])</f>
        <v>2.3234353893226691</v>
      </c>
    </row>
    <row r="46" spans="2:24" x14ac:dyDescent="0.2">
      <c r="B46" s="13" t="s">
        <v>29</v>
      </c>
      <c r="C46" s="9">
        <v>-498</v>
      </c>
      <c r="D46" s="9">
        <v>-517</v>
      </c>
      <c r="E46" s="9">
        <v>29</v>
      </c>
      <c r="F46" s="9">
        <v>939</v>
      </c>
      <c r="G46" s="9">
        <v>1015</v>
      </c>
      <c r="H46" s="9">
        <v>3748</v>
      </c>
      <c r="I46" s="9">
        <v>-397</v>
      </c>
      <c r="J46" s="17" t="e">
        <f>LN(Table1[[#This Row],[2025]]/Table1[[#This Row],[2024]])</f>
        <v>#NUM!</v>
      </c>
      <c r="K46" s="25" t="e">
        <f>LN(Table1[[#This Row],[2025]]/Table1[[#This Row],[2023]])</f>
        <v>#NUM!</v>
      </c>
      <c r="L46" s="31">
        <f>LN(Table1[[#This Row],[2025]]/Table1[[#This Row],[2019]])</f>
        <v>-0.22666379633746248</v>
      </c>
    </row>
    <row r="47" spans="2:24" ht="13.5" thickBot="1" x14ac:dyDescent="0.25">
      <c r="B47" s="14" t="s">
        <v>30</v>
      </c>
      <c r="C47" s="10">
        <f t="shared" ref="C47:G47" si="24">C45-C46</f>
        <v>2724</v>
      </c>
      <c r="D47" s="10">
        <f t="shared" si="24"/>
        <v>2960</v>
      </c>
      <c r="E47" s="10">
        <f t="shared" si="24"/>
        <v>6736</v>
      </c>
      <c r="F47" s="10">
        <f t="shared" si="24"/>
        <v>11495</v>
      </c>
      <c r="G47" s="10">
        <f t="shared" si="24"/>
        <v>14082</v>
      </c>
      <c r="H47" s="10">
        <f>H45-H46</f>
        <v>5895</v>
      </c>
      <c r="I47" s="10">
        <f>I45-I46</f>
        <v>23126</v>
      </c>
      <c r="J47" s="18">
        <f>LN(Table1[[#This Row],[2025]]/Table1[[#This Row],[2024]])</f>
        <v>1.3668529917174357</v>
      </c>
      <c r="K47" s="26">
        <f>LN(Table1[[#This Row],[2025]]/Table1[[#This Row],[2023]])</f>
        <v>0.49606013960982853</v>
      </c>
      <c r="L47" s="32">
        <f>LN(Table1[[#This Row],[2025]]/Table1[[#This Row],[2019]])</f>
        <v>2.1388561374195039</v>
      </c>
    </row>
    <row r="48" spans="2:24" x14ac:dyDescent="0.2">
      <c r="B48" s="19"/>
      <c r="J48" s="16"/>
      <c r="K48" s="24"/>
      <c r="L48" s="30"/>
    </row>
    <row r="49" spans="2:12" x14ac:dyDescent="0.2">
      <c r="B49" s="39" t="s">
        <v>1</v>
      </c>
      <c r="C49" s="9">
        <v>419</v>
      </c>
      <c r="D49" s="9">
        <v>421</v>
      </c>
      <c r="E49" s="9">
        <v>429</v>
      </c>
      <c r="F49" s="9">
        <v>423</v>
      </c>
      <c r="G49" s="9">
        <v>4272</v>
      </c>
      <c r="H49" s="9">
        <v>4778</v>
      </c>
      <c r="I49" s="45">
        <v>4853</v>
      </c>
      <c r="J49" s="17">
        <f>LN(Table1[[#This Row],[2025]]/Table1[[#This Row],[2024]])</f>
        <v>1.5575021519461265E-2</v>
      </c>
      <c r="K49" s="25">
        <f>LN(Table1[[#This Row],[2025]]/Table1[[#This Row],[2023]])</f>
        <v>0.12751496876518545</v>
      </c>
      <c r="L49" s="31">
        <f>LN(Table1[[#This Row],[2025]]/Table1[[#This Row],[2019]])</f>
        <v>2.4494814294830785</v>
      </c>
    </row>
    <row r="50" spans="2:12" x14ac:dyDescent="0.2">
      <c r="B50" s="39" t="s">
        <v>50</v>
      </c>
      <c r="C50" s="54">
        <f t="shared" ref="C50:H50" si="25">C47/C49</f>
        <v>6.5011933174224348</v>
      </c>
      <c r="D50" s="54">
        <f t="shared" si="25"/>
        <v>7.0308788598574825</v>
      </c>
      <c r="E50" s="54">
        <f t="shared" si="25"/>
        <v>15.701631701631701</v>
      </c>
      <c r="F50" s="54">
        <f t="shared" si="25"/>
        <v>27.174940898345152</v>
      </c>
      <c r="G50" s="54">
        <f t="shared" si="25"/>
        <v>3.2963483146067416</v>
      </c>
      <c r="H50" s="54">
        <f t="shared" si="25"/>
        <v>1.2337798241942235</v>
      </c>
      <c r="I50" s="54">
        <f>I47/I49</f>
        <v>4.7652998145477028</v>
      </c>
      <c r="J50" s="34">
        <f>LN(Table1[[#This Row],[2025]]/Table1[[#This Row],[2024]])</f>
        <v>1.3512779701979745</v>
      </c>
      <c r="K50" s="25">
        <f>LN(Table1[[#This Row],[2025]]/Table1[[#This Row],[2023]])</f>
        <v>0.36854517084464322</v>
      </c>
      <c r="L50" s="31">
        <f>LN(Table1[[#This Row],[2025]]/Table1[[#This Row],[2019]])</f>
        <v>-0.31062529206357437</v>
      </c>
    </row>
    <row r="51" spans="2:12" x14ac:dyDescent="0.2">
      <c r="B51" s="39" t="s">
        <v>0</v>
      </c>
      <c r="C51" s="20">
        <v>25.96</v>
      </c>
      <c r="D51" s="20">
        <v>32.9</v>
      </c>
      <c r="E51" s="20">
        <v>52.85</v>
      </c>
      <c r="F51" s="20">
        <v>45.99</v>
      </c>
      <c r="G51" s="20">
        <v>82.34</v>
      </c>
      <c r="H51" s="20">
        <v>172.76</v>
      </c>
      <c r="I51" s="54">
        <v>401.35</v>
      </c>
      <c r="J51" s="17">
        <f>LN(Table1[[#This Row],[2025]]/Table1[[#This Row],[2024]])</f>
        <v>0.84293051648508566</v>
      </c>
      <c r="K51" s="25">
        <f>LN(Table1[[#This Row],[2025]]/Table1[[#This Row],[2023]])</f>
        <v>1.5839768482358272</v>
      </c>
      <c r="L51" s="31">
        <f>LN(Table1[[#This Row],[2025]]/Table1[[#This Row],[2019]])</f>
        <v>2.7382769727416965</v>
      </c>
    </row>
    <row r="52" spans="2:12" x14ac:dyDescent="0.2">
      <c r="B52" s="39" t="s">
        <v>51</v>
      </c>
      <c r="C52" s="45">
        <f t="shared" ref="C52:E52" si="26">C51*(C49*10)</f>
        <v>108772.40000000001</v>
      </c>
      <c r="D52" s="45">
        <f t="shared" si="26"/>
        <v>138509</v>
      </c>
      <c r="E52" s="45">
        <f t="shared" si="26"/>
        <v>226726.5</v>
      </c>
      <c r="F52" s="45">
        <f>F51*(F49*10)</f>
        <v>194537.7</v>
      </c>
      <c r="G52" s="45">
        <f t="shared" ref="G52:H52" si="27">G51*G49</f>
        <v>351756.48000000004</v>
      </c>
      <c r="H52" s="45">
        <f t="shared" si="27"/>
        <v>825447.27999999991</v>
      </c>
      <c r="I52" s="45">
        <f>I51*I49</f>
        <v>1947751.55</v>
      </c>
      <c r="J52" s="34">
        <f>LN(Table1[[#This Row],[2025]]/Table1[[#This Row],[2024]])</f>
        <v>0.85850553800454699</v>
      </c>
      <c r="K52" s="25">
        <f>LN(Table1[[#This Row],[2025]]/Table1[[#This Row],[2023]])</f>
        <v>1.7114918170010127</v>
      </c>
      <c r="L52" s="31">
        <f>LN(Table1[[#This Row],[2025]]/Table1[[#This Row],[2019]])</f>
        <v>2.8851733092307295</v>
      </c>
    </row>
    <row r="53" spans="2:12" x14ac:dyDescent="0.2">
      <c r="B53" s="39" t="s">
        <v>52</v>
      </c>
      <c r="C53" s="41">
        <f t="shared" ref="C53:H53" si="28">C33/C24</f>
        <v>0.55241846262778249</v>
      </c>
      <c r="D53" s="41">
        <f t="shared" si="28"/>
        <v>0.5658070997990623</v>
      </c>
      <c r="E53" s="41">
        <f t="shared" si="28"/>
        <v>0.61362477231329693</v>
      </c>
      <c r="F53" s="41">
        <f t="shared" si="28"/>
        <v>0.66545191699545225</v>
      </c>
      <c r="G53" s="41">
        <f t="shared" si="28"/>
        <v>0.68929897540411511</v>
      </c>
      <c r="H53" s="41">
        <f t="shared" si="28"/>
        <v>0.63033699150734868</v>
      </c>
      <c r="I53" s="41">
        <f t="shared" ref="I53" si="29">I33/I24</f>
        <v>0.67766525271181932</v>
      </c>
      <c r="J53" s="17">
        <f>LN(Table1[[#This Row],[2025]]/Table1[[#This Row],[2024]])</f>
        <v>7.2398854924856149E-2</v>
      </c>
      <c r="K53" s="25">
        <f>LN(Table1[[#This Row],[2025]]/Table1[[#This Row],[2023]])</f>
        <v>-1.7021665007836407E-2</v>
      </c>
      <c r="L53" s="31">
        <f>LN(Table1[[#This Row],[2025]]/Table1[[#This Row],[2019]])</f>
        <v>0.20434759490629797</v>
      </c>
    </row>
    <row r="54" spans="2:12" x14ac:dyDescent="0.2">
      <c r="B54" s="39" t="s">
        <v>34</v>
      </c>
      <c r="C54" s="41">
        <f t="shared" ref="C54:H54" si="30">C42/C24</f>
        <v>0.15240961189538435</v>
      </c>
      <c r="D54" s="41">
        <f t="shared" si="30"/>
        <v>0.16803415941058272</v>
      </c>
      <c r="E54" s="41">
        <f t="shared" si="30"/>
        <v>0.31034608378870676</v>
      </c>
      <c r="F54" s="41">
        <f t="shared" si="30"/>
        <v>0.42842514230641809</v>
      </c>
      <c r="G54" s="41">
        <f t="shared" si="30"/>
        <v>0.45246935983695802</v>
      </c>
      <c r="H54" s="41">
        <f t="shared" si="30"/>
        <v>0.26104238569822003</v>
      </c>
      <c r="I54" s="41">
        <f>I42/I24</f>
        <v>0.39889179332258518</v>
      </c>
      <c r="J54" s="34">
        <f>LN(Table1[[#This Row],[2025]]/Table1[[#This Row],[2024]])</f>
        <v>0.42400739398083337</v>
      </c>
      <c r="K54" s="25">
        <f>LN(Table1[[#This Row],[2025]]/Table1[[#This Row],[2023]])</f>
        <v>-0.12602986235015276</v>
      </c>
      <c r="L54" s="31">
        <f>LN(Table1[[#This Row],[2025]]/Table1[[#This Row],[2019]])</f>
        <v>0.96211847398630557</v>
      </c>
    </row>
    <row r="55" spans="2:12" x14ac:dyDescent="0.2">
      <c r="B55" s="39" t="s">
        <v>53</v>
      </c>
      <c r="C55" s="41">
        <f t="shared" ref="C55:H55" si="31">C47/C24</f>
        <v>0.12054697526220294</v>
      </c>
      <c r="D55" s="41">
        <f t="shared" si="31"/>
        <v>0.12391158740790355</v>
      </c>
      <c r="E55" s="41">
        <f t="shared" si="31"/>
        <v>0.24539162112932605</v>
      </c>
      <c r="F55" s="41">
        <f t="shared" si="31"/>
        <v>0.34620365629611782</v>
      </c>
      <c r="G55" s="41">
        <f t="shared" si="31"/>
        <v>0.39314330383316115</v>
      </c>
      <c r="H55" s="41">
        <f t="shared" si="31"/>
        <v>0.11430177996664986</v>
      </c>
      <c r="I55" s="41">
        <f t="shared" ref="I55" si="32">I47/I24</f>
        <v>0.36198287601546481</v>
      </c>
      <c r="J55" s="34">
        <f>LN(Table1[[#This Row],[2025]]/Table1[[#This Row],[2024]])</f>
        <v>1.152754763441125</v>
      </c>
      <c r="K55" s="25">
        <f>LN(Table1[[#This Row],[2025]]/Table1[[#This Row],[2023]])</f>
        <v>-8.2577279318583427E-2</v>
      </c>
      <c r="L55" s="31">
        <f>LN(Table1[[#This Row],[2025]]/Table1[[#This Row],[2019]])</f>
        <v>1.0995573937170524</v>
      </c>
    </row>
    <row r="56" spans="2:12" x14ac:dyDescent="0.2">
      <c r="B56" s="39" t="s">
        <v>87</v>
      </c>
      <c r="C56" s="9">
        <f>C42+C38</f>
        <v>5342</v>
      </c>
      <c r="D56" s="9">
        <f t="shared" ref="D56:I56" si="33">D42+D38</f>
        <v>6415</v>
      </c>
      <c r="E56" s="9">
        <f t="shared" si="33"/>
        <v>10495</v>
      </c>
      <c r="F56" s="9">
        <f t="shared" si="33"/>
        <v>15737</v>
      </c>
      <c r="G56" s="9">
        <f t="shared" si="33"/>
        <v>17601</v>
      </c>
      <c r="H56" s="9">
        <f t="shared" si="33"/>
        <v>16707</v>
      </c>
      <c r="I56" s="9">
        <f t="shared" si="33"/>
        <v>27515</v>
      </c>
      <c r="J56" s="17">
        <f>LN(Table1[[#This Row],[2025]]/Table1[[#This Row],[2024]])</f>
        <v>0.4989035172360809</v>
      </c>
      <c r="K56" s="25">
        <f>LN(Table1[[#This Row],[2025]]/Table1[[#This Row],[2023]])</f>
        <v>0.44677559189988952</v>
      </c>
      <c r="L56" s="31">
        <f>LN(Table1[[#This Row],[2025]]/Table1[[#This Row],[2019]])</f>
        <v>1.6391311958239529</v>
      </c>
    </row>
    <row r="57" spans="2:12" x14ac:dyDescent="0.2">
      <c r="B57" s="39" t="s">
        <v>88</v>
      </c>
      <c r="C57" s="9">
        <f>C42*(1-(C46/C45))</f>
        <v>4214.4905660377362</v>
      </c>
      <c r="D57" s="9">
        <f t="shared" ref="D57:H57" si="34">D42*(1-(D46/D45))</f>
        <v>4863.4629553827262</v>
      </c>
      <c r="E57" s="9">
        <f t="shared" si="34"/>
        <v>8482.4810051736877</v>
      </c>
      <c r="F57" s="9">
        <f t="shared" si="34"/>
        <v>13150.745938555574</v>
      </c>
      <c r="G57" s="9">
        <f t="shared" si="34"/>
        <v>15117.37259058091</v>
      </c>
      <c r="H57" s="9">
        <f t="shared" si="34"/>
        <v>8230.2587369076009</v>
      </c>
      <c r="I57" s="9">
        <f>I42*(1-(I46/I45))</f>
        <v>25929.120682828107</v>
      </c>
      <c r="J57" s="17">
        <f>LN(Table1[[#This Row],[2025]]/Table1[[#This Row],[2024]])</f>
        <v>1.1475492353268051</v>
      </c>
      <c r="K57" s="25">
        <f>LN(Table1[[#This Row],[2025]]/Table1[[#This Row],[2023]])</f>
        <v>0.53952210259766464</v>
      </c>
      <c r="L57" s="31">
        <f>LN(Table1[[#This Row],[2025]]/Table1[[#This Row],[2019]])</f>
        <v>1.8168379657855924</v>
      </c>
    </row>
    <row r="58" spans="2:12" x14ac:dyDescent="0.2">
      <c r="B58" s="39"/>
      <c r="I58" s="38"/>
      <c r="J58" s="16"/>
      <c r="K58" s="24"/>
      <c r="L58" s="30"/>
    </row>
  </sheetData>
  <pageMargins left="0.7" right="0.7" top="0.75" bottom="0.75" header="0.3" footer="0.3"/>
  <pageSetup orientation="portrait"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4AFD0-C591-4AA4-91AC-DEE8CA21BE0E}">
  <dimension ref="B4:I12"/>
  <sheetViews>
    <sheetView workbookViewId="0">
      <selection activeCell="E16" sqref="E16"/>
    </sheetView>
  </sheetViews>
  <sheetFormatPr defaultRowHeight="15" x14ac:dyDescent="0.25"/>
  <cols>
    <col min="2" max="2" width="18.85546875" customWidth="1"/>
    <col min="3" max="4" width="12.7109375" customWidth="1"/>
  </cols>
  <sheetData>
    <row r="4" spans="2:9" ht="15.75" x14ac:dyDescent="0.25">
      <c r="B4" s="55" t="s">
        <v>60</v>
      </c>
      <c r="C4" s="56" t="s">
        <v>42</v>
      </c>
      <c r="D4" s="57" t="s">
        <v>49</v>
      </c>
      <c r="I4" s="1" t="s">
        <v>35</v>
      </c>
    </row>
    <row r="5" spans="2:9" ht="15.75" x14ac:dyDescent="0.25">
      <c r="B5" s="58" t="s">
        <v>61</v>
      </c>
      <c r="C5" s="58"/>
      <c r="D5" s="59">
        <f>((Statements!I24/Statements!C24)^(1/7))-1</f>
        <v>0.16005944454228382</v>
      </c>
      <c r="I5" s="1" t="s">
        <v>36</v>
      </c>
    </row>
    <row r="6" spans="2:9" ht="15.75" x14ac:dyDescent="0.25">
      <c r="B6" s="58" t="s">
        <v>62</v>
      </c>
      <c r="C6" s="58"/>
      <c r="D6" s="59">
        <f>Statements!I56/Statements!I24</f>
        <v>0.43068229843317107</v>
      </c>
      <c r="I6" s="1" t="s">
        <v>37</v>
      </c>
    </row>
    <row r="7" spans="2:9" ht="15.75" x14ac:dyDescent="0.25">
      <c r="B7" s="58" t="s">
        <v>63</v>
      </c>
      <c r="C7" s="58"/>
      <c r="D7" s="59">
        <f>Statements!I47/Statements!U32</f>
        <v>0.2844806377011268</v>
      </c>
      <c r="I7" s="1" t="s">
        <v>38</v>
      </c>
    </row>
    <row r="8" spans="2:9" ht="15.75" x14ac:dyDescent="0.25">
      <c r="B8" s="58" t="s">
        <v>64</v>
      </c>
      <c r="C8" s="58"/>
      <c r="D8" s="59">
        <f>Statements!I57/Statements!U38</f>
        <v>0.22867202295465303</v>
      </c>
      <c r="I8" s="1" t="s">
        <v>39</v>
      </c>
    </row>
    <row r="9" spans="2:9" ht="15.75" x14ac:dyDescent="0.25">
      <c r="B9" s="58" t="s">
        <v>65</v>
      </c>
      <c r="C9" s="58"/>
      <c r="D9" s="60">
        <f>Statements!U34/Statements!I56</f>
        <v>2.3672905687806649</v>
      </c>
      <c r="I9" s="1" t="s">
        <v>40</v>
      </c>
    </row>
    <row r="10" spans="2:9" ht="15.75" x14ac:dyDescent="0.25">
      <c r="B10" s="58" t="s">
        <v>66</v>
      </c>
      <c r="C10" s="58"/>
      <c r="D10" s="61">
        <f>_xlfn.STDEV.S(Statements!C50:I50)</f>
        <v>9.0838294814685643</v>
      </c>
      <c r="I10" s="1" t="s">
        <v>41</v>
      </c>
    </row>
    <row r="11" spans="2:9" ht="15.75" x14ac:dyDescent="0.25">
      <c r="B11" s="58" t="s">
        <v>67</v>
      </c>
      <c r="C11" s="58"/>
      <c r="D11" s="61">
        <f>Statements!U39</f>
        <v>72.568037434126836</v>
      </c>
    </row>
    <row r="12" spans="2:9" ht="15.75" x14ac:dyDescent="0.25">
      <c r="B12" s="58" t="s">
        <v>68</v>
      </c>
      <c r="C12" s="58"/>
      <c r="D12" s="62" t="s">
        <v>84</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6" ma:contentTypeDescription="Create a new document." ma:contentTypeScope="" ma:versionID="5914cc59b3ac3e0af91e183125dbf667">
  <xsd:schema xmlns:xsd="http://www.w3.org/2001/XMLSchema" xmlns:xs="http://www.w3.org/2001/XMLSchema" xmlns:p="http://schemas.microsoft.com/office/2006/metadata/properties" xmlns:ns3="36567613-e428-4167-ab55-a4f66cede826" targetNamespace="http://schemas.microsoft.com/office/2006/metadata/properties" ma:root="true" ma:fieldsID="3f536e8bcdade1d0b1324d4e87301424"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element ref="ns3:MediaServiceObjectDetectorVersions" minOccurs="0"/>
                <xsd:element ref="ns3:MediaServiceSearchProperties"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188B01B-CDCF-457E-B0E2-9E2EB9F397FF}">
  <ds:schemaRefs>
    <ds:schemaRef ds:uri="http://schemas.microsoft.com/sharepoint/v3/contenttype/forms"/>
  </ds:schemaRefs>
</ds:datastoreItem>
</file>

<file path=customXml/itemProps2.xml><?xml version="1.0" encoding="utf-8"?>
<ds:datastoreItem xmlns:ds="http://schemas.openxmlformats.org/officeDocument/2006/customXml" ds:itemID="{8C3AF894-C7F5-4307-924F-1BFC7B422190}">
  <ds:schemaRefs>
    <ds:schemaRef ds:uri="http://purl.org/dc/dcmitype/"/>
    <ds:schemaRef ds:uri="http://purl.org/dc/elements/1.1/"/>
    <ds:schemaRef ds:uri="http://schemas.microsoft.com/office/2006/documentManagement/types"/>
    <ds:schemaRef ds:uri="http://schemas.microsoft.com/office/2006/metadata/properties"/>
    <ds:schemaRef ds:uri="http://purl.org/dc/terms/"/>
    <ds:schemaRef ds:uri="http://schemas.microsoft.com/office/infopath/2007/PartnerControls"/>
    <ds:schemaRef ds:uri="http://schemas.openxmlformats.org/package/2006/metadata/core-properties"/>
    <ds:schemaRef ds:uri="36567613-e428-4167-ab55-a4f66cede826"/>
    <ds:schemaRef ds:uri="http://www.w3.org/XML/1998/namespace"/>
  </ds:schemaRefs>
</ds:datastoreItem>
</file>

<file path=customXml/itemProps3.xml><?xml version="1.0" encoding="utf-8"?>
<ds:datastoreItem xmlns:ds="http://schemas.openxmlformats.org/officeDocument/2006/customXml" ds:itemID="{4FE42803-80EF-4AC5-882B-7C01EE9170D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Statements</vt:lpstr>
      <vt:lpstr>Note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 Gonzalez Herrera</dc:creator>
  <cp:lastModifiedBy>Abraham Gonzalez Herrera</cp:lastModifiedBy>
  <dcterms:created xsi:type="dcterms:W3CDTF">2025-01-27T18:40:02Z</dcterms:created>
  <dcterms:modified xsi:type="dcterms:W3CDTF">2026-06-29T21:51:43Z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y fmtid="{D5CDD505-2E9C-101B-9397-08002B2CF9AE}" pid="3" name="MSIP_Label_bc50c7b0-9e53-455f-9b3f-deab1aa8a41e_Enabled">
    <vt:lpwstr>true</vt:lpwstr>
  </property>
  <property fmtid="{D5CDD505-2E9C-101B-9397-08002B2CF9AE}" pid="4" name="MSIP_Label_bc50c7b0-9e53-455f-9b3f-deab1aa8a41e_SetDate">
    <vt:lpwstr>2025-01-27T18:49:34Z</vt:lpwstr>
  </property>
  <property fmtid="{D5CDD505-2E9C-101B-9397-08002B2CF9AE}" pid="5" name="MSIP_Label_bc50c7b0-9e53-455f-9b3f-deab1aa8a41e_Method">
    <vt:lpwstr>Standard</vt:lpwstr>
  </property>
  <property fmtid="{D5CDD505-2E9C-101B-9397-08002B2CF9AE}" pid="6" name="MSIP_Label_bc50c7b0-9e53-455f-9b3f-deab1aa8a41e_Name">
    <vt:lpwstr>defa4170-0d19-0005-0004-bc88714345d2</vt:lpwstr>
  </property>
  <property fmtid="{D5CDD505-2E9C-101B-9397-08002B2CF9AE}" pid="7" name="MSIP_Label_bc50c7b0-9e53-455f-9b3f-deab1aa8a41e_SiteId">
    <vt:lpwstr>7cc8e357-468d-472c-a6fc-c5600e789b55</vt:lpwstr>
  </property>
  <property fmtid="{D5CDD505-2E9C-101B-9397-08002B2CF9AE}" pid="8" name="MSIP_Label_bc50c7b0-9e53-455f-9b3f-deab1aa8a41e_ActionId">
    <vt:lpwstr>5f2ae7cf-7e40-4cbe-b746-deb049249db5</vt:lpwstr>
  </property>
  <property fmtid="{D5CDD505-2E9C-101B-9397-08002B2CF9AE}" pid="9" name="MSIP_Label_bc50c7b0-9e53-455f-9b3f-deab1aa8a41e_ContentBits">
    <vt:lpwstr>0</vt:lpwstr>
  </property>
</Properties>
</file>