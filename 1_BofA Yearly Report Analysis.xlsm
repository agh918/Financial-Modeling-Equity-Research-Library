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BB3B15E1-8D31-4937-86BE-8CA9E7E1AF9B}" xr6:coauthVersionLast="47" xr6:coauthVersionMax="47" xr10:uidLastSave="{00000000-0000-0000-0000-000000000000}"/>
  <bookViews>
    <workbookView xWindow="-120" yWindow="-120" windowWidth="29040" windowHeight="15720" xr2:uid="{57DEA323-E204-44E7-AD7B-E92EB4E4853D}"/>
  </bookViews>
  <sheets>
    <sheet name="Statements" sheetId="1" r:id="rId1"/>
    <sheet name="Analysis" sheetId="2" r:id="rId2"/>
    <sheet name="Notes" sheetId="3" r:id="rId3"/>
  </sheets>
  <definedNames>
    <definedName name="_xleta.LN" hidden="1" xlm="1">#NAME?</definedName>
    <definedName name="solver_eng" localSheetId="1" hidden="1">1</definedName>
    <definedName name="solver_neg" localSheetId="1" hidden="1">1</definedName>
    <definedName name="solver_num" localSheetId="1" hidden="1">0</definedName>
    <definedName name="solver_opt" localSheetId="1" hidden="1">Analysis!$C$19</definedName>
    <definedName name="solver_typ" localSheetId="1" hidden="1">1</definedName>
    <definedName name="solver_val" localSheetId="1" hidden="1">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3" l="1"/>
  <c r="D12" i="3"/>
  <c r="D11" i="3"/>
  <c r="D10" i="3"/>
  <c r="U56" i="1"/>
  <c r="O56" i="1"/>
  <c r="P56" i="1"/>
  <c r="Q56" i="1"/>
  <c r="R56" i="1"/>
  <c r="S56" i="1"/>
  <c r="T56" i="1"/>
  <c r="D9" i="3" l="1"/>
  <c r="D8" i="3"/>
  <c r="L65" i="1"/>
  <c r="K65" i="1"/>
  <c r="J65" i="1"/>
  <c r="J64" i="1"/>
  <c r="I65" i="1"/>
  <c r="H65" i="1"/>
  <c r="G65" i="1"/>
  <c r="F65" i="1"/>
  <c r="E65" i="1"/>
  <c r="D65" i="1"/>
  <c r="C65" i="1"/>
  <c r="D7" i="3"/>
  <c r="X55" i="1" l="1"/>
  <c r="W55" i="1"/>
  <c r="V55" i="1"/>
  <c r="X54" i="1"/>
  <c r="W54" i="1"/>
  <c r="V54" i="1"/>
  <c r="X53" i="1"/>
  <c r="W53" i="1"/>
  <c r="V53" i="1"/>
  <c r="X52" i="1"/>
  <c r="W52" i="1"/>
  <c r="V52" i="1"/>
  <c r="X51" i="1"/>
  <c r="W51" i="1"/>
  <c r="V51" i="1"/>
  <c r="X50" i="1"/>
  <c r="W50" i="1"/>
  <c r="V50" i="1"/>
  <c r="X49" i="1"/>
  <c r="W49" i="1"/>
  <c r="V49" i="1"/>
  <c r="U55" i="1"/>
  <c r="T55" i="1"/>
  <c r="S55" i="1"/>
  <c r="R55" i="1"/>
  <c r="Q55" i="1"/>
  <c r="P55" i="1"/>
  <c r="U54" i="1"/>
  <c r="T54" i="1"/>
  <c r="S54" i="1"/>
  <c r="R54" i="1"/>
  <c r="Q54" i="1"/>
  <c r="P54" i="1"/>
  <c r="O55" i="1"/>
  <c r="O54" i="1"/>
  <c r="U53" i="1"/>
  <c r="T53" i="1"/>
  <c r="S53" i="1"/>
  <c r="R53" i="1"/>
  <c r="Q53" i="1"/>
  <c r="P53" i="1"/>
  <c r="O53" i="1"/>
  <c r="T52" i="1"/>
  <c r="S52" i="1"/>
  <c r="R52" i="1"/>
  <c r="Q52" i="1"/>
  <c r="P52" i="1"/>
  <c r="O52" i="1"/>
  <c r="U52" i="1"/>
  <c r="U51" i="1"/>
  <c r="T51" i="1"/>
  <c r="S51" i="1"/>
  <c r="R51" i="1"/>
  <c r="Q51" i="1"/>
  <c r="P51" i="1"/>
  <c r="O51" i="1"/>
  <c r="U50" i="1"/>
  <c r="T50" i="1"/>
  <c r="S50" i="1"/>
  <c r="R50" i="1"/>
  <c r="Q50" i="1"/>
  <c r="P50" i="1"/>
  <c r="O50" i="1"/>
  <c r="T49" i="1"/>
  <c r="S49" i="1"/>
  <c r="R49" i="1"/>
  <c r="Q49" i="1"/>
  <c r="P49" i="1"/>
  <c r="O49" i="1"/>
  <c r="U49" i="1"/>
  <c r="C18" i="2"/>
  <c r="H18" i="2"/>
  <c r="G18" i="2"/>
  <c r="F18" i="2"/>
  <c r="E18" i="2"/>
  <c r="D18" i="2"/>
  <c r="I18" i="2"/>
  <c r="K18" i="2"/>
  <c r="D17" i="2"/>
  <c r="E17" i="2" s="1"/>
  <c r="F17" i="2" s="1"/>
  <c r="G17" i="2" s="1"/>
  <c r="H17" i="2" s="1"/>
  <c r="I17" i="2" s="1"/>
  <c r="C13" i="2"/>
  <c r="K13" i="2" s="1"/>
  <c r="H13" i="2"/>
  <c r="G13" i="2"/>
  <c r="F13" i="2"/>
  <c r="E13" i="2"/>
  <c r="D13" i="2"/>
  <c r="I13" i="2"/>
  <c r="D12" i="2"/>
  <c r="E12" i="2" s="1"/>
  <c r="F12" i="2" s="1"/>
  <c r="G12" i="2" s="1"/>
  <c r="H12" i="2" s="1"/>
  <c r="I12" i="2" s="1"/>
  <c r="L64" i="1"/>
  <c r="K64" i="1"/>
  <c r="I64" i="1"/>
  <c r="H64" i="1"/>
  <c r="G64" i="1"/>
  <c r="F64" i="1"/>
  <c r="E64" i="1"/>
  <c r="D64" i="1"/>
  <c r="C64" i="1"/>
  <c r="K6" i="2"/>
  <c r="J6" i="2"/>
  <c r="C8" i="2"/>
  <c r="H8" i="2"/>
  <c r="G8" i="2"/>
  <c r="F8" i="2"/>
  <c r="E8" i="2"/>
  <c r="D8" i="2"/>
  <c r="I8" i="2"/>
  <c r="C7" i="2"/>
  <c r="H7" i="2"/>
  <c r="G7" i="2"/>
  <c r="F7" i="2"/>
  <c r="E7" i="2"/>
  <c r="D7" i="2"/>
  <c r="I7" i="2"/>
  <c r="C6" i="2"/>
  <c r="H6" i="2"/>
  <c r="G6" i="2"/>
  <c r="F6" i="2"/>
  <c r="E6" i="2"/>
  <c r="D6" i="2"/>
  <c r="I6" i="2"/>
  <c r="E5" i="2"/>
  <c r="F5" i="2" s="1"/>
  <c r="G5" i="2" s="1"/>
  <c r="H5" i="2" s="1"/>
  <c r="I5" i="2" s="1"/>
  <c r="D5" i="2"/>
  <c r="X48" i="1"/>
  <c r="W48" i="1"/>
  <c r="V48" i="1"/>
  <c r="X47" i="1"/>
  <c r="W47" i="1"/>
  <c r="V47" i="1"/>
  <c r="X46" i="1"/>
  <c r="W46" i="1"/>
  <c r="V46" i="1"/>
  <c r="X45" i="1"/>
  <c r="W45" i="1"/>
  <c r="V45" i="1"/>
  <c r="U44" i="1"/>
  <c r="W44" i="1" s="1"/>
  <c r="T44" i="1"/>
  <c r="S44" i="1"/>
  <c r="R44" i="1"/>
  <c r="Q44" i="1"/>
  <c r="P44" i="1"/>
  <c r="O44" i="1"/>
  <c r="T43" i="1"/>
  <c r="S43" i="1"/>
  <c r="R43" i="1"/>
  <c r="Q43" i="1"/>
  <c r="P43" i="1"/>
  <c r="O43" i="1"/>
  <c r="U43" i="1"/>
  <c r="X43" i="1" s="1"/>
  <c r="T42" i="1"/>
  <c r="S42" i="1"/>
  <c r="R42" i="1"/>
  <c r="Q42" i="1"/>
  <c r="P42" i="1"/>
  <c r="O42" i="1"/>
  <c r="U42" i="1"/>
  <c r="X42" i="1" s="1"/>
  <c r="T41" i="1"/>
  <c r="S41" i="1"/>
  <c r="R41" i="1"/>
  <c r="Q41" i="1"/>
  <c r="P41" i="1"/>
  <c r="O41" i="1"/>
  <c r="X41" i="1" s="1"/>
  <c r="U41" i="1"/>
  <c r="W42" i="1"/>
  <c r="V42" i="1"/>
  <c r="W41" i="1"/>
  <c r="V41" i="1"/>
  <c r="J16" i="1"/>
  <c r="L63" i="1"/>
  <c r="K63" i="1"/>
  <c r="J63" i="1"/>
  <c r="L62" i="1"/>
  <c r="K62" i="1"/>
  <c r="J62" i="1"/>
  <c r="L61" i="1"/>
  <c r="K61" i="1"/>
  <c r="J61" i="1"/>
  <c r="L60" i="1"/>
  <c r="K60" i="1"/>
  <c r="J60" i="1"/>
  <c r="I63" i="1"/>
  <c r="H63" i="1"/>
  <c r="G63" i="1"/>
  <c r="F63" i="1"/>
  <c r="E63" i="1"/>
  <c r="D63" i="1"/>
  <c r="I62" i="1"/>
  <c r="H62" i="1"/>
  <c r="G62" i="1"/>
  <c r="F62" i="1"/>
  <c r="E62" i="1"/>
  <c r="D62" i="1"/>
  <c r="I61" i="1"/>
  <c r="H61" i="1"/>
  <c r="G61" i="1"/>
  <c r="F61" i="1"/>
  <c r="E61" i="1"/>
  <c r="D61" i="1"/>
  <c r="I60" i="1"/>
  <c r="H60" i="1"/>
  <c r="G60" i="1"/>
  <c r="F60" i="1"/>
  <c r="E60" i="1"/>
  <c r="D60" i="1"/>
  <c r="I59" i="1"/>
  <c r="J59" i="1" s="1"/>
  <c r="H59" i="1"/>
  <c r="G59" i="1"/>
  <c r="F59" i="1"/>
  <c r="E59" i="1"/>
  <c r="D59" i="1"/>
  <c r="I58" i="1"/>
  <c r="K58" i="1" s="1"/>
  <c r="H58" i="1"/>
  <c r="G58" i="1"/>
  <c r="F58" i="1"/>
  <c r="E58" i="1"/>
  <c r="D58" i="1"/>
  <c r="C63" i="1"/>
  <c r="C62" i="1"/>
  <c r="C61" i="1"/>
  <c r="C60" i="1"/>
  <c r="K59" i="1"/>
  <c r="X39" i="1"/>
  <c r="W39" i="1"/>
  <c r="V39" i="1"/>
  <c r="X38" i="1"/>
  <c r="W38" i="1"/>
  <c r="X34" i="1"/>
  <c r="W34" i="1"/>
  <c r="V34" i="1"/>
  <c r="X33" i="1"/>
  <c r="W33" i="1"/>
  <c r="V33" i="1"/>
  <c r="X32" i="1"/>
  <c r="W32" i="1"/>
  <c r="V32" i="1"/>
  <c r="X31" i="1"/>
  <c r="W31" i="1"/>
  <c r="V31" i="1"/>
  <c r="X30" i="1"/>
  <c r="W30" i="1"/>
  <c r="V30" i="1"/>
  <c r="X29" i="1"/>
  <c r="W29" i="1"/>
  <c r="V29" i="1"/>
  <c r="X28" i="1"/>
  <c r="W28" i="1"/>
  <c r="V28" i="1"/>
  <c r="X27" i="1"/>
  <c r="W27" i="1"/>
  <c r="V27" i="1"/>
  <c r="X26" i="1"/>
  <c r="W26" i="1"/>
  <c r="V26" i="1"/>
  <c r="X25" i="1"/>
  <c r="W25" i="1"/>
  <c r="V25" i="1"/>
  <c r="X21" i="1"/>
  <c r="W21" i="1"/>
  <c r="V21"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X10" i="1"/>
  <c r="W10" i="1"/>
  <c r="V10" i="1"/>
  <c r="L54" i="1"/>
  <c r="K54" i="1"/>
  <c r="J54" i="1"/>
  <c r="L52" i="1"/>
  <c r="K52" i="1"/>
  <c r="J52" i="1"/>
  <c r="L49" i="1"/>
  <c r="K49" i="1"/>
  <c r="J49" i="1"/>
  <c r="L47" i="1"/>
  <c r="K47" i="1"/>
  <c r="J47" i="1"/>
  <c r="L43" i="1"/>
  <c r="K43" i="1"/>
  <c r="J43" i="1"/>
  <c r="L42" i="1"/>
  <c r="K42" i="1"/>
  <c r="J42" i="1"/>
  <c r="L41" i="1"/>
  <c r="K41" i="1"/>
  <c r="J41" i="1"/>
  <c r="L40" i="1"/>
  <c r="K40" i="1"/>
  <c r="J40" i="1"/>
  <c r="L39" i="1"/>
  <c r="K39" i="1"/>
  <c r="J39" i="1"/>
  <c r="L38" i="1"/>
  <c r="K38" i="1"/>
  <c r="J38" i="1"/>
  <c r="L37" i="1"/>
  <c r="K37" i="1"/>
  <c r="J37" i="1"/>
  <c r="L34" i="1"/>
  <c r="K34" i="1"/>
  <c r="J34" i="1"/>
  <c r="L28" i="1"/>
  <c r="K28" i="1"/>
  <c r="J28" i="1"/>
  <c r="L27" i="1"/>
  <c r="K27" i="1"/>
  <c r="J27" i="1"/>
  <c r="L26" i="1"/>
  <c r="K26" i="1"/>
  <c r="J26" i="1"/>
  <c r="L25" i="1"/>
  <c r="K25" i="1"/>
  <c r="J25" i="1"/>
  <c r="L24" i="1"/>
  <c r="K24" i="1"/>
  <c r="J24" i="1"/>
  <c r="L21" i="1"/>
  <c r="K21" i="1"/>
  <c r="J21" i="1"/>
  <c r="L20" i="1"/>
  <c r="K20" i="1"/>
  <c r="J20" i="1"/>
  <c r="L19" i="1"/>
  <c r="K19" i="1"/>
  <c r="J19" i="1"/>
  <c r="L18" i="1"/>
  <c r="K18" i="1"/>
  <c r="J18" i="1"/>
  <c r="L15" i="1"/>
  <c r="K15" i="1"/>
  <c r="J15" i="1"/>
  <c r="L14" i="1"/>
  <c r="K14" i="1"/>
  <c r="J14" i="1"/>
  <c r="L13" i="1"/>
  <c r="K13" i="1"/>
  <c r="J13" i="1"/>
  <c r="L12" i="1"/>
  <c r="K12" i="1"/>
  <c r="J12" i="1"/>
  <c r="L11" i="1"/>
  <c r="K11" i="1"/>
  <c r="J11" i="1"/>
  <c r="U39" i="1"/>
  <c r="U38" i="1"/>
  <c r="V38" i="1" s="1"/>
  <c r="U35" i="1"/>
  <c r="X35" i="1" s="1"/>
  <c r="U22" i="1"/>
  <c r="I55" i="1"/>
  <c r="L55" i="1" s="1"/>
  <c r="I44" i="1"/>
  <c r="G55" i="1"/>
  <c r="F55" i="1"/>
  <c r="E55" i="1"/>
  <c r="D55" i="1"/>
  <c r="C55" i="1"/>
  <c r="H55" i="1"/>
  <c r="P39" i="1"/>
  <c r="O39" i="1"/>
  <c r="P38" i="1"/>
  <c r="O38" i="1"/>
  <c r="T39" i="1"/>
  <c r="S39" i="1"/>
  <c r="R39" i="1"/>
  <c r="T38" i="1"/>
  <c r="S38" i="1"/>
  <c r="R38" i="1"/>
  <c r="Q39" i="1"/>
  <c r="Q38" i="1"/>
  <c r="S35" i="1"/>
  <c r="R35" i="1"/>
  <c r="Q35" i="1"/>
  <c r="P35" i="1"/>
  <c r="O35" i="1"/>
  <c r="T35" i="1"/>
  <c r="S22" i="1"/>
  <c r="R22" i="1"/>
  <c r="Q22" i="1"/>
  <c r="P22" i="1"/>
  <c r="O22" i="1"/>
  <c r="T22" i="1"/>
  <c r="K8" i="2" l="1"/>
  <c r="J8" i="2"/>
  <c r="K7" i="2"/>
  <c r="J7" i="2"/>
  <c r="J18" i="2"/>
  <c r="J13" i="2"/>
  <c r="V44" i="1"/>
  <c r="X44" i="1"/>
  <c r="W43" i="1"/>
  <c r="V43" i="1"/>
  <c r="J58" i="1"/>
  <c r="V22" i="1"/>
  <c r="J55" i="1"/>
  <c r="K55" i="1"/>
  <c r="W22" i="1"/>
  <c r="V35" i="1"/>
  <c r="W35" i="1"/>
  <c r="U37" i="1"/>
  <c r="X22" i="1"/>
  <c r="U40" i="1"/>
  <c r="T37" i="1"/>
  <c r="O40" i="1"/>
  <c r="Q40" i="1"/>
  <c r="S40" i="1"/>
  <c r="T40" i="1"/>
  <c r="P40" i="1"/>
  <c r="R40" i="1"/>
  <c r="S37" i="1"/>
  <c r="O37" i="1"/>
  <c r="P37" i="1"/>
  <c r="Q37" i="1"/>
  <c r="R37" i="1"/>
  <c r="G44" i="1"/>
  <c r="K44" i="1" s="1"/>
  <c r="F44" i="1"/>
  <c r="E44" i="1"/>
  <c r="D44" i="1"/>
  <c r="C44" i="1"/>
  <c r="L44" i="1" s="1"/>
  <c r="H44" i="1"/>
  <c r="J44" i="1" s="1"/>
  <c r="X40" i="1" l="1"/>
  <c r="W40" i="1"/>
  <c r="V40" i="1"/>
  <c r="X37" i="1"/>
  <c r="W37" i="1"/>
  <c r="V37" i="1"/>
  <c r="I30" i="1"/>
  <c r="H30" i="1"/>
  <c r="G30" i="1"/>
  <c r="F30" i="1"/>
  <c r="E30" i="1"/>
  <c r="D30" i="1"/>
  <c r="C30" i="1"/>
  <c r="I22" i="1"/>
  <c r="H22" i="1"/>
  <c r="G22" i="1"/>
  <c r="F22" i="1"/>
  <c r="E22" i="1"/>
  <c r="D22" i="1"/>
  <c r="C22" i="1"/>
  <c r="I16" i="1"/>
  <c r="H16" i="1"/>
  <c r="G16" i="1"/>
  <c r="F16" i="1"/>
  <c r="E16" i="1"/>
  <c r="D16" i="1"/>
  <c r="C16" i="1"/>
  <c r="H57" i="1" l="1"/>
  <c r="L16" i="1"/>
  <c r="K16" i="1"/>
  <c r="L22" i="1"/>
  <c r="K22" i="1"/>
  <c r="J22" i="1"/>
  <c r="C57" i="1"/>
  <c r="D57" i="1"/>
  <c r="E57" i="1"/>
  <c r="F57" i="1"/>
  <c r="G57" i="1"/>
  <c r="K30" i="1"/>
  <c r="L30" i="1"/>
  <c r="J30" i="1"/>
  <c r="I57" i="1"/>
  <c r="I32" i="1"/>
  <c r="G32" i="1"/>
  <c r="G46" i="1" s="1"/>
  <c r="G48" i="1" s="1"/>
  <c r="C32" i="1"/>
  <c r="D32" i="1"/>
  <c r="D46" i="1" s="1"/>
  <c r="D48" i="1" s="1"/>
  <c r="E32" i="1"/>
  <c r="E46" i="1" s="1"/>
  <c r="E48" i="1" s="1"/>
  <c r="F32" i="1"/>
  <c r="F46" i="1" s="1"/>
  <c r="F48" i="1" s="1"/>
  <c r="H32" i="1"/>
  <c r="H46" i="1" s="1"/>
  <c r="H48" i="1" s="1"/>
  <c r="C4" i="1" a="1"/>
  <c r="C46" i="1" l="1"/>
  <c r="C48" i="1" s="1"/>
  <c r="C59" i="1"/>
  <c r="L59" i="1" s="1"/>
  <c r="C58" i="1"/>
  <c r="L58" i="1" s="1"/>
  <c r="L57" i="1"/>
  <c r="K57" i="1"/>
  <c r="J57" i="1"/>
  <c r="L32" i="1"/>
  <c r="K32" i="1"/>
  <c r="J32" i="1"/>
  <c r="F50" i="1"/>
  <c r="F53" i="1" s="1"/>
  <c r="F56" i="1"/>
  <c r="E50" i="1"/>
  <c r="E53" i="1" s="1"/>
  <c r="E56" i="1"/>
  <c r="D50" i="1"/>
  <c r="D53" i="1" s="1"/>
  <c r="D56" i="1"/>
  <c r="C50" i="1"/>
  <c r="C53" i="1" s="1"/>
  <c r="C56" i="1"/>
  <c r="G50" i="1"/>
  <c r="G53" i="1" s="1"/>
  <c r="G56" i="1"/>
  <c r="I46" i="1"/>
  <c r="H50" i="1"/>
  <c r="H53" i="1" s="1"/>
  <c r="H56" i="1"/>
  <c r="C6" i="1"/>
  <c r="I48" i="1" l="1"/>
  <c r="L46" i="1"/>
  <c r="K46" i="1"/>
  <c r="J46" i="1"/>
  <c r="I50" i="1" l="1"/>
  <c r="K48" i="1"/>
  <c r="J48" i="1"/>
  <c r="L48" i="1"/>
  <c r="I56" i="1"/>
  <c r="I53" i="1" l="1"/>
  <c r="L50" i="1"/>
  <c r="K50" i="1"/>
  <c r="J50" i="1"/>
  <c r="J56" i="1"/>
  <c r="L56" i="1"/>
  <c r="K56" i="1"/>
  <c r="L53" i="1" l="1"/>
  <c r="K53" i="1"/>
  <c r="J5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<sst xmlns="http://schemas.openxmlformats.org/spreadsheetml/2006/main" count="153" uniqueCount="121">
  <si>
    <t>Price</t>
  </si>
  <si>
    <t>Shares outstanding</t>
  </si>
  <si>
    <t>Mkt cap</t>
  </si>
  <si>
    <t>Revenues</t>
  </si>
  <si>
    <t>1Y</t>
  </si>
  <si>
    <t>2Y</t>
  </si>
  <si>
    <t>Assets</t>
  </si>
  <si>
    <t>2019</t>
  </si>
  <si>
    <t>2020</t>
  </si>
  <si>
    <t>2021</t>
  </si>
  <si>
    <t>2022</t>
  </si>
  <si>
    <t>2023</t>
  </si>
  <si>
    <t>2024</t>
  </si>
  <si>
    <t>.</t>
  </si>
  <si>
    <t>Interest income</t>
  </si>
  <si>
    <t>Loans &amp; leases</t>
  </si>
  <si>
    <t>Debt securities</t>
  </si>
  <si>
    <t>Federal funds sold &amp; securities borrowed</t>
  </si>
  <si>
    <t>Trading account assets</t>
  </si>
  <si>
    <t>Other interest income</t>
  </si>
  <si>
    <t>Total interest income</t>
  </si>
  <si>
    <t>Interest expense</t>
  </si>
  <si>
    <t xml:space="preserve">Deposits </t>
  </si>
  <si>
    <t>Short-term borrowing</t>
  </si>
  <si>
    <t>Trading account liabilities</t>
  </si>
  <si>
    <t>Total interest expense</t>
  </si>
  <si>
    <t>Noninterest income</t>
  </si>
  <si>
    <t>Card income</t>
  </si>
  <si>
    <t>Service charges</t>
  </si>
  <si>
    <t>Investment &amp; brokerage services</t>
  </si>
  <si>
    <t>Investment banking fees</t>
  </si>
  <si>
    <t>Market making &amp; similar activities</t>
  </si>
  <si>
    <t>Other income</t>
  </si>
  <si>
    <t>Total noninterest income</t>
  </si>
  <si>
    <t>Provision for credit losses</t>
  </si>
  <si>
    <t>2025</t>
  </si>
  <si>
    <t>Operating expenses</t>
  </si>
  <si>
    <t>Comp &amp; benefits</t>
  </si>
  <si>
    <t>Occupancy &amp; equipment</t>
  </si>
  <si>
    <t>Info processing &amp; communications</t>
  </si>
  <si>
    <t>Product delivery &amp; transaction related</t>
  </si>
  <si>
    <t>Professional fees</t>
  </si>
  <si>
    <t>Marketing</t>
  </si>
  <si>
    <t>Other</t>
  </si>
  <si>
    <t>Total operating expense</t>
  </si>
  <si>
    <t>Income before income taxes</t>
  </si>
  <si>
    <t>Taxes</t>
  </si>
  <si>
    <t>Net income (loss)</t>
  </si>
  <si>
    <t>EPS</t>
  </si>
  <si>
    <t>Pref stock dividends</t>
  </si>
  <si>
    <t>Adj-net income</t>
  </si>
  <si>
    <t>Cash</t>
  </si>
  <si>
    <t>Fed funds sold &amp; securities borrowed or purchased</t>
  </si>
  <si>
    <t>Liabilities</t>
  </si>
  <si>
    <t>Noninterest-bearing Deposits, U.S.</t>
  </si>
  <si>
    <t>Interest-bearing Deposits, U.S.</t>
  </si>
  <si>
    <t>Noninterest-bearing Deposits, non-U.S.</t>
  </si>
  <si>
    <t>Interest-bearing Deposits, non-U.S.</t>
  </si>
  <si>
    <t>Fed funds purchased &amp; loaned</t>
  </si>
  <si>
    <t>Derivative liabilities</t>
  </si>
  <si>
    <t>ST-borrowings</t>
  </si>
  <si>
    <t>Accrued expenses</t>
  </si>
  <si>
    <t>LT-debt</t>
  </si>
  <si>
    <t>Total Liabilities</t>
  </si>
  <si>
    <t>Time deposits &amp; other ST investments</t>
  </si>
  <si>
    <t>Loans &amp; leases, net</t>
  </si>
  <si>
    <t>Premises &amp; equipment, net</t>
  </si>
  <si>
    <t>Goodwill</t>
  </si>
  <si>
    <t>Loans held-for-sale</t>
  </si>
  <si>
    <t>Customer &amp; other receivables</t>
  </si>
  <si>
    <t>Total Assets</t>
  </si>
  <si>
    <t>Derivative assets</t>
  </si>
  <si>
    <t>Equity</t>
  </si>
  <si>
    <t>Real cash</t>
  </si>
  <si>
    <t>Real debt</t>
  </si>
  <si>
    <t>EV</t>
  </si>
  <si>
    <t>Net margin</t>
  </si>
  <si>
    <t>Interest income margin</t>
  </si>
  <si>
    <t xml:space="preserve"> </t>
  </si>
  <si>
    <t>6Y</t>
  </si>
  <si>
    <t>xxxxxxxxxx</t>
  </si>
  <si>
    <t>Net Revenue</t>
  </si>
  <si>
    <t>Interest income-to-NetRev</t>
  </si>
  <si>
    <t>Card income-to-NetRev</t>
  </si>
  <si>
    <t>Investment/brokerage-to-NetRev</t>
  </si>
  <si>
    <t>Investment banking fees-to-NetRev</t>
  </si>
  <si>
    <t>Market making-to-NetRev</t>
  </si>
  <si>
    <t>Service charges-to-NetRev</t>
  </si>
  <si>
    <t>NM</t>
  </si>
  <si>
    <t>AT</t>
  </si>
  <si>
    <t>EM</t>
  </si>
  <si>
    <t>ROE</t>
  </si>
  <si>
    <t># of financial centers</t>
  </si>
  <si>
    <t># of ATMs</t>
  </si>
  <si>
    <t>Active digital banking members (in thous)</t>
  </si>
  <si>
    <t>Active mobile banking members (in thous)</t>
  </si>
  <si>
    <t>NII</t>
  </si>
  <si>
    <t>Mean</t>
  </si>
  <si>
    <t>Stdev</t>
  </si>
  <si>
    <t>YoY G of Card Income</t>
  </si>
  <si>
    <t>YoY G of NII</t>
  </si>
  <si>
    <t>YoY G of Net Income</t>
  </si>
  <si>
    <t>Net income</t>
  </si>
  <si>
    <t>Current ratio</t>
  </si>
  <si>
    <t>Current assets</t>
  </si>
  <si>
    <t>Current liabilities</t>
  </si>
  <si>
    <t>Cash ratio</t>
  </si>
  <si>
    <t>ROA</t>
  </si>
  <si>
    <t>BofA Notes:</t>
  </si>
  <si>
    <t>Screening Score</t>
  </si>
  <si>
    <t>Column1</t>
  </si>
  <si>
    <t>EBITDA Margin</t>
  </si>
  <si>
    <t>ROIC</t>
  </si>
  <si>
    <t>Debt-to-EBITDA</t>
  </si>
  <si>
    <t>EPS σ</t>
  </si>
  <si>
    <t>EV-to-EBITDA</t>
  </si>
  <si>
    <t>Industry</t>
  </si>
  <si>
    <t>Revenue (CAGR)</t>
  </si>
  <si>
    <t>EBITDA</t>
  </si>
  <si>
    <t>IC</t>
  </si>
  <si>
    <t>Banks, Diversified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</si>
</sst>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0.0%"/>
    <numFmt numFmtId="168" formatCode="0.000%"/>
    <numFmt numFmtId="169" formatCode="_(* #,##0.000_);_(* \(#,##0.000\);_(* &quot;-&quot;??_);_(@_)"/>
    <numFmt numFmtId="170" formatCode="0.000"/>
  </numFmts>
  <fonts count="18"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sz val="10"/>
      <color theme="4"/>
      <name val="Arial"/>
      <family val="2"/>
    </font>
    <font>
      <b/>
      <sz val="10"/>
      <color theme="0"/>
      <name val="Arial"/>
      <family val="2"/>
    </font>
    <font>
      <sz val="12"/>
      <color theme="1"/>
      <name val="Arial"/>
      <family val="2"/>
    </font>
    <font>
      <b/>
      <sz val="16"/>
      <color theme="1"/>
      <name val="Arial"/>
      <family val="2"/>
    </font>
    <font>
      <i/>
      <sz val="10"/>
      <color theme="1"/>
      <name val="Arial"/>
      <family val="2"/>
    </font>
    <font>
      <sz val="8"/>
      <name val="Aptos Narrow"/>
      <family val="2"/>
      <scheme val="minor"/>
    </font>
    <font>
      <b/>
      <sz val="12"/>
      <color theme="1"/>
      <name val="Arial"/>
      <family val="2"/>
    </font>
    <font>
      <sz val="12"/>
      <color theme="4"/>
      <name val="Arial"/>
      <family val="2"/>
    </font>
    <font>
      <sz val="12"/>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11">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s>
  <cellStyleXfs count="4">
    <xf numFmtId="0" fontId="0"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cellStyleXfs>
  <cellXfs count="115">
    <xf numFmtId="0" fontId="0" fillId="0" borderId="0" xfId="0"/>
    <xf numFmtId="0" fontId="7" fillId="0" borderId="0" xfId="0" applyFont="1"/>
    <xf numFmtId="164" fontId="7" fillId="0" borderId="0" xfId="0" applyNumberFormat="1" applyFont="1"/>
    <xf numFmtId="0" fontId="8" fillId="0" borderId="1" xfId="0" applyFont="1" applyBorder="1"/>
    <xf numFmtId="0" fontId="8" fillId="0" borderId="2" xfId="0" applyFont="1" applyBorder="1"/>
    <xf numFmtId="0" fontId="8" fillId="0" borderId="0" xfId="0" applyFont="1"/>
    <xf numFmtId="0" fontId="8" fillId="2" borderId="1"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7" fillId="2" borderId="0" xfId="0" applyFont="1" applyFill="1"/>
    <xf numFmtId="0" fontId="7" fillId="3" borderId="0" xfId="0" applyFont="1" applyFill="1"/>
    <xf numFmtId="0" fontId="7" fillId="4" borderId="0" xfId="0" applyFont="1" applyFill="1"/>
    <xf numFmtId="0" fontId="9" fillId="0" borderId="3" xfId="0" applyFont="1" applyBorder="1"/>
    <xf numFmtId="9" fontId="7" fillId="4" borderId="0" xfId="3" applyFont="1" applyFill="1" applyBorder="1"/>
    <xf numFmtId="165" fontId="7" fillId="0" borderId="0" xfId="1" applyNumberFormat="1" applyFont="1" applyBorder="1"/>
    <xf numFmtId="9" fontId="7" fillId="3" borderId="0" xfId="3" applyFont="1" applyFill="1" applyBorder="1"/>
    <xf numFmtId="9" fontId="7" fillId="2" borderId="0" xfId="3" applyFont="1" applyFill="1" applyBorder="1"/>
    <xf numFmtId="9" fontId="10" fillId="3" borderId="0" xfId="3" applyFont="1" applyFill="1" applyBorder="1"/>
    <xf numFmtId="0" fontId="5" fillId="0" borderId="0" xfId="0" applyFont="1"/>
    <xf numFmtId="0" fontId="11" fillId="0" borderId="0" xfId="0" applyFont="1"/>
    <xf numFmtId="0" fontId="12" fillId="0" borderId="0" xfId="0" applyFont="1"/>
    <xf numFmtId="166" fontId="7" fillId="0" borderId="0" xfId="1" applyNumberFormat="1" applyFont="1"/>
    <xf numFmtId="166" fontId="0" fillId="0" borderId="0" xfId="1" applyNumberFormat="1" applyFont="1"/>
    <xf numFmtId="166" fontId="7" fillId="0" borderId="0" xfId="1" applyNumberFormat="1" applyFont="1" applyBorder="1"/>
    <xf numFmtId="166" fontId="8" fillId="0" borderId="0" xfId="1" applyNumberFormat="1" applyFont="1" applyBorder="1"/>
    <xf numFmtId="166" fontId="5" fillId="0" borderId="0" xfId="1" applyNumberFormat="1" applyFont="1" applyBorder="1"/>
    <xf numFmtId="166" fontId="5" fillId="0" borderId="0" xfId="1" applyNumberFormat="1" applyFont="1"/>
    <xf numFmtId="0" fontId="8" fillId="0" borderId="4" xfId="0" applyFont="1" applyBorder="1" applyAlignment="1">
      <alignment horizontal="left"/>
    </xf>
    <xf numFmtId="0" fontId="8" fillId="0" borderId="2" xfId="0" applyFont="1" applyBorder="1" applyAlignment="1">
      <alignment horizontal="left" indent="1"/>
    </xf>
    <xf numFmtId="0" fontId="4" fillId="0" borderId="0" xfId="0" applyFont="1"/>
    <xf numFmtId="0" fontId="13" fillId="0" borderId="2" xfId="0" applyFont="1" applyBorder="1" applyAlignment="1">
      <alignment horizontal="left" wrapText="1"/>
    </xf>
    <xf numFmtId="0" fontId="4" fillId="0" borderId="2" xfId="0" applyFont="1" applyBorder="1" applyAlignment="1">
      <alignment horizontal="left" wrapText="1"/>
    </xf>
    <xf numFmtId="0" fontId="8" fillId="0" borderId="5" xfId="0" applyFont="1" applyBorder="1" applyAlignment="1">
      <alignment horizontal="left" wrapText="1"/>
    </xf>
    <xf numFmtId="0" fontId="13" fillId="0" borderId="2" xfId="0" applyFont="1" applyBorder="1" applyAlignment="1">
      <alignment wrapText="1"/>
    </xf>
    <xf numFmtId="0" fontId="8" fillId="0" borderId="2" xfId="0" applyFont="1" applyBorder="1" applyAlignment="1">
      <alignment horizontal="left" wrapText="1"/>
    </xf>
    <xf numFmtId="166" fontId="8" fillId="0" borderId="6" xfId="1" applyNumberFormat="1" applyFont="1" applyBorder="1"/>
    <xf numFmtId="166" fontId="8" fillId="0" borderId="7" xfId="1" applyNumberFormat="1" applyFont="1" applyBorder="1"/>
    <xf numFmtId="166" fontId="4" fillId="0" borderId="0" xfId="1" applyNumberFormat="1" applyFont="1" applyBorder="1"/>
    <xf numFmtId="0" fontId="4" fillId="0" borderId="2" xfId="0" applyFont="1" applyBorder="1" applyAlignment="1">
      <alignment horizontal="left" indent="1"/>
    </xf>
    <xf numFmtId="0" fontId="4" fillId="0" borderId="2" xfId="0" applyFont="1" applyBorder="1"/>
    <xf numFmtId="0" fontId="4" fillId="0" borderId="8" xfId="0" applyFont="1" applyBorder="1" applyAlignment="1">
      <alignment horizontal="left" wrapText="1"/>
    </xf>
    <xf numFmtId="0" fontId="8" fillId="0" borderId="2" xfId="0" applyFont="1" applyBorder="1" applyAlignment="1">
      <alignment horizontal="left"/>
    </xf>
    <xf numFmtId="166" fontId="4" fillId="0" borderId="0" xfId="3" applyNumberFormat="1" applyFont="1" applyBorder="1"/>
    <xf numFmtId="0" fontId="8" fillId="0" borderId="5" xfId="0" applyFont="1" applyBorder="1" applyAlignment="1">
      <alignment horizontal="left" indent="2"/>
    </xf>
    <xf numFmtId="166" fontId="8" fillId="0" borderId="6" xfId="3" applyNumberFormat="1" applyFont="1" applyBorder="1"/>
    <xf numFmtId="0" fontId="8" fillId="0" borderId="5" xfId="0" applyFont="1" applyBorder="1"/>
    <xf numFmtId="166" fontId="4" fillId="0" borderId="0" xfId="2" applyNumberFormat="1" applyFont="1" applyBorder="1"/>
    <xf numFmtId="44" fontId="4" fillId="0" borderId="0" xfId="2" applyFont="1" applyBorder="1"/>
    <xf numFmtId="0" fontId="4" fillId="0" borderId="2" xfId="0" applyFont="1" applyBorder="1" applyAlignment="1">
      <alignment horizontal="left" wrapText="1" indent="1"/>
    </xf>
    <xf numFmtId="166" fontId="8" fillId="0" borderId="6" xfId="1" applyNumberFormat="1" applyFont="1" applyBorder="1" applyAlignment="1">
      <alignment horizontal="left" indent="1"/>
    </xf>
    <xf numFmtId="0" fontId="4" fillId="0" borderId="2" xfId="0" applyFont="1" applyBorder="1" applyAlignment="1">
      <alignment horizontal="left" indent="3"/>
    </xf>
    <xf numFmtId="0" fontId="8" fillId="0" borderId="5" xfId="0" applyFont="1" applyBorder="1" applyAlignment="1">
      <alignment horizontal="left" indent="3"/>
    </xf>
    <xf numFmtId="166" fontId="3" fillId="0" borderId="0" xfId="1" applyNumberFormat="1" applyFont="1" applyBorder="1"/>
    <xf numFmtId="0" fontId="3" fillId="0" borderId="2" xfId="0" applyFont="1" applyBorder="1" applyAlignment="1">
      <alignment horizontal="left" indent="1"/>
    </xf>
    <xf numFmtId="0" fontId="3" fillId="0" borderId="2" xfId="0" applyFont="1" applyBorder="1" applyAlignment="1">
      <alignment horizontal="left" wrapText="1" indent="1"/>
    </xf>
    <xf numFmtId="0" fontId="3" fillId="0" borderId="2" xfId="0" applyFont="1" applyBorder="1" applyAlignment="1">
      <alignment horizontal="left"/>
    </xf>
    <xf numFmtId="0" fontId="4" fillId="0" borderId="0" xfId="0" applyFont="1" applyAlignment="1">
      <alignment horizontal="left" wrapText="1"/>
    </xf>
    <xf numFmtId="0" fontId="3" fillId="0" borderId="3" xfId="0" applyFont="1" applyBorder="1" applyAlignment="1">
      <alignment horizontal="left" indent="1"/>
    </xf>
    <xf numFmtId="0" fontId="8" fillId="0" borderId="5" xfId="0" applyFont="1" applyBorder="1" applyAlignment="1">
      <alignment horizontal="left" indent="1"/>
    </xf>
    <xf numFmtId="166" fontId="3" fillId="0" borderId="0" xfId="1" applyNumberFormat="1" applyFont="1" applyBorder="1" applyAlignment="1">
      <alignment horizontal="left" indent="1"/>
    </xf>
    <xf numFmtId="0" fontId="3" fillId="0" borderId="2" xfId="0" applyFont="1" applyBorder="1"/>
    <xf numFmtId="166" fontId="3" fillId="0" borderId="0" xfId="1" applyNumberFormat="1" applyFont="1"/>
    <xf numFmtId="0" fontId="3" fillId="0" borderId="0" xfId="0" applyFont="1"/>
    <xf numFmtId="9" fontId="3" fillId="0" borderId="0" xfId="3" applyFont="1" applyBorder="1"/>
    <xf numFmtId="10" fontId="3" fillId="0" borderId="0" xfId="3" applyNumberFormat="1" applyFont="1" applyBorder="1"/>
    <xf numFmtId="168" fontId="3" fillId="0" borderId="0" xfId="3" applyNumberFormat="1" applyFont="1" applyBorder="1"/>
    <xf numFmtId="0" fontId="3" fillId="0" borderId="2" xfId="0" applyFont="1" applyBorder="1" applyAlignment="1">
      <alignment horizontal="left" wrapText="1"/>
    </xf>
    <xf numFmtId="167" fontId="7" fillId="3" borderId="0" xfId="3" applyNumberFormat="1" applyFont="1" applyFill="1" applyBorder="1"/>
    <xf numFmtId="167" fontId="10" fillId="2" borderId="0" xfId="3" applyNumberFormat="1" applyFont="1" applyFill="1" applyBorder="1"/>
    <xf numFmtId="167" fontId="10" fillId="4" borderId="0" xfId="3" applyNumberFormat="1" applyFont="1" applyFill="1" applyBorder="1"/>
    <xf numFmtId="167" fontId="3" fillId="2" borderId="0" xfId="3" applyNumberFormat="1" applyFont="1" applyFill="1" applyBorder="1"/>
    <xf numFmtId="167" fontId="3" fillId="3" borderId="0" xfId="3" applyNumberFormat="1" applyFont="1" applyFill="1" applyBorder="1"/>
    <xf numFmtId="167" fontId="3" fillId="4" borderId="0" xfId="3" applyNumberFormat="1" applyFont="1" applyFill="1" applyBorder="1"/>
    <xf numFmtId="167" fontId="8" fillId="2" borderId="6" xfId="3" applyNumberFormat="1" applyFont="1" applyFill="1" applyBorder="1"/>
    <xf numFmtId="167" fontId="8" fillId="3" borderId="6" xfId="3" applyNumberFormat="1" applyFont="1" applyFill="1" applyBorder="1"/>
    <xf numFmtId="167" fontId="8" fillId="4" borderId="6" xfId="3" applyNumberFormat="1" applyFont="1" applyFill="1" applyBorder="1"/>
    <xf numFmtId="167" fontId="3" fillId="2" borderId="0" xfId="3" applyNumberFormat="1" applyFont="1" applyFill="1" applyBorder="1" applyAlignment="1">
      <alignment horizontal="center"/>
    </xf>
    <xf numFmtId="167" fontId="3" fillId="3" borderId="0" xfId="3" applyNumberFormat="1" applyFont="1" applyFill="1" applyBorder="1" applyAlignment="1">
      <alignment horizontal="center"/>
    </xf>
    <xf numFmtId="167" fontId="3" fillId="4" borderId="0" xfId="3" applyNumberFormat="1" applyFont="1" applyFill="1" applyBorder="1" applyAlignment="1">
      <alignment horizontal="center"/>
    </xf>
    <xf numFmtId="167" fontId="8" fillId="3" borderId="0" xfId="3" applyNumberFormat="1" applyFont="1" applyFill="1" applyBorder="1"/>
    <xf numFmtId="167" fontId="8" fillId="2" borderId="0" xfId="3" applyNumberFormat="1" applyFont="1" applyFill="1" applyBorder="1"/>
    <xf numFmtId="167" fontId="3" fillId="3" borderId="0" xfId="3" applyNumberFormat="1" applyFont="1" applyFill="1" applyBorder="1" applyAlignment="1">
      <alignment horizontal="right" indent="1"/>
    </xf>
    <xf numFmtId="167" fontId="3" fillId="4" borderId="0" xfId="3" applyNumberFormat="1" applyFont="1" applyFill="1" applyBorder="1" applyAlignment="1">
      <alignment horizontal="right" indent="1"/>
    </xf>
    <xf numFmtId="0" fontId="3" fillId="0" borderId="10" xfId="0" applyFont="1" applyBorder="1"/>
    <xf numFmtId="168" fontId="3" fillId="0" borderId="9" xfId="3" applyNumberFormat="1" applyFont="1" applyBorder="1"/>
    <xf numFmtId="167" fontId="3" fillId="3" borderId="9" xfId="3" applyNumberFormat="1" applyFont="1" applyFill="1" applyBorder="1"/>
    <xf numFmtId="167" fontId="3" fillId="4" borderId="9" xfId="3" applyNumberFormat="1" applyFont="1" applyFill="1" applyBorder="1"/>
    <xf numFmtId="167" fontId="10" fillId="5" borderId="0" xfId="3" applyNumberFormat="1" applyFont="1" applyFill="1" applyBorder="1"/>
    <xf numFmtId="167" fontId="10" fillId="5" borderId="6" xfId="3" applyNumberFormat="1" applyFont="1" applyFill="1" applyBorder="1"/>
    <xf numFmtId="167" fontId="10" fillId="5" borderId="9" xfId="3" applyNumberFormat="1" applyFont="1" applyFill="1" applyBorder="1"/>
    <xf numFmtId="169" fontId="3" fillId="0" borderId="0" xfId="1" applyNumberFormat="1" applyFont="1" applyBorder="1"/>
    <xf numFmtId="167" fontId="10" fillId="5" borderId="0" xfId="3" applyNumberFormat="1" applyFont="1" applyFill="1" applyBorder="1" applyAlignment="1">
      <alignment horizontal="right" indent="1"/>
    </xf>
    <xf numFmtId="0" fontId="3" fillId="0" borderId="10" xfId="0" applyFont="1" applyBorder="1" applyAlignment="1">
      <alignment horizontal="left" indent="1"/>
    </xf>
    <xf numFmtId="0" fontId="8" fillId="0" borderId="3" xfId="0" applyFont="1" applyBorder="1"/>
    <xf numFmtId="1" fontId="8" fillId="0" borderId="1" xfId="1" applyNumberFormat="1" applyFont="1" applyBorder="1"/>
    <xf numFmtId="168" fontId="5" fillId="0" borderId="0" xfId="3" applyNumberFormat="1" applyFont="1"/>
    <xf numFmtId="168" fontId="5" fillId="0" borderId="6" xfId="3" applyNumberFormat="1" applyFont="1" applyBorder="1"/>
    <xf numFmtId="1" fontId="8" fillId="2" borderId="1" xfId="1" applyNumberFormat="1" applyFont="1" applyFill="1" applyBorder="1" applyAlignment="1">
      <alignment horizontal="center"/>
    </xf>
    <xf numFmtId="168" fontId="5" fillId="2" borderId="0" xfId="0" applyNumberFormat="1" applyFont="1" applyFill="1"/>
    <xf numFmtId="168" fontId="5" fillId="2" borderId="0" xfId="3" applyNumberFormat="1" applyFont="1" applyFill="1"/>
    <xf numFmtId="168" fontId="5" fillId="2" borderId="6" xfId="0" applyNumberFormat="1" applyFont="1" applyFill="1" applyBorder="1"/>
    <xf numFmtId="168" fontId="5" fillId="2" borderId="6" xfId="3" applyNumberFormat="1" applyFont="1" applyFill="1" applyBorder="1"/>
    <xf numFmtId="166" fontId="7" fillId="0" borderId="0" xfId="0" applyNumberFormat="1" applyFont="1"/>
    <xf numFmtId="165" fontId="3" fillId="0" borderId="0" xfId="1" applyNumberFormat="1" applyFont="1" applyBorder="1"/>
    <xf numFmtId="0" fontId="15" fillId="0" borderId="0" xfId="0" applyFont="1"/>
    <xf numFmtId="0" fontId="16" fillId="0" borderId="0" xfId="0" applyFont="1"/>
    <xf numFmtId="0" fontId="17" fillId="0" borderId="0" xfId="0" applyFont="1" applyAlignment="1">
      <alignment horizontal="right"/>
    </xf>
    <xf numFmtId="10" fontId="11" fillId="0" borderId="0" xfId="3" applyNumberFormat="1" applyFont="1"/>
    <xf numFmtId="170" fontId="11" fillId="0" borderId="0" xfId="0" applyNumberFormat="1" applyFont="1"/>
    <xf numFmtId="2" fontId="11" fillId="0" borderId="0" xfId="0" applyNumberFormat="1" applyFont="1"/>
    <xf numFmtId="0" fontId="11" fillId="0" borderId="0" xfId="0" applyFont="1" applyAlignment="1">
      <alignment horizontal="right"/>
    </xf>
    <xf numFmtId="0" fontId="2" fillId="0" borderId="2" xfId="0" applyFont="1" applyBorder="1"/>
    <xf numFmtId="166" fontId="2" fillId="0" borderId="0" xfId="1" applyNumberFormat="1" applyFont="1" applyBorder="1"/>
    <xf numFmtId="0" fontId="1" fillId="0" borderId="2" xfId="0" applyFont="1" applyBorder="1" applyAlignment="1">
      <alignment horizontal="left" indent="1"/>
    </xf>
    <xf numFmtId="166" fontId="1" fillId="0" borderId="0" xfId="1" applyNumberFormat="1" applyFont="1" applyBorder="1"/>
  </cellXfs>
  <cellStyles count="4">
    <cellStyle name="Comma" xfId="1" builtinId="3"/>
    <cellStyle name="Currency" xfId="2" builtinId="4"/>
    <cellStyle name="Normal" xfId="0" builtinId="0"/>
    <cellStyle name="Percent" xfId="3" builtinId="5"/>
  </cellStyles>
  <dxfs count="27">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alignment horizontal="left" vertical="bottom" textRotation="0" relativeIndent="1"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s>
  <tableStyles count="0" defaultTableStyle="TableStyleMedium2" defaultPivotStyle="PivotStyleLight16"/>
  <colors>
    <mruColors>
      <color rgb="FFB5E6A2"/>
      <color rgb="FFB5E600"/>
      <color rgb="FF94DCF8"/>
      <color rgb="FF94D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19" Type="http://schemas.microsoft.com/office/2006/relationships/vbaProject" Target="vbaProject.bin"/><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https://www.bing.com/financeapi/forcetrigger?t=a1o4sm&amp;q=XNYS%3aBAC&amp;form=skydnc</v>
    <v>Learn more on Bing</v>
  </rv>
  <rv s="1">
    <v>en-US</v>
    <v>a1o4sm</v>
    <v>268435456</v>
    <v>1</v>
    <v>Powered by Refinitiv</v>
    <v>0</v>
    <v>BANK OF AMERICA CORPORATION (XNYS:BAC)</v>
    <v>2</v>
    <v>3</v>
    <v>Finance</v>
    <v>4</v>
    <v>59.195</v>
    <v>44.75</v>
    <v>1.1435999999999999</v>
    <v>-5.0000000000000001E-3</v>
    <v>1.011E-3</v>
    <v>-8.6390000000000005E-5</v>
    <v>5.8500000000000003E-2</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212000</v>
    <v>New York Stock Exchange</v>
    <v>XNYS</v>
    <v>XNYS</v>
    <v>Bank Of America Corporate Center, 100 N Tryon St, CHARLOTTE, NC, 28255 US</v>
    <v>58.335000000000001</v>
    <v>Banking Services</v>
    <v>Stock</v>
    <v>46202.906394756254</v>
    <v>0</v>
    <v>57.61</v>
    <v>410715204125</v>
    <v>BANK OF AMERICA CORPORATION</v>
    <v>BANK OF AMERICA CORPORATION</v>
    <v>57.76</v>
    <v>14.4777</v>
    <v>57.88</v>
    <v>57.875</v>
    <v>57.938499999999998</v>
    <v>7096591000</v>
    <v>BAC</v>
    <v>BANK OF AMERICA CORPORATION (XNYS:BAC)</v>
    <v>28913704</v>
    <v>38949268</v>
    <v>1998</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836D17-CF5B-4D77-8F3B-A3DD174F8D54}" name="Table1" displayName="Table1" ref="B8:I65" totalsRowShown="0" headerRowDxfId="21" dataDxfId="19" headerRowBorderDxfId="20" dataCellStyle="Comma">
  <autoFilter ref="B8:I65" xr:uid="{23836D17-CF5B-4D77-8F3B-A3DD174F8D54}"/>
  <tableColumns count="8">
    <tableColumn id="1" xr3:uid="{C56CB535-0884-4EB6-8247-BC7076E0F9ED}" name="." dataDxfId="18"/>
    <tableColumn id="2" xr3:uid="{5CB05335-81A4-4F9E-91AE-D7275C95F89C}" name="2019" dataDxfId="17" dataCellStyle="Comma"/>
    <tableColumn id="3" xr3:uid="{A67758F4-C8A9-49AB-B402-3C6C6623F38E}" name="2020" dataDxfId="16" dataCellStyle="Comma"/>
    <tableColumn id="4" xr3:uid="{D2EB0291-4E53-45C5-9A55-496776298FCF}" name="2021" dataDxfId="15" dataCellStyle="Comma"/>
    <tableColumn id="5" xr3:uid="{8BBF933F-D97B-42BA-9EF9-C011F65930FC}" name="2022" dataDxfId="14" dataCellStyle="Comma"/>
    <tableColumn id="6" xr3:uid="{5B24A045-0943-4881-8988-3CC50E6754BD}" name="2023" dataDxfId="13" dataCellStyle="Comma"/>
    <tableColumn id="8" xr3:uid="{222C650A-95D3-45F7-87C6-3B7E09EFE992}" name="2024" dataDxfId="12" dataCellStyle="Percent"/>
    <tableColumn id="7" xr3:uid="{0F4D0575-18E6-42CA-A6D9-2FCC3DD18D8B}" name="2025" dataDxfId="11"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BF547-D843-4B46-A130-6CFC2B9CD1F8}" name="Table2" displayName="Table2" ref="N8:U56" totalsRowShown="0" headerRowDxfId="10" dataDxfId="8" headerRowBorderDxfId="9" dataCellStyle="Comma">
  <autoFilter ref="N8:U56" xr:uid="{120BF547-D843-4B46-A130-6CFC2B9CD1F8}"/>
  <tableColumns count="8">
    <tableColumn id="1" xr3:uid="{DB29C79D-FAB6-484C-9815-A2E8E1E77194}" name="." dataDxfId="7"/>
    <tableColumn id="2" xr3:uid="{3C41FD2C-CF3B-45B9-83D3-DF70DA3F9D5A}" name="2019" dataDxfId="6" dataCellStyle="Comma"/>
    <tableColumn id="3" xr3:uid="{2DFCE98E-C0C8-42EE-BB58-7255714974F0}" name="2020" dataDxfId="5" dataCellStyle="Comma"/>
    <tableColumn id="4" xr3:uid="{44C5D0A9-3EFA-4FEC-93F4-6F50F976863F}" name="2021" dataDxfId="4" dataCellStyle="Comma"/>
    <tableColumn id="5" xr3:uid="{4743886E-940B-4EE9-A1FC-1D090FB5B393}" name="2022" dataDxfId="3" dataCellStyle="Comma"/>
    <tableColumn id="6" xr3:uid="{64A6DC66-AB43-4E0F-8986-3CD831887B8C}" name="2023" dataDxfId="2" dataCellStyle="Comma"/>
    <tableColumn id="7" xr3:uid="{3B18363B-4162-4DCB-B417-6622816301E4}" name="2024" dataDxfId="1" dataCellStyle="Comma"/>
    <tableColumn id="9" xr3:uid="{608BC285-91BD-410F-8012-480D5B5C72CA}" name="2025" dataDxfId="0"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3C6856-0DE1-4FD5-9138-714683FEF2DC}" name="Table810" displayName="Table810" ref="B6:D14" totalsRowShown="0" headerRowDxfId="26" dataDxfId="25">
  <autoFilter ref="B6:D14" xr:uid="{4D3C6856-0DE1-4FD5-9138-714683FEF2DC}">
    <filterColumn colId="0" hiddenButton="1"/>
    <filterColumn colId="1" hiddenButton="1"/>
    <filterColumn colId="2" hiddenButton="1"/>
  </autoFilter>
  <tableColumns count="3">
    <tableColumn id="1" xr3:uid="{E06F3129-3C99-4857-B20D-618982948DD3}" name="Screening Score" dataDxfId="24"/>
    <tableColumn id="2" xr3:uid="{3086081C-D8F6-46EB-AC44-A19376ABF4AB}" name="Column1" dataDxfId="23"/>
    <tableColumn id="3" xr3:uid="{663B6A5B-1685-4DFA-920D-24A30C2A36C0}" name="2025"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2568-5640-4B84-AC29-1C6BDB0C1A0A}">
  <sheetPr>
    <pageSetUpPr fitToPage="1"/>
  </sheetPr>
  <dimension ref="A1:Z65"/>
  <sheetViews>
    <sheetView tabSelected="1" topLeftCell="E30" workbookViewId="0">
      <selection activeCell="U51" sqref="U51"/>
    </sheetView>
  </sheetViews>
  <sheetFormatPr defaultColWidth="10.5703125" defaultRowHeight="12.75" x14ac:dyDescent="0.2"/>
  <cols>
    <col min="1" max="1" width="10.5703125" style="1"/>
    <col min="2" max="2" width="32.5703125" style="29" customWidth="1"/>
    <col min="3" max="3" width="10.5703125" style="14" customWidth="1"/>
    <col min="4" max="9" width="10.5703125" style="14"/>
    <col min="10" max="12" width="10.5703125" style="62"/>
    <col min="13" max="13" width="5.5703125" style="1" customWidth="1"/>
    <col min="14" max="14" width="36.7109375" style="1" customWidth="1"/>
    <col min="15" max="21" width="12.140625" style="14" customWidth="1"/>
    <col min="22" max="16384" width="10.5703125" style="1"/>
  </cols>
  <sheetData>
    <row r="1" spans="2:26" x14ac:dyDescent="0.2">
      <c r="B1" s="1"/>
      <c r="C1" s="1"/>
      <c r="D1" s="1"/>
      <c r="E1" s="1"/>
      <c r="F1" s="1"/>
      <c r="G1" s="1"/>
      <c r="H1" s="1"/>
      <c r="I1" s="1"/>
      <c r="J1" s="1"/>
      <c r="K1" s="1"/>
      <c r="L1" s="1"/>
      <c r="O1" s="1"/>
      <c r="P1" s="1"/>
      <c r="Q1" s="1"/>
      <c r="R1" s="1"/>
      <c r="S1" s="1"/>
      <c r="T1" s="1"/>
      <c r="U1" s="1"/>
    </row>
    <row r="2" spans="2:26" x14ac:dyDescent="0.2">
      <c r="B2" s="1"/>
      <c r="C2" s="1"/>
      <c r="D2" s="1"/>
      <c r="E2" s="1"/>
      <c r="F2" s="1"/>
      <c r="G2" s="1"/>
      <c r="H2" s="1"/>
      <c r="I2" s="1"/>
      <c r="J2" s="1"/>
      <c r="K2" s="1"/>
      <c r="L2" s="1"/>
      <c r="O2" s="1"/>
      <c r="P2" s="1"/>
      <c r="Q2" s="1"/>
      <c r="R2" s="1"/>
      <c r="S2" s="1"/>
      <c r="T2" s="1"/>
      <c r="U2" s="1"/>
    </row>
    <row r="3" spans="2:26" ht="15" x14ac:dyDescent="0.25">
      <c r="B3" s="29" t="e" vm="1">
        <v>#VALUE!</v>
      </c>
      <c r="C3" s="1"/>
      <c r="D3" s="1"/>
      <c r="E3" s="1"/>
      <c r="F3" s="1"/>
      <c r="G3" s="1"/>
      <c r="H3" s="1"/>
      <c r="I3"/>
      <c r="J3" s="1"/>
      <c r="K3" s="1"/>
      <c r="L3" s="1"/>
      <c r="O3" s="1"/>
      <c r="P3" s="1"/>
      <c r="Q3" s="1"/>
      <c r="R3" s="1"/>
      <c r="S3" s="1"/>
      <c r="T3" s="1"/>
      <c r="U3" s="1"/>
    </row>
    <row r="4" spans="2:26" x14ac:dyDescent="0.2">
      <c r="B4" s="1" t="s">
        <v>0</v>
      </c>
      <c r="C4" s="2" cm="1">
        <f t="array" aca="1" ref="C4" ca="1">_FV(B3,"Price")</f>
        <v>57.875</v>
      </c>
      <c r="D4" s="1"/>
      <c r="E4" s="1"/>
      <c r="F4" s="1"/>
      <c r="G4" s="1"/>
      <c r="H4" s="1"/>
      <c r="I4" s="1"/>
      <c r="J4" s="1"/>
      <c r="K4" s="1"/>
      <c r="L4" s="1"/>
      <c r="O4" s="1"/>
      <c r="P4" s="1"/>
      <c r="Q4" s="1"/>
      <c r="R4" s="1"/>
      <c r="S4" s="1"/>
      <c r="T4" s="1"/>
      <c r="U4" s="1"/>
    </row>
    <row r="5" spans="2:26" x14ac:dyDescent="0.2">
      <c r="B5" s="1" t="s">
        <v>1</v>
      </c>
      <c r="C5" s="21"/>
      <c r="D5" s="1"/>
      <c r="E5" s="1"/>
      <c r="F5" s="1"/>
      <c r="G5" s="1"/>
      <c r="H5" s="1"/>
      <c r="I5" s="1"/>
      <c r="J5" s="1"/>
      <c r="K5" s="1"/>
      <c r="L5" s="1"/>
      <c r="O5" s="1"/>
      <c r="P5" s="1"/>
      <c r="Q5" s="1"/>
      <c r="R5" s="1"/>
      <c r="S5" s="1"/>
      <c r="T5" s="1"/>
      <c r="U5" s="1"/>
    </row>
    <row r="6" spans="2:26" x14ac:dyDescent="0.2">
      <c r="B6" s="1" t="s">
        <v>2</v>
      </c>
      <c r="C6" s="21">
        <f ca="1">C4*C5</f>
        <v>0</v>
      </c>
      <c r="D6" s="1"/>
      <c r="E6" s="1"/>
      <c r="F6" s="1"/>
      <c r="G6" s="1"/>
      <c r="H6" s="1"/>
      <c r="I6" s="1"/>
      <c r="J6" s="1"/>
      <c r="K6" s="1"/>
      <c r="L6" s="1"/>
      <c r="O6" s="1"/>
      <c r="P6" s="1"/>
      <c r="Q6" s="1"/>
      <c r="R6" s="1"/>
      <c r="S6" s="1"/>
      <c r="T6" s="1"/>
      <c r="U6" s="1"/>
    </row>
    <row r="7" spans="2:26" x14ac:dyDescent="0.2">
      <c r="B7" s="1"/>
      <c r="C7" s="1"/>
      <c r="D7" s="1"/>
      <c r="E7" s="1"/>
      <c r="F7" s="1"/>
      <c r="G7" s="1"/>
      <c r="H7" s="1"/>
      <c r="I7" s="1"/>
      <c r="J7" s="1"/>
      <c r="K7" s="1"/>
      <c r="L7" s="1"/>
      <c r="O7" s="1"/>
      <c r="P7" s="1"/>
      <c r="Q7" s="1"/>
      <c r="R7" s="1"/>
      <c r="S7" s="1"/>
      <c r="T7" s="1"/>
      <c r="U7" s="1"/>
    </row>
    <row r="8" spans="2:26" x14ac:dyDescent="0.2">
      <c r="B8" s="12" t="s">
        <v>13</v>
      </c>
      <c r="C8" s="3" t="s">
        <v>7</v>
      </c>
      <c r="D8" s="3" t="s">
        <v>8</v>
      </c>
      <c r="E8" s="3" t="s">
        <v>9</v>
      </c>
      <c r="F8" s="3" t="s">
        <v>10</v>
      </c>
      <c r="G8" s="3" t="s">
        <v>11</v>
      </c>
      <c r="H8" s="3" t="s">
        <v>12</v>
      </c>
      <c r="I8" s="3" t="s">
        <v>35</v>
      </c>
      <c r="J8" s="6" t="s">
        <v>4</v>
      </c>
      <c r="K8" s="7" t="s">
        <v>5</v>
      </c>
      <c r="L8" s="8" t="s">
        <v>79</v>
      </c>
      <c r="N8" s="12" t="s">
        <v>13</v>
      </c>
      <c r="O8" s="3" t="s">
        <v>7</v>
      </c>
      <c r="P8" s="3" t="s">
        <v>8</v>
      </c>
      <c r="Q8" s="3" t="s">
        <v>9</v>
      </c>
      <c r="R8" s="3" t="s">
        <v>10</v>
      </c>
      <c r="S8" s="3" t="s">
        <v>11</v>
      </c>
      <c r="T8" s="3" t="s">
        <v>12</v>
      </c>
      <c r="U8" s="3" t="s">
        <v>35</v>
      </c>
      <c r="V8" s="6" t="s">
        <v>4</v>
      </c>
      <c r="W8" s="7" t="s">
        <v>5</v>
      </c>
      <c r="X8" s="8" t="s">
        <v>79</v>
      </c>
    </row>
    <row r="9" spans="2:26" ht="15" x14ac:dyDescent="0.25">
      <c r="B9" s="4" t="s">
        <v>3</v>
      </c>
      <c r="C9" s="21"/>
      <c r="D9" s="22"/>
      <c r="E9" s="21"/>
      <c r="F9" s="21"/>
      <c r="G9" s="21"/>
      <c r="H9" s="21"/>
      <c r="I9" s="21"/>
      <c r="J9" s="9"/>
      <c r="K9" s="10"/>
      <c r="L9" s="11"/>
      <c r="N9" s="27" t="s">
        <v>6</v>
      </c>
      <c r="O9" s="21"/>
      <c r="P9" s="22"/>
      <c r="Q9" s="21"/>
      <c r="R9" s="21"/>
      <c r="S9" s="21"/>
      <c r="T9" s="21"/>
      <c r="U9" s="61"/>
      <c r="V9" s="9"/>
      <c r="W9" s="10"/>
      <c r="X9" s="11"/>
    </row>
    <row r="10" spans="2:26" x14ac:dyDescent="0.2">
      <c r="B10" s="30" t="s">
        <v>14</v>
      </c>
      <c r="C10" s="23"/>
      <c r="D10" s="23"/>
      <c r="E10" s="23"/>
      <c r="F10" s="23"/>
      <c r="G10" s="23"/>
      <c r="H10" s="23"/>
      <c r="I10" s="23"/>
      <c r="J10" s="68"/>
      <c r="K10" s="67"/>
      <c r="L10" s="69"/>
      <c r="N10" s="38" t="s">
        <v>51</v>
      </c>
      <c r="O10" s="23">
        <v>161560</v>
      </c>
      <c r="P10" s="23">
        <v>380463</v>
      </c>
      <c r="Q10" s="23">
        <v>348221</v>
      </c>
      <c r="R10" s="23">
        <v>230203</v>
      </c>
      <c r="S10" s="23">
        <v>333073</v>
      </c>
      <c r="T10" s="23">
        <v>290114</v>
      </c>
      <c r="U10" s="52">
        <v>231845</v>
      </c>
      <c r="V10" s="87">
        <f>LN(Table2[[#This Row],[2025]]/Table2[[#This Row],[2024]])</f>
        <v>-0.22420490424640779</v>
      </c>
      <c r="W10" s="71">
        <f>LN(Table2[[#This Row],[2025]]/Table2[[#This Row],[2023]])</f>
        <v>-0.362292640237171</v>
      </c>
      <c r="X10" s="72">
        <f>LN(Table2[[#This Row],[2025]]/Table2[[#This Row],[2019]])</f>
        <v>0.36119245424225804</v>
      </c>
    </row>
    <row r="11" spans="2:26" ht="25.5" x14ac:dyDescent="0.2">
      <c r="B11" s="31" t="s">
        <v>15</v>
      </c>
      <c r="C11" s="23">
        <v>43086</v>
      </c>
      <c r="D11" s="23">
        <v>34029</v>
      </c>
      <c r="E11" s="23">
        <v>29282</v>
      </c>
      <c r="F11" s="23">
        <v>37919</v>
      </c>
      <c r="G11" s="23">
        <v>57124</v>
      </c>
      <c r="H11" s="23">
        <v>61993</v>
      </c>
      <c r="I11" s="23">
        <v>63080</v>
      </c>
      <c r="J11" s="70">
        <f>LN(Table1[[#This Row],[2025]]/Table1[[#This Row],[2024]])</f>
        <v>1.7382286649601494E-2</v>
      </c>
      <c r="K11" s="87">
        <f>LN(Table1[[#This Row],[2025]]/Table1[[#This Row],[2023]])</f>
        <v>9.9179418504150865E-2</v>
      </c>
      <c r="L11" s="87">
        <f>LN(Table1[[#This Row],[2025]]/Table1[[#This Row],[2019]])</f>
        <v>0.38120564373860216</v>
      </c>
      <c r="N11" s="48" t="s">
        <v>52</v>
      </c>
      <c r="O11" s="23">
        <v>274597</v>
      </c>
      <c r="P11" s="23">
        <v>304058</v>
      </c>
      <c r="Q11" s="23">
        <v>250720</v>
      </c>
      <c r="R11" s="23">
        <v>267574</v>
      </c>
      <c r="S11" s="23">
        <v>280624</v>
      </c>
      <c r="T11" s="23">
        <v>274709</v>
      </c>
      <c r="U11" s="52">
        <v>316578</v>
      </c>
      <c r="V11" s="87">
        <f>LN(Table2[[#This Row],[2025]]/Table2[[#This Row],[2024]])</f>
        <v>0.14185730114042827</v>
      </c>
      <c r="W11" s="71">
        <f>LN(Table2[[#This Row],[2025]]/Table2[[#This Row],[2023]])</f>
        <v>0.12055396170337591</v>
      </c>
      <c r="X11" s="72">
        <f>LN(Table2[[#This Row],[2025]]/Table2[[#This Row],[2019]])</f>
        <v>0.14226508842675703</v>
      </c>
    </row>
    <row r="12" spans="2:26" x14ac:dyDescent="0.2">
      <c r="B12" s="31" t="s">
        <v>16</v>
      </c>
      <c r="C12" s="25">
        <v>11806</v>
      </c>
      <c r="D12" s="25">
        <v>9790</v>
      </c>
      <c r="E12" s="23">
        <v>12376</v>
      </c>
      <c r="F12" s="25">
        <v>17127</v>
      </c>
      <c r="G12" s="25">
        <v>20226</v>
      </c>
      <c r="H12" s="25">
        <v>26007</v>
      </c>
      <c r="I12" s="25">
        <v>27393</v>
      </c>
      <c r="J12" s="70">
        <f>LN(Table1[[#This Row],[2025]]/Table1[[#This Row],[2024]])</f>
        <v>5.1921773747699698E-2</v>
      </c>
      <c r="K12" s="87">
        <f>LN(Table1[[#This Row],[2025]]/Table1[[#This Row],[2023]])</f>
        <v>0.30331860082233403</v>
      </c>
      <c r="L12" s="72">
        <f>LN(Table1[[#This Row],[2025]]/Table1[[#This Row],[2019]])</f>
        <v>0.84167962948381514</v>
      </c>
      <c r="N12" s="54" t="s">
        <v>64</v>
      </c>
      <c r="O12" s="23">
        <v>7107</v>
      </c>
      <c r="P12" s="23">
        <v>6546</v>
      </c>
      <c r="Q12" s="23">
        <v>7144</v>
      </c>
      <c r="R12" s="23">
        <v>7259</v>
      </c>
      <c r="S12" s="23">
        <v>8346</v>
      </c>
      <c r="T12" s="23">
        <v>6372</v>
      </c>
      <c r="U12" s="52">
        <v>7474</v>
      </c>
      <c r="V12" s="70">
        <f>LN(Table2[[#This Row],[2025]]/Table2[[#This Row],[2024]])</f>
        <v>0.15951693901548999</v>
      </c>
      <c r="W12" s="71">
        <f>LN(Table2[[#This Row],[2025]]/Table2[[#This Row],[2023]])</f>
        <v>-0.11035205110606867</v>
      </c>
      <c r="X12" s="72">
        <f>LN(Table2[[#This Row],[2025]]/Table2[[#This Row],[2019]])</f>
        <v>5.0350117218534024E-2</v>
      </c>
    </row>
    <row r="13" spans="2:26" ht="25.5" x14ac:dyDescent="0.2">
      <c r="B13" s="31" t="s">
        <v>17</v>
      </c>
      <c r="C13" s="25">
        <v>4843</v>
      </c>
      <c r="D13" s="25">
        <v>903</v>
      </c>
      <c r="E13" s="25">
        <v>-90</v>
      </c>
      <c r="F13" s="25">
        <v>4560</v>
      </c>
      <c r="G13" s="25">
        <v>18679</v>
      </c>
      <c r="H13" s="25">
        <v>19911</v>
      </c>
      <c r="I13" s="25">
        <v>15433</v>
      </c>
      <c r="J13" s="87">
        <f>LN(Table1[[#This Row],[2025]]/Table1[[#This Row],[2024]])</f>
        <v>-0.25476426891320314</v>
      </c>
      <c r="K13" s="71">
        <f>LN(Table1[[#This Row],[2025]]/Table1[[#This Row],[2023]])</f>
        <v>-0.19089182425847154</v>
      </c>
      <c r="L13" s="72">
        <f>LN(Table1[[#This Row],[2025]]/Table1[[#This Row],[2019]])</f>
        <v>1.1589737104976023</v>
      </c>
      <c r="N13" s="38" t="s">
        <v>18</v>
      </c>
      <c r="O13" s="23">
        <v>229826</v>
      </c>
      <c r="P13" s="23">
        <v>198854</v>
      </c>
      <c r="Q13" s="23">
        <v>247080</v>
      </c>
      <c r="R13" s="23">
        <v>296108</v>
      </c>
      <c r="S13" s="23">
        <v>277354</v>
      </c>
      <c r="T13" s="23">
        <v>314460</v>
      </c>
      <c r="U13" s="52">
        <v>366954</v>
      </c>
      <c r="V13" s="87">
        <f>LN(Table2[[#This Row],[2025]]/Table2[[#This Row],[2024]])</f>
        <v>0.15437961755719595</v>
      </c>
      <c r="W13" s="87">
        <f>LN(Table2[[#This Row],[2025]]/Table2[[#This Row],[2023]])</f>
        <v>0.27994183099187764</v>
      </c>
      <c r="X13" s="87">
        <f>LN(Table2[[#This Row],[2025]]/Table2[[#This Row],[2019]])</f>
        <v>0.46791399872223921</v>
      </c>
      <c r="Z13" s="102"/>
    </row>
    <row r="14" spans="2:26" x14ac:dyDescent="0.2">
      <c r="B14" s="31" t="s">
        <v>18</v>
      </c>
      <c r="C14" s="25">
        <v>5196</v>
      </c>
      <c r="D14" s="25">
        <v>4128</v>
      </c>
      <c r="E14" s="25">
        <v>3770</v>
      </c>
      <c r="F14" s="25">
        <v>5521</v>
      </c>
      <c r="G14" s="25">
        <v>8773</v>
      </c>
      <c r="H14" s="25">
        <v>10376</v>
      </c>
      <c r="I14" s="25">
        <v>12239</v>
      </c>
      <c r="J14" s="87">
        <f>LN(Table1[[#This Row],[2025]]/Table1[[#This Row],[2024]])</f>
        <v>0.16513212738605862</v>
      </c>
      <c r="K14" s="87">
        <f>LN(Table1[[#This Row],[2025]]/Table1[[#This Row],[2023]])</f>
        <v>0.33294875125395462</v>
      </c>
      <c r="L14" s="87">
        <f>LN(Table1[[#This Row],[2025]]/Table1[[#This Row],[2019]])</f>
        <v>0.85673847559184835</v>
      </c>
      <c r="N14" s="53" t="s">
        <v>71</v>
      </c>
      <c r="O14" s="23">
        <v>40485</v>
      </c>
      <c r="P14" s="23">
        <v>47179</v>
      </c>
      <c r="Q14" s="23">
        <v>35344</v>
      </c>
      <c r="R14" s="23">
        <v>48642</v>
      </c>
      <c r="S14" s="23">
        <v>39323</v>
      </c>
      <c r="T14" s="23">
        <v>40948</v>
      </c>
      <c r="U14" s="52">
        <v>40881</v>
      </c>
      <c r="V14" s="70">
        <f>LN(Table2[[#This Row],[2025]]/Table2[[#This Row],[2024]])</f>
        <v>-1.6375616217309376E-3</v>
      </c>
      <c r="W14" s="71">
        <f>LN(Table2[[#This Row],[2025]]/Table2[[#This Row],[2023]])</f>
        <v>3.8855818017452158E-2</v>
      </c>
      <c r="X14" s="72">
        <f>LN(Table2[[#This Row],[2025]]/Table2[[#This Row],[2019]])</f>
        <v>9.7338722977157888E-3</v>
      </c>
    </row>
    <row r="15" spans="2:26" x14ac:dyDescent="0.2">
      <c r="B15" s="31" t="s">
        <v>19</v>
      </c>
      <c r="C15" s="25">
        <v>6305</v>
      </c>
      <c r="D15" s="25">
        <v>2735</v>
      </c>
      <c r="E15" s="25">
        <v>2334</v>
      </c>
      <c r="F15" s="25">
        <v>7438</v>
      </c>
      <c r="G15" s="25">
        <v>25460</v>
      </c>
      <c r="H15" s="25">
        <v>28320</v>
      </c>
      <c r="I15" s="25">
        <v>20421</v>
      </c>
      <c r="J15" s="87">
        <f>LN(Table1[[#This Row],[2025]]/Table1[[#This Row],[2024]])</f>
        <v>-0.32700448569159496</v>
      </c>
      <c r="K15" s="71">
        <f>LN(Table1[[#This Row],[2025]]/Table1[[#This Row],[2023]])</f>
        <v>-0.22054480999533643</v>
      </c>
      <c r="L15" s="72">
        <f>LN(Table1[[#This Row],[2025]]/Table1[[#This Row],[2019]])</f>
        <v>1.1752208137170412</v>
      </c>
      <c r="N15" s="38" t="s">
        <v>16</v>
      </c>
      <c r="O15" s="23">
        <v>472197</v>
      </c>
      <c r="P15" s="23">
        <v>684850</v>
      </c>
      <c r="Q15" s="23">
        <v>982627</v>
      </c>
      <c r="R15" s="23">
        <v>862819</v>
      </c>
      <c r="S15" s="23">
        <v>871407</v>
      </c>
      <c r="T15" s="23">
        <v>917284</v>
      </c>
      <c r="U15" s="52">
        <v>925635</v>
      </c>
      <c r="V15" s="70">
        <f>LN(Table2[[#This Row],[2025]]/Table2[[#This Row],[2024]])</f>
        <v>9.0628586056356718E-3</v>
      </c>
      <c r="W15" s="71">
        <f>LN(Table2[[#This Row],[2025]]/Table2[[#This Row],[2023]])</f>
        <v>6.0370841773506004E-2</v>
      </c>
      <c r="X15" s="87">
        <f>LN(Table2[[#This Row],[2025]]/Table2[[#This Row],[2019]])</f>
        <v>0.67308371708376868</v>
      </c>
    </row>
    <row r="16" spans="2:26" ht="13.5" thickBot="1" x14ac:dyDescent="0.25">
      <c r="B16" s="32" t="s">
        <v>20</v>
      </c>
      <c r="C16" s="35">
        <f>SUM(C11:C15)</f>
        <v>71236</v>
      </c>
      <c r="D16" s="35">
        <f t="shared" ref="D16:I16" si="0">SUM(D11:D15)</f>
        <v>51585</v>
      </c>
      <c r="E16" s="35">
        <f t="shared" si="0"/>
        <v>47672</v>
      </c>
      <c r="F16" s="35">
        <f t="shared" si="0"/>
        <v>72565</v>
      </c>
      <c r="G16" s="35">
        <f t="shared" si="0"/>
        <v>130262</v>
      </c>
      <c r="H16" s="35">
        <f t="shared" si="0"/>
        <v>146607</v>
      </c>
      <c r="I16" s="35">
        <f t="shared" si="0"/>
        <v>138566</v>
      </c>
      <c r="J16" s="88">
        <f>LN(Table1[[#This Row],[2025]]/Table1[[#This Row],[2024]])</f>
        <v>-5.6408790872399896E-2</v>
      </c>
      <c r="K16" s="74">
        <f>LN(Table1[[#This Row],[2025]]/Table1[[#This Row],[2023]])</f>
        <v>6.1798939509057835E-2</v>
      </c>
      <c r="L16" s="88">
        <f>LN(Table1[[#This Row],[2025]]/Table1[[#This Row],[2019]])</f>
        <v>0.66534843780325359</v>
      </c>
      <c r="N16" s="53" t="s">
        <v>65</v>
      </c>
      <c r="O16" s="37">
        <v>974010</v>
      </c>
      <c r="P16" s="37">
        <v>909059</v>
      </c>
      <c r="Q16" s="37">
        <v>966737</v>
      </c>
      <c r="R16" s="37">
        <v>1033065</v>
      </c>
      <c r="S16" s="37">
        <v>1040390</v>
      </c>
      <c r="T16" s="37">
        <v>1082595</v>
      </c>
      <c r="U16" s="52">
        <v>1172497</v>
      </c>
      <c r="V16" s="87">
        <f>LN(Table2[[#This Row],[2025]]/Table2[[#This Row],[2024]])</f>
        <v>7.9774725840546457E-2</v>
      </c>
      <c r="W16" s="71">
        <f>LN(Table2[[#This Row],[2025]]/Table2[[#This Row],[2023]])</f>
        <v>0.11954001984127512</v>
      </c>
      <c r="X16" s="72">
        <f>LN(Table2[[#This Row],[2025]]/Table2[[#This Row],[2019]])</f>
        <v>0.18546937115148449</v>
      </c>
    </row>
    <row r="17" spans="1:24" x14ac:dyDescent="0.2">
      <c r="B17" s="33" t="s">
        <v>21</v>
      </c>
      <c r="C17" s="25"/>
      <c r="D17" s="25"/>
      <c r="E17" s="25"/>
      <c r="F17" s="25"/>
      <c r="G17" s="25"/>
      <c r="H17" s="25"/>
      <c r="I17" s="25"/>
      <c r="J17" s="70"/>
      <c r="K17" s="71"/>
      <c r="L17" s="72"/>
      <c r="N17" s="53" t="s">
        <v>66</v>
      </c>
      <c r="O17" s="23">
        <v>10561</v>
      </c>
      <c r="P17" s="23">
        <v>11000</v>
      </c>
      <c r="Q17" s="23">
        <v>10833</v>
      </c>
      <c r="R17" s="23">
        <v>11510</v>
      </c>
      <c r="S17" s="23">
        <v>11855</v>
      </c>
      <c r="T17" s="23">
        <v>12168</v>
      </c>
      <c r="U17" s="52">
        <v>12516</v>
      </c>
      <c r="V17" s="87">
        <f>LN(Table2[[#This Row],[2025]]/Table2[[#This Row],[2024]])</f>
        <v>2.8198270849644009E-2</v>
      </c>
      <c r="W17" s="87">
        <f>LN(Table2[[#This Row],[2025]]/Table2[[#This Row],[2023]])</f>
        <v>5.4258106289266896E-2</v>
      </c>
      <c r="X17" s="87">
        <f>LN(Table2[[#This Row],[2025]]/Table2[[#This Row],[2019]])</f>
        <v>0.16983985504229829</v>
      </c>
    </row>
    <row r="18" spans="1:24" x14ac:dyDescent="0.2">
      <c r="B18" s="31" t="s">
        <v>22</v>
      </c>
      <c r="C18" s="25">
        <v>7188</v>
      </c>
      <c r="D18" s="25">
        <v>1943</v>
      </c>
      <c r="E18" s="25">
        <v>537</v>
      </c>
      <c r="F18" s="25">
        <v>4718</v>
      </c>
      <c r="G18" s="25">
        <v>26163</v>
      </c>
      <c r="H18" s="25">
        <v>38442</v>
      </c>
      <c r="I18" s="25">
        <v>34513</v>
      </c>
      <c r="J18" s="87">
        <f>LN(Table1[[#This Row],[2025]]/Table1[[#This Row],[2024]])</f>
        <v>-0.10781454722908217</v>
      </c>
      <c r="K18" s="71">
        <f>LN(Table1[[#This Row],[2025]]/Table1[[#This Row],[2023]])</f>
        <v>0.27698986574289908</v>
      </c>
      <c r="L18" s="72">
        <f>LN(Table1[[#This Row],[2025]]/Table1[[#This Row],[2019]])</f>
        <v>1.5689230957345448</v>
      </c>
      <c r="N18" s="53" t="s">
        <v>67</v>
      </c>
      <c r="O18" s="23">
        <v>68951</v>
      </c>
      <c r="P18" s="23">
        <v>68951</v>
      </c>
      <c r="Q18" s="23">
        <v>69022</v>
      </c>
      <c r="R18" s="23">
        <v>69022</v>
      </c>
      <c r="S18" s="23">
        <v>69021</v>
      </c>
      <c r="T18" s="23">
        <v>69021</v>
      </c>
      <c r="U18" s="52">
        <v>69021</v>
      </c>
      <c r="V18" s="70">
        <f>LN(Table2[[#This Row],[2025]]/Table2[[#This Row],[2024]])</f>
        <v>0</v>
      </c>
      <c r="W18" s="71">
        <f>LN(Table2[[#This Row],[2025]]/Table2[[#This Row],[2023]])</f>
        <v>0</v>
      </c>
      <c r="X18" s="72">
        <f>LN(Table2[[#This Row],[2025]]/Table2[[#This Row],[2019]])</f>
        <v>1.0146987215678247E-3</v>
      </c>
    </row>
    <row r="19" spans="1:24" x14ac:dyDescent="0.2">
      <c r="B19" s="56" t="s">
        <v>23</v>
      </c>
      <c r="C19" s="25">
        <v>7208</v>
      </c>
      <c r="D19" s="25">
        <v>987</v>
      </c>
      <c r="E19" s="25">
        <v>-358</v>
      </c>
      <c r="F19" s="25">
        <v>6978</v>
      </c>
      <c r="G19" s="25">
        <v>30553</v>
      </c>
      <c r="H19" s="25">
        <v>34538</v>
      </c>
      <c r="I19" s="25">
        <v>28042</v>
      </c>
      <c r="J19" s="87">
        <f>LN(Table1[[#This Row],[2025]]/Table1[[#This Row],[2024]])</f>
        <v>-0.20835678086353851</v>
      </c>
      <c r="K19" s="71">
        <f>LN(Table1[[#This Row],[2025]]/Table1[[#This Row],[2023]])</f>
        <v>-8.5759494170060055E-2</v>
      </c>
      <c r="L19" s="72">
        <f>LN(Table1[[#This Row],[2025]]/Table1[[#This Row],[2019]])</f>
        <v>1.358511865992903</v>
      </c>
      <c r="N19" s="53" t="s">
        <v>68</v>
      </c>
      <c r="O19" s="59">
        <v>9158</v>
      </c>
      <c r="P19" s="59">
        <v>9243</v>
      </c>
      <c r="Q19" s="59">
        <v>15635</v>
      </c>
      <c r="R19" s="59">
        <v>6871</v>
      </c>
      <c r="S19" s="59">
        <v>6002</v>
      </c>
      <c r="T19" s="59">
        <v>9545</v>
      </c>
      <c r="U19" s="59">
        <v>5165</v>
      </c>
      <c r="V19" s="91">
        <f>LN(Table2[[#This Row],[2025]]/Table2[[#This Row],[2024]])</f>
        <v>-0.61411235460610913</v>
      </c>
      <c r="W19" s="81">
        <f>LN(Table2[[#This Row],[2025]]/Table2[[#This Row],[2023]])</f>
        <v>-0.15018764444657354</v>
      </c>
      <c r="X19" s="82">
        <f>LN(Table2[[#This Row],[2025]]/Table2[[#This Row],[2019]])</f>
        <v>-0.57272271166330191</v>
      </c>
    </row>
    <row r="20" spans="1:24" s="5" customFormat="1" x14ac:dyDescent="0.2">
      <c r="A20" s="1"/>
      <c r="B20" s="31" t="s">
        <v>24</v>
      </c>
      <c r="C20" s="25">
        <v>1249</v>
      </c>
      <c r="D20" s="25">
        <v>974</v>
      </c>
      <c r="E20" s="25">
        <v>1128</v>
      </c>
      <c r="F20" s="25">
        <v>1538</v>
      </c>
      <c r="G20" s="25">
        <v>2043</v>
      </c>
      <c r="H20" s="25">
        <v>2191</v>
      </c>
      <c r="I20" s="25">
        <v>2657</v>
      </c>
      <c r="J20" s="70">
        <f>LN(Table1[[#This Row],[2025]]/Table1[[#This Row],[2024]])</f>
        <v>0.19283960616434692</v>
      </c>
      <c r="K20" s="71">
        <f>LN(Table1[[#This Row],[2025]]/Table1[[#This Row],[2023]])</f>
        <v>0.26277835094219143</v>
      </c>
      <c r="L20" s="72">
        <f>LN(Table1[[#This Row],[2025]]/Table1[[#This Row],[2019]])</f>
        <v>0.75485443563423571</v>
      </c>
      <c r="M20" s="1"/>
      <c r="N20" s="53" t="s">
        <v>69</v>
      </c>
      <c r="O20" s="23">
        <v>55937</v>
      </c>
      <c r="P20" s="59">
        <v>64221</v>
      </c>
      <c r="Q20" s="23">
        <v>72263</v>
      </c>
      <c r="R20" s="23">
        <v>67543</v>
      </c>
      <c r="S20" s="23">
        <v>81881</v>
      </c>
      <c r="T20" s="23">
        <v>82247</v>
      </c>
      <c r="U20" s="52">
        <v>98186</v>
      </c>
      <c r="V20" s="70">
        <f>LN(Table2[[#This Row],[2025]]/Table2[[#This Row],[2024]])</f>
        <v>0.17713672418929965</v>
      </c>
      <c r="W20" s="71">
        <f>LN(Table2[[#This Row],[2025]]/Table2[[#This Row],[2023]])</f>
        <v>0.18159666529231161</v>
      </c>
      <c r="X20" s="72">
        <f>LN(Table2[[#This Row],[2025]]/Table2[[#This Row],[2019]])</f>
        <v>0.56263758155780963</v>
      </c>
    </row>
    <row r="21" spans="1:24" x14ac:dyDescent="0.2">
      <c r="B21" s="66" t="s">
        <v>78</v>
      </c>
      <c r="C21" s="25">
        <v>6700</v>
      </c>
      <c r="D21" s="25">
        <v>4321</v>
      </c>
      <c r="E21" s="25">
        <v>3431</v>
      </c>
      <c r="F21" s="25">
        <v>6869</v>
      </c>
      <c r="G21" s="25">
        <v>14572</v>
      </c>
      <c r="H21" s="25">
        <v>15376</v>
      </c>
      <c r="I21" s="25">
        <v>13258</v>
      </c>
      <c r="J21" s="87">
        <f>LN(Table1[[#This Row],[2025]]/Table1[[#This Row],[2024]])</f>
        <v>-0.1482067084087369</v>
      </c>
      <c r="K21" s="71">
        <f>LN(Table1[[#This Row],[2025]]/Table1[[#This Row],[2023]])</f>
        <v>-9.4500735327117558E-2</v>
      </c>
      <c r="L21" s="72">
        <f>LN(Table1[[#This Row],[2025]]/Table1[[#This Row],[2019]])</f>
        <v>0.68249361742227943</v>
      </c>
      <c r="N21" s="57" t="s">
        <v>43</v>
      </c>
      <c r="O21" s="23">
        <v>129690</v>
      </c>
      <c r="P21" s="23">
        <v>135293</v>
      </c>
      <c r="Q21" s="23">
        <v>163869</v>
      </c>
      <c r="R21" s="23">
        <v>150759</v>
      </c>
      <c r="S21" s="23">
        <v>160875</v>
      </c>
      <c r="T21" s="23">
        <v>162056</v>
      </c>
      <c r="U21" s="52">
        <v>163642</v>
      </c>
      <c r="V21" s="70">
        <f>LN(Table2[[#This Row],[2025]]/Table2[[#This Row],[2024]])</f>
        <v>9.7391604256284996E-3</v>
      </c>
      <c r="W21" s="71">
        <f>LN(Table2[[#This Row],[2025]]/Table2[[#This Row],[2023]])</f>
        <v>1.7053449020843051E-2</v>
      </c>
      <c r="X21" s="72">
        <f>LN(Table2[[#This Row],[2025]]/Table2[[#This Row],[2019]])</f>
        <v>0.23253412758948366</v>
      </c>
    </row>
    <row r="22" spans="1:24" ht="13.5" thickBot="1" x14ac:dyDescent="0.25">
      <c r="B22" s="32" t="s">
        <v>25</v>
      </c>
      <c r="C22" s="36">
        <f>SUM(C18:C21)</f>
        <v>22345</v>
      </c>
      <c r="D22" s="35">
        <f t="shared" ref="D22:I22" si="1">SUM(D18:D21)</f>
        <v>8225</v>
      </c>
      <c r="E22" s="35">
        <f t="shared" si="1"/>
        <v>4738</v>
      </c>
      <c r="F22" s="35">
        <f t="shared" si="1"/>
        <v>20103</v>
      </c>
      <c r="G22" s="35">
        <f t="shared" si="1"/>
        <v>73331</v>
      </c>
      <c r="H22" s="35">
        <f t="shared" si="1"/>
        <v>90547</v>
      </c>
      <c r="I22" s="35">
        <f t="shared" si="1"/>
        <v>78470</v>
      </c>
      <c r="J22" s="88">
        <f>LN(Table1[[#This Row],[2025]]/Table1[[#This Row],[2024]])</f>
        <v>-0.14315266677427685</v>
      </c>
      <c r="K22" s="74">
        <f>LN(Table1[[#This Row],[2025]]/Table1[[#This Row],[2023]])</f>
        <v>6.7732947143157238E-2</v>
      </c>
      <c r="L22" s="75">
        <f>LN(Table1[[#This Row],[2025]]/Table1[[#This Row],[2019]])</f>
        <v>1.256113803753967</v>
      </c>
      <c r="N22" s="43" t="s">
        <v>70</v>
      </c>
      <c r="O22" s="49">
        <f t="shared" ref="O22:S22" si="2">SUM(O10:O21)</f>
        <v>2434079</v>
      </c>
      <c r="P22" s="49">
        <f t="shared" si="2"/>
        <v>2819717</v>
      </c>
      <c r="Q22" s="49">
        <f t="shared" si="2"/>
        <v>3169495</v>
      </c>
      <c r="R22" s="49">
        <f t="shared" si="2"/>
        <v>3051375</v>
      </c>
      <c r="S22" s="49">
        <f t="shared" si="2"/>
        <v>3180151</v>
      </c>
      <c r="T22" s="49">
        <f>SUM(T10:T21)</f>
        <v>3261519</v>
      </c>
      <c r="U22" s="49">
        <f>SUM(U10:U21)</f>
        <v>3410394</v>
      </c>
      <c r="V22" s="73">
        <f>LN(Table2[[#This Row],[2025]]/Table2[[#This Row],[2024]])</f>
        <v>4.4634789365455695E-2</v>
      </c>
      <c r="W22" s="88">
        <f>LN(Table2[[#This Row],[2025]]/Table2[[#This Row],[2023]])</f>
        <v>6.9899147201424067E-2</v>
      </c>
      <c r="X22" s="88">
        <f>LN(Table2[[#This Row],[2025]]/Table2[[#This Row],[2019]])</f>
        <v>0.33725937624313967</v>
      </c>
    </row>
    <row r="23" spans="1:24" x14ac:dyDescent="0.2">
      <c r="B23" s="33" t="s">
        <v>26</v>
      </c>
      <c r="C23" s="25"/>
      <c r="D23" s="25"/>
      <c r="E23" s="25"/>
      <c r="F23" s="25"/>
      <c r="G23" s="25"/>
      <c r="H23" s="25"/>
      <c r="I23" s="25"/>
      <c r="J23" s="70"/>
      <c r="K23" s="71"/>
      <c r="L23" s="72"/>
      <c r="N23" s="53"/>
      <c r="O23" s="23"/>
      <c r="P23" s="23"/>
      <c r="Q23" s="23"/>
      <c r="R23" s="23"/>
      <c r="S23" s="23"/>
      <c r="T23" s="23"/>
      <c r="U23" s="52"/>
      <c r="V23" s="16"/>
      <c r="W23" s="15"/>
      <c r="X23" s="13"/>
    </row>
    <row r="24" spans="1:24" x14ac:dyDescent="0.2">
      <c r="B24" s="31" t="s">
        <v>27</v>
      </c>
      <c r="C24" s="25">
        <v>5797</v>
      </c>
      <c r="D24" s="25">
        <v>5656</v>
      </c>
      <c r="E24" s="25">
        <v>6218</v>
      </c>
      <c r="F24" s="25">
        <v>6083</v>
      </c>
      <c r="G24" s="25">
        <v>6054</v>
      </c>
      <c r="H24" s="25">
        <v>6284</v>
      </c>
      <c r="I24" s="25">
        <v>6359</v>
      </c>
      <c r="J24" s="70">
        <f>LN(Table1[[#This Row],[2025]]/Table1[[#This Row],[2024]])</f>
        <v>1.1864411891895925E-2</v>
      </c>
      <c r="K24" s="71">
        <f>LN(Table1[[#This Row],[2025]]/Table1[[#This Row],[2023]])</f>
        <v>4.9151921685743762E-2</v>
      </c>
      <c r="L24" s="87">
        <f>LN(Table1[[#This Row],[2025]]/Table1[[#This Row],[2019]])</f>
        <v>9.2530589927674892E-2</v>
      </c>
      <c r="N24" s="41" t="s">
        <v>53</v>
      </c>
      <c r="O24" s="23"/>
      <c r="P24" s="23"/>
      <c r="Q24" s="23"/>
      <c r="R24" s="23"/>
      <c r="S24" s="23"/>
      <c r="T24" s="23"/>
      <c r="U24" s="52"/>
      <c r="V24" s="16"/>
      <c r="W24" s="15"/>
      <c r="X24" s="13"/>
    </row>
    <row r="25" spans="1:24" x14ac:dyDescent="0.2">
      <c r="B25" s="31" t="s">
        <v>28</v>
      </c>
      <c r="C25" s="25">
        <v>7674</v>
      </c>
      <c r="D25" s="25">
        <v>7141</v>
      </c>
      <c r="E25" s="52">
        <v>7504</v>
      </c>
      <c r="F25" s="25">
        <v>6405</v>
      </c>
      <c r="G25" s="25">
        <v>5684</v>
      </c>
      <c r="H25" s="25">
        <v>6055</v>
      </c>
      <c r="I25" s="25">
        <v>6457</v>
      </c>
      <c r="J25" s="87">
        <f>LN(Table1[[#This Row],[2025]]/Table1[[#This Row],[2024]])</f>
        <v>6.428043663927438E-2</v>
      </c>
      <c r="K25" s="87">
        <f>LN(Table1[[#This Row],[2025]]/Table1[[#This Row],[2023]])</f>
        <v>0.12750960340947573</v>
      </c>
      <c r="L25" s="72">
        <f>LN(Table1[[#This Row],[2025]]/Table1[[#This Row],[2019]])</f>
        <v>-0.17267317818043071</v>
      </c>
      <c r="N25" s="53" t="s">
        <v>54</v>
      </c>
      <c r="O25" s="23">
        <v>403305</v>
      </c>
      <c r="P25" s="23">
        <v>650674</v>
      </c>
      <c r="Q25" s="23">
        <v>784189</v>
      </c>
      <c r="R25" s="23">
        <v>640745</v>
      </c>
      <c r="S25" s="23">
        <v>530619</v>
      </c>
      <c r="T25" s="23">
        <v>507561</v>
      </c>
      <c r="U25" s="52">
        <v>517834</v>
      </c>
      <c r="V25" s="70">
        <f>LN(Table2[[#This Row],[2025]]/Table2[[#This Row],[2024]])</f>
        <v>2.003782684248568E-2</v>
      </c>
      <c r="W25" s="71">
        <f>LN(Table2[[#This Row],[2025]]/Table2[[#This Row],[2023]])</f>
        <v>-2.438952200151067E-2</v>
      </c>
      <c r="X25" s="87">
        <f>LN(Table2[[#This Row],[2025]]/Table2[[#This Row],[2019]])</f>
        <v>0.24996162805838598</v>
      </c>
    </row>
    <row r="26" spans="1:24" x14ac:dyDescent="0.2">
      <c r="B26" s="31" t="s">
        <v>29</v>
      </c>
      <c r="C26" s="25">
        <v>13902</v>
      </c>
      <c r="D26" s="25">
        <v>14574</v>
      </c>
      <c r="E26" s="25">
        <v>16690</v>
      </c>
      <c r="F26" s="25">
        <v>15901</v>
      </c>
      <c r="G26" s="25">
        <v>15563</v>
      </c>
      <c r="H26" s="25">
        <v>17766</v>
      </c>
      <c r="I26" s="25">
        <v>19956</v>
      </c>
      <c r="J26" s="87">
        <f>LN(Table1[[#This Row],[2025]]/Table1[[#This Row],[2024]])</f>
        <v>0.11624333165128166</v>
      </c>
      <c r="K26" s="87">
        <f>LN(Table1[[#This Row],[2025]]/Table1[[#This Row],[2023]])</f>
        <v>0.2486335477759179</v>
      </c>
      <c r="L26" s="87">
        <f>LN(Table1[[#This Row],[2025]]/Table1[[#This Row],[2019]])</f>
        <v>0.36149713532049688</v>
      </c>
      <c r="N26" s="53" t="s">
        <v>55</v>
      </c>
      <c r="O26" s="23">
        <v>940731</v>
      </c>
      <c r="P26" s="23">
        <v>1038341</v>
      </c>
      <c r="Q26" s="23">
        <v>1165914</v>
      </c>
      <c r="R26" s="23">
        <v>1182590</v>
      </c>
      <c r="S26" s="23">
        <v>1273904</v>
      </c>
      <c r="T26" s="23">
        <v>1329014</v>
      </c>
      <c r="U26" s="52">
        <v>1361177</v>
      </c>
      <c r="V26" s="70">
        <f>LN(Table2[[#This Row],[2025]]/Table2[[#This Row],[2024]])</f>
        <v>2.3912452734253145E-2</v>
      </c>
      <c r="W26" s="71">
        <f>LN(Table2[[#This Row],[2025]]/Table2[[#This Row],[2023]])</f>
        <v>6.6263565553579817E-2</v>
      </c>
      <c r="X26" s="87">
        <f>LN(Table2[[#This Row],[2025]]/Table2[[#This Row],[2019]])</f>
        <v>0.36944781301029794</v>
      </c>
    </row>
    <row r="27" spans="1:24" s="5" customFormat="1" x14ac:dyDescent="0.2">
      <c r="A27" s="1"/>
      <c r="B27" s="31" t="s">
        <v>30</v>
      </c>
      <c r="C27" s="37">
        <v>5642</v>
      </c>
      <c r="D27" s="37">
        <v>7180</v>
      </c>
      <c r="E27" s="37">
        <v>8887</v>
      </c>
      <c r="F27" s="37">
        <v>4823</v>
      </c>
      <c r="G27" s="37">
        <v>4708</v>
      </c>
      <c r="H27" s="37">
        <v>6186</v>
      </c>
      <c r="I27" s="37">
        <v>6630</v>
      </c>
      <c r="J27" s="70">
        <f>LN(Table1[[#This Row],[2025]]/Table1[[#This Row],[2024]])</f>
        <v>6.931612993489332E-2</v>
      </c>
      <c r="K27" s="87">
        <f>LN(Table1[[#This Row],[2025]]/Table1[[#This Row],[2023]])</f>
        <v>0.3423416147997409</v>
      </c>
      <c r="L27" s="72">
        <f>LN(Table1[[#This Row],[2025]]/Table1[[#This Row],[2019]])</f>
        <v>0.1613661916179665</v>
      </c>
      <c r="M27" s="1"/>
      <c r="N27" s="53" t="s">
        <v>56</v>
      </c>
      <c r="O27" s="23">
        <v>13719</v>
      </c>
      <c r="P27" s="23">
        <v>17698</v>
      </c>
      <c r="Q27" s="23">
        <v>27457</v>
      </c>
      <c r="R27" s="23">
        <v>20480</v>
      </c>
      <c r="S27" s="23">
        <v>16427</v>
      </c>
      <c r="T27" s="23">
        <v>16297</v>
      </c>
      <c r="U27" s="52">
        <v>14216</v>
      </c>
      <c r="V27" s="87">
        <f>LN(Table2[[#This Row],[2025]]/Table2[[#This Row],[2024]])</f>
        <v>-0.13661295094150153</v>
      </c>
      <c r="W27" s="71">
        <f>LN(Table2[[#This Row],[2025]]/Table2[[#This Row],[2023]])</f>
        <v>-0.14455823170671256</v>
      </c>
      <c r="X27" s="72">
        <f>LN(Table2[[#This Row],[2025]]/Table2[[#This Row],[2019]])</f>
        <v>3.558635750832239E-2</v>
      </c>
    </row>
    <row r="28" spans="1:24" x14ac:dyDescent="0.2">
      <c r="B28" s="31" t="s">
        <v>31</v>
      </c>
      <c r="C28" s="37">
        <v>9034</v>
      </c>
      <c r="D28" s="37">
        <v>8355</v>
      </c>
      <c r="E28" s="37">
        <v>8691</v>
      </c>
      <c r="F28" s="37">
        <v>12075</v>
      </c>
      <c r="G28" s="37">
        <v>12732</v>
      </c>
      <c r="H28" s="37">
        <v>12967</v>
      </c>
      <c r="I28" s="37">
        <v>12014</v>
      </c>
      <c r="J28" s="70">
        <f>LN(Table1[[#This Row],[2025]]/Table1[[#This Row],[2024]])</f>
        <v>-7.6335032138777542E-2</v>
      </c>
      <c r="K28" s="71">
        <f>LN(Table1[[#This Row],[2025]]/Table1[[#This Row],[2023]])</f>
        <v>-5.804587299187669E-2</v>
      </c>
      <c r="L28" s="72">
        <f>LN(Table1[[#This Row],[2025]]/Table1[[#This Row],[2019]])</f>
        <v>0.28507739919555736</v>
      </c>
      <c r="N28" s="53" t="s">
        <v>57</v>
      </c>
      <c r="O28" s="23">
        <v>77048</v>
      </c>
      <c r="P28" s="23">
        <v>88767</v>
      </c>
      <c r="Q28" s="23">
        <v>86886</v>
      </c>
      <c r="R28" s="23">
        <v>86526</v>
      </c>
      <c r="S28" s="23">
        <v>102877</v>
      </c>
      <c r="T28" s="23">
        <v>112595</v>
      </c>
      <c r="U28" s="52">
        <v>125502</v>
      </c>
      <c r="V28" s="70">
        <f>LN(Table2[[#This Row],[2025]]/Table2[[#This Row],[2024]])</f>
        <v>0.10852438495353492</v>
      </c>
      <c r="W28" s="71">
        <f>LN(Table2[[#This Row],[2025]]/Table2[[#This Row],[2023]])</f>
        <v>0.19878759482232042</v>
      </c>
      <c r="X28" s="87">
        <f>LN(Table2[[#This Row],[2025]]/Table2[[#This Row],[2019]])</f>
        <v>0.48789309044127471</v>
      </c>
    </row>
    <row r="29" spans="1:24" x14ac:dyDescent="0.2">
      <c r="B29" s="31" t="s">
        <v>32</v>
      </c>
      <c r="C29" s="37">
        <v>304</v>
      </c>
      <c r="D29" s="37">
        <v>-738</v>
      </c>
      <c r="E29" s="37">
        <v>-1811</v>
      </c>
      <c r="F29" s="37">
        <v>-2799</v>
      </c>
      <c r="G29" s="37">
        <v>-3091</v>
      </c>
      <c r="H29" s="37">
        <v>-3431</v>
      </c>
      <c r="I29" s="37">
        <v>1585</v>
      </c>
      <c r="J29" s="76" t="s">
        <v>80</v>
      </c>
      <c r="K29" s="77" t="s">
        <v>80</v>
      </c>
      <c r="L29" s="78" t="s">
        <v>80</v>
      </c>
      <c r="N29" s="53" t="s">
        <v>58</v>
      </c>
      <c r="O29" s="23">
        <v>165109</v>
      </c>
      <c r="P29" s="23">
        <v>170323</v>
      </c>
      <c r="Q29" s="23">
        <v>192329</v>
      </c>
      <c r="R29" s="23">
        <v>195635</v>
      </c>
      <c r="S29" s="23">
        <v>283887</v>
      </c>
      <c r="T29" s="23">
        <v>331758</v>
      </c>
      <c r="U29" s="52">
        <v>344716</v>
      </c>
      <c r="V29" s="70">
        <f>LN(Table2[[#This Row],[2025]]/Table2[[#This Row],[2024]])</f>
        <v>3.8315102154280196E-2</v>
      </c>
      <c r="W29" s="87">
        <f>LN(Table2[[#This Row],[2025]]/Table2[[#This Row],[2023]])</f>
        <v>0.19414461796083271</v>
      </c>
      <c r="X29" s="87">
        <f>LN(Table2[[#This Row],[2025]]/Table2[[#This Row],[2019]])</f>
        <v>0.73611502776287885</v>
      </c>
    </row>
    <row r="30" spans="1:24" ht="13.5" thickBot="1" x14ac:dyDescent="0.25">
      <c r="B30" s="32" t="s">
        <v>33</v>
      </c>
      <c r="C30" s="36">
        <f>SUM(C24:C29)</f>
        <v>42353</v>
      </c>
      <c r="D30" s="35">
        <f t="shared" ref="D30:I30" si="3">SUM(D24:D29)</f>
        <v>42168</v>
      </c>
      <c r="E30" s="35">
        <f>SUM(E24:E29)</f>
        <v>46179</v>
      </c>
      <c r="F30" s="35">
        <f t="shared" si="3"/>
        <v>42488</v>
      </c>
      <c r="G30" s="35">
        <f t="shared" si="3"/>
        <v>41650</v>
      </c>
      <c r="H30" s="35">
        <f t="shared" si="3"/>
        <v>45827</v>
      </c>
      <c r="I30" s="35">
        <f t="shared" si="3"/>
        <v>53001</v>
      </c>
      <c r="J30" s="88">
        <f>LN(Table1[[#This Row],[2025]]/Table1[[#This Row],[2024]])</f>
        <v>0.14543734422630564</v>
      </c>
      <c r="K30" s="88">
        <f>LN(Table1[[#This Row],[2025]]/Table1[[#This Row],[2023]])</f>
        <v>0.24100941268580139</v>
      </c>
      <c r="L30" s="75">
        <f>LN(Table1[[#This Row],[2025]]/Table1[[#This Row],[2019]])</f>
        <v>0.22427152445684387</v>
      </c>
      <c r="N30" s="53" t="s">
        <v>24</v>
      </c>
      <c r="O30" s="23">
        <v>83270</v>
      </c>
      <c r="P30" s="23">
        <v>71320</v>
      </c>
      <c r="Q30" s="23">
        <v>100690</v>
      </c>
      <c r="R30" s="23">
        <v>80399</v>
      </c>
      <c r="S30" s="23">
        <v>95530</v>
      </c>
      <c r="T30" s="23">
        <v>92543</v>
      </c>
      <c r="U30" s="52">
        <v>105996</v>
      </c>
      <c r="V30" s="70">
        <f>LN(Table2[[#This Row],[2025]]/Table2[[#This Row],[2024]])</f>
        <v>0.13572795618394845</v>
      </c>
      <c r="W30" s="71">
        <f>LN(Table2[[#This Row],[2025]]/Table2[[#This Row],[2023]])</f>
        <v>0.1039610232690784</v>
      </c>
      <c r="X30" s="72">
        <f>LN(Table2[[#This Row],[2025]]/Table2[[#This Row],[2019]])</f>
        <v>0.24131301730326746</v>
      </c>
    </row>
    <row r="31" spans="1:24" x14ac:dyDescent="0.2">
      <c r="B31" s="34"/>
      <c r="C31" s="23"/>
      <c r="D31" s="23"/>
      <c r="E31" s="23"/>
      <c r="F31" s="23"/>
      <c r="G31" s="23"/>
      <c r="H31" s="23"/>
      <c r="I31" s="23"/>
      <c r="J31" s="70"/>
      <c r="K31" s="71"/>
      <c r="L31" s="72"/>
      <c r="N31" s="53" t="s">
        <v>59</v>
      </c>
      <c r="O31" s="25">
        <v>38229</v>
      </c>
      <c r="P31" s="25">
        <v>45526</v>
      </c>
      <c r="Q31" s="25">
        <v>37675</v>
      </c>
      <c r="R31" s="25">
        <v>44816</v>
      </c>
      <c r="S31" s="25">
        <v>43432</v>
      </c>
      <c r="T31" s="25">
        <v>39353</v>
      </c>
      <c r="U31" s="52">
        <v>42076</v>
      </c>
      <c r="V31" s="70">
        <f>LN(Table2[[#This Row],[2025]]/Table2[[#This Row],[2024]])</f>
        <v>6.6905296037821652E-2</v>
      </c>
      <c r="W31" s="71">
        <f>LN(Table2[[#This Row],[2025]]/Table2[[#This Row],[2023]])</f>
        <v>-3.1718989726122325E-2</v>
      </c>
      <c r="X31" s="72">
        <f>LN(Table2[[#This Row],[2025]]/Table2[[#This Row],[2019]])</f>
        <v>9.5883116978775856E-2</v>
      </c>
    </row>
    <row r="32" spans="1:24" s="18" customFormat="1" ht="13.5" thickBot="1" x14ac:dyDescent="0.25">
      <c r="A32" s="1"/>
      <c r="B32" s="32" t="s">
        <v>81</v>
      </c>
      <c r="C32" s="35">
        <f>C16+C30-C22</f>
        <v>91244</v>
      </c>
      <c r="D32" s="35">
        <f t="shared" ref="D32:I32" si="4">D16+D30-D22</f>
        <v>85528</v>
      </c>
      <c r="E32" s="35">
        <f t="shared" si="4"/>
        <v>89113</v>
      </c>
      <c r="F32" s="35">
        <f t="shared" si="4"/>
        <v>94950</v>
      </c>
      <c r="G32" s="35">
        <f t="shared" si="4"/>
        <v>98581</v>
      </c>
      <c r="H32" s="35">
        <f t="shared" si="4"/>
        <v>101887</v>
      </c>
      <c r="I32" s="35">
        <f t="shared" si="4"/>
        <v>113097</v>
      </c>
      <c r="J32" s="88">
        <f>LN(Table1[[#This Row],[2025]]/Table1[[#This Row],[2024]])</f>
        <v>0.10438150153613029</v>
      </c>
      <c r="K32" s="74">
        <f>LN(Table1[[#This Row],[2025]]/Table1[[#This Row],[2023]])</f>
        <v>0.13736731230010998</v>
      </c>
      <c r="L32" s="75">
        <f>LN(Table1[[#This Row],[2025]]/Table1[[#This Row],[2019]])</f>
        <v>0.21470862069524432</v>
      </c>
      <c r="M32" s="1"/>
      <c r="N32" s="53" t="s">
        <v>60</v>
      </c>
      <c r="O32" s="23">
        <v>24204</v>
      </c>
      <c r="P32" s="23">
        <v>19321</v>
      </c>
      <c r="Q32" s="23">
        <v>23753</v>
      </c>
      <c r="R32" s="23">
        <v>26932</v>
      </c>
      <c r="S32" s="23">
        <v>32098</v>
      </c>
      <c r="T32" s="23">
        <v>43391</v>
      </c>
      <c r="U32" s="52">
        <v>48088</v>
      </c>
      <c r="V32" s="87">
        <f>LN(Table2[[#This Row],[2025]]/Table2[[#This Row],[2024]])</f>
        <v>0.10278061940720105</v>
      </c>
      <c r="W32" s="87">
        <f>LN(Table2[[#This Row],[2025]]/Table2[[#This Row],[2023]])</f>
        <v>0.40423894283789652</v>
      </c>
      <c r="X32" s="87">
        <f>LN(Table2[[#This Row],[2025]]/Table2[[#This Row],[2019]])</f>
        <v>0.68651475697678599</v>
      </c>
    </row>
    <row r="33" spans="1:24" s="5" customFormat="1" x14ac:dyDescent="0.2">
      <c r="A33" s="1"/>
      <c r="B33" s="40"/>
      <c r="C33" s="25"/>
      <c r="D33" s="25"/>
      <c r="E33" s="25"/>
      <c r="F33" s="25"/>
      <c r="G33" s="25"/>
      <c r="H33" s="25"/>
      <c r="I33" s="25"/>
      <c r="J33" s="70"/>
      <c r="K33" s="71"/>
      <c r="L33" s="72"/>
      <c r="M33" s="1"/>
      <c r="N33" s="53" t="s">
        <v>61</v>
      </c>
      <c r="O33" s="23">
        <v>182798</v>
      </c>
      <c r="P33" s="23">
        <v>181799</v>
      </c>
      <c r="Q33" s="23">
        <v>200419</v>
      </c>
      <c r="R33" s="52">
        <v>224073</v>
      </c>
      <c r="S33" s="23">
        <v>207527</v>
      </c>
      <c r="T33" s="23">
        <v>210169</v>
      </c>
      <c r="U33" s="52">
        <v>229730</v>
      </c>
      <c r="V33" s="70">
        <f>LN(Table2[[#This Row],[2025]]/Table2[[#This Row],[2024]])</f>
        <v>8.8992737329082902E-2</v>
      </c>
      <c r="W33" s="71">
        <f>LN(Table2[[#This Row],[2025]]/Table2[[#This Row],[2023]])</f>
        <v>0.10164325461633444</v>
      </c>
      <c r="X33" s="72">
        <f>LN(Table2[[#This Row],[2025]]/Table2[[#This Row],[2019]])</f>
        <v>0.2285229882629195</v>
      </c>
    </row>
    <row r="34" spans="1:24" x14ac:dyDescent="0.2">
      <c r="B34" s="31" t="s">
        <v>34</v>
      </c>
      <c r="C34" s="25">
        <v>3590</v>
      </c>
      <c r="D34" s="25">
        <v>11320</v>
      </c>
      <c r="E34" s="25">
        <v>-4594</v>
      </c>
      <c r="F34" s="25">
        <v>2543</v>
      </c>
      <c r="G34" s="25">
        <v>4394</v>
      </c>
      <c r="H34" s="25">
        <v>5821</v>
      </c>
      <c r="I34" s="52">
        <v>5675</v>
      </c>
      <c r="J34" s="87">
        <f>LN(Table1[[#This Row],[2025]]/Table1[[#This Row],[2024]])</f>
        <v>-2.5401504922132084E-2</v>
      </c>
      <c r="K34" s="71">
        <f>LN(Table1[[#This Row],[2025]]/Table1[[#This Row],[2023]])</f>
        <v>0.25583058940504783</v>
      </c>
      <c r="L34" s="72">
        <f>LN(Table1[[#This Row],[2025]]/Table1[[#This Row],[2019]])</f>
        <v>0.45791836086727877</v>
      </c>
      <c r="N34" s="53" t="s">
        <v>62</v>
      </c>
      <c r="O34" s="23">
        <v>240856</v>
      </c>
      <c r="P34" s="23">
        <v>262934</v>
      </c>
      <c r="Q34" s="23">
        <v>280117</v>
      </c>
      <c r="R34" s="23">
        <v>275982</v>
      </c>
      <c r="S34" s="23">
        <v>302204</v>
      </c>
      <c r="T34" s="23">
        <v>283279</v>
      </c>
      <c r="U34" s="52">
        <v>317816</v>
      </c>
      <c r="V34" s="70">
        <f>LN(Table2[[#This Row],[2025]]/Table2[[#This Row],[2024]])</f>
        <v>0.11504032124376511</v>
      </c>
      <c r="W34" s="71">
        <f>LN(Table2[[#This Row],[2025]]/Table2[[#This Row],[2023]])</f>
        <v>5.0370312946519884E-2</v>
      </c>
      <c r="X34" s="72">
        <f>LN(Table2[[#This Row],[2025]]/Table2[[#This Row],[2019]])</f>
        <v>0.27727335442818452</v>
      </c>
    </row>
    <row r="35" spans="1:24" ht="13.5" thickBot="1" x14ac:dyDescent="0.25">
      <c r="B35" s="28"/>
      <c r="C35" s="24"/>
      <c r="D35" s="24"/>
      <c r="E35" s="24"/>
      <c r="F35" s="24"/>
      <c r="G35" s="24"/>
      <c r="H35" s="24"/>
      <c r="I35" s="24"/>
      <c r="J35" s="70"/>
      <c r="K35" s="71"/>
      <c r="L35" s="72"/>
      <c r="N35" s="43" t="s">
        <v>63</v>
      </c>
      <c r="O35" s="35">
        <f t="shared" ref="O35:S35" si="5">SUM(O25:O34)</f>
        <v>2169269</v>
      </c>
      <c r="P35" s="35">
        <f t="shared" si="5"/>
        <v>2546703</v>
      </c>
      <c r="Q35" s="35">
        <f t="shared" si="5"/>
        <v>2899429</v>
      </c>
      <c r="R35" s="35">
        <f t="shared" si="5"/>
        <v>2778178</v>
      </c>
      <c r="S35" s="35">
        <f t="shared" si="5"/>
        <v>2888505</v>
      </c>
      <c r="T35" s="35">
        <f>SUM(T25:T34)</f>
        <v>2965960</v>
      </c>
      <c r="U35" s="35">
        <f>SUM(U25:U34)</f>
        <v>3107151</v>
      </c>
      <c r="V35" s="73">
        <f>LN(Table2[[#This Row],[2025]]/Table2[[#This Row],[2024]])</f>
        <v>4.6505471717468813E-2</v>
      </c>
      <c r="W35" s="74">
        <f>LN(Table2[[#This Row],[2025]]/Table2[[#This Row],[2023]])</f>
        <v>7.2967161925665672E-2</v>
      </c>
      <c r="X35" s="88">
        <f>LN(Table2[[#This Row],[2025]]/Table2[[#This Row],[2019]])</f>
        <v>0.35931598472489756</v>
      </c>
    </row>
    <row r="36" spans="1:24" x14ac:dyDescent="0.2">
      <c r="B36" s="41" t="s">
        <v>36</v>
      </c>
      <c r="C36" s="37"/>
      <c r="D36" s="37"/>
      <c r="E36" s="37"/>
      <c r="F36" s="37"/>
      <c r="G36" s="37"/>
      <c r="H36" s="37"/>
      <c r="I36" s="37"/>
      <c r="J36" s="70"/>
      <c r="K36" s="71"/>
      <c r="L36" s="72"/>
      <c r="N36" s="53"/>
      <c r="O36" s="23"/>
      <c r="P36" s="23"/>
      <c r="Q36" s="23"/>
      <c r="R36" s="23"/>
      <c r="S36" s="23"/>
      <c r="T36" s="23"/>
      <c r="U36" s="52"/>
      <c r="V36" s="16"/>
      <c r="W36" s="17"/>
      <c r="X36" s="13"/>
    </row>
    <row r="37" spans="1:24" x14ac:dyDescent="0.2">
      <c r="B37" s="38" t="s">
        <v>37</v>
      </c>
      <c r="C37" s="37">
        <v>31977</v>
      </c>
      <c r="D37" s="37">
        <v>32725</v>
      </c>
      <c r="E37" s="37">
        <v>36140</v>
      </c>
      <c r="F37" s="37">
        <v>36447</v>
      </c>
      <c r="G37" s="37">
        <v>38330</v>
      </c>
      <c r="H37" s="37">
        <v>40182</v>
      </c>
      <c r="I37" s="37">
        <v>42346</v>
      </c>
      <c r="J37" s="70">
        <f>LN(Table1[[#This Row],[2025]]/Table1[[#This Row],[2024]])</f>
        <v>5.2454831477776367E-2</v>
      </c>
      <c r="K37" s="87">
        <f>LN(Table1[[#This Row],[2025]]/Table1[[#This Row],[2023]])</f>
        <v>9.9641086241280916E-2</v>
      </c>
      <c r="L37" s="87">
        <f>LN(Table1[[#This Row],[2025]]/Table1[[#This Row],[2019]])</f>
        <v>0.28085707125863518</v>
      </c>
      <c r="N37" s="41" t="s">
        <v>72</v>
      </c>
      <c r="O37" s="24">
        <f t="shared" ref="O37:S37" si="6">O22-O35</f>
        <v>264810</v>
      </c>
      <c r="P37" s="24">
        <f t="shared" si="6"/>
        <v>273014</v>
      </c>
      <c r="Q37" s="24">
        <f t="shared" si="6"/>
        <v>270066</v>
      </c>
      <c r="R37" s="24">
        <f t="shared" si="6"/>
        <v>273197</v>
      </c>
      <c r="S37" s="24">
        <f t="shared" si="6"/>
        <v>291646</v>
      </c>
      <c r="T37" s="24">
        <f>T22-T35</f>
        <v>295559</v>
      </c>
      <c r="U37" s="24">
        <f>U22-U35</f>
        <v>303243</v>
      </c>
      <c r="V37" s="80">
        <f>LN(Table2[[#This Row],[2025]]/Table2[[#This Row],[2024]])</f>
        <v>2.5665985786148798E-2</v>
      </c>
      <c r="W37" s="79">
        <f>LN(Table2[[#This Row],[2025]]/Table2[[#This Row],[2023]])</f>
        <v>3.899372625694196E-2</v>
      </c>
      <c r="X37" s="87">
        <f>LN(Table2[[#This Row],[2025]]/Table2[[#This Row],[2019]])</f>
        <v>0.13552187659285247</v>
      </c>
    </row>
    <row r="38" spans="1:24" x14ac:dyDescent="0.2">
      <c r="B38" s="38" t="s">
        <v>38</v>
      </c>
      <c r="C38" s="37">
        <v>6588</v>
      </c>
      <c r="D38" s="37">
        <v>7141</v>
      </c>
      <c r="E38" s="37">
        <v>7138</v>
      </c>
      <c r="F38" s="37">
        <v>7071</v>
      </c>
      <c r="G38" s="37">
        <v>7164</v>
      </c>
      <c r="H38" s="37">
        <v>7289</v>
      </c>
      <c r="I38" s="37">
        <v>7453</v>
      </c>
      <c r="J38" s="70">
        <f>LN(Table1[[#This Row],[2025]]/Table1[[#This Row],[2024]])</f>
        <v>2.2250273499480982E-2</v>
      </c>
      <c r="K38" s="71">
        <f>LN(Table1[[#This Row],[2025]]/Table1[[#This Row],[2023]])</f>
        <v>3.9548151701091334E-2</v>
      </c>
      <c r="L38" s="72">
        <f>LN(Table1[[#This Row],[2025]]/Table1[[#This Row],[2019]])</f>
        <v>0.12336682358416297</v>
      </c>
      <c r="N38" s="55" t="s">
        <v>73</v>
      </c>
      <c r="O38" s="23">
        <f t="shared" ref="O38:P38" si="7">O10+O11+O12</f>
        <v>443264</v>
      </c>
      <c r="P38" s="23">
        <f t="shared" si="7"/>
        <v>691067</v>
      </c>
      <c r="Q38" s="23">
        <f>Q10+Q11+Q12</f>
        <v>606085</v>
      </c>
      <c r="R38" s="23">
        <f t="shared" ref="R38:T38" si="8">R10+R11+R12</f>
        <v>505036</v>
      </c>
      <c r="S38" s="23">
        <f t="shared" si="8"/>
        <v>622043</v>
      </c>
      <c r="T38" s="23">
        <f t="shared" si="8"/>
        <v>571195</v>
      </c>
      <c r="U38" s="23">
        <f t="shared" ref="U38" si="9">U10+U11+U12</f>
        <v>555897</v>
      </c>
      <c r="V38" s="70">
        <f>LN(Table2[[#This Row],[2025]]/Table2[[#This Row],[2024]])</f>
        <v>-2.7147632194874576E-2</v>
      </c>
      <c r="W38" s="71">
        <f>LN(Table2[[#This Row],[2025]]/Table2[[#This Row],[2023]])</f>
        <v>-0.11242619689169456</v>
      </c>
      <c r="X38" s="72">
        <f>LN(Table2[[#This Row],[2025]]/Table2[[#This Row],[2019]])</f>
        <v>0.2264174959508852</v>
      </c>
    </row>
    <row r="39" spans="1:24" x14ac:dyDescent="0.2">
      <c r="B39" s="38" t="s">
        <v>39</v>
      </c>
      <c r="C39" s="46">
        <v>4646</v>
      </c>
      <c r="D39" s="46">
        <v>5222</v>
      </c>
      <c r="E39" s="46">
        <v>5769</v>
      </c>
      <c r="F39" s="46">
        <v>6279</v>
      </c>
      <c r="G39" s="46">
        <v>6707</v>
      </c>
      <c r="H39" s="46">
        <v>7231</v>
      </c>
      <c r="I39" s="46">
        <v>7448</v>
      </c>
      <c r="J39" s="70">
        <f>LN(Table1[[#This Row],[2025]]/Table1[[#This Row],[2024]])</f>
        <v>2.9568200781951184E-2</v>
      </c>
      <c r="K39" s="71">
        <f>LN(Table1[[#This Row],[2025]]/Table1[[#This Row],[2023]])</f>
        <v>0.10479378285716583</v>
      </c>
      <c r="L39" s="72">
        <f>LN(Table1[[#This Row],[2025]]/Table1[[#This Row],[2019]])</f>
        <v>0.47193890562654861</v>
      </c>
      <c r="N39" s="55" t="s">
        <v>74</v>
      </c>
      <c r="O39" s="25">
        <f t="shared" ref="O39:P39" si="10">O32+O34</f>
        <v>265060</v>
      </c>
      <c r="P39" s="25">
        <f t="shared" si="10"/>
        <v>282255</v>
      </c>
      <c r="Q39" s="25">
        <f>Q32+Q34</f>
        <v>303870</v>
      </c>
      <c r="R39" s="25">
        <f t="shared" ref="R39:T39" si="11">R32+R34</f>
        <v>302914</v>
      </c>
      <c r="S39" s="25">
        <f t="shared" si="11"/>
        <v>334302</v>
      </c>
      <c r="T39" s="25">
        <f t="shared" si="11"/>
        <v>326670</v>
      </c>
      <c r="U39" s="25">
        <f t="shared" ref="U39" si="12">U32+U34</f>
        <v>365904</v>
      </c>
      <c r="V39" s="87">
        <f>LN(Table2[[#This Row],[2025]]/Table2[[#This Row],[2024]])</f>
        <v>0.11342051688794828</v>
      </c>
      <c r="W39" s="71">
        <f>LN(Table2[[#This Row],[2025]]/Table2[[#This Row],[2023]])</f>
        <v>9.0326227855556607E-2</v>
      </c>
      <c r="X39" s="72">
        <f>LN(Table2[[#This Row],[2025]]/Table2[[#This Row],[2019]])</f>
        <v>0.32241478846149502</v>
      </c>
    </row>
    <row r="40" spans="1:24" x14ac:dyDescent="0.2">
      <c r="B40" s="38" t="s">
        <v>40</v>
      </c>
      <c r="C40" s="42">
        <v>2762</v>
      </c>
      <c r="D40" s="42">
        <v>3433</v>
      </c>
      <c r="E40" s="42">
        <v>3881</v>
      </c>
      <c r="F40" s="42">
        <v>3653</v>
      </c>
      <c r="G40" s="42">
        <v>3608</v>
      </c>
      <c r="H40" s="42">
        <v>3494</v>
      </c>
      <c r="I40" s="42">
        <v>3924</v>
      </c>
      <c r="J40" s="87">
        <f>LN(Table1[[#This Row],[2025]]/Table1[[#This Row],[2024]])</f>
        <v>0.11606432999125191</v>
      </c>
      <c r="K40" s="71">
        <f>LN(Table1[[#This Row],[2025]]/Table1[[#This Row],[2023]])</f>
        <v>8.3957939502739484E-2</v>
      </c>
      <c r="L40" s="72">
        <f>LN(Table1[[#This Row],[2025]]/Table1[[#This Row],[2019]])</f>
        <v>0.35115648671601635</v>
      </c>
      <c r="N40" s="60" t="s">
        <v>75</v>
      </c>
      <c r="O40" s="23">
        <f>C55-O38+O39</f>
        <v>89407.785999999964</v>
      </c>
      <c r="P40" s="23">
        <f t="shared" ref="P40:S40" si="13">D55-P38+P39</f>
        <v>-177629.46799999999</v>
      </c>
      <c r="Q40" s="23">
        <f t="shared" si="13"/>
        <v>54499.111999999965</v>
      </c>
      <c r="R40" s="23">
        <f t="shared" si="13"/>
        <v>65772</v>
      </c>
      <c r="S40" s="23">
        <f t="shared" si="13"/>
        <v>-25771.189999999944</v>
      </c>
      <c r="T40" s="23">
        <f>H55-T38+T39</f>
        <v>114569.95000000001</v>
      </c>
      <c r="U40" s="23">
        <f>I55-U38+U39</f>
        <v>218630.88</v>
      </c>
      <c r="V40" s="70">
        <f>LN(Table2[[#This Row],[2025]]/Table2[[#This Row],[2024]])</f>
        <v>0.64619927485485407</v>
      </c>
      <c r="W40" s="71" t="e">
        <f>LN(Table2[[#This Row],[2025]]/Table2[[#This Row],[2023]])</f>
        <v>#NUM!</v>
      </c>
      <c r="X40" s="72">
        <f>LN(Table2[[#This Row],[2025]]/Table2[[#This Row],[2019]])</f>
        <v>0.89417705823607518</v>
      </c>
    </row>
    <row r="41" spans="1:24" x14ac:dyDescent="0.2">
      <c r="B41" s="38" t="s">
        <v>41</v>
      </c>
      <c r="C41" s="42">
        <v>1934</v>
      </c>
      <c r="D41" s="42">
        <v>1701</v>
      </c>
      <c r="E41" s="42">
        <v>1939</v>
      </c>
      <c r="F41" s="42">
        <v>2142</v>
      </c>
      <c r="G41" s="42">
        <v>2159</v>
      </c>
      <c r="H41" s="42">
        <v>2669</v>
      </c>
      <c r="I41" s="42">
        <v>2580</v>
      </c>
      <c r="J41" s="70">
        <f>LN(Table1[[#This Row],[2025]]/Table1[[#This Row],[2024]])</f>
        <v>-3.391447148886105E-2</v>
      </c>
      <c r="K41" s="71">
        <f>LN(Table1[[#This Row],[2025]]/Table1[[#This Row],[2023]])</f>
        <v>0.17814424740085569</v>
      </c>
      <c r="L41" s="72">
        <f>LN(Table1[[#This Row],[2025]]/Table1[[#This Row],[2019]])</f>
        <v>0.28819900190242348</v>
      </c>
      <c r="N41" s="53" t="s">
        <v>88</v>
      </c>
      <c r="O41" s="63">
        <f t="shared" ref="O41:T41" si="14">C56</f>
        <v>0.3006225066853711</v>
      </c>
      <c r="P41" s="63">
        <f t="shared" si="14"/>
        <v>0.20921803386025628</v>
      </c>
      <c r="Q41" s="63">
        <f t="shared" si="14"/>
        <v>0.35884775509746053</v>
      </c>
      <c r="R41" s="63">
        <f t="shared" si="14"/>
        <v>0.28992101105845181</v>
      </c>
      <c r="S41" s="63">
        <f t="shared" si="14"/>
        <v>0.26896663657297043</v>
      </c>
      <c r="T41" s="63">
        <f t="shared" si="14"/>
        <v>0.26629501310275111</v>
      </c>
      <c r="U41" s="63">
        <f>I56</f>
        <v>0.26975958690327773</v>
      </c>
      <c r="V41" s="70">
        <f>LN(Table2[[#This Row],[2025]]/Table2[[#This Row],[2024]])</f>
        <v>1.2926377432494553E-2</v>
      </c>
      <c r="W41" s="71">
        <f>LN(Table2[[#This Row],[2025]]/Table2[[#This Row],[2023]])</f>
        <v>2.9437991632548671E-3</v>
      </c>
      <c r="X41" s="72">
        <f>LN(Table2[[#This Row],[2025]]/Table2[[#This Row],[2019]])</f>
        <v>-0.10832420359229808</v>
      </c>
    </row>
    <row r="42" spans="1:24" x14ac:dyDescent="0.2">
      <c r="B42" s="38" t="s">
        <v>42</v>
      </c>
      <c r="C42" s="37">
        <v>1597</v>
      </c>
      <c r="D42" s="37">
        <v>1694</v>
      </c>
      <c r="E42" s="37">
        <v>1775</v>
      </c>
      <c r="F42" s="37">
        <v>1825</v>
      </c>
      <c r="G42" s="37">
        <v>1927</v>
      </c>
      <c r="H42" s="42">
        <v>1956</v>
      </c>
      <c r="I42" s="37">
        <v>2204</v>
      </c>
      <c r="J42" s="87">
        <f>LN(Table1[[#This Row],[2025]]/Table1[[#This Row],[2024]])</f>
        <v>0.11937231967804253</v>
      </c>
      <c r="K42" s="87">
        <f>LN(Table1[[#This Row],[2025]]/Table1[[#This Row],[2023]])</f>
        <v>0.13430950185843865</v>
      </c>
      <c r="L42" s="72">
        <f>LN(Table1[[#This Row],[2025]]/Table1[[#This Row],[2019]])</f>
        <v>0.32214702205779261</v>
      </c>
      <c r="N42" s="53" t="s">
        <v>89</v>
      </c>
      <c r="O42" s="90">
        <f t="shared" ref="O42:T42" si="15">C32/O22</f>
        <v>3.7486047083927845E-2</v>
      </c>
      <c r="P42" s="90">
        <f t="shared" si="15"/>
        <v>3.0332121982454267E-2</v>
      </c>
      <c r="Q42" s="90">
        <f t="shared" si="15"/>
        <v>2.8115835487987833E-2</v>
      </c>
      <c r="R42" s="90">
        <f t="shared" si="15"/>
        <v>3.1117119331448936E-2</v>
      </c>
      <c r="S42" s="90">
        <f t="shared" si="15"/>
        <v>3.0998842507792869E-2</v>
      </c>
      <c r="T42" s="90">
        <f t="shared" si="15"/>
        <v>3.1239125082515234E-2</v>
      </c>
      <c r="U42" s="90">
        <f>I32/U22</f>
        <v>3.3162443987410251E-2</v>
      </c>
      <c r="V42" s="87">
        <f>LN(Table2[[#This Row],[2025]]/Table2[[#This Row],[2024]])</f>
        <v>5.9746712170674433E-2</v>
      </c>
      <c r="W42" s="71">
        <f>LN(Table2[[#This Row],[2025]]/Table2[[#This Row],[2023]])</f>
        <v>6.7468165098685778E-2</v>
      </c>
      <c r="X42" s="72">
        <f>LN(Table2[[#This Row],[2025]]/Table2[[#This Row],[2019]])</f>
        <v>-0.12255075554789538</v>
      </c>
    </row>
    <row r="43" spans="1:24" x14ac:dyDescent="0.2">
      <c r="B43" s="38" t="s">
        <v>43</v>
      </c>
      <c r="C43" s="37">
        <v>5396</v>
      </c>
      <c r="D43" s="37">
        <v>3297</v>
      </c>
      <c r="E43" s="37">
        <v>3089</v>
      </c>
      <c r="F43" s="37">
        <v>4021</v>
      </c>
      <c r="G43" s="37">
        <v>5950</v>
      </c>
      <c r="H43" s="42">
        <v>3991</v>
      </c>
      <c r="I43" s="37">
        <v>3772</v>
      </c>
      <c r="J43" s="70">
        <f>LN(Table1[[#This Row],[2025]]/Table1[[#This Row],[2024]])</f>
        <v>-5.6436461295385765E-2</v>
      </c>
      <c r="K43" s="71">
        <f>LN(Table1[[#This Row],[2025]]/Table1[[#This Row],[2023]])</f>
        <v>-0.45578585478632733</v>
      </c>
      <c r="L43" s="72">
        <f>LN(Table1[[#This Row],[2025]]/Table1[[#This Row],[2019]])</f>
        <v>-0.35805257357429848</v>
      </c>
      <c r="N43" s="53" t="s">
        <v>90</v>
      </c>
      <c r="O43" s="90">
        <f t="shared" ref="O43:T43" si="16">O22/O37</f>
        <v>9.1917941165363839</v>
      </c>
      <c r="P43" s="90">
        <f t="shared" si="16"/>
        <v>10.328104053271993</v>
      </c>
      <c r="Q43" s="90">
        <f t="shared" si="16"/>
        <v>11.736001569986596</v>
      </c>
      <c r="R43" s="90">
        <f t="shared" si="16"/>
        <v>11.169138021281347</v>
      </c>
      <c r="S43" s="90">
        <f t="shared" si="16"/>
        <v>10.904147493879567</v>
      </c>
      <c r="T43" s="90">
        <f t="shared" si="16"/>
        <v>11.035086057267753</v>
      </c>
      <c r="U43" s="90">
        <f>U22/U37</f>
        <v>11.24640634738477</v>
      </c>
      <c r="V43" s="70">
        <f>LN(Table2[[#This Row],[2025]]/Table2[[#This Row],[2024]])</f>
        <v>1.896880357930689E-2</v>
      </c>
      <c r="W43" s="71">
        <f>LN(Table2[[#This Row],[2025]]/Table2[[#This Row],[2023]])</f>
        <v>3.0905420944481839E-2</v>
      </c>
      <c r="X43" s="72">
        <f>LN(Table2[[#This Row],[2025]]/Table2[[#This Row],[2019]])</f>
        <v>0.2017374996502872</v>
      </c>
    </row>
    <row r="44" spans="1:24" ht="13.5" thickBot="1" x14ac:dyDescent="0.25">
      <c r="B44" s="43" t="s">
        <v>44</v>
      </c>
      <c r="C44" s="44">
        <f t="shared" ref="C44:G44" si="17">SUM(C37:C43)</f>
        <v>54900</v>
      </c>
      <c r="D44" s="44">
        <f t="shared" si="17"/>
        <v>55213</v>
      </c>
      <c r="E44" s="44">
        <f t="shared" si="17"/>
        <v>59731</v>
      </c>
      <c r="F44" s="44">
        <f t="shared" si="17"/>
        <v>61438</v>
      </c>
      <c r="G44" s="44">
        <f t="shared" si="17"/>
        <v>65845</v>
      </c>
      <c r="H44" s="44">
        <f>SUM(H37:H43)</f>
        <v>66812</v>
      </c>
      <c r="I44" s="44">
        <f t="shared" ref="I44" si="18">SUM(I37:I43)</f>
        <v>69727</v>
      </c>
      <c r="J44" s="73">
        <f>LN(Table1[[#This Row],[2025]]/Table1[[#This Row],[2024]])</f>
        <v>4.2704912090640756E-2</v>
      </c>
      <c r="K44" s="74">
        <f>LN(Table1[[#This Row],[2025]]/Table1[[#This Row],[2023]])</f>
        <v>5.7284122056158411E-2</v>
      </c>
      <c r="L44" s="88">
        <f>LN(Table1[[#This Row],[2025]]/Table1[[#This Row],[2019]])</f>
        <v>0.23907426870285695</v>
      </c>
      <c r="N44" s="92" t="s">
        <v>91</v>
      </c>
      <c r="O44" s="84">
        <f>O41*O42*O43</f>
        <v>0.10358370152184586</v>
      </c>
      <c r="P44" s="84">
        <f t="shared" ref="P44:U44" si="19">P41*P42*P43</f>
        <v>6.5542426395715961E-2</v>
      </c>
      <c r="Q44" s="84">
        <f t="shared" si="19"/>
        <v>0.11840809283656588</v>
      </c>
      <c r="R44" s="84">
        <f t="shared" si="19"/>
        <v>0.10076245346764423</v>
      </c>
      <c r="S44" s="84">
        <f t="shared" si="19"/>
        <v>9.0915013406664247E-2</v>
      </c>
      <c r="T44" s="84">
        <f t="shared" si="19"/>
        <v>9.1798930162843975E-2</v>
      </c>
      <c r="U44" s="84">
        <f t="shared" si="19"/>
        <v>0.10060908248500378</v>
      </c>
      <c r="V44" s="89">
        <f>LN(Table2[[#This Row],[2025]]/Table2[[#This Row],[2024]])</f>
        <v>9.1641893182475995E-2</v>
      </c>
      <c r="W44" s="85">
        <f>LN(Table2[[#This Row],[2025]]/Table2[[#This Row],[2023]])</f>
        <v>0.10131738520642275</v>
      </c>
      <c r="X44" s="86">
        <f>LN(Table2[[#This Row],[2025]]/Table2[[#This Row],[2019]])</f>
        <v>-2.9137459489906346E-2</v>
      </c>
    </row>
    <row r="45" spans="1:24" x14ac:dyDescent="0.2">
      <c r="B45" s="39"/>
      <c r="C45" s="37"/>
      <c r="D45" s="37"/>
      <c r="E45" s="37"/>
      <c r="F45" s="37"/>
      <c r="G45" s="37"/>
      <c r="H45" s="42"/>
      <c r="I45" s="37"/>
      <c r="J45" s="70"/>
      <c r="K45" s="71"/>
      <c r="L45" s="72"/>
      <c r="N45" s="55" t="s">
        <v>92</v>
      </c>
      <c r="O45" s="52">
        <v>4300</v>
      </c>
      <c r="P45" s="52">
        <v>4312</v>
      </c>
      <c r="Q45" s="52">
        <v>4173</v>
      </c>
      <c r="R45" s="52">
        <v>3913</v>
      </c>
      <c r="S45" s="52">
        <v>3845</v>
      </c>
      <c r="T45" s="52">
        <v>3700</v>
      </c>
      <c r="U45" s="52">
        <v>3628</v>
      </c>
      <c r="V45" s="70">
        <f>LN(Table2[[#This Row],[2025]]/Table2[[#This Row],[2024]])</f>
        <v>-1.9651287397288615E-2</v>
      </c>
      <c r="W45" s="71">
        <f>LN(Table2[[#This Row],[2025]]/Table2[[#This Row],[2023]])</f>
        <v>-5.8092070704717121E-2</v>
      </c>
      <c r="X45" s="87">
        <f>LN(Table2[[#This Row],[2025]]/Table2[[#This Row],[2019]])</f>
        <v>-0.16993349044662659</v>
      </c>
    </row>
    <row r="46" spans="1:24" ht="13.5" thickBot="1" x14ac:dyDescent="0.25">
      <c r="B46" s="45" t="s">
        <v>45</v>
      </c>
      <c r="C46" s="44">
        <f t="shared" ref="C46:G46" si="20">C32-C34-C44</f>
        <v>32754</v>
      </c>
      <c r="D46" s="44">
        <f t="shared" si="20"/>
        <v>18995</v>
      </c>
      <c r="E46" s="44">
        <f t="shared" si="20"/>
        <v>33976</v>
      </c>
      <c r="F46" s="44">
        <f t="shared" si="20"/>
        <v>30969</v>
      </c>
      <c r="G46" s="44">
        <f t="shared" si="20"/>
        <v>28342</v>
      </c>
      <c r="H46" s="44">
        <f>H32-H34-H44</f>
        <v>29254</v>
      </c>
      <c r="I46" s="44">
        <f t="shared" ref="I46" si="21">I32-I34-I44</f>
        <v>37695</v>
      </c>
      <c r="J46" s="88">
        <f>LN(Table1[[#This Row],[2025]]/Table1[[#This Row],[2024]])</f>
        <v>0.25351114319876861</v>
      </c>
      <c r="K46" s="74">
        <f>LN(Table1[[#This Row],[2025]]/Table1[[#This Row],[2023]])</f>
        <v>0.28518265626098649</v>
      </c>
      <c r="L46" s="75">
        <f>LN(Table1[[#This Row],[2025]]/Table1[[#This Row],[2019]])</f>
        <v>0.14050236763598964</v>
      </c>
      <c r="N46" s="55" t="s">
        <v>93</v>
      </c>
      <c r="O46" s="52">
        <v>16788</v>
      </c>
      <c r="P46" s="52">
        <v>16904</v>
      </c>
      <c r="Q46" s="52">
        <v>16209</v>
      </c>
      <c r="R46" s="52">
        <v>15528</v>
      </c>
      <c r="S46" s="52">
        <v>15168</v>
      </c>
      <c r="T46" s="52">
        <v>14893</v>
      </c>
      <c r="U46" s="52">
        <v>14909</v>
      </c>
      <c r="V46" s="70">
        <f>LN(Table2[[#This Row],[2025]]/Table2[[#This Row],[2024]])</f>
        <v>1.0737535425314633E-3</v>
      </c>
      <c r="W46" s="71">
        <f>LN(Table2[[#This Row],[2025]]/Table2[[#This Row],[2023]])</f>
        <v>-1.7222888066403912E-2</v>
      </c>
      <c r="X46" s="87">
        <f>LN(Table2[[#This Row],[2025]]/Table2[[#This Row],[2019]])</f>
        <v>-0.11869928802508235</v>
      </c>
    </row>
    <row r="47" spans="1:24" x14ac:dyDescent="0.2">
      <c r="B47" s="38" t="s">
        <v>46</v>
      </c>
      <c r="C47" s="37">
        <v>5324</v>
      </c>
      <c r="D47" s="37">
        <v>1101</v>
      </c>
      <c r="E47" s="37">
        <v>1998</v>
      </c>
      <c r="F47" s="37">
        <v>3441</v>
      </c>
      <c r="G47" s="37">
        <v>1827</v>
      </c>
      <c r="H47" s="42">
        <v>2122</v>
      </c>
      <c r="I47" s="37">
        <v>7186</v>
      </c>
      <c r="J47" s="70">
        <f>LN(Table1[[#This Row],[2025]]/Table1[[#This Row],[2024]])</f>
        <v>1.2197756484995357</v>
      </c>
      <c r="K47" s="71">
        <f>LN(Table1[[#This Row],[2025]]/Table1[[#This Row],[2023]])</f>
        <v>1.3694594112954572</v>
      </c>
      <c r="L47" s="72">
        <f>LN(Table1[[#This Row],[2025]]/Table1[[#This Row],[2019]])</f>
        <v>0.29990978815846175</v>
      </c>
      <c r="N47" s="55" t="s">
        <v>94</v>
      </c>
      <c r="O47" s="61">
        <v>38266</v>
      </c>
      <c r="P47" s="61">
        <v>39315</v>
      </c>
      <c r="Q47" s="61">
        <v>41365</v>
      </c>
      <c r="R47" s="61">
        <v>44054</v>
      </c>
      <c r="S47" s="61">
        <v>46265</v>
      </c>
      <c r="T47" s="61">
        <v>48150</v>
      </c>
      <c r="U47" s="61">
        <v>49323</v>
      </c>
      <c r="V47" s="70">
        <f>LN(Table2[[#This Row],[2025]]/Table2[[#This Row],[2024]])</f>
        <v>2.4069365452715062E-2</v>
      </c>
      <c r="W47" s="71">
        <f>LN(Table2[[#This Row],[2025]]/Table2[[#This Row],[2023]])</f>
        <v>6.4004767995856041E-2</v>
      </c>
      <c r="X47" s="87">
        <f>LN(Table2[[#This Row],[2025]]/Table2[[#This Row],[2019]])</f>
        <v>0.25382873023403857</v>
      </c>
    </row>
    <row r="48" spans="1:24" ht="13.5" thickBot="1" x14ac:dyDescent="0.25">
      <c r="B48" s="43" t="s">
        <v>47</v>
      </c>
      <c r="C48" s="44">
        <f t="shared" ref="C48:G48" si="22">C46-C47</f>
        <v>27430</v>
      </c>
      <c r="D48" s="44">
        <f t="shared" si="22"/>
        <v>17894</v>
      </c>
      <c r="E48" s="44">
        <f t="shared" si="22"/>
        <v>31978</v>
      </c>
      <c r="F48" s="44">
        <f t="shared" si="22"/>
        <v>27528</v>
      </c>
      <c r="G48" s="44">
        <f t="shared" si="22"/>
        <v>26515</v>
      </c>
      <c r="H48" s="44">
        <f>H46-H47</f>
        <v>27132</v>
      </c>
      <c r="I48" s="44">
        <f>I46-I47</f>
        <v>30509</v>
      </c>
      <c r="J48" s="88">
        <f>LN(Table1[[#This Row],[2025]]/Table1[[#This Row],[2024]])</f>
        <v>0.11730787896862503</v>
      </c>
      <c r="K48" s="74">
        <f>LN(Table1[[#This Row],[2025]]/Table1[[#This Row],[2023]])</f>
        <v>0.1403111114633647</v>
      </c>
      <c r="L48" s="75">
        <f>LN(Table1[[#This Row],[2025]]/Table1[[#This Row],[2019]])</f>
        <v>0.10638441710294623</v>
      </c>
      <c r="N48" s="55" t="s">
        <v>95</v>
      </c>
      <c r="O48" s="52">
        <v>29174</v>
      </c>
      <c r="P48" s="52">
        <v>30783</v>
      </c>
      <c r="Q48" s="52">
        <v>32980</v>
      </c>
      <c r="R48" s="52">
        <v>35452</v>
      </c>
      <c r="S48" s="52">
        <v>37927</v>
      </c>
      <c r="T48" s="52">
        <v>39958</v>
      </c>
      <c r="U48" s="52">
        <v>41427</v>
      </c>
      <c r="V48" s="70">
        <f>LN(Table2[[#This Row],[2025]]/Table2[[#This Row],[2024]])</f>
        <v>3.6103939693566518E-2</v>
      </c>
      <c r="W48" s="71">
        <f>LN(Table2[[#This Row],[2025]]/Table2[[#This Row],[2023]])</f>
        <v>8.8269582664712215E-2</v>
      </c>
      <c r="X48" s="87">
        <f>LN(Table2[[#This Row],[2025]]/Table2[[#This Row],[2019]])</f>
        <v>0.35065494050730223</v>
      </c>
    </row>
    <row r="49" spans="2:24" x14ac:dyDescent="0.2">
      <c r="B49" s="50" t="s">
        <v>49</v>
      </c>
      <c r="C49" s="37">
        <v>1432</v>
      </c>
      <c r="D49" s="37">
        <v>1421</v>
      </c>
      <c r="E49" s="37">
        <v>1421</v>
      </c>
      <c r="F49" s="37">
        <v>1513</v>
      </c>
      <c r="G49" s="37">
        <v>1649</v>
      </c>
      <c r="H49" s="42">
        <v>1629</v>
      </c>
      <c r="I49" s="37">
        <v>1454</v>
      </c>
      <c r="J49" s="87">
        <f>LN(Table1[[#This Row],[2025]]/Table1[[#This Row],[2024]])</f>
        <v>-0.1136479505085804</v>
      </c>
      <c r="K49" s="71">
        <f>LN(Table1[[#This Row],[2025]]/Table1[[#This Row],[2023]])</f>
        <v>-0.12585066446613424</v>
      </c>
      <c r="L49" s="72">
        <f>LN(Table1[[#This Row],[2025]]/Table1[[#This Row],[2019]])</f>
        <v>1.5246310572873666E-2</v>
      </c>
      <c r="N49" s="53" t="s">
        <v>104</v>
      </c>
      <c r="O49" s="52">
        <f t="shared" ref="O49:T49" si="23">SUM(O10:O14)+O19+O15+O20</f>
        <v>1250867</v>
      </c>
      <c r="P49" s="52">
        <f t="shared" si="23"/>
        <v>1695414</v>
      </c>
      <c r="Q49" s="52">
        <f t="shared" si="23"/>
        <v>1959034</v>
      </c>
      <c r="R49" s="52">
        <f t="shared" si="23"/>
        <v>1787019</v>
      </c>
      <c r="S49" s="52">
        <f t="shared" si="23"/>
        <v>1898010</v>
      </c>
      <c r="T49" s="52">
        <f t="shared" si="23"/>
        <v>1935679</v>
      </c>
      <c r="U49" s="52">
        <f>SUM(U10:U14)+U19+U15+U20</f>
        <v>1992718</v>
      </c>
      <c r="V49" s="70">
        <f>LN(Table2[[#This Row],[2025]]/Table2[[#This Row],[2024]])</f>
        <v>2.9041366663983589E-2</v>
      </c>
      <c r="W49" s="71">
        <f>LN(Table2[[#This Row],[2025]]/Table2[[#This Row],[2023]])</f>
        <v>4.8693567108190831E-2</v>
      </c>
      <c r="X49" s="72">
        <f>LN(Table2[[#This Row],[2025]]/Table2[[#This Row],[2019]])</f>
        <v>0.46566262510104833</v>
      </c>
    </row>
    <row r="50" spans="2:24" ht="13.5" thickBot="1" x14ac:dyDescent="0.25">
      <c r="B50" s="51" t="s">
        <v>50</v>
      </c>
      <c r="C50" s="44">
        <f t="shared" ref="C50:G50" si="24">C48-C49</f>
        <v>25998</v>
      </c>
      <c r="D50" s="44">
        <f t="shared" si="24"/>
        <v>16473</v>
      </c>
      <c r="E50" s="44">
        <f t="shared" si="24"/>
        <v>30557</v>
      </c>
      <c r="F50" s="44">
        <f t="shared" si="24"/>
        <v>26015</v>
      </c>
      <c r="G50" s="44">
        <f t="shared" si="24"/>
        <v>24866</v>
      </c>
      <c r="H50" s="44">
        <f>H48-H49</f>
        <v>25503</v>
      </c>
      <c r="I50" s="44">
        <f>I48-I49</f>
        <v>29055</v>
      </c>
      <c r="J50" s="73">
        <f>LN(Table1[[#This Row],[2025]]/Table1[[#This Row],[2024]])</f>
        <v>0.13039449322373742</v>
      </c>
      <c r="K50" s="74">
        <f>LN(Table1[[#This Row],[2025]]/Table1[[#This Row],[2023]])</f>
        <v>0.15568917699632315</v>
      </c>
      <c r="L50" s="75">
        <f>LN(Table1[[#This Row],[2025]]/Table1[[#This Row],[2019]])</f>
        <v>0.11117097354124149</v>
      </c>
      <c r="N50" s="53" t="s">
        <v>105</v>
      </c>
      <c r="O50" s="52">
        <f>O25+O26+O29+O30+O31+O32+O33+O28+O27</f>
        <v>1928413</v>
      </c>
      <c r="P50" s="52">
        <f t="shared" ref="P50:U50" si="25">P25+P26+P29+P30+P31+P32+P33+P28+P27</f>
        <v>2283769</v>
      </c>
      <c r="Q50" s="52">
        <f t="shared" si="25"/>
        <v>2619312</v>
      </c>
      <c r="R50" s="52">
        <f t="shared" si="25"/>
        <v>2502196</v>
      </c>
      <c r="S50" s="52">
        <f t="shared" si="25"/>
        <v>2586301</v>
      </c>
      <c r="T50" s="52">
        <f t="shared" si="25"/>
        <v>2682681</v>
      </c>
      <c r="U50" s="52">
        <f t="shared" si="25"/>
        <v>2789335</v>
      </c>
      <c r="V50" s="70">
        <f>LN(Table2[[#This Row],[2025]]/Table2[[#This Row],[2024]])</f>
        <v>3.8986548551273079E-2</v>
      </c>
      <c r="W50" s="71">
        <f>LN(Table2[[#This Row],[2025]]/Table2[[#This Row],[2023]])</f>
        <v>7.5574546614094892E-2</v>
      </c>
      <c r="X50" s="72">
        <f>LN(Table2[[#This Row],[2025]]/Table2[[#This Row],[2019]])</f>
        <v>0.36910583130204078</v>
      </c>
    </row>
    <row r="51" spans="2:24" x14ac:dyDescent="0.2">
      <c r="B51" s="39"/>
      <c r="C51" s="37"/>
      <c r="D51" s="37"/>
      <c r="E51" s="37"/>
      <c r="F51" s="37"/>
      <c r="G51" s="37"/>
      <c r="H51" s="42"/>
      <c r="I51" s="37"/>
      <c r="J51" s="70"/>
      <c r="K51" s="71"/>
      <c r="L51" s="72"/>
      <c r="N51" s="53" t="s">
        <v>103</v>
      </c>
      <c r="O51" s="90">
        <f>O49/O50</f>
        <v>0.64865098918125941</v>
      </c>
      <c r="P51" s="90">
        <f t="shared" ref="P51:U51" si="26">P49/P50</f>
        <v>0.74237543289185548</v>
      </c>
      <c r="Q51" s="90">
        <f t="shared" si="26"/>
        <v>0.74791930094620263</v>
      </c>
      <c r="R51" s="90">
        <f t="shared" si="26"/>
        <v>0.71418026405605317</v>
      </c>
      <c r="S51" s="90">
        <f t="shared" si="26"/>
        <v>0.73387049689885286</v>
      </c>
      <c r="T51" s="90">
        <f t="shared" si="26"/>
        <v>0.7215464678804524</v>
      </c>
      <c r="U51" s="90">
        <f t="shared" si="26"/>
        <v>0.71440612188926755</v>
      </c>
      <c r="V51" s="70">
        <f>LN(Table2[[#This Row],[2025]]/Table2[[#This Row],[2024]])</f>
        <v>-9.9451818872893297E-3</v>
      </c>
      <c r="W51" s="71">
        <f>LN(Table2[[#This Row],[2025]]/Table2[[#This Row],[2023]])</f>
        <v>-2.6880979505904047E-2</v>
      </c>
      <c r="X51" s="72">
        <f>LN(Table2[[#This Row],[2025]]/Table2[[#This Row],[2019]])</f>
        <v>9.6556793799007529E-2</v>
      </c>
    </row>
    <row r="52" spans="2:24" x14ac:dyDescent="0.2">
      <c r="B52" s="39" t="s">
        <v>1</v>
      </c>
      <c r="C52" s="37">
        <v>9442.9</v>
      </c>
      <c r="D52" s="37">
        <v>8796.9</v>
      </c>
      <c r="E52" s="37">
        <v>8558.4</v>
      </c>
      <c r="F52" s="37">
        <v>8167.5</v>
      </c>
      <c r="G52" s="37">
        <v>8080.5</v>
      </c>
      <c r="H52" s="42">
        <v>7935.8</v>
      </c>
      <c r="I52" s="37">
        <v>7680.9</v>
      </c>
      <c r="J52" s="87">
        <f>LN(Table1[[#This Row],[2025]]/Table1[[#This Row],[2024]])</f>
        <v>-3.2647440258440387E-2</v>
      </c>
      <c r="K52" s="71">
        <f>LN(Table1[[#This Row],[2025]]/Table1[[#This Row],[2023]])</f>
        <v>-5.0717024012898973E-2</v>
      </c>
      <c r="L52" s="87">
        <f>LN(Table1[[#This Row],[2025]]/Table1[[#This Row],[2019]])</f>
        <v>-0.20652640857627808</v>
      </c>
      <c r="N52" s="53" t="s">
        <v>106</v>
      </c>
      <c r="O52" s="65">
        <f t="shared" ref="O52:T52" si="27">O10/O22</f>
        <v>6.6374180953042192E-2</v>
      </c>
      <c r="P52" s="65">
        <f t="shared" si="27"/>
        <v>0.13492949824397271</v>
      </c>
      <c r="Q52" s="65">
        <f t="shared" si="27"/>
        <v>0.10986639827480403</v>
      </c>
      <c r="R52" s="65">
        <f t="shared" si="27"/>
        <v>7.5442382532464866E-2</v>
      </c>
      <c r="S52" s="65">
        <f t="shared" si="27"/>
        <v>0.10473496384291187</v>
      </c>
      <c r="T52" s="65">
        <f t="shared" si="27"/>
        <v>8.8950577936231554E-2</v>
      </c>
      <c r="U52" s="65">
        <f>U10/U22</f>
        <v>6.7981881272369121E-2</v>
      </c>
      <c r="V52" s="70">
        <f>LN(Table2[[#This Row],[2025]]/Table2[[#This Row],[2024]])</f>
        <v>-0.26883969361186344</v>
      </c>
      <c r="W52" s="71">
        <f>LN(Table2[[#This Row],[2025]]/Table2[[#This Row],[2023]])</f>
        <v>-0.43219178743859504</v>
      </c>
      <c r="X52" s="72">
        <f>LN(Table2[[#This Row],[2025]]/Table2[[#This Row],[2019]])</f>
        <v>2.3933077999118414E-2</v>
      </c>
    </row>
    <row r="53" spans="2:24" x14ac:dyDescent="0.2">
      <c r="B53" s="39" t="s">
        <v>48</v>
      </c>
      <c r="C53" s="47">
        <f t="shared" ref="C53:G53" si="28">C50/C52</f>
        <v>2.7531796376113271</v>
      </c>
      <c r="D53" s="47">
        <f t="shared" si="28"/>
        <v>1.8725914810899296</v>
      </c>
      <c r="E53" s="47">
        <f t="shared" si="28"/>
        <v>3.570410357076089</v>
      </c>
      <c r="F53" s="47">
        <f t="shared" si="28"/>
        <v>3.1851851851851851</v>
      </c>
      <c r="G53" s="47">
        <f t="shared" si="28"/>
        <v>3.0772848214838189</v>
      </c>
      <c r="H53" s="47">
        <f>H50/H52</f>
        <v>3.2136646588875726</v>
      </c>
      <c r="I53" s="47">
        <f>I50/I52</f>
        <v>3.7827598328320904</v>
      </c>
      <c r="J53" s="70">
        <f>LN(Table1[[#This Row],[2025]]/Table1[[#This Row],[2024]])</f>
        <v>0.16304193348217796</v>
      </c>
      <c r="K53" s="71">
        <f>LN(Table1[[#This Row],[2025]]/Table1[[#This Row],[2023]])</f>
        <v>0.20640620100922222</v>
      </c>
      <c r="L53" s="72">
        <f>LN(Table1[[#This Row],[2025]]/Table1[[#This Row],[2019]])</f>
        <v>0.3176973821175198</v>
      </c>
      <c r="N53" s="53" t="s">
        <v>90</v>
      </c>
      <c r="O53" s="103">
        <f>O22/O37</f>
        <v>9.1917941165363839</v>
      </c>
      <c r="P53" s="103">
        <f t="shared" ref="P53:U53" si="29">P22/P37</f>
        <v>10.328104053271993</v>
      </c>
      <c r="Q53" s="103">
        <f t="shared" si="29"/>
        <v>11.736001569986596</v>
      </c>
      <c r="R53" s="103">
        <f t="shared" si="29"/>
        <v>11.169138021281347</v>
      </c>
      <c r="S53" s="103">
        <f t="shared" si="29"/>
        <v>10.904147493879567</v>
      </c>
      <c r="T53" s="103">
        <f t="shared" si="29"/>
        <v>11.035086057267753</v>
      </c>
      <c r="U53" s="103">
        <f t="shared" si="29"/>
        <v>11.24640634738477</v>
      </c>
      <c r="V53" s="70">
        <f>LN(Table2[[#This Row],[2025]]/Table2[[#This Row],[2024]])</f>
        <v>1.896880357930689E-2</v>
      </c>
      <c r="W53" s="71">
        <f>LN(Table2[[#This Row],[2025]]/Table2[[#This Row],[2023]])</f>
        <v>3.0905420944481839E-2</v>
      </c>
      <c r="X53" s="72">
        <f>LN(Table2[[#This Row],[2025]]/Table2[[#This Row],[2019]])</f>
        <v>0.2017374996502872</v>
      </c>
    </row>
    <row r="54" spans="2:24" x14ac:dyDescent="0.2">
      <c r="B54" s="39" t="s">
        <v>0</v>
      </c>
      <c r="C54" s="47">
        <v>28.34</v>
      </c>
      <c r="D54" s="47">
        <v>26.28</v>
      </c>
      <c r="E54" s="47">
        <v>41.68</v>
      </c>
      <c r="F54" s="47">
        <v>32.799999999999997</v>
      </c>
      <c r="G54" s="47">
        <v>32.42</v>
      </c>
      <c r="H54" s="47">
        <v>45.25</v>
      </c>
      <c r="I54" s="47">
        <v>53.2</v>
      </c>
      <c r="J54" s="70">
        <f>LN(Table1[[#This Row],[2025]]/Table1[[#This Row],[2024]])</f>
        <v>0.16185572620166355</v>
      </c>
      <c r="K54" s="71">
        <f>LN(Table1[[#This Row],[2025]]/Table1[[#This Row],[2023]])</f>
        <v>0.49528288004006865</v>
      </c>
      <c r="L54" s="72">
        <f>LN(Table1[[#This Row],[2025]]/Table1[[#This Row],[2019]])</f>
        <v>0.62978416208506438</v>
      </c>
      <c r="N54" s="53" t="s">
        <v>107</v>
      </c>
      <c r="O54" s="65">
        <f>C50/O22</f>
        <v>1.0680836571039807E-2</v>
      </c>
      <c r="P54" s="65">
        <f t="shared" ref="P54:U54" si="30">D50/P22</f>
        <v>5.842075640924249E-3</v>
      </c>
      <c r="Q54" s="65">
        <f t="shared" si="30"/>
        <v>9.6409680406500092E-3</v>
      </c>
      <c r="R54" s="65">
        <f t="shared" si="30"/>
        <v>8.5256646593748712E-3</v>
      </c>
      <c r="S54" s="65">
        <f t="shared" si="30"/>
        <v>7.8191255698235717E-3</v>
      </c>
      <c r="T54" s="65">
        <f t="shared" si="30"/>
        <v>7.8193626957255187E-3</v>
      </c>
      <c r="U54" s="65">
        <f t="shared" si="30"/>
        <v>8.5195434896964978E-3</v>
      </c>
      <c r="V54" s="70">
        <f>LN(Table2[[#This Row],[2025]]/Table2[[#This Row],[2024]])</f>
        <v>8.5759703858281675E-2</v>
      </c>
      <c r="W54" s="71">
        <f>LN(Table2[[#This Row],[2025]]/Table2[[#This Row],[2023]])</f>
        <v>8.5790029794898859E-2</v>
      </c>
      <c r="X54" s="72">
        <f>LN(Table2[[#This Row],[2025]]/Table2[[#This Row],[2019]])</f>
        <v>-0.22608840270189826</v>
      </c>
    </row>
    <row r="55" spans="2:24" x14ac:dyDescent="0.2">
      <c r="B55" s="39" t="s">
        <v>2</v>
      </c>
      <c r="C55" s="42">
        <f t="shared" ref="C55:G55" si="31">C54*C52</f>
        <v>267611.78599999996</v>
      </c>
      <c r="D55" s="42">
        <f t="shared" si="31"/>
        <v>231182.53200000001</v>
      </c>
      <c r="E55" s="42">
        <f t="shared" si="31"/>
        <v>356714.11199999996</v>
      </c>
      <c r="F55" s="42">
        <f t="shared" si="31"/>
        <v>267894</v>
      </c>
      <c r="G55" s="42">
        <f t="shared" si="31"/>
        <v>261969.81000000003</v>
      </c>
      <c r="H55" s="42">
        <f>H54*H52</f>
        <v>359094.95</v>
      </c>
      <c r="I55" s="42">
        <f>I54*I52</f>
        <v>408623.88</v>
      </c>
      <c r="J55" s="70">
        <f>LN(Table1[[#This Row],[2025]]/Table1[[#This Row],[2024]])</f>
        <v>0.12920828594322323</v>
      </c>
      <c r="K55" s="71">
        <f>LN(Table1[[#This Row],[2025]]/Table1[[#This Row],[2023]])</f>
        <v>0.44456585602716964</v>
      </c>
      <c r="L55" s="72">
        <f>LN(Table1[[#This Row],[2025]]/Table1[[#This Row],[2019]])</f>
        <v>0.42325775350878642</v>
      </c>
      <c r="N55" s="53" t="s">
        <v>91</v>
      </c>
      <c r="O55" s="65">
        <f>C50/O37</f>
        <v>9.8176050753370339E-2</v>
      </c>
      <c r="P55" s="65">
        <f t="shared" ref="P55:U55" si="32">D50/P37</f>
        <v>6.0337565106551312E-2</v>
      </c>
      <c r="Q55" s="65">
        <f t="shared" si="32"/>
        <v>0.11314641606125909</v>
      </c>
      <c r="R55" s="65">
        <f t="shared" si="32"/>
        <v>9.5224325303718563E-2</v>
      </c>
      <c r="S55" s="65">
        <f t="shared" si="32"/>
        <v>8.5260898486521325E-2</v>
      </c>
      <c r="T55" s="65">
        <f t="shared" si="32"/>
        <v>8.6287340260320269E-2</v>
      </c>
      <c r="U55" s="65">
        <f t="shared" si="32"/>
        <v>9.5814247979343292E-2</v>
      </c>
      <c r="V55" s="70">
        <f>LN(Table2[[#This Row],[2025]]/Table2[[#This Row],[2024]])</f>
        <v>0.10472850743758857</v>
      </c>
      <c r="W55" s="71">
        <f>LN(Table2[[#This Row],[2025]]/Table2[[#This Row],[2023]])</f>
        <v>0.11669545073938101</v>
      </c>
      <c r="X55" s="72">
        <f>LN(Table2[[#This Row],[2025]]/Table2[[#This Row],[2019]])</f>
        <v>-2.4350903051611032E-2</v>
      </c>
    </row>
    <row r="56" spans="2:24" x14ac:dyDescent="0.2">
      <c r="B56" s="60" t="s">
        <v>76</v>
      </c>
      <c r="C56" s="65">
        <f>C48/C32</f>
        <v>0.3006225066853711</v>
      </c>
      <c r="D56" s="65">
        <f t="shared" ref="D56:I56" si="33">D48/D32</f>
        <v>0.20921803386025628</v>
      </c>
      <c r="E56" s="65">
        <f t="shared" si="33"/>
        <v>0.35884775509746053</v>
      </c>
      <c r="F56" s="65">
        <f t="shared" si="33"/>
        <v>0.28992101105845181</v>
      </c>
      <c r="G56" s="65">
        <f t="shared" si="33"/>
        <v>0.26896663657297043</v>
      </c>
      <c r="H56" s="65">
        <f t="shared" si="33"/>
        <v>0.26629501310275111</v>
      </c>
      <c r="I56" s="65">
        <f t="shared" si="33"/>
        <v>0.26975958690327773</v>
      </c>
      <c r="J56" s="70">
        <f>LN(Table1[[#This Row],[2025]]/Table1[[#This Row],[2024]])</f>
        <v>1.2926377432494553E-2</v>
      </c>
      <c r="K56" s="71">
        <f>LN(Table1[[#This Row],[2025]]/Table1[[#This Row],[2023]])</f>
        <v>2.9437991632548671E-3</v>
      </c>
      <c r="L56" s="87">
        <f>LN(Table1[[#This Row],[2025]]/Table1[[#This Row],[2019]])</f>
        <v>-0.10832420359229808</v>
      </c>
      <c r="N56" s="113" t="s">
        <v>119</v>
      </c>
      <c r="O56" s="114">
        <f t="shared" ref="O56:T56" si="34">O37+O34</f>
        <v>505666</v>
      </c>
      <c r="P56" s="114">
        <f t="shared" si="34"/>
        <v>535948</v>
      </c>
      <c r="Q56" s="114">
        <f t="shared" si="34"/>
        <v>550183</v>
      </c>
      <c r="R56" s="114">
        <f t="shared" si="34"/>
        <v>549179</v>
      </c>
      <c r="S56" s="114">
        <f t="shared" si="34"/>
        <v>593850</v>
      </c>
      <c r="T56" s="114">
        <f t="shared" si="34"/>
        <v>578838</v>
      </c>
      <c r="U56" s="114">
        <f>U37+U34</f>
        <v>621059</v>
      </c>
    </row>
    <row r="57" spans="2:24" ht="13.5" thickBot="1" x14ac:dyDescent="0.25">
      <c r="B57" s="83" t="s">
        <v>77</v>
      </c>
      <c r="C57" s="84">
        <f>(C16-C22)/C16</f>
        <v>0.68632433039474428</v>
      </c>
      <c r="D57" s="84">
        <f t="shared" ref="D57:I57" si="35">(D16-D22)/D16</f>
        <v>0.84055442473587283</v>
      </c>
      <c r="E57" s="84">
        <f t="shared" si="35"/>
        <v>0.90061251887900651</v>
      </c>
      <c r="F57" s="84">
        <f t="shared" si="35"/>
        <v>0.72296561703300488</v>
      </c>
      <c r="G57" s="84">
        <f t="shared" si="35"/>
        <v>0.43704994549446502</v>
      </c>
      <c r="H57" s="84">
        <f t="shared" si="35"/>
        <v>0.38238283301615883</v>
      </c>
      <c r="I57" s="84">
        <f t="shared" si="35"/>
        <v>0.43369946451510472</v>
      </c>
      <c r="J57" s="89">
        <f>LN(Table1[[#This Row],[2025]]/Table1[[#This Row],[2024]])</f>
        <v>0.1259295287215553</v>
      </c>
      <c r="K57" s="85">
        <f>LN(Table1[[#This Row],[2025]]/Table1[[#This Row],[2023]])</f>
        <v>-7.6956641632117094E-3</v>
      </c>
      <c r="L57" s="86">
        <f>LN(Table1[[#This Row],[2025]]/Table1[[#This Row],[2019]])</f>
        <v>-0.45899848467941734</v>
      </c>
    </row>
    <row r="58" spans="2:24" x14ac:dyDescent="0.2">
      <c r="B58" s="60" t="s">
        <v>82</v>
      </c>
      <c r="C58" s="65">
        <f>(C16-C22)/C32</f>
        <v>0.53582701328306515</v>
      </c>
      <c r="D58" s="65">
        <f t="shared" ref="D58:I58" si="36">(D16-D22)/D32</f>
        <v>0.50696847815919932</v>
      </c>
      <c r="E58" s="65">
        <f t="shared" si="36"/>
        <v>0.48179277995354214</v>
      </c>
      <c r="F58" s="65">
        <f t="shared" si="36"/>
        <v>0.55252238020010536</v>
      </c>
      <c r="G58" s="65">
        <f t="shared" si="36"/>
        <v>0.5775047930128524</v>
      </c>
      <c r="H58" s="65">
        <f t="shared" si="36"/>
        <v>0.55021739770530098</v>
      </c>
      <c r="I58" s="65">
        <f t="shared" si="36"/>
        <v>0.53136687975808372</v>
      </c>
      <c r="J58" s="70">
        <f>LN(Table1[[#This Row],[2025]]/Table1[[#This Row],[2024]])</f>
        <v>-3.4860763686974876E-2</v>
      </c>
      <c r="K58" s="71">
        <f>LN(Table1[[#This Row],[2025]]/Table1[[#This Row],[2023]])</f>
        <v>-8.3264036954263834E-2</v>
      </c>
      <c r="L58" s="72">
        <f>LN(Table1[[#This Row],[2025]]/Table1[[#This Row],[2019]])</f>
        <v>-8.3586675714079784E-3</v>
      </c>
    </row>
    <row r="59" spans="2:24" x14ac:dyDescent="0.2">
      <c r="B59" s="60" t="s">
        <v>83</v>
      </c>
      <c r="C59" s="64">
        <f>C24/C32</f>
        <v>6.3532944631975799E-2</v>
      </c>
      <c r="D59" s="64">
        <f t="shared" ref="D59:I59" si="37">D24/D32</f>
        <v>6.6130390047703672E-2</v>
      </c>
      <c r="E59" s="64">
        <f t="shared" si="37"/>
        <v>6.9776575808243466E-2</v>
      </c>
      <c r="F59" s="64">
        <f t="shared" si="37"/>
        <v>6.4065297525013165E-2</v>
      </c>
      <c r="G59" s="64">
        <f t="shared" si="37"/>
        <v>6.141142816567087E-2</v>
      </c>
      <c r="H59" s="64">
        <f t="shared" si="37"/>
        <v>6.1676170659652363E-2</v>
      </c>
      <c r="I59" s="64">
        <f t="shared" si="37"/>
        <v>5.6226071425413582E-2</v>
      </c>
      <c r="J59" s="87">
        <f>LN(Table1[[#This Row],[2025]]/Table1[[#This Row],[2024]])</f>
        <v>-9.2517089644234371E-2</v>
      </c>
      <c r="K59" s="71">
        <f>LN(Table1[[#This Row],[2025]]/Table1[[#This Row],[2023]])</f>
        <v>-8.8215390614366049E-2</v>
      </c>
      <c r="L59" s="87">
        <f>LN(Table1[[#This Row],[2025]]/Table1[[#This Row],[2019]])</f>
        <v>-0.12217803076756942</v>
      </c>
    </row>
    <row r="60" spans="2:24" x14ac:dyDescent="0.2">
      <c r="B60" s="60" t="s">
        <v>84</v>
      </c>
      <c r="C60" s="64">
        <f>C26/$C$32</f>
        <v>0.15236070316952346</v>
      </c>
      <c r="D60" s="64">
        <f t="shared" ref="D60:I60" si="38">D26/$C$32</f>
        <v>0.15972557099644907</v>
      </c>
      <c r="E60" s="64">
        <f t="shared" si="38"/>
        <v>0.18291613695147077</v>
      </c>
      <c r="F60" s="64">
        <f t="shared" si="38"/>
        <v>0.17426899302967866</v>
      </c>
      <c r="G60" s="64">
        <f t="shared" si="38"/>
        <v>0.17056463986673095</v>
      </c>
      <c r="H60" s="64">
        <f t="shared" si="38"/>
        <v>0.19470869317434572</v>
      </c>
      <c r="I60" s="64">
        <f t="shared" si="38"/>
        <v>0.21871027136030863</v>
      </c>
      <c r="J60" s="87">
        <f>LN(Table1[[#This Row],[2025]]/Table1[[#This Row],[2024]])</f>
        <v>0.11624333165128166</v>
      </c>
      <c r="K60" s="87">
        <f>LN(Table1[[#This Row],[2025]]/Table1[[#This Row],[2023]])</f>
        <v>0.24863354777591809</v>
      </c>
      <c r="L60" s="87">
        <f>LN(Table1[[#This Row],[2025]]/Table1[[#This Row],[2019]])</f>
        <v>0.36149713532049688</v>
      </c>
    </row>
    <row r="61" spans="2:24" x14ac:dyDescent="0.2">
      <c r="B61" s="60" t="s">
        <v>85</v>
      </c>
      <c r="C61" s="64">
        <f t="shared" ref="C61:I62" si="39">C27/$C$32</f>
        <v>6.1834202796896234E-2</v>
      </c>
      <c r="D61" s="64">
        <f t="shared" si="39"/>
        <v>7.8690105650782521E-2</v>
      </c>
      <c r="E61" s="64">
        <f t="shared" si="39"/>
        <v>9.7398185086142647E-2</v>
      </c>
      <c r="F61" s="64">
        <f t="shared" si="39"/>
        <v>5.2858270132830655E-2</v>
      </c>
      <c r="G61" s="64">
        <f t="shared" si="39"/>
        <v>5.1597913287449039E-2</v>
      </c>
      <c r="H61" s="64">
        <f t="shared" si="39"/>
        <v>6.7796238656788396E-2</v>
      </c>
      <c r="I61" s="64">
        <f t="shared" si="39"/>
        <v>7.2662312042435673E-2</v>
      </c>
      <c r="J61" s="70">
        <f>LN(Table1[[#This Row],[2025]]/Table1[[#This Row],[2024]])</f>
        <v>6.931612993489332E-2</v>
      </c>
      <c r="K61" s="87">
        <f>LN(Table1[[#This Row],[2025]]/Table1[[#This Row],[2023]])</f>
        <v>0.3423416147997409</v>
      </c>
      <c r="L61" s="72">
        <f>LN(Table1[[#This Row],[2025]]/Table1[[#This Row],[2019]])</f>
        <v>0.1613661916179667</v>
      </c>
    </row>
    <row r="62" spans="2:24" x14ac:dyDescent="0.2">
      <c r="B62" s="60" t="s">
        <v>86</v>
      </c>
      <c r="C62" s="64">
        <f t="shared" si="39"/>
        <v>9.9009249923282625E-2</v>
      </c>
      <c r="D62" s="64">
        <f t="shared" si="39"/>
        <v>9.1567664723159872E-2</v>
      </c>
      <c r="E62" s="64">
        <f t="shared" si="39"/>
        <v>9.5250098636622677E-2</v>
      </c>
      <c r="F62" s="64">
        <f t="shared" si="39"/>
        <v>0.13233746876506949</v>
      </c>
      <c r="G62" s="64">
        <f t="shared" si="39"/>
        <v>0.13953794222085836</v>
      </c>
      <c r="H62" s="64">
        <f t="shared" si="39"/>
        <v>0.14211345403533382</v>
      </c>
      <c r="I62" s="64">
        <f t="shared" si="39"/>
        <v>0.13166893165578011</v>
      </c>
      <c r="J62" s="87">
        <f>LN(Table1[[#This Row],[2025]]/Table1[[#This Row],[2024]])</f>
        <v>-7.6335032138777417E-2</v>
      </c>
      <c r="K62" s="71">
        <f>LN(Table1[[#This Row],[2025]]/Table1[[#This Row],[2023]])</f>
        <v>-5.804587299187669E-2</v>
      </c>
      <c r="L62" s="72">
        <f>LN(Table1[[#This Row],[2025]]/Table1[[#This Row],[2019]])</f>
        <v>0.28507739919555736</v>
      </c>
    </row>
    <row r="63" spans="2:24" x14ac:dyDescent="0.2">
      <c r="B63" s="60" t="s">
        <v>87</v>
      </c>
      <c r="C63" s="64">
        <f>C25/C32</f>
        <v>8.4104160273552234E-2</v>
      </c>
      <c r="D63" s="64">
        <f t="shared" ref="D63:I63" si="40">D25/D32</f>
        <v>8.3493125058460391E-2</v>
      </c>
      <c r="E63" s="64">
        <f t="shared" si="40"/>
        <v>8.4207691358163236E-2</v>
      </c>
      <c r="F63" s="64">
        <f t="shared" si="40"/>
        <v>6.7456556082148497E-2</v>
      </c>
      <c r="G63" s="64">
        <f t="shared" si="40"/>
        <v>5.765816942412838E-2</v>
      </c>
      <c r="H63" s="64">
        <f t="shared" si="40"/>
        <v>5.9428582645479795E-2</v>
      </c>
      <c r="I63" s="64">
        <f t="shared" si="40"/>
        <v>5.7092584241845497E-2</v>
      </c>
      <c r="J63" s="70">
        <f>LN(Table1[[#This Row],[2025]]/Table1[[#This Row],[2024]])</f>
        <v>-4.0101064896855845E-2</v>
      </c>
      <c r="K63" s="71">
        <f>LN(Table1[[#This Row],[2025]]/Table1[[#This Row],[2023]])</f>
        <v>-9.8577088906341131E-3</v>
      </c>
      <c r="L63" s="87">
        <f>LN(Table1[[#This Row],[2025]]/Table1[[#This Row],[2019]])</f>
        <v>-0.38738179887567498</v>
      </c>
    </row>
    <row r="64" spans="2:24" x14ac:dyDescent="0.2">
      <c r="B64" s="60" t="s">
        <v>96</v>
      </c>
      <c r="C64" s="52">
        <f>C16-C22</f>
        <v>48891</v>
      </c>
      <c r="D64" s="52">
        <f t="shared" ref="D64:I64" si="41">D16-D22</f>
        <v>43360</v>
      </c>
      <c r="E64" s="52">
        <f t="shared" si="41"/>
        <v>42934</v>
      </c>
      <c r="F64" s="52">
        <f t="shared" si="41"/>
        <v>52462</v>
      </c>
      <c r="G64" s="52">
        <f t="shared" si="41"/>
        <v>56931</v>
      </c>
      <c r="H64" s="52">
        <f t="shared" si="41"/>
        <v>56060</v>
      </c>
      <c r="I64" s="52">
        <f t="shared" si="41"/>
        <v>60096</v>
      </c>
      <c r="J64" s="70">
        <f>LN(Table1[[#This Row],[2025]]/Table1[[#This Row],[2024]])</f>
        <v>6.9520737849155453E-2</v>
      </c>
      <c r="K64" s="71">
        <f>LN(Table1[[#This Row],[2025]]/Table1[[#This Row],[2023]])</f>
        <v>5.4103275345846205E-2</v>
      </c>
      <c r="L64" s="72">
        <f>LN(Table1[[#This Row],[2025]]/Table1[[#This Row],[2019]])</f>
        <v>0.2063499531238363</v>
      </c>
    </row>
    <row r="65" spans="2:12" x14ac:dyDescent="0.2">
      <c r="B65" s="111" t="s">
        <v>118</v>
      </c>
      <c r="C65" s="112">
        <f t="shared" ref="C65:H65" si="42">C46+(C43*0.5)</f>
        <v>35452</v>
      </c>
      <c r="D65" s="112">
        <f t="shared" si="42"/>
        <v>20643.5</v>
      </c>
      <c r="E65" s="112">
        <f t="shared" si="42"/>
        <v>35520.5</v>
      </c>
      <c r="F65" s="112">
        <f t="shared" si="42"/>
        <v>32979.5</v>
      </c>
      <c r="G65" s="112">
        <f t="shared" si="42"/>
        <v>31317</v>
      </c>
      <c r="H65" s="112">
        <f t="shared" si="42"/>
        <v>31249.5</v>
      </c>
      <c r="I65" s="112">
        <f>I46+(I43*0.5)</f>
        <v>39581</v>
      </c>
      <c r="J65" s="70">
        <f>LN(Table1[[#This Row],[2025]]/Table1[[#This Row],[2024]])</f>
        <v>0.23634582908634622</v>
      </c>
      <c r="K65" s="71">
        <f>LN(Table1[[#This Row],[2025]]/Table1[[#This Row],[2023]])</f>
        <v>0.2341881240464844</v>
      </c>
      <c r="L65" s="72">
        <f>LN(Table1[[#This Row],[2025]]/Table1[[#This Row],[2019]])</f>
        <v>0.110169536264604</v>
      </c>
    </row>
  </sheetData>
  <phoneticPr fontId="14" type="noConversion"/>
  <pageMargins left="0.25" right="0.25" top="0.75" bottom="0.75" header="0.3" footer="0.3"/>
  <pageSetup paperSize="9" scale="55" orientation="landscape"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49CBD-D20C-47C9-870D-42F47DA51E8F}">
  <dimension ref="B4:K18"/>
  <sheetViews>
    <sheetView workbookViewId="0">
      <selection activeCell="C19" sqref="C19"/>
    </sheetView>
  </sheetViews>
  <sheetFormatPr defaultColWidth="10.7109375" defaultRowHeight="12.75" x14ac:dyDescent="0.2"/>
  <cols>
    <col min="1" max="1" width="10.7109375" style="18"/>
    <col min="2" max="2" width="17.28515625" style="18" customWidth="1"/>
    <col min="3" max="3" width="11.28515625" style="18" bestFit="1" customWidth="1"/>
    <col min="4" max="4" width="10.85546875" style="18" bestFit="1" customWidth="1"/>
    <col min="5" max="16384" width="10.7109375" style="18"/>
  </cols>
  <sheetData>
    <row r="4" spans="2:11" x14ac:dyDescent="0.2">
      <c r="B4" s="5" t="s">
        <v>100</v>
      </c>
    </row>
    <row r="5" spans="2:11" x14ac:dyDescent="0.2">
      <c r="B5" s="93"/>
      <c r="C5" s="94">
        <v>2019</v>
      </c>
      <c r="D5" s="94">
        <f>C5+1</f>
        <v>2020</v>
      </c>
      <c r="E5" s="94">
        <f t="shared" ref="E5:I5" si="0">D5+1</f>
        <v>2021</v>
      </c>
      <c r="F5" s="94">
        <f t="shared" si="0"/>
        <v>2022</v>
      </c>
      <c r="G5" s="94">
        <f t="shared" si="0"/>
        <v>2023</v>
      </c>
      <c r="H5" s="94">
        <f t="shared" si="0"/>
        <v>2024</v>
      </c>
      <c r="I5" s="94">
        <f t="shared" si="0"/>
        <v>2025</v>
      </c>
      <c r="J5" s="97" t="s">
        <v>97</v>
      </c>
      <c r="K5" s="6" t="s">
        <v>98</v>
      </c>
    </row>
    <row r="6" spans="2:11" x14ac:dyDescent="0.2">
      <c r="B6" s="4" t="s">
        <v>14</v>
      </c>
      <c r="C6" s="95">
        <f>LN(Statements!C16/66769)</f>
        <v>6.475940764211674E-2</v>
      </c>
      <c r="D6" s="95">
        <f>LN(Statements!D16/Statements!C16)</f>
        <v>-0.32276737606142003</v>
      </c>
      <c r="E6" s="95">
        <f>LN(Statements!E16/Statements!D16)</f>
        <v>-7.8886709107661435E-2</v>
      </c>
      <c r="F6" s="95">
        <f>LN(Statements!F16/Statements!E16)</f>
        <v>0.42013848847764845</v>
      </c>
      <c r="G6" s="95">
        <f>LN(Statements!G16/Statements!F16)</f>
        <v>0.58506509498562875</v>
      </c>
      <c r="H6" s="95">
        <f>LN(Statements!H16/Statements!G16)</f>
        <v>0.11820773038145768</v>
      </c>
      <c r="I6" s="95">
        <f>LN(Statements!I16/Statements!H16)</f>
        <v>-5.6408790872399896E-2</v>
      </c>
      <c r="J6" s="98">
        <f>AVERAGE(C6:I6)</f>
        <v>0.10430112077791005</v>
      </c>
      <c r="K6" s="99">
        <f>_xlfn.STDEV.S(C6:I6)</f>
        <v>0.30941265334859824</v>
      </c>
    </row>
    <row r="7" spans="2:11" x14ac:dyDescent="0.2">
      <c r="B7" s="4" t="s">
        <v>21</v>
      </c>
      <c r="C7" s="95">
        <f>LN(Statements!C22/18607)</f>
        <v>0.18306472837991047</v>
      </c>
      <c r="D7" s="95">
        <f>LN(Statements!D22/Statements!C22)</f>
        <v>-0.99942428573397923</v>
      </c>
      <c r="E7" s="95">
        <f>LN(Statements!E22/Statements!D22)</f>
        <v>-0.55156319091484196</v>
      </c>
      <c r="F7" s="95">
        <f>LN(Statements!F22/Statements!E22)</f>
        <v>1.4452539519225496</v>
      </c>
      <c r="G7" s="95">
        <f>LN(Statements!G22/Statements!F22)</f>
        <v>1.2941143813370812</v>
      </c>
      <c r="H7" s="95">
        <f>LN(Statements!H22/Statements!G22)</f>
        <v>0.21088561391743413</v>
      </c>
      <c r="I7" s="95">
        <f>LN(Statements!I22/Statements!H22)</f>
        <v>-0.14315266677427685</v>
      </c>
      <c r="J7" s="98">
        <f t="shared" ref="J7:J8" si="1">AVERAGE(C7:I7)</f>
        <v>0.20559693316198249</v>
      </c>
      <c r="K7" s="99">
        <f t="shared" ref="K7:K8" si="2">_xlfn.STDEV.S(C7:I7)</f>
        <v>0.90084675948776871</v>
      </c>
    </row>
    <row r="8" spans="2:11" ht="13.5" thickBot="1" x14ac:dyDescent="0.25">
      <c r="B8" s="58" t="s">
        <v>96</v>
      </c>
      <c r="C8" s="96">
        <f>LN((Statements!C16-Statements!C22)/(66769-18607))</f>
        <v>1.5023002084466507E-2</v>
      </c>
      <c r="D8" s="96">
        <f>LN((Statements!D16-Statements!D22)/(Statements!C16-Statements!C22))</f>
        <v>-0.1200559733305706</v>
      </c>
      <c r="E8" s="96">
        <f>LN((Statements!E16-Statements!E22)/(Statements!D16-Statements!D22))</f>
        <v>-9.873304299494054E-3</v>
      </c>
      <c r="F8" s="96">
        <f>LN((Statements!F16-Statements!F22)/(Statements!E16-Statements!E22))</f>
        <v>0.20042504516528839</v>
      </c>
      <c r="G8" s="96">
        <f>LN((Statements!G16-Statements!G22)/(Statements!F16-Statements!F22))</f>
        <v>8.1750910242766275E-2</v>
      </c>
      <c r="H8" s="96">
        <f>LN((Statements!H16-Statements!H22)/(Statements!G16-Statements!G22))</f>
        <v>-1.5417462503309238E-2</v>
      </c>
      <c r="I8" s="96">
        <f>LN((Statements!I16-Statements!I22)/(Statements!H16-Statements!H22))</f>
        <v>6.9520737849155453E-2</v>
      </c>
      <c r="J8" s="100">
        <f t="shared" si="1"/>
        <v>3.1624707886900395E-2</v>
      </c>
      <c r="K8" s="101">
        <f t="shared" si="2"/>
        <v>9.9716260472242912E-2</v>
      </c>
    </row>
    <row r="9" spans="2:11" x14ac:dyDescent="0.2">
      <c r="C9" s="26"/>
      <c r="D9" s="26"/>
      <c r="E9" s="26"/>
    </row>
    <row r="10" spans="2:11" x14ac:dyDescent="0.2">
      <c r="C10" s="26"/>
      <c r="D10" s="26"/>
      <c r="E10" s="26"/>
    </row>
    <row r="11" spans="2:11" x14ac:dyDescent="0.2">
      <c r="B11" s="5" t="s">
        <v>99</v>
      </c>
    </row>
    <row r="12" spans="2:11" x14ac:dyDescent="0.2">
      <c r="B12" s="93"/>
      <c r="C12" s="94">
        <v>2019</v>
      </c>
      <c r="D12" s="94">
        <f>C12+1</f>
        <v>2020</v>
      </c>
      <c r="E12" s="94">
        <f t="shared" ref="E12:I12" si="3">D12+1</f>
        <v>2021</v>
      </c>
      <c r="F12" s="94">
        <f t="shared" si="3"/>
        <v>2022</v>
      </c>
      <c r="G12" s="94">
        <f t="shared" si="3"/>
        <v>2023</v>
      </c>
      <c r="H12" s="94">
        <f t="shared" si="3"/>
        <v>2024</v>
      </c>
      <c r="I12" s="94">
        <f t="shared" si="3"/>
        <v>2025</v>
      </c>
      <c r="J12" s="97" t="s">
        <v>97</v>
      </c>
      <c r="K12" s="6" t="s">
        <v>98</v>
      </c>
    </row>
    <row r="13" spans="2:11" x14ac:dyDescent="0.2">
      <c r="B13" s="4" t="s">
        <v>27</v>
      </c>
      <c r="C13" s="95">
        <f>LN(Statements!C24/5824)</f>
        <v>-4.6467685367890662E-3</v>
      </c>
      <c r="D13" s="95">
        <f>LN(Statements!D24/Statements!C24)</f>
        <v>-2.4623613763324156E-2</v>
      </c>
      <c r="E13" s="95">
        <f>LN(Statements!E24/Statements!D24)</f>
        <v>9.4731383042290396E-2</v>
      </c>
      <c r="F13" s="95">
        <f>LN(Statements!F24/Statements!E24)</f>
        <v>-2.1950316297993832E-2</v>
      </c>
      <c r="G13" s="95">
        <f>LN(Statements!G24/Statements!F24)</f>
        <v>-4.7787847390414143E-3</v>
      </c>
      <c r="H13" s="95">
        <f>LN(Statements!H24/Statements!G24)</f>
        <v>3.7287509793847769E-2</v>
      </c>
      <c r="I13" s="95">
        <f>LN(Statements!I24/Statements!H24)</f>
        <v>1.1864411891895925E-2</v>
      </c>
      <c r="J13" s="98">
        <f>AVERAGE(C13:I13)</f>
        <v>1.2554831627269374E-2</v>
      </c>
      <c r="K13" s="99">
        <f>_xlfn.STDEV.S(C13:I13)</f>
        <v>4.1901390173263428E-2</v>
      </c>
    </row>
    <row r="16" spans="2:11" x14ac:dyDescent="0.2">
      <c r="B16" s="5" t="s">
        <v>101</v>
      </c>
    </row>
    <row r="17" spans="2:11" x14ac:dyDescent="0.2">
      <c r="B17" s="93"/>
      <c r="C17" s="94">
        <v>2019</v>
      </c>
      <c r="D17" s="94">
        <f>C17+1</f>
        <v>2020</v>
      </c>
      <c r="E17" s="94">
        <f t="shared" ref="E17:I17" si="4">D17+1</f>
        <v>2021</v>
      </c>
      <c r="F17" s="94">
        <f t="shared" si="4"/>
        <v>2022</v>
      </c>
      <c r="G17" s="94">
        <f t="shared" si="4"/>
        <v>2023</v>
      </c>
      <c r="H17" s="94">
        <f t="shared" si="4"/>
        <v>2024</v>
      </c>
      <c r="I17" s="94">
        <f t="shared" si="4"/>
        <v>2025</v>
      </c>
      <c r="J17" s="97" t="s">
        <v>97</v>
      </c>
      <c r="K17" s="6" t="s">
        <v>98</v>
      </c>
    </row>
    <row r="18" spans="2:11" x14ac:dyDescent="0.2">
      <c r="B18" s="4" t="s">
        <v>102</v>
      </c>
      <c r="C18" s="95">
        <f>LN(Statements!C48/28147)</f>
        <v>-2.5803472020938356E-2</v>
      </c>
      <c r="D18" s="95">
        <f>LN(Statements!D48/Statements!C48)</f>
        <v>-0.42717184382410767</v>
      </c>
      <c r="E18" s="95">
        <f>LN(Statements!E48/Statements!D48)</f>
        <v>0.5805827052378244</v>
      </c>
      <c r="F18" s="95">
        <f>LN(Statements!F48/Statements!E48)</f>
        <v>-0.14984449786804929</v>
      </c>
      <c r="G18" s="95">
        <f>LN(Statements!G48/Statements!F48)</f>
        <v>-3.7493057906085918E-2</v>
      </c>
      <c r="H18" s="95">
        <f>LN(Statements!H48/Statements!G48)</f>
        <v>2.3003232494739768E-2</v>
      </c>
      <c r="I18" s="95">
        <f>LN(Statements!I48/Statements!H48)</f>
        <v>0.11730787896862503</v>
      </c>
      <c r="J18" s="98">
        <f>AVERAGE(C18:I18)</f>
        <v>1.1511563583143996E-2</v>
      </c>
      <c r="K18" s="99">
        <f>_xlfn.STDEV.S(C18:I18)</f>
        <v>0.30480585579966407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2EB5-D16A-4954-8B3E-69D15147001F}">
  <dimension ref="B4:D14"/>
  <sheetViews>
    <sheetView showGridLines="0" showRowColHeaders="0" zoomScale="140" zoomScaleNormal="140" workbookViewId="0">
      <selection activeCell="B7" sqref="B7"/>
    </sheetView>
  </sheetViews>
  <sheetFormatPr defaultColWidth="10.7109375" defaultRowHeight="15" x14ac:dyDescent="0.2"/>
  <cols>
    <col min="1" max="16384" width="10.7109375" style="19"/>
  </cols>
  <sheetData>
    <row r="4" spans="2:4" ht="20.25" x14ac:dyDescent="0.3">
      <c r="B4" s="20" t="s">
        <v>108</v>
      </c>
    </row>
    <row r="6" spans="2:4" ht="15.75" x14ac:dyDescent="0.25">
      <c r="B6" s="104" t="s">
        <v>109</v>
      </c>
      <c r="C6" s="105" t="s">
        <v>110</v>
      </c>
      <c r="D6" s="106" t="s">
        <v>35</v>
      </c>
    </row>
    <row r="7" spans="2:4" x14ac:dyDescent="0.2">
      <c r="B7" s="19" t="s">
        <v>117</v>
      </c>
      <c r="D7" s="107">
        <f>((Statements!I32/Statements!$C$32)^(1/7))-1</f>
        <v>3.1147912780662201E-2</v>
      </c>
    </row>
    <row r="8" spans="2:4" x14ac:dyDescent="0.2">
      <c r="B8" s="19" t="s">
        <v>111</v>
      </c>
      <c r="D8" s="107">
        <f>Statements!I65/Statements!I32</f>
        <v>0.3499739161958319</v>
      </c>
    </row>
    <row r="9" spans="2:4" x14ac:dyDescent="0.2">
      <c r="B9" s="19" t="s">
        <v>91</v>
      </c>
      <c r="D9" s="107">
        <f>Statements!I50/Statements!U37</f>
        <v>9.5814247979343292E-2</v>
      </c>
    </row>
    <row r="10" spans="2:4" x14ac:dyDescent="0.2">
      <c r="B10" s="19" t="s">
        <v>112</v>
      </c>
      <c r="D10" s="107">
        <f>(Statements!I46*(Statements!I47/Statements!I46))/Statements!U56</f>
        <v>1.1570559318840884E-2</v>
      </c>
    </row>
    <row r="11" spans="2:4" x14ac:dyDescent="0.2">
      <c r="B11" s="19" t="s">
        <v>113</v>
      </c>
      <c r="D11" s="108">
        <f>Statements!U39/Statements!I46</f>
        <v>9.7069637883008362</v>
      </c>
    </row>
    <row r="12" spans="2:4" x14ac:dyDescent="0.2">
      <c r="B12" s="19" t="s">
        <v>114</v>
      </c>
      <c r="D12" s="109">
        <f>_xlfn.STDEV.S(Statements!C53:I53)</f>
        <v>0.62268041516641226</v>
      </c>
    </row>
    <row r="13" spans="2:4" x14ac:dyDescent="0.2">
      <c r="B13" s="19" t="s">
        <v>115</v>
      </c>
      <c r="D13" s="109">
        <f>Statements!U40/Statements!I46</f>
        <v>5.7999968165539197</v>
      </c>
    </row>
    <row r="14" spans="2:4" x14ac:dyDescent="0.2">
      <c r="B14" s="19" t="s">
        <v>116</v>
      </c>
      <c r="D14" s="110" t="s">
        <v>120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scriptIds xmlns="http://schemas.microsoft.com/office/extensibility/maker/v1.0" id="script-ids-node-id">
  <scriptId id="ms-officescript%3A%2F%2Fonedrive_business_itemlink%2F015GZNGIFWWM75CB5U5JDIZ463SE5DI453:ms-officescript%3A%2F%2Fonedrive_business_sharinglink%2Fu!aHR0cHM6Ly9zamVjY2QtbXkuc2hhcmVwb2ludC5jb20vOnU6L2cvcGVyc29uYWwvYWJnbzY0NzZfc3R1X2V2Y19lZHUvRWJhelA5RUh0T3BHalBQYmtUbzBjN3NCcFR0RHZRTGdlNjlZOWVEaWtxVDAydw"/>
</scriptIds>
</file>

<file path=customXml/item4.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Props1.xml><?xml version="1.0" encoding="utf-8"?>
<ds:datastoreItem xmlns:ds="http://schemas.openxmlformats.org/officeDocument/2006/customXml" ds:itemID="{69CA9D73-4B12-4830-B86F-A2C93BFFF30D}">
  <ds:schemaRefs>
    <ds:schemaRef ds:uri="http://schemas.microsoft.com/sharepoint/v3/contenttype/forms"/>
  </ds:schemaRefs>
</ds:datastoreItem>
</file>

<file path=customXml/itemProps2.xml><?xml version="1.0" encoding="utf-8"?>
<ds:datastoreItem xmlns:ds="http://schemas.openxmlformats.org/officeDocument/2006/customXml" ds:itemID="{F17312E7-BDAF-44C5-9DBF-26FD12E4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CC3DFF-8066-43A7-80F7-D82830EC8647}">
  <ds:schemaRefs>
    <ds:schemaRef ds:uri="http://schemas.microsoft.com/office/extensibility/maker/v1.0"/>
  </ds:schemaRefs>
</ds:datastoreItem>
</file>

<file path=customXml/itemProps4.xml><?xml version="1.0" encoding="utf-8"?>
<ds:datastoreItem xmlns:ds="http://schemas.openxmlformats.org/officeDocument/2006/customXml" ds:itemID="{80F213C5-F071-4E9E-9963-FC20199506E0}">
  <ds:schemaRefs>
    <ds:schemaRef ds:uri="http://schemas.microsoft.com/office/infopath/2007/PartnerControls"/>
    <ds:schemaRef ds:uri="http://purl.org/dc/dcmitype/"/>
    <ds:schemaRef ds:uri="36567613-e428-4167-ab55-a4f66cede826"/>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Statements</vt:lpstr>
      <vt:lpstr>Analysis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2025-06-20T18:38:11Z</cp:lastPrinted>
  <dcterms:created xsi:type="dcterms:W3CDTF">2025-02-19T20:24:26Z</dcterms:created>
  <dcterms:modified xsi:type="dcterms:W3CDTF">2026-06-29T21:51:21Z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2025-06-20T18:35:59Z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ee67d891-9c3e-44d0-a65b-82553e022ac4</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