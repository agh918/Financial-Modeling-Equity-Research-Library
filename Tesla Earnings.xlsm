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
    </mc:Choice>
  </mc:AlternateContent>
  <xr:revisionPtr revIDLastSave="1342" documentId="8_{C6248AFA-D811-49DA-BF66-DC4E022558E5}" xr6:coauthVersionLast="47" xr6:coauthVersionMax="47" xr10:uidLastSave="{2EEF2B6B-F0D9-45C9-9671-A85EBBEACE98}"/>
  <bookViews>
    <workbookView xWindow="-98" yWindow="-98" windowWidth="21795" windowHeight="12975"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91" i="1" l="1"/>
  <c r="AE86" i="1"/>
  <c r="AE72" i="1"/>
  <c r="AE79" i="1" s="1"/>
  <c r="AD72" i="1"/>
  <c r="AD79" i="1" s="1"/>
  <c r="AE49" i="1"/>
  <c r="AE61" i="1" s="1"/>
  <c r="AE81" i="1" s="1"/>
  <c r="AD49" i="1"/>
  <c r="AD91" i="1" s="1"/>
  <c r="AE31" i="1"/>
  <c r="AD31" i="1"/>
  <c r="AE23" i="1"/>
  <c r="AD23" i="1"/>
  <c r="AE16" i="1"/>
  <c r="AE88" i="1" s="1"/>
  <c r="AD16" i="1"/>
  <c r="AD25" i="1" s="1"/>
  <c r="AE9" i="1"/>
  <c r="AD9" i="1"/>
  <c r="AE8" i="1"/>
  <c r="AD8" i="1"/>
  <c r="AE7" i="1"/>
  <c r="AE82" i="1" s="1"/>
  <c r="AD7" i="1"/>
  <c r="AD82" i="1" s="1"/>
  <c r="AB91" i="1"/>
  <c r="AB90" i="1"/>
  <c r="AB89" i="1"/>
  <c r="AB88" i="1"/>
  <c r="AB87" i="1"/>
  <c r="AB86" i="1"/>
  <c r="AB85" i="1"/>
  <c r="AB84" i="1"/>
  <c r="AB83" i="1"/>
  <c r="AB82" i="1"/>
  <c r="AB81" i="1"/>
  <c r="AB79" i="1"/>
  <c r="AB78" i="1"/>
  <c r="AB77" i="1"/>
  <c r="AB76" i="1"/>
  <c r="AB75" i="1"/>
  <c r="AB74" i="1"/>
  <c r="AB73" i="1"/>
  <c r="AB72" i="1"/>
  <c r="AB71" i="1"/>
  <c r="AB70" i="1"/>
  <c r="AB69" i="1"/>
  <c r="AB68" i="1"/>
  <c r="AB67" i="1"/>
  <c r="AB66" i="1"/>
  <c r="AB65" i="1"/>
  <c r="AB61" i="1"/>
  <c r="AB60" i="1"/>
  <c r="AB59" i="1"/>
  <c r="AB58" i="1"/>
  <c r="AB57" i="1"/>
  <c r="AB56" i="1"/>
  <c r="AB55" i="1"/>
  <c r="AB54" i="1"/>
  <c r="AB53" i="1"/>
  <c r="AB52" i="1"/>
  <c r="AB51" i="1"/>
  <c r="AB50" i="1"/>
  <c r="AB49" i="1"/>
  <c r="AB48" i="1"/>
  <c r="AB47" i="1"/>
  <c r="AB46" i="1"/>
  <c r="AB45" i="1"/>
  <c r="AB44" i="1"/>
  <c r="AB40" i="1"/>
  <c r="AB39" i="1"/>
  <c r="AB38" i="1"/>
  <c r="AB37" i="1"/>
  <c r="AB36" i="1"/>
  <c r="AB35" i="1"/>
  <c r="AB34" i="1"/>
  <c r="AB33" i="1"/>
  <c r="AB31" i="1"/>
  <c r="AB30" i="1"/>
  <c r="AB29" i="1"/>
  <c r="AB28" i="1"/>
  <c r="AB25" i="1"/>
  <c r="AB23" i="1"/>
  <c r="AB22" i="1"/>
  <c r="AB21" i="1"/>
  <c r="AB20" i="1"/>
  <c r="AB19" i="1"/>
  <c r="AB16" i="1"/>
  <c r="AB15" i="1"/>
  <c r="AB14" i="1"/>
  <c r="AB13" i="1"/>
  <c r="AB12" i="1"/>
  <c r="AB9" i="1"/>
  <c r="AB8" i="1"/>
  <c r="AB7" i="1"/>
  <c r="AB6" i="1"/>
  <c r="AB5" i="1"/>
  <c r="AA6" i="1"/>
  <c r="AA8" i="1"/>
  <c r="AA12" i="1"/>
  <c r="AA14" i="1"/>
  <c r="AA15" i="1"/>
  <c r="AA19" i="1"/>
  <c r="AA20" i="1"/>
  <c r="AA21" i="1"/>
  <c r="AA22" i="1"/>
  <c r="AA28" i="1"/>
  <c r="AA29" i="1"/>
  <c r="AA30" i="1"/>
  <c r="AA31" i="1"/>
  <c r="AA34" i="1"/>
  <c r="AA35" i="1"/>
  <c r="AA36" i="1"/>
  <c r="AA38" i="1"/>
  <c r="AA40" i="1"/>
  <c r="AA44" i="1"/>
  <c r="AA45" i="1"/>
  <c r="AA46" i="1"/>
  <c r="AA47" i="1"/>
  <c r="AA48" i="1"/>
  <c r="AA50" i="1"/>
  <c r="AA51" i="1"/>
  <c r="AA52" i="1"/>
  <c r="AA53" i="1"/>
  <c r="AA54" i="1"/>
  <c r="AA55" i="1"/>
  <c r="AA56" i="1"/>
  <c r="AA57" i="1"/>
  <c r="AA58" i="1"/>
  <c r="AA59" i="1"/>
  <c r="AA60" i="1"/>
  <c r="AA65" i="1"/>
  <c r="AA66" i="1"/>
  <c r="AA67" i="1"/>
  <c r="AA68" i="1"/>
  <c r="AA69" i="1"/>
  <c r="AA70" i="1"/>
  <c r="AA71" i="1"/>
  <c r="AA72" i="1"/>
  <c r="AA73" i="1"/>
  <c r="AA74" i="1"/>
  <c r="AA75" i="1"/>
  <c r="AA76" i="1"/>
  <c r="AA77" i="1"/>
  <c r="AA78" i="1"/>
  <c r="AA5" i="1"/>
  <c r="Z13" i="1"/>
  <c r="Z16" i="1" s="1"/>
  <c r="Y40" i="1"/>
  <c r="Y38" i="1"/>
  <c r="Y36" i="1"/>
  <c r="Y35" i="1"/>
  <c r="Y34" i="1"/>
  <c r="Y29" i="1"/>
  <c r="Y31" i="1" s="1"/>
  <c r="Y28" i="1"/>
  <c r="Y22" i="1"/>
  <c r="Y21" i="1"/>
  <c r="Y20" i="1"/>
  <c r="Y19" i="1"/>
  <c r="Y15" i="1"/>
  <c r="Y14" i="1"/>
  <c r="Y12" i="1"/>
  <c r="X13" i="1"/>
  <c r="X16" i="1" s="1"/>
  <c r="X86" i="1" s="1"/>
  <c r="W13" i="1"/>
  <c r="W16" i="1" s="1"/>
  <c r="V13" i="1"/>
  <c r="V16" i="1" s="1"/>
  <c r="U40" i="1"/>
  <c r="U38" i="1"/>
  <c r="U36" i="1"/>
  <c r="U35" i="1"/>
  <c r="U34" i="1"/>
  <c r="U30" i="1"/>
  <c r="U29" i="1"/>
  <c r="U28" i="1"/>
  <c r="U22" i="1"/>
  <c r="U21" i="1"/>
  <c r="U20" i="1"/>
  <c r="U19" i="1"/>
  <c r="U23" i="1" s="1"/>
  <c r="U15" i="1"/>
  <c r="U14" i="1"/>
  <c r="U12" i="1"/>
  <c r="T13" i="1"/>
  <c r="T16" i="1" s="1"/>
  <c r="T89" i="1" s="1"/>
  <c r="S13" i="1"/>
  <c r="S16" i="1" s="1"/>
  <c r="R13" i="1"/>
  <c r="R16" i="1" s="1"/>
  <c r="Q40" i="1"/>
  <c r="Q38" i="1"/>
  <c r="Q36" i="1"/>
  <c r="Q35" i="1"/>
  <c r="Q34" i="1"/>
  <c r="Q30" i="1"/>
  <c r="Q29" i="1"/>
  <c r="Q28" i="1"/>
  <c r="Q22" i="1"/>
  <c r="Q21" i="1"/>
  <c r="Q20" i="1"/>
  <c r="Q19" i="1"/>
  <c r="Q13" i="1"/>
  <c r="Q15" i="1"/>
  <c r="Q14" i="1"/>
  <c r="Q12" i="1"/>
  <c r="M40" i="1"/>
  <c r="M38" i="1"/>
  <c r="M36" i="1"/>
  <c r="M35" i="1"/>
  <c r="M34" i="1"/>
  <c r="M29" i="1"/>
  <c r="M28" i="1"/>
  <c r="M31" i="1" s="1"/>
  <c r="M22" i="1"/>
  <c r="M21" i="1"/>
  <c r="M20" i="1"/>
  <c r="M19" i="1"/>
  <c r="M15" i="1"/>
  <c r="M14" i="1"/>
  <c r="M13" i="1"/>
  <c r="M12" i="1"/>
  <c r="I40" i="1"/>
  <c r="I38" i="1"/>
  <c r="I36" i="1"/>
  <c r="I35" i="1"/>
  <c r="I34" i="1"/>
  <c r="I30" i="1"/>
  <c r="I29" i="1"/>
  <c r="I28" i="1"/>
  <c r="I22" i="1"/>
  <c r="I21" i="1"/>
  <c r="I20" i="1"/>
  <c r="I19" i="1"/>
  <c r="I15" i="1"/>
  <c r="I14" i="1"/>
  <c r="I13" i="1"/>
  <c r="I12" i="1"/>
  <c r="E40" i="1"/>
  <c r="E38" i="1"/>
  <c r="E36" i="1"/>
  <c r="E35" i="1"/>
  <c r="E34" i="1"/>
  <c r="E30" i="1"/>
  <c r="E29" i="1"/>
  <c r="E28" i="1"/>
  <c r="E22" i="1"/>
  <c r="E21" i="1"/>
  <c r="E20" i="1"/>
  <c r="E19" i="1"/>
  <c r="E15" i="1"/>
  <c r="E14" i="1"/>
  <c r="E13" i="1"/>
  <c r="E12" i="1"/>
  <c r="AC31" i="1"/>
  <c r="Z31" i="1"/>
  <c r="X31" i="1"/>
  <c r="W31" i="1"/>
  <c r="V31" i="1"/>
  <c r="T31" i="1"/>
  <c r="S31" i="1"/>
  <c r="R31" i="1"/>
  <c r="P31" i="1"/>
  <c r="O31" i="1"/>
  <c r="N31" i="1"/>
  <c r="L31" i="1"/>
  <c r="K31" i="1"/>
  <c r="J31" i="1"/>
  <c r="H31" i="1"/>
  <c r="G31" i="1"/>
  <c r="F31" i="1"/>
  <c r="D31" i="1"/>
  <c r="C31" i="1"/>
  <c r="B31" i="1"/>
  <c r="AC72" i="1"/>
  <c r="AC79" i="1" s="1"/>
  <c r="Z72" i="1"/>
  <c r="Z79" i="1" s="1"/>
  <c r="Y72" i="1"/>
  <c r="Y79" i="1" s="1"/>
  <c r="X72" i="1"/>
  <c r="X79" i="1" s="1"/>
  <c r="W72" i="1"/>
  <c r="W79" i="1" s="1"/>
  <c r="V72" i="1"/>
  <c r="V79" i="1" s="1"/>
  <c r="U72" i="1"/>
  <c r="U79" i="1" s="1"/>
  <c r="T72" i="1"/>
  <c r="T79" i="1" s="1"/>
  <c r="S72" i="1"/>
  <c r="S79" i="1" s="1"/>
  <c r="R72" i="1"/>
  <c r="R79" i="1" s="1"/>
  <c r="Q72" i="1"/>
  <c r="Q79" i="1" s="1"/>
  <c r="P72" i="1"/>
  <c r="P79" i="1" s="1"/>
  <c r="O72" i="1"/>
  <c r="O79" i="1" s="1"/>
  <c r="N72" i="1"/>
  <c r="N79" i="1" s="1"/>
  <c r="M72" i="1"/>
  <c r="M79" i="1" s="1"/>
  <c r="L72" i="1"/>
  <c r="L79" i="1" s="1"/>
  <c r="K72" i="1"/>
  <c r="K79" i="1" s="1"/>
  <c r="J72" i="1"/>
  <c r="J79" i="1" s="1"/>
  <c r="I72" i="1"/>
  <c r="I79" i="1" s="1"/>
  <c r="H72" i="1"/>
  <c r="H79" i="1" s="1"/>
  <c r="G72" i="1"/>
  <c r="G79" i="1" s="1"/>
  <c r="F72" i="1"/>
  <c r="F79" i="1" s="1"/>
  <c r="E72" i="1"/>
  <c r="E79" i="1" s="1"/>
  <c r="D72" i="1"/>
  <c r="D79" i="1" s="1"/>
  <c r="AC49" i="1"/>
  <c r="AC61" i="1" s="1"/>
  <c r="Z49" i="1"/>
  <c r="Z61" i="1" s="1"/>
  <c r="AA61" i="1" s="1"/>
  <c r="Y49" i="1"/>
  <c r="Y61" i="1" s="1"/>
  <c r="X49" i="1"/>
  <c r="X61" i="1" s="1"/>
  <c r="W49" i="1"/>
  <c r="W61" i="1" s="1"/>
  <c r="V49" i="1"/>
  <c r="V61" i="1" s="1"/>
  <c r="U49" i="1"/>
  <c r="U61" i="1" s="1"/>
  <c r="T49" i="1"/>
  <c r="T61" i="1" s="1"/>
  <c r="S49" i="1"/>
  <c r="S61" i="1" s="1"/>
  <c r="R49" i="1"/>
  <c r="R61" i="1" s="1"/>
  <c r="Q49" i="1"/>
  <c r="Q61" i="1" s="1"/>
  <c r="P49" i="1"/>
  <c r="P61" i="1" s="1"/>
  <c r="O49" i="1"/>
  <c r="O61" i="1" s="1"/>
  <c r="N49" i="1"/>
  <c r="N61" i="1" s="1"/>
  <c r="M49" i="1"/>
  <c r="M61" i="1" s="1"/>
  <c r="L49" i="1"/>
  <c r="L61" i="1" s="1"/>
  <c r="K49" i="1"/>
  <c r="K61" i="1" s="1"/>
  <c r="J49" i="1"/>
  <c r="J61" i="1" s="1"/>
  <c r="I49" i="1"/>
  <c r="I61" i="1" s="1"/>
  <c r="H49" i="1"/>
  <c r="H61" i="1" s="1"/>
  <c r="G49" i="1"/>
  <c r="G61" i="1" s="1"/>
  <c r="F49" i="1"/>
  <c r="F61" i="1" s="1"/>
  <c r="E49" i="1"/>
  <c r="E61" i="1" s="1"/>
  <c r="D49" i="1"/>
  <c r="D61" i="1" s="1"/>
  <c r="AC23" i="1"/>
  <c r="Z23" i="1"/>
  <c r="X23" i="1"/>
  <c r="W23" i="1"/>
  <c r="V23" i="1"/>
  <c r="AA23" i="1" s="1"/>
  <c r="T23" i="1"/>
  <c r="S23" i="1"/>
  <c r="R23" i="1"/>
  <c r="P23" i="1"/>
  <c r="O23" i="1"/>
  <c r="N23" i="1"/>
  <c r="L23" i="1"/>
  <c r="K23" i="1"/>
  <c r="J23" i="1"/>
  <c r="H23" i="1"/>
  <c r="G23" i="1"/>
  <c r="F23" i="1"/>
  <c r="D23" i="1"/>
  <c r="AC16" i="1"/>
  <c r="P16" i="1"/>
  <c r="O16" i="1"/>
  <c r="N16" i="1"/>
  <c r="N89" i="1" s="1"/>
  <c r="L16" i="1"/>
  <c r="L89" i="1" s="1"/>
  <c r="K16" i="1"/>
  <c r="J16" i="1"/>
  <c r="J86" i="1" s="1"/>
  <c r="H16" i="1"/>
  <c r="H86" i="1" s="1"/>
  <c r="G16" i="1"/>
  <c r="F16" i="1"/>
  <c r="D16" i="1"/>
  <c r="C72" i="1"/>
  <c r="C79" i="1" s="1"/>
  <c r="C49" i="1"/>
  <c r="C61" i="1" s="1"/>
  <c r="C23" i="1"/>
  <c r="C16" i="1"/>
  <c r="C87" i="1" s="1"/>
  <c r="AC9" i="1"/>
  <c r="Z9" i="1"/>
  <c r="AA9" i="1" s="1"/>
  <c r="Y9" i="1"/>
  <c r="X9" i="1"/>
  <c r="W9" i="1"/>
  <c r="V9" i="1"/>
  <c r="U9" i="1"/>
  <c r="T9" i="1"/>
  <c r="S9" i="1"/>
  <c r="R9" i="1"/>
  <c r="Q9" i="1"/>
  <c r="P9" i="1"/>
  <c r="O9" i="1"/>
  <c r="N9" i="1"/>
  <c r="M9" i="1"/>
  <c r="L9" i="1"/>
  <c r="K9" i="1"/>
  <c r="J9" i="1"/>
  <c r="I9" i="1"/>
  <c r="H9" i="1"/>
  <c r="G9" i="1"/>
  <c r="F9" i="1"/>
  <c r="E9" i="1"/>
  <c r="D9" i="1"/>
  <c r="C9" i="1"/>
  <c r="AC8" i="1"/>
  <c r="Z8" i="1"/>
  <c r="Y8" i="1"/>
  <c r="X8" i="1"/>
  <c r="W8" i="1"/>
  <c r="V8" i="1"/>
  <c r="U8" i="1"/>
  <c r="T8" i="1"/>
  <c r="S8" i="1"/>
  <c r="R8" i="1"/>
  <c r="Q8" i="1"/>
  <c r="P8" i="1"/>
  <c r="O8" i="1"/>
  <c r="N8" i="1"/>
  <c r="M8" i="1"/>
  <c r="L8" i="1"/>
  <c r="K8" i="1"/>
  <c r="J8" i="1"/>
  <c r="I8" i="1"/>
  <c r="H8" i="1"/>
  <c r="G8" i="1"/>
  <c r="F8" i="1"/>
  <c r="E8" i="1"/>
  <c r="D8" i="1"/>
  <c r="C8" i="1"/>
  <c r="AC7" i="1"/>
  <c r="Z7" i="1"/>
  <c r="AA7" i="1" s="1"/>
  <c r="Y7" i="1"/>
  <c r="X7" i="1"/>
  <c r="W7" i="1"/>
  <c r="V7" i="1"/>
  <c r="U7" i="1"/>
  <c r="T7" i="1"/>
  <c r="S7" i="1"/>
  <c r="R7" i="1"/>
  <c r="Q7" i="1"/>
  <c r="P7" i="1"/>
  <c r="O7" i="1"/>
  <c r="N7" i="1"/>
  <c r="M7" i="1"/>
  <c r="L7" i="1"/>
  <c r="K7" i="1"/>
  <c r="J7" i="1"/>
  <c r="I7" i="1"/>
  <c r="H7" i="1"/>
  <c r="G7" i="1"/>
  <c r="F7" i="1"/>
  <c r="E7" i="1"/>
  <c r="D7" i="1"/>
  <c r="C7" i="1"/>
  <c r="B9" i="1"/>
  <c r="B8" i="1"/>
  <c r="B7" i="1"/>
  <c r="B72" i="1"/>
  <c r="B79" i="1" s="1"/>
  <c r="B49" i="1"/>
  <c r="B23" i="1"/>
  <c r="B16" i="1"/>
  <c r="B86" i="1" s="1"/>
  <c r="A4" i="1" a="1"/>
  <c r="A4" i="1" s="1"/>
  <c r="AD84" i="1" l="1"/>
  <c r="AD33" i="1"/>
  <c r="AD37" i="1" s="1"/>
  <c r="AD39" i="1" s="1"/>
  <c r="AD87" i="1"/>
  <c r="AE87" i="1"/>
  <c r="AD88" i="1"/>
  <c r="AE25" i="1"/>
  <c r="AD89" i="1"/>
  <c r="AE89" i="1"/>
  <c r="AD61" i="1"/>
  <c r="AD81" i="1" s="1"/>
  <c r="AD86" i="1"/>
  <c r="Z86" i="1"/>
  <c r="AA16" i="1"/>
  <c r="AA13" i="1"/>
  <c r="AA49" i="1"/>
  <c r="AA79" i="1"/>
  <c r="U13" i="1"/>
  <c r="U16" i="1" s="1"/>
  <c r="Y23" i="1"/>
  <c r="B87" i="1"/>
  <c r="Y13" i="1"/>
  <c r="Y16" i="1" s="1"/>
  <c r="Y89" i="1" s="1"/>
  <c r="E23" i="1"/>
  <c r="W81" i="1"/>
  <c r="W25" i="1"/>
  <c r="W33" i="1" s="1"/>
  <c r="W37" i="1" s="1"/>
  <c r="W39" i="1" s="1"/>
  <c r="W85" i="1" s="1"/>
  <c r="V25" i="1"/>
  <c r="V84" i="1" s="1"/>
  <c r="U31" i="1"/>
  <c r="Q31" i="1"/>
  <c r="Q23" i="1"/>
  <c r="Q16" i="1"/>
  <c r="Q87" i="1" s="1"/>
  <c r="P25" i="1"/>
  <c r="P84" i="1" s="1"/>
  <c r="W89" i="1"/>
  <c r="I23" i="1"/>
  <c r="V88" i="1"/>
  <c r="Z88" i="1"/>
  <c r="AA88" i="1" s="1"/>
  <c r="R81" i="1"/>
  <c r="H89" i="1"/>
  <c r="X89" i="1"/>
  <c r="R25" i="1"/>
  <c r="R84" i="1" s="1"/>
  <c r="B91" i="1"/>
  <c r="S25" i="1"/>
  <c r="S33" i="1" s="1"/>
  <c r="S37" i="1" s="1"/>
  <c r="S39" i="1" s="1"/>
  <c r="S85" i="1" s="1"/>
  <c r="F81" i="1"/>
  <c r="V81" i="1"/>
  <c r="M23" i="1"/>
  <c r="M16" i="1"/>
  <c r="M89" i="1" s="1"/>
  <c r="I31" i="1"/>
  <c r="I16" i="1"/>
  <c r="I89" i="1" s="1"/>
  <c r="C86" i="1"/>
  <c r="S89" i="1"/>
  <c r="K91" i="1"/>
  <c r="Z81" i="1"/>
  <c r="S91" i="1"/>
  <c r="Z91" i="1"/>
  <c r="O81" i="1"/>
  <c r="N88" i="1"/>
  <c r="AC91" i="1"/>
  <c r="R86" i="1"/>
  <c r="V86" i="1"/>
  <c r="J91" i="1"/>
  <c r="J81" i="1"/>
  <c r="R91" i="1"/>
  <c r="J25" i="1"/>
  <c r="J84" i="1" s="1"/>
  <c r="Z25" i="1"/>
  <c r="C88" i="1"/>
  <c r="H82" i="1"/>
  <c r="X82" i="1"/>
  <c r="K25" i="1"/>
  <c r="K33" i="1" s="1"/>
  <c r="K37" i="1" s="1"/>
  <c r="K39" i="1" s="1"/>
  <c r="K83" i="1" s="1"/>
  <c r="AC25" i="1"/>
  <c r="AC33" i="1" s="1"/>
  <c r="AC37" i="1" s="1"/>
  <c r="AC39" i="1" s="1"/>
  <c r="AC83" i="1" s="1"/>
  <c r="V91" i="1"/>
  <c r="J88" i="1"/>
  <c r="W91" i="1"/>
  <c r="O25" i="1"/>
  <c r="O33" i="1" s="1"/>
  <c r="O37" i="1" s="1"/>
  <c r="O39" i="1" s="1"/>
  <c r="O83" i="1" s="1"/>
  <c r="G81" i="1"/>
  <c r="G91" i="1"/>
  <c r="G25" i="1"/>
  <c r="G33" i="1" s="1"/>
  <c r="G37" i="1" s="1"/>
  <c r="G39" i="1" s="1"/>
  <c r="G89" i="1"/>
  <c r="N81" i="1"/>
  <c r="S81" i="1"/>
  <c r="F91" i="1"/>
  <c r="O87" i="1"/>
  <c r="P87" i="1"/>
  <c r="B89" i="1"/>
  <c r="G86" i="1"/>
  <c r="W86" i="1"/>
  <c r="K88" i="1"/>
  <c r="AC88" i="1"/>
  <c r="H91" i="1"/>
  <c r="X91" i="1"/>
  <c r="B61" i="1"/>
  <c r="B81" i="1" s="1"/>
  <c r="B88" i="1"/>
  <c r="R87" i="1"/>
  <c r="L88" i="1"/>
  <c r="C89" i="1"/>
  <c r="V89" i="1"/>
  <c r="I91" i="1"/>
  <c r="Y91" i="1"/>
  <c r="K86" i="1"/>
  <c r="AC86" i="1"/>
  <c r="O88" i="1"/>
  <c r="L91" i="1"/>
  <c r="J82" i="1"/>
  <c r="Z82" i="1"/>
  <c r="AA82" i="1" s="1"/>
  <c r="L86" i="1"/>
  <c r="V87" i="1"/>
  <c r="P88" i="1"/>
  <c r="J89" i="1"/>
  <c r="Z89" i="1"/>
  <c r="M91" i="1"/>
  <c r="T25" i="1"/>
  <c r="T84" i="1" s="1"/>
  <c r="T82" i="1"/>
  <c r="G87" i="1"/>
  <c r="W87" i="1"/>
  <c r="K89" i="1"/>
  <c r="AC89" i="1"/>
  <c r="N91" i="1"/>
  <c r="B82" i="1"/>
  <c r="H25" i="1"/>
  <c r="H84" i="1" s="1"/>
  <c r="X25" i="1"/>
  <c r="X84" i="1" s="1"/>
  <c r="N86" i="1"/>
  <c r="H87" i="1"/>
  <c r="X87" i="1"/>
  <c r="R88" i="1"/>
  <c r="O91" i="1"/>
  <c r="T87" i="1"/>
  <c r="O86" i="1"/>
  <c r="S88" i="1"/>
  <c r="P91" i="1"/>
  <c r="S87" i="1"/>
  <c r="K81" i="1"/>
  <c r="AC81" i="1"/>
  <c r="P86" i="1"/>
  <c r="J87" i="1"/>
  <c r="Z87" i="1"/>
  <c r="T88" i="1"/>
  <c r="Q91" i="1"/>
  <c r="AC87" i="1"/>
  <c r="O89" i="1"/>
  <c r="P89" i="1"/>
  <c r="S86" i="1"/>
  <c r="G88" i="1"/>
  <c r="W88" i="1"/>
  <c r="T91" i="1"/>
  <c r="K87" i="1"/>
  <c r="L25" i="1"/>
  <c r="L84" i="1" s="1"/>
  <c r="L87" i="1"/>
  <c r="B25" i="1"/>
  <c r="B84" i="1" s="1"/>
  <c r="N25" i="1"/>
  <c r="N84" i="1" s="1"/>
  <c r="T86" i="1"/>
  <c r="N87" i="1"/>
  <c r="H88" i="1"/>
  <c r="X88" i="1"/>
  <c r="R89" i="1"/>
  <c r="C91" i="1"/>
  <c r="U91" i="1"/>
  <c r="F25" i="1"/>
  <c r="F84" i="1" s="1"/>
  <c r="F89" i="1"/>
  <c r="F87" i="1"/>
  <c r="F88" i="1"/>
  <c r="F86" i="1"/>
  <c r="F82" i="1"/>
  <c r="E91" i="1"/>
  <c r="E31" i="1"/>
  <c r="E16" i="1"/>
  <c r="D91" i="1"/>
  <c r="D82" i="1"/>
  <c r="D25" i="1"/>
  <c r="D84" i="1" s="1"/>
  <c r="D89" i="1"/>
  <c r="D87" i="1"/>
  <c r="D86" i="1"/>
  <c r="D88" i="1"/>
  <c r="V82" i="1"/>
  <c r="R82" i="1"/>
  <c r="N82" i="1"/>
  <c r="C81" i="1"/>
  <c r="E82" i="1"/>
  <c r="I82" i="1"/>
  <c r="M82" i="1"/>
  <c r="Q82" i="1"/>
  <c r="U82" i="1"/>
  <c r="Y82" i="1"/>
  <c r="L82" i="1"/>
  <c r="P82" i="1"/>
  <c r="C82" i="1"/>
  <c r="G82" i="1"/>
  <c r="K82" i="1"/>
  <c r="O82" i="1"/>
  <c r="S82" i="1"/>
  <c r="W82" i="1"/>
  <c r="AC82" i="1"/>
  <c r="C25" i="1"/>
  <c r="D81" i="1"/>
  <c r="T81" i="1"/>
  <c r="X81" i="1"/>
  <c r="L81" i="1"/>
  <c r="H81" i="1"/>
  <c r="P81" i="1"/>
  <c r="E81" i="1"/>
  <c r="I81" i="1"/>
  <c r="M81" i="1"/>
  <c r="Q81" i="1"/>
  <c r="U81" i="1"/>
  <c r="Y81" i="1"/>
  <c r="AE84" i="1" l="1"/>
  <c r="AE33" i="1"/>
  <c r="AE37" i="1" s="1"/>
  <c r="AE39" i="1" s="1"/>
  <c r="AD83" i="1"/>
  <c r="AD90" i="1"/>
  <c r="AD85" i="1"/>
  <c r="U86" i="1"/>
  <c r="U25" i="1"/>
  <c r="U84" i="1" s="1"/>
  <c r="U89" i="1"/>
  <c r="U88" i="1"/>
  <c r="AA87" i="1"/>
  <c r="U87" i="1"/>
  <c r="Z84" i="1"/>
  <c r="AA84" i="1" s="1"/>
  <c r="AA25" i="1"/>
  <c r="AA89" i="1"/>
  <c r="AA86" i="1"/>
  <c r="AA91" i="1"/>
  <c r="AA81" i="1"/>
  <c r="I86" i="1"/>
  <c r="M86" i="1"/>
  <c r="Z33" i="1"/>
  <c r="J33" i="1"/>
  <c r="J37" i="1" s="1"/>
  <c r="J39" i="1" s="1"/>
  <c r="J83" i="1" s="1"/>
  <c r="Y87" i="1"/>
  <c r="Y25" i="1"/>
  <c r="Y84" i="1" s="1"/>
  <c r="Y88" i="1"/>
  <c r="Y86" i="1"/>
  <c r="W84" i="1"/>
  <c r="W90" i="1"/>
  <c r="W83" i="1"/>
  <c r="V33" i="1"/>
  <c r="V37" i="1" s="1"/>
  <c r="V39" i="1" s="1"/>
  <c r="V90" i="1" s="1"/>
  <c r="S84" i="1"/>
  <c r="Q86" i="1"/>
  <c r="Q25" i="1"/>
  <c r="Q84" i="1" s="1"/>
  <c r="Q89" i="1"/>
  <c r="Q88" i="1"/>
  <c r="S90" i="1"/>
  <c r="R33" i="1"/>
  <c r="R37" i="1" s="1"/>
  <c r="R39" i="1" s="1"/>
  <c r="R83" i="1" s="1"/>
  <c r="S83" i="1"/>
  <c r="AC90" i="1"/>
  <c r="P33" i="1"/>
  <c r="P37" i="1" s="1"/>
  <c r="P39" i="1" s="1"/>
  <c r="P90" i="1" s="1"/>
  <c r="M88" i="1"/>
  <c r="M25" i="1"/>
  <c r="M84" i="1" s="1"/>
  <c r="M87" i="1"/>
  <c r="K85" i="1"/>
  <c r="K90" i="1"/>
  <c r="I25" i="1"/>
  <c r="I84" i="1" s="1"/>
  <c r="I88" i="1"/>
  <c r="I87" i="1"/>
  <c r="O84" i="1"/>
  <c r="AC84" i="1"/>
  <c r="K84" i="1"/>
  <c r="O85" i="1"/>
  <c r="AC85" i="1"/>
  <c r="X33" i="1"/>
  <c r="X37" i="1" s="1"/>
  <c r="X39" i="1" s="1"/>
  <c r="X85" i="1" s="1"/>
  <c r="T33" i="1"/>
  <c r="T37" i="1" s="1"/>
  <c r="T39" i="1" s="1"/>
  <c r="T85" i="1" s="1"/>
  <c r="O90" i="1"/>
  <c r="H33" i="1"/>
  <c r="H37" i="1" s="1"/>
  <c r="H39" i="1" s="1"/>
  <c r="H85" i="1" s="1"/>
  <c r="G90" i="1"/>
  <c r="G84" i="1"/>
  <c r="G85" i="1"/>
  <c r="G83" i="1"/>
  <c r="N33" i="1"/>
  <c r="N37" i="1" s="1"/>
  <c r="N39" i="1" s="1"/>
  <c r="B33" i="1"/>
  <c r="B37" i="1" s="1"/>
  <c r="B39" i="1" s="1"/>
  <c r="L33" i="1"/>
  <c r="L37" i="1" s="1"/>
  <c r="L39" i="1" s="1"/>
  <c r="C33" i="1"/>
  <c r="C37" i="1" s="1"/>
  <c r="C39" i="1" s="1"/>
  <c r="C84" i="1"/>
  <c r="U33" i="1"/>
  <c r="U37" i="1" s="1"/>
  <c r="U39" i="1" s="1"/>
  <c r="F33" i="1"/>
  <c r="F37" i="1" s="1"/>
  <c r="F39" i="1" s="1"/>
  <c r="F83" i="1" s="1"/>
  <c r="E25" i="1"/>
  <c r="E89" i="1"/>
  <c r="E87" i="1"/>
  <c r="E88" i="1"/>
  <c r="E86" i="1"/>
  <c r="D33" i="1"/>
  <c r="D37" i="1" s="1"/>
  <c r="D39" i="1" s="1"/>
  <c r="D83" i="1" s="1"/>
  <c r="AE83" i="1" l="1"/>
  <c r="AE90" i="1"/>
  <c r="AE85" i="1"/>
  <c r="Z37" i="1"/>
  <c r="AA33" i="1"/>
  <c r="J85" i="1"/>
  <c r="J90" i="1"/>
  <c r="I33" i="1"/>
  <c r="I37" i="1" s="1"/>
  <c r="I39" i="1" s="1"/>
  <c r="I83" i="1" s="1"/>
  <c r="Y33" i="1"/>
  <c r="Y37" i="1" s="1"/>
  <c r="Y39" i="1" s="1"/>
  <c r="Y83" i="1" s="1"/>
  <c r="X90" i="1"/>
  <c r="X83" i="1"/>
  <c r="V83" i="1"/>
  <c r="V85" i="1"/>
  <c r="T83" i="1"/>
  <c r="T90" i="1"/>
  <c r="R85" i="1"/>
  <c r="R90" i="1"/>
  <c r="Q33" i="1"/>
  <c r="Q37" i="1" s="1"/>
  <c r="Q39" i="1" s="1"/>
  <c r="Q85" i="1" s="1"/>
  <c r="P85" i="1"/>
  <c r="P83" i="1"/>
  <c r="M33" i="1"/>
  <c r="M37" i="1" s="1"/>
  <c r="M39" i="1" s="1"/>
  <c r="M85" i="1" s="1"/>
  <c r="H90" i="1"/>
  <c r="H83" i="1"/>
  <c r="U83" i="1"/>
  <c r="U85" i="1"/>
  <c r="U90" i="1"/>
  <c r="B85" i="1"/>
  <c r="B83" i="1"/>
  <c r="B90" i="1"/>
  <c r="N83" i="1"/>
  <c r="N85" i="1"/>
  <c r="N90" i="1"/>
  <c r="C85" i="1"/>
  <c r="C90" i="1"/>
  <c r="C83" i="1"/>
  <c r="L90" i="1"/>
  <c r="L83" i="1"/>
  <c r="L85" i="1"/>
  <c r="F85" i="1"/>
  <c r="F90" i="1"/>
  <c r="E84" i="1"/>
  <c r="E33" i="1"/>
  <c r="E37" i="1" s="1"/>
  <c r="E39" i="1" s="1"/>
  <c r="D85" i="1"/>
  <c r="D90" i="1"/>
  <c r="Z39" i="1" l="1"/>
  <c r="AA37" i="1"/>
  <c r="I90" i="1"/>
  <c r="I85" i="1"/>
  <c r="M83" i="1"/>
  <c r="Y85" i="1"/>
  <c r="Y90" i="1"/>
  <c r="Q90" i="1"/>
  <c r="Q83" i="1"/>
  <c r="M90" i="1"/>
  <c r="E83" i="1"/>
  <c r="E85" i="1"/>
  <c r="E90" i="1"/>
  <c r="Z90" i="1" l="1"/>
  <c r="AA90" i="1" s="1"/>
  <c r="AA39" i="1"/>
  <c r="Z83" i="1"/>
  <c r="AA83" i="1" s="1"/>
  <c r="Z85" i="1"/>
  <c r="AA85"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<sst xmlns="http://schemas.openxmlformats.org/spreadsheetml/2006/main" count="113" uniqueCount="105">
  <si>
    <t>Quarter &amp; Year</t>
  </si>
  <si>
    <t>Reported Date</t>
  </si>
  <si>
    <t>Q118</t>
  </si>
  <si>
    <t>Q218</t>
  </si>
  <si>
    <t>Q318</t>
  </si>
  <si>
    <t>Q418</t>
  </si>
  <si>
    <t>Q119</t>
  </si>
  <si>
    <t>Q219</t>
  </si>
  <si>
    <t>Q319</t>
  </si>
  <si>
    <t>Q419</t>
  </si>
  <si>
    <t>Q120</t>
  </si>
  <si>
    <t>Q220</t>
  </si>
  <si>
    <t>Q320</t>
  </si>
  <si>
    <t>Q420</t>
  </si>
  <si>
    <t>Q121</t>
  </si>
  <si>
    <t>Q221</t>
  </si>
  <si>
    <t>Q321</t>
  </si>
  <si>
    <t>Q421</t>
  </si>
  <si>
    <t>Q122</t>
  </si>
  <si>
    <t>Q222</t>
  </si>
  <si>
    <t>Q322</t>
  </si>
  <si>
    <t>Q422</t>
  </si>
  <si>
    <t>Q123</t>
  </si>
  <si>
    <t>Q223</t>
  </si>
  <si>
    <t>Q323</t>
  </si>
  <si>
    <t>Q423</t>
  </si>
  <si>
    <t>Q124</t>
  </si>
  <si>
    <t>Q224</t>
  </si>
  <si>
    <t>Price</t>
  </si>
  <si>
    <t>Shares outstanding</t>
  </si>
  <si>
    <t>Market cap</t>
  </si>
  <si>
    <t>Cash</t>
  </si>
  <si>
    <t>Debt</t>
  </si>
  <si>
    <t>Revenues</t>
  </si>
  <si>
    <t>Automotive sales</t>
  </si>
  <si>
    <t>Automotive leasing</t>
  </si>
  <si>
    <t>Energy generation &amp; storage</t>
  </si>
  <si>
    <t>Services &amp; other</t>
  </si>
  <si>
    <t>Total revenues</t>
  </si>
  <si>
    <t>Cost of revenues</t>
  </si>
  <si>
    <t>Total cost of revenues</t>
  </si>
  <si>
    <t>Gross profit</t>
  </si>
  <si>
    <t>Operating expenses</t>
  </si>
  <si>
    <t>Research &amp; development</t>
  </si>
  <si>
    <t>Selling, general &amp; administrative</t>
  </si>
  <si>
    <t>Total operating expenses</t>
  </si>
  <si>
    <t>Income (loss) from operations</t>
  </si>
  <si>
    <t>Interest income</t>
  </si>
  <si>
    <t>Interest expense</t>
  </si>
  <si>
    <t>Other expense, net</t>
  </si>
  <si>
    <t>Income (loss) before income taxes</t>
  </si>
  <si>
    <t>Provision for income taxes</t>
  </si>
  <si>
    <t>Net income (loss)</t>
  </si>
  <si>
    <t>Noncontrolling interests</t>
  </si>
  <si>
    <t>Assets</t>
  </si>
  <si>
    <t>Current assets</t>
  </si>
  <si>
    <t>Accounts receivable, net</t>
  </si>
  <si>
    <t>Inventory</t>
  </si>
  <si>
    <t>Prepaid expenses &amp; other</t>
  </si>
  <si>
    <t>Total current assets</t>
  </si>
  <si>
    <t>Operating lease vehicles, net</t>
  </si>
  <si>
    <t>Solar energy systems, net</t>
  </si>
  <si>
    <t>Property, plant &amp; equipment, net</t>
  </si>
  <si>
    <t>Intangible assets</t>
  </si>
  <si>
    <t>Goodwill</t>
  </si>
  <si>
    <t>Restricted cash, current portion</t>
  </si>
  <si>
    <t>MyPower customer notes receivable, current portion</t>
  </si>
  <si>
    <t>Other</t>
  </si>
  <si>
    <t>Total assets</t>
  </si>
  <si>
    <t>Liabilities</t>
  </si>
  <si>
    <t>Current liabilities</t>
  </si>
  <si>
    <t>Accounts payable</t>
  </si>
  <si>
    <t>Accrued liabilities &amp; other</t>
  </si>
  <si>
    <t>Deferred revenue</t>
  </si>
  <si>
    <t>Resale value guarantees</t>
  </si>
  <si>
    <t>Customer deposits</t>
  </si>
  <si>
    <t>Current portion of long-term debt &amp; capital leases</t>
  </si>
  <si>
    <t>Total current liabilities</t>
  </si>
  <si>
    <t>Solar bonds</t>
  </si>
  <si>
    <t xml:space="preserve">Convertible senior notes </t>
  </si>
  <si>
    <t>Total liabilities</t>
  </si>
  <si>
    <t>Equity</t>
  </si>
  <si>
    <t>Enterprise value</t>
  </si>
  <si>
    <t>EPS</t>
  </si>
  <si>
    <t>Restructuring &amp; other</t>
  </si>
  <si>
    <t>Gross profit margin</t>
  </si>
  <si>
    <t>Profit margin</t>
  </si>
  <si>
    <t>Automotive sales to revenue</t>
  </si>
  <si>
    <t>Automotive leasing to revenue</t>
  </si>
  <si>
    <t>Energy generation &amp; storage to revenue</t>
  </si>
  <si>
    <t>Services &amp; other to revenue</t>
  </si>
  <si>
    <t>ROE</t>
  </si>
  <si>
    <t>Current ratio</t>
  </si>
  <si>
    <t>Current portion of notes issued</t>
  </si>
  <si>
    <t>Operating lease right-of-use</t>
  </si>
  <si>
    <t>Debt &amp; finance leases, net of current portion</t>
  </si>
  <si>
    <t>Digital assets</t>
  </si>
  <si>
    <t>Automotive leasing &amp; credits</t>
  </si>
  <si>
    <t>Short-term investments</t>
  </si>
  <si>
    <t>Deferred tax</t>
  </si>
  <si>
    <t>Q324</t>
  </si>
  <si>
    <t>Q424</t>
  </si>
  <si>
    <t>% Change</t>
  </si>
  <si>
    <t>YoY</t>
  </si>
  <si>
    <t>QoQ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</si>
</sst>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_(* #,##0_);_(* \(#,##0\);_(* &quot;-&quot;??_);_(@_)"/>
    <numFmt numFmtId="165" formatCode="_([$$-409]* #,##0.00_);_([$$-409]* \(#,##0.00\);_([$$-409]* &quot;-&quot;??_);_(@_)"/>
    <numFmt numFmtId="166" formatCode="_(* #,##0.000_);_(* \(#,##0.000\);_(* &quot;-&quot;??_);_(@_)"/>
    <numFmt numFmtId="167" formatCode="0.0%"/>
  </numFmts>
  <fonts count="8" x14ac:knownFonts="1">
    <font>
      <sz val="11"/>
      <color theme="1"/>
      <name val="Calibri"/>
      <family val="2"/>
      <scheme val="minor"/>
    </font>
    <font>
      <sz val="10"/>
      <color theme="1"/>
      <name val="Arial"/>
      <family val="2"/>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cellStyleXfs>
  <cellXfs count="30">
    <xf numFmtId="0" fontId="0" fillId="0" borderId="0" xfId="0"/>
    <xf numFmtId="14" fontId="3" fillId="2" borderId="0" xfId="0" applyNumberFormat="1" applyFont="1" applyFill="1" applyAlignment="1">
      <alignment horizontal="center" vertical="center"/>
    </xf>
    <xf numFmtId="0" fontId="4" fillId="0" borderId="0" xfId="0" applyFont="1"/>
    <xf numFmtId="0" fontId="3" fillId="2" borderId="0" xfId="0" applyFont="1" applyFill="1" applyAlignment="1">
      <alignment horizontal="center" vertical="center"/>
    </xf>
    <xf numFmtId="0" fontId="3" fillId="2" borderId="0" xfId="0" applyFont="1" applyFill="1" applyAlignment="1">
      <alignment vertical="center"/>
    </xf>
    <xf numFmtId="164" fontId="4" fillId="0" borderId="0" xfId="1" applyNumberFormat="1" applyFont="1"/>
    <xf numFmtId="0" fontId="2" fillId="0" borderId="0" xfId="0" applyFont="1"/>
    <xf numFmtId="0" fontId="2" fillId="0" borderId="0" xfId="0" applyFont="1" applyAlignment="1">
      <alignment horizontal="left"/>
    </xf>
    <xf numFmtId="0" fontId="3" fillId="2" borderId="0" xfId="0" applyFont="1" applyFill="1" applyAlignment="1">
      <alignment horizontal="center"/>
    </xf>
    <xf numFmtId="165" fontId="4" fillId="0" borderId="0" xfId="0" applyNumberFormat="1" applyFont="1"/>
    <xf numFmtId="0" fontId="6" fillId="0" borderId="0" xfId="0" applyFont="1"/>
    <xf numFmtId="164" fontId="6" fillId="0" borderId="0" xfId="1" applyNumberFormat="1" applyFont="1"/>
    <xf numFmtId="0" fontId="6" fillId="0" borderId="0" xfId="0" applyFont="1" applyAlignment="1">
      <alignment horizontal="left" indent="1"/>
    </xf>
    <xf numFmtId="0" fontId="2" fillId="0" borderId="0" xfId="0" applyFont="1" applyAlignment="1">
      <alignment horizontal="left" indent="1"/>
    </xf>
    <xf numFmtId="0" fontId="6" fillId="0" borderId="0" xfId="0" applyFont="1" applyAlignment="1">
      <alignment horizontal="left" indent="2"/>
    </xf>
    <xf numFmtId="164" fontId="2" fillId="0" borderId="0" xfId="1" applyNumberFormat="1" applyFont="1"/>
    <xf numFmtId="0" fontId="2" fillId="0" borderId="0" xfId="0" applyFont="1" applyAlignment="1">
      <alignment horizontal="left" indent="2"/>
    </xf>
    <xf numFmtId="0" fontId="6" fillId="0" borderId="0" xfId="0" applyFont="1" applyAlignment="1">
      <alignment horizontal="left" indent="3"/>
    </xf>
    <xf numFmtId="43" fontId="4" fillId="0" borderId="0" xfId="1" applyFont="1"/>
    <xf numFmtId="44" fontId="4" fillId="0" borderId="0" xfId="2" applyFont="1"/>
    <xf numFmtId="0" fontId="1" fillId="0" borderId="0" xfId="0" applyFont="1"/>
    <xf numFmtId="9" fontId="4" fillId="0" borderId="0" xfId="3" applyFont="1"/>
    <xf numFmtId="0" fontId="1" fillId="0" borderId="0" xfId="0" applyFont="1" applyAlignment="1">
      <alignment horizontal="left"/>
    </xf>
    <xf numFmtId="166" fontId="4" fillId="0" borderId="0" xfId="1" applyNumberFormat="1" applyFont="1"/>
    <xf numFmtId="0" fontId="1" fillId="0" borderId="0" xfId="0" applyFont="1" applyAlignment="1">
      <alignment horizontal="left" indent="2"/>
    </xf>
    <xf numFmtId="164" fontId="1" fillId="0" borderId="0" xfId="1" applyNumberFormat="1" applyFont="1"/>
    <xf numFmtId="0" fontId="1" fillId="0" borderId="0" xfId="0" applyFont="1" applyAlignment="1">
      <alignment horizontal="left" indent="1"/>
    </xf>
    <xf numFmtId="0" fontId="2" fillId="0" borderId="0" xfId="0" applyFont="1" applyAlignment="1">
      <alignment horizontal="left" wrapText="1" indent="1"/>
    </xf>
    <xf numFmtId="0" fontId="2" fillId="0" borderId="0" xfId="0" applyFont="1" applyAlignment="1">
      <alignment horizontal="left" wrapText="1" indent="2"/>
    </xf>
    <xf numFmtId="167" fontId="7" fillId="0" borderId="0" xfId="3" applyNumberFormat="1" applyFont="1" applyAlignment="1">
      <alignment horizontal="center"/>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https://www.bing.com/financeapi/forcetrigger?t=a24kar&amp;q=XNAS%3aTSLA&amp;form=skydnc</v>
    <v>Learn more on Bing</v>
  </rv>
  <rv s="1">
    <v>en-US</v>
    <v>a24kar</v>
    <v>268435456</v>
    <v>1</v>
    <v>Powered by Refinitiv</v>
    <v>0</v>
    <v>TESLA, INC. (XNAS:TSLA)</v>
    <v>2</v>
    <v>3</v>
    <v>Finance</v>
    <v>4</v>
    <v>299.29000000000002</v>
    <v>138.80250000000001</v>
    <v>2.4758</v>
    <v>17.45</v>
    <v>1.1100000000000001E-3</v>
    <v>0.120611</v>
    <v>0.18</v>
    <v>USD</v>
    <v>Tesla, Inc. designs, develops, manufactures, sells and leases high-performance fully electric vehicles and energy generation and storage systems, and offer services related to its products. The Company's segments include automotive, and energy generation and storage. The automotive segment includes the design, development, manufacturing, sales and leasing of high-performance fully electric vehicles, and sales of automotive regulatory credits. This segment also includes sales of used vehicles, non-warranty after-sales vehicle services, body shop and parts, paid supercharging, vehicle insurance and retail merchandise. Its consumer vehicles include the Model 3, Y, S, X and Cybertruck. The energy generation and storage segment includes the design, manufacture, installation, sales and leasing of solar energy generation and energy storage products and related services and sales of solar energy systems incentives. Its lithium-ion battery energy storage products include Powerwall and Megapack.</v>
    <v>140473</v>
    <v>Nasdaq Stock Market</v>
    <v>XNAS</v>
    <v>XNAS</v>
    <v>1 Tesla Road, AUSTIN, TX, 78725 US</v>
    <v>167.97</v>
    <v>Automobiles &amp; Auto Parts</v>
    <v>Stock</v>
    <v>45406.834402071094</v>
    <v>0</v>
    <v>157.51</v>
    <v>516350164830</v>
    <v>TESLA, INC.</v>
    <v>TESLA, INC.</v>
    <v>163</v>
    <v>37.002600000000001</v>
    <v>144.68</v>
    <v>162.13</v>
    <v>162.31</v>
    <v>3184791000</v>
    <v>TSLA</v>
    <v>TESLA, INC. (XNAS:TSLA)</v>
    <v>178933659</v>
    <v>94006440</v>
    <v>2003</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K91"/>
  <sheetViews>
    <sheetView tabSelected="1" zoomScale="125" zoomScaleNormal="125" workbookViewId="0">
      <pane xSplit="1" topLeftCell="X1" activePane="topRight" state="frozen"/>
      <selection pane="topRight" activeCell="AD7" sqref="AD7"/>
    </sheetView>
  </sheetViews>
  <sheetFormatPr defaultColWidth="12.73046875" defaultRowHeight="12.75" x14ac:dyDescent="0.35"/>
  <cols>
    <col min="1" max="1" width="35.59765625" style="2" customWidth="1"/>
    <col min="2" max="22" width="12.73046875" style="5" customWidth="1"/>
    <col min="23" max="26" width="12.73046875" style="5"/>
    <col min="27" max="28" width="10.59765625" style="5" customWidth="1"/>
    <col min="29" max="16384" width="12.73046875" style="5"/>
  </cols>
  <sheetData>
    <row r="1" spans="1:37" s="8" customFormat="1" ht="15" customHeight="1" x14ac:dyDescent="0.4">
      <c r="A1" s="4" t="s">
        <v>1</v>
      </c>
      <c r="B1" s="1">
        <v>43190</v>
      </c>
      <c r="C1" s="1">
        <v>43281</v>
      </c>
      <c r="D1" s="1">
        <v>43373</v>
      </c>
      <c r="E1" s="1">
        <v>43465</v>
      </c>
      <c r="F1" s="1">
        <v>43555</v>
      </c>
      <c r="G1" s="1">
        <v>43646</v>
      </c>
      <c r="H1" s="1">
        <v>43738</v>
      </c>
      <c r="I1" s="1">
        <v>43830</v>
      </c>
      <c r="J1" s="1">
        <v>43921</v>
      </c>
      <c r="K1" s="1">
        <v>44012</v>
      </c>
      <c r="L1" s="1">
        <v>44104</v>
      </c>
      <c r="M1" s="1">
        <v>44196</v>
      </c>
      <c r="N1" s="1">
        <v>44286</v>
      </c>
      <c r="O1" s="1">
        <v>44377</v>
      </c>
      <c r="P1" s="1">
        <v>44469</v>
      </c>
      <c r="Q1" s="1">
        <v>44561</v>
      </c>
      <c r="R1" s="1">
        <v>44651</v>
      </c>
      <c r="S1" s="1">
        <v>44742</v>
      </c>
      <c r="T1" s="1">
        <v>44834</v>
      </c>
      <c r="U1" s="1">
        <v>44926</v>
      </c>
      <c r="V1" s="1">
        <v>45016</v>
      </c>
      <c r="W1" s="1">
        <v>45107</v>
      </c>
      <c r="X1" s="1">
        <v>45199</v>
      </c>
      <c r="Y1" s="1">
        <v>45291</v>
      </c>
      <c r="Z1" s="1">
        <v>45382</v>
      </c>
      <c r="AA1" s="1" t="s">
        <v>102</v>
      </c>
      <c r="AB1" s="1" t="s">
        <v>102</v>
      </c>
      <c r="AC1" s="1">
        <v>45473</v>
      </c>
      <c r="AD1" s="1">
        <v>45565</v>
      </c>
      <c r="AE1" s="1">
        <v>45657</v>
      </c>
      <c r="AF1" s="3"/>
      <c r="AG1" s="3"/>
      <c r="AH1" s="3"/>
      <c r="AI1" s="3"/>
      <c r="AJ1" s="3"/>
      <c r="AK1" s="3"/>
    </row>
    <row r="2" spans="1:37" s="8" customFormat="1" ht="15" customHeight="1" x14ac:dyDescent="0.4">
      <c r="A2" s="4" t="s">
        <v>0</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22</v>
      </c>
      <c r="W2" s="3" t="s">
        <v>23</v>
      </c>
      <c r="X2" s="3" t="s">
        <v>24</v>
      </c>
      <c r="Y2" s="3" t="s">
        <v>25</v>
      </c>
      <c r="Z2" s="3" t="s">
        <v>26</v>
      </c>
      <c r="AA2" s="3" t="s">
        <v>103</v>
      </c>
      <c r="AB2" s="3" t="s">
        <v>104</v>
      </c>
      <c r="AC2" s="3" t="s">
        <v>27</v>
      </c>
      <c r="AD2" s="3" t="s">
        <v>100</v>
      </c>
      <c r="AE2" s="3" t="s">
        <v>101</v>
      </c>
      <c r="AF2" s="3"/>
      <c r="AG2" s="3"/>
      <c r="AH2" s="3"/>
      <c r="AI2" s="3"/>
      <c r="AJ2" s="3"/>
      <c r="AK2" s="3"/>
    </row>
    <row r="3" spans="1:37" x14ac:dyDescent="0.35">
      <c r="A3" s="7" t="e" vm="1">
        <v>#VALUE!</v>
      </c>
    </row>
    <row r="4" spans="1:37" x14ac:dyDescent="0.35">
      <c r="A4" s="9" cm="1">
        <f t="array" ref="A4">_FV(A3,"Price")</f>
        <v>162.13</v>
      </c>
    </row>
    <row r="5" spans="1:37" s="19" customFormat="1" x14ac:dyDescent="0.35">
      <c r="A5" s="6" t="s">
        <v>28</v>
      </c>
      <c r="B5" s="19">
        <v>17.739999999999998</v>
      </c>
      <c r="C5" s="19">
        <v>22.86</v>
      </c>
      <c r="D5" s="19">
        <v>17.649999999999999</v>
      </c>
      <c r="E5" s="19">
        <v>22.19</v>
      </c>
      <c r="F5" s="19">
        <v>18.66</v>
      </c>
      <c r="G5" s="19">
        <v>14.9</v>
      </c>
      <c r="H5" s="19">
        <v>16.059999999999999</v>
      </c>
      <c r="I5" s="19">
        <v>27.89</v>
      </c>
      <c r="J5" s="19">
        <v>34.93</v>
      </c>
      <c r="K5" s="19">
        <v>71.989999999999995</v>
      </c>
      <c r="L5" s="19">
        <v>143</v>
      </c>
      <c r="M5" s="19">
        <v>235.22</v>
      </c>
      <c r="N5" s="19">
        <v>222.64</v>
      </c>
      <c r="O5" s="19">
        <v>226.57</v>
      </c>
      <c r="P5" s="19">
        <v>258.49</v>
      </c>
      <c r="Q5" s="19">
        <v>352.26</v>
      </c>
      <c r="R5" s="19">
        <v>359.2</v>
      </c>
      <c r="S5" s="19">
        <v>224.47</v>
      </c>
      <c r="T5" s="19">
        <v>265.25</v>
      </c>
      <c r="U5" s="19">
        <v>123.18</v>
      </c>
      <c r="V5" s="19">
        <v>207.46</v>
      </c>
      <c r="W5" s="19">
        <v>261.77</v>
      </c>
      <c r="X5" s="19">
        <v>250.22</v>
      </c>
      <c r="Y5" s="19">
        <v>247.98</v>
      </c>
      <c r="Z5" s="19">
        <v>175.62</v>
      </c>
      <c r="AA5" s="29">
        <f>(Z5-V5)/V5</f>
        <v>-0.15347536874578233</v>
      </c>
      <c r="AB5" s="29">
        <f>(Z5-Y5)/Y5</f>
        <v>-0.29179772562303408</v>
      </c>
    </row>
    <row r="6" spans="1:37" x14ac:dyDescent="0.35">
      <c r="A6" s="7" t="s">
        <v>29</v>
      </c>
      <c r="B6" s="5">
        <v>2537</v>
      </c>
      <c r="C6" s="5">
        <v>2550</v>
      </c>
      <c r="D6" s="5">
        <v>2670</v>
      </c>
      <c r="E6" s="5">
        <v>2559</v>
      </c>
      <c r="F6" s="5">
        <v>2595</v>
      </c>
      <c r="G6" s="5">
        <v>2655</v>
      </c>
      <c r="H6" s="5">
        <v>2766</v>
      </c>
      <c r="I6" s="5">
        <v>2661</v>
      </c>
      <c r="J6" s="5">
        <v>2982</v>
      </c>
      <c r="K6" s="5">
        <v>3108</v>
      </c>
      <c r="L6" s="5">
        <v>3315</v>
      </c>
      <c r="M6" s="5">
        <v>3249</v>
      </c>
      <c r="N6" s="5">
        <v>3399</v>
      </c>
      <c r="O6" s="5">
        <v>3357</v>
      </c>
      <c r="P6" s="5">
        <v>3369</v>
      </c>
      <c r="Q6" s="5">
        <v>3386</v>
      </c>
      <c r="R6" s="5">
        <v>3472</v>
      </c>
      <c r="S6" s="5">
        <v>3464</v>
      </c>
      <c r="T6" s="5">
        <v>3468</v>
      </c>
      <c r="U6" s="5">
        <v>3475</v>
      </c>
      <c r="V6" s="5">
        <v>3468</v>
      </c>
      <c r="W6" s="5">
        <v>3478</v>
      </c>
      <c r="X6" s="5">
        <v>3493</v>
      </c>
      <c r="Y6" s="5">
        <v>3485</v>
      </c>
      <c r="Z6" s="5">
        <v>3484</v>
      </c>
      <c r="AA6" s="29">
        <f t="shared" ref="AA6:AB69" si="0">(Z6-V6)/V6</f>
        <v>4.61361014994233E-3</v>
      </c>
      <c r="AB6" s="29">
        <f t="shared" ref="AB6:AB9" si="1">(Z6-Y6)/Y6</f>
        <v>-2.8694404591104734E-4</v>
      </c>
    </row>
    <row r="7" spans="1:37" x14ac:dyDescent="0.35">
      <c r="A7" s="6" t="s">
        <v>30</v>
      </c>
      <c r="B7" s="5">
        <f>B6*B5</f>
        <v>45006.38</v>
      </c>
      <c r="C7" s="5">
        <f t="shared" ref="C7:AC7" si="2">C6*C5</f>
        <v>58293</v>
      </c>
      <c r="D7" s="5">
        <f t="shared" si="2"/>
        <v>47125.499999999993</v>
      </c>
      <c r="E7" s="5">
        <f t="shared" si="2"/>
        <v>56784.210000000006</v>
      </c>
      <c r="F7" s="5">
        <f t="shared" si="2"/>
        <v>48422.7</v>
      </c>
      <c r="G7" s="5">
        <f t="shared" si="2"/>
        <v>39559.5</v>
      </c>
      <c r="H7" s="5">
        <f t="shared" si="2"/>
        <v>44421.96</v>
      </c>
      <c r="I7" s="5">
        <f t="shared" si="2"/>
        <v>74215.290000000008</v>
      </c>
      <c r="J7" s="5">
        <f t="shared" si="2"/>
        <v>104161.26</v>
      </c>
      <c r="K7" s="5">
        <f t="shared" si="2"/>
        <v>223744.91999999998</v>
      </c>
      <c r="L7" s="5">
        <f t="shared" si="2"/>
        <v>474045</v>
      </c>
      <c r="M7" s="5">
        <f t="shared" si="2"/>
        <v>764229.78</v>
      </c>
      <c r="N7" s="5">
        <f t="shared" si="2"/>
        <v>756753.36</v>
      </c>
      <c r="O7" s="5">
        <f t="shared" si="2"/>
        <v>760595.49</v>
      </c>
      <c r="P7" s="5">
        <f t="shared" si="2"/>
        <v>870852.81</v>
      </c>
      <c r="Q7" s="5">
        <f t="shared" si="2"/>
        <v>1192752.3599999999</v>
      </c>
      <c r="R7" s="5">
        <f t="shared" si="2"/>
        <v>1247142.3999999999</v>
      </c>
      <c r="S7" s="5">
        <f t="shared" si="2"/>
        <v>777564.08</v>
      </c>
      <c r="T7" s="5">
        <f t="shared" si="2"/>
        <v>919887</v>
      </c>
      <c r="U7" s="5">
        <f t="shared" si="2"/>
        <v>428050.5</v>
      </c>
      <c r="V7" s="5">
        <f t="shared" si="2"/>
        <v>719471.28</v>
      </c>
      <c r="W7" s="5">
        <f t="shared" si="2"/>
        <v>910436.05999999994</v>
      </c>
      <c r="X7" s="5">
        <f t="shared" si="2"/>
        <v>874018.46</v>
      </c>
      <c r="Y7" s="5">
        <f t="shared" si="2"/>
        <v>864210.29999999993</v>
      </c>
      <c r="Z7" s="5">
        <f t="shared" si="2"/>
        <v>611860.07999999996</v>
      </c>
      <c r="AA7" s="29">
        <f t="shared" si="0"/>
        <v>-0.14956983411485175</v>
      </c>
      <c r="AB7" s="29">
        <f t="shared" si="1"/>
        <v>-0.29200094004896726</v>
      </c>
      <c r="AC7" s="5">
        <f t="shared" si="2"/>
        <v>0</v>
      </c>
      <c r="AD7" s="5">
        <f t="shared" ref="AD7:AE7" si="3">AD6*AD5</f>
        <v>0</v>
      </c>
      <c r="AE7" s="5">
        <f t="shared" si="3"/>
        <v>0</v>
      </c>
    </row>
    <row r="8" spans="1:37" x14ac:dyDescent="0.35">
      <c r="A8" s="6" t="s">
        <v>31</v>
      </c>
      <c r="B8" s="5">
        <f>B44+B45+B58</f>
        <v>3219.67</v>
      </c>
      <c r="C8" s="5">
        <f t="shared" ref="C8:AC8" si="4">C44+C45+C58</f>
        <v>2783.2200000000003</v>
      </c>
      <c r="D8" s="5">
        <f t="shared" si="4"/>
        <v>3523.1</v>
      </c>
      <c r="E8" s="5">
        <f t="shared" si="4"/>
        <v>4276.3500000000004</v>
      </c>
      <c r="F8" s="5">
        <f t="shared" si="4"/>
        <v>2682.7</v>
      </c>
      <c r="G8" s="5">
        <f t="shared" si="4"/>
        <v>5448.2</v>
      </c>
      <c r="H8" s="5">
        <f t="shared" si="4"/>
        <v>5826</v>
      </c>
      <c r="I8" s="5">
        <f t="shared" si="4"/>
        <v>6783</v>
      </c>
      <c r="J8" s="5">
        <f t="shared" si="4"/>
        <v>8080</v>
      </c>
      <c r="K8" s="5">
        <f t="shared" si="4"/>
        <v>8615</v>
      </c>
      <c r="L8" s="5">
        <f t="shared" si="4"/>
        <v>14531</v>
      </c>
      <c r="M8" s="5">
        <f t="shared" si="4"/>
        <v>19384</v>
      </c>
      <c r="N8" s="5">
        <f t="shared" si="4"/>
        <v>17141</v>
      </c>
      <c r="O8" s="5">
        <f t="shared" si="4"/>
        <v>16229</v>
      </c>
      <c r="P8" s="5">
        <f t="shared" si="4"/>
        <v>16095</v>
      </c>
      <c r="Q8" s="5">
        <f t="shared" si="4"/>
        <v>17707</v>
      </c>
      <c r="R8" s="5">
        <f t="shared" si="4"/>
        <v>18013</v>
      </c>
      <c r="S8" s="5">
        <f t="shared" si="4"/>
        <v>18915</v>
      </c>
      <c r="T8" s="5">
        <f t="shared" si="4"/>
        <v>21107</v>
      </c>
      <c r="U8" s="5">
        <f t="shared" si="4"/>
        <v>22185</v>
      </c>
      <c r="V8" s="5">
        <f t="shared" si="4"/>
        <v>22402</v>
      </c>
      <c r="W8" s="5">
        <f t="shared" si="4"/>
        <v>23075</v>
      </c>
      <c r="X8" s="5">
        <f t="shared" si="4"/>
        <v>26077</v>
      </c>
      <c r="Y8" s="5">
        <f t="shared" si="4"/>
        <v>29094</v>
      </c>
      <c r="Z8" s="5">
        <f t="shared" si="4"/>
        <v>26863</v>
      </c>
      <c r="AA8" s="29">
        <f t="shared" si="0"/>
        <v>0.19913400589233105</v>
      </c>
      <c r="AB8" s="29">
        <f t="shared" si="1"/>
        <v>-7.6682477486767028E-2</v>
      </c>
      <c r="AC8" s="5">
        <f t="shared" si="4"/>
        <v>0</v>
      </c>
      <c r="AD8" s="5">
        <f t="shared" ref="AD8:AE8" si="5">AD44+AD45+AD58</f>
        <v>0</v>
      </c>
      <c r="AE8" s="5">
        <f t="shared" si="5"/>
        <v>0</v>
      </c>
    </row>
    <row r="9" spans="1:37" x14ac:dyDescent="0.35">
      <c r="A9" s="6" t="s">
        <v>32</v>
      </c>
      <c r="B9" s="5">
        <f>B70+B73+B75</f>
        <v>10679.156000000001</v>
      </c>
      <c r="C9" s="5">
        <f t="shared" ref="C9:AC9" si="6">C70+C73+C75</f>
        <v>11535</v>
      </c>
      <c r="D9" s="5">
        <f t="shared" si="6"/>
        <v>11779.172</v>
      </c>
      <c r="E9" s="5">
        <f t="shared" si="6"/>
        <v>11971.400000000001</v>
      </c>
      <c r="F9" s="5">
        <f t="shared" si="6"/>
        <v>11493.7</v>
      </c>
      <c r="G9" s="5">
        <f t="shared" si="6"/>
        <v>13025.4</v>
      </c>
      <c r="H9" s="5">
        <f t="shared" si="6"/>
        <v>13343</v>
      </c>
      <c r="I9" s="5">
        <f t="shared" si="6"/>
        <v>13419</v>
      </c>
      <c r="J9" s="5">
        <f t="shared" si="6"/>
        <v>13883</v>
      </c>
      <c r="K9" s="5">
        <f t="shared" si="6"/>
        <v>14095</v>
      </c>
      <c r="L9" s="5">
        <f t="shared" si="6"/>
        <v>13685</v>
      </c>
      <c r="M9" s="5">
        <f t="shared" si="6"/>
        <v>11688</v>
      </c>
      <c r="N9" s="5">
        <f t="shared" si="6"/>
        <v>10872</v>
      </c>
      <c r="O9" s="5">
        <f t="shared" si="6"/>
        <v>9401</v>
      </c>
      <c r="P9" s="5">
        <f t="shared" si="6"/>
        <v>8154</v>
      </c>
      <c r="Q9" s="5">
        <f t="shared" si="6"/>
        <v>6834</v>
      </c>
      <c r="R9" s="5">
        <f t="shared" si="6"/>
        <v>4812</v>
      </c>
      <c r="S9" s="5">
        <f t="shared" si="6"/>
        <v>4430</v>
      </c>
      <c r="T9" s="5">
        <f t="shared" si="6"/>
        <v>3553</v>
      </c>
      <c r="U9" s="5">
        <f t="shared" si="6"/>
        <v>3099</v>
      </c>
      <c r="V9" s="5">
        <f t="shared" si="6"/>
        <v>2676</v>
      </c>
      <c r="W9" s="5">
        <f t="shared" si="6"/>
        <v>2331</v>
      </c>
      <c r="X9" s="5">
        <f t="shared" si="6"/>
        <v>4393</v>
      </c>
      <c r="Y9" s="5">
        <f t="shared" si="6"/>
        <v>5230</v>
      </c>
      <c r="Z9" s="5">
        <f t="shared" si="6"/>
        <v>5360</v>
      </c>
      <c r="AA9" s="29">
        <f t="shared" si="0"/>
        <v>1.0029895366218236</v>
      </c>
      <c r="AB9" s="29">
        <f t="shared" si="1"/>
        <v>2.4856596558317401E-2</v>
      </c>
      <c r="AC9" s="5">
        <f t="shared" si="6"/>
        <v>0</v>
      </c>
      <c r="AD9" s="5">
        <f t="shared" ref="AD9:AE9" si="7">AD70+AD73+AD75</f>
        <v>0</v>
      </c>
      <c r="AE9" s="5">
        <f t="shared" si="7"/>
        <v>0</v>
      </c>
    </row>
    <row r="10" spans="1:37" x14ac:dyDescent="0.35">
      <c r="AA10" s="29"/>
      <c r="AB10" s="29"/>
    </row>
    <row r="11" spans="1:37" ht="13.15" x14ac:dyDescent="0.4">
      <c r="A11" s="10" t="s">
        <v>33</v>
      </c>
      <c r="AA11" s="29"/>
      <c r="AB11" s="29"/>
    </row>
    <row r="12" spans="1:37" x14ac:dyDescent="0.35">
      <c r="A12" s="13" t="s">
        <v>34</v>
      </c>
      <c r="B12" s="5">
        <v>2561.88</v>
      </c>
      <c r="C12" s="5">
        <v>3117.9</v>
      </c>
      <c r="D12" s="5">
        <v>5878.3</v>
      </c>
      <c r="E12" s="5">
        <f>17631.5-D12-C12-B12</f>
        <v>6073.420000000001</v>
      </c>
      <c r="F12" s="5">
        <v>3508.7</v>
      </c>
      <c r="G12" s="5">
        <v>5168</v>
      </c>
      <c r="H12" s="5">
        <v>5132</v>
      </c>
      <c r="I12" s="5">
        <f>19952-H12-G12-F12</f>
        <v>6143.3</v>
      </c>
      <c r="J12" s="5">
        <v>4893</v>
      </c>
      <c r="K12" s="5">
        <v>4911</v>
      </c>
      <c r="L12" s="5">
        <v>7346</v>
      </c>
      <c r="M12" s="5">
        <f>26184-L12-K12-J12</f>
        <v>9034</v>
      </c>
      <c r="N12" s="5">
        <v>8705</v>
      </c>
      <c r="O12" s="5">
        <v>9874</v>
      </c>
      <c r="P12" s="5">
        <v>11672</v>
      </c>
      <c r="Q12" s="5">
        <f>44125-P12-O12-N12</f>
        <v>13874</v>
      </c>
      <c r="R12" s="5">
        <v>15514</v>
      </c>
      <c r="S12" s="5">
        <v>13670</v>
      </c>
      <c r="T12" s="5">
        <v>17785</v>
      </c>
      <c r="U12" s="5">
        <f>67210-T12-S12-R12</f>
        <v>20241</v>
      </c>
      <c r="V12" s="5">
        <v>18878</v>
      </c>
      <c r="W12" s="5">
        <v>20419</v>
      </c>
      <c r="X12" s="5">
        <v>18582</v>
      </c>
      <c r="Y12" s="5">
        <f>78509-X12-W12-V12</f>
        <v>20630</v>
      </c>
      <c r="Z12" s="5">
        <v>16460</v>
      </c>
      <c r="AA12" s="29">
        <f t="shared" si="0"/>
        <v>-0.12808560228837801</v>
      </c>
      <c r="AB12" s="29">
        <f t="shared" ref="AB12:AB16" si="8">(Z12-Y12)/Y12</f>
        <v>-0.20213281628696073</v>
      </c>
    </row>
    <row r="13" spans="1:37" x14ac:dyDescent="0.35">
      <c r="A13" s="26" t="s">
        <v>97</v>
      </c>
      <c r="B13" s="5">
        <v>173.43</v>
      </c>
      <c r="C13" s="5">
        <v>239.8</v>
      </c>
      <c r="D13" s="5">
        <v>220.46100000000001</v>
      </c>
      <c r="E13" s="5">
        <f>883.46-D13-C13-B13</f>
        <v>249.76900000000001</v>
      </c>
      <c r="F13" s="5">
        <v>215</v>
      </c>
      <c r="G13" s="5">
        <v>208.36</v>
      </c>
      <c r="H13" s="5">
        <v>221</v>
      </c>
      <c r="I13" s="5">
        <f>869-H13-G13-F13</f>
        <v>224.64</v>
      </c>
      <c r="J13" s="5">
        <v>239</v>
      </c>
      <c r="K13" s="5">
        <v>268</v>
      </c>
      <c r="L13" s="5">
        <v>265</v>
      </c>
      <c r="M13" s="5">
        <f>1052-L13-K13-J13</f>
        <v>280</v>
      </c>
      <c r="N13" s="5">
        <v>297</v>
      </c>
      <c r="O13" s="5">
        <v>332</v>
      </c>
      <c r="P13" s="5">
        <v>385</v>
      </c>
      <c r="Q13" s="5">
        <f>1465+1642-P13-O13-N13</f>
        <v>2093</v>
      </c>
      <c r="R13" s="5">
        <f>679+668</f>
        <v>1347</v>
      </c>
      <c r="S13" s="5">
        <f>344+588</f>
        <v>932</v>
      </c>
      <c r="T13" s="5">
        <f>286+621</f>
        <v>907</v>
      </c>
      <c r="U13" s="5">
        <f>1776+2476-T13-S13-R13</f>
        <v>1066</v>
      </c>
      <c r="V13" s="5">
        <f>521+564</f>
        <v>1085</v>
      </c>
      <c r="W13" s="5">
        <f>282+567</f>
        <v>849</v>
      </c>
      <c r="X13" s="5">
        <f>554+489</f>
        <v>1043</v>
      </c>
      <c r="Y13" s="5">
        <f>1790+2120-X13-W13-V13</f>
        <v>933</v>
      </c>
      <c r="Z13" s="5">
        <f>442+476</f>
        <v>918</v>
      </c>
      <c r="AA13" s="29">
        <f t="shared" si="0"/>
        <v>-0.15391705069124423</v>
      </c>
      <c r="AB13" s="29">
        <f t="shared" si="8"/>
        <v>-1.607717041800643E-2</v>
      </c>
    </row>
    <row r="14" spans="1:37" x14ac:dyDescent="0.35">
      <c r="A14" s="13" t="s">
        <v>36</v>
      </c>
      <c r="B14" s="5">
        <v>410</v>
      </c>
      <c r="C14" s="5">
        <v>374.4</v>
      </c>
      <c r="D14" s="5">
        <v>399.3</v>
      </c>
      <c r="E14" s="5">
        <f>1555.2-D14-C14-B14</f>
        <v>371.50000000000011</v>
      </c>
      <c r="F14" s="5">
        <v>324.66000000000003</v>
      </c>
      <c r="G14" s="5">
        <v>368.2</v>
      </c>
      <c r="H14" s="5">
        <v>402</v>
      </c>
      <c r="I14" s="5">
        <f>1531-H14-G14-F14</f>
        <v>436.13999999999993</v>
      </c>
      <c r="J14" s="5">
        <v>293</v>
      </c>
      <c r="K14" s="5">
        <v>370</v>
      </c>
      <c r="L14" s="5">
        <v>579</v>
      </c>
      <c r="M14" s="5">
        <f>1994-L14-K14-J14</f>
        <v>752</v>
      </c>
      <c r="N14" s="5">
        <v>494</v>
      </c>
      <c r="O14" s="5">
        <v>801</v>
      </c>
      <c r="P14" s="5">
        <v>806</v>
      </c>
      <c r="Q14" s="5">
        <f>2789-P14-O14-N14</f>
        <v>688</v>
      </c>
      <c r="R14" s="5">
        <v>616</v>
      </c>
      <c r="S14" s="5">
        <v>866</v>
      </c>
      <c r="T14" s="5">
        <v>1117</v>
      </c>
      <c r="U14" s="5">
        <f>3909-T14-S14-R14</f>
        <v>1310</v>
      </c>
      <c r="V14" s="5">
        <v>1529</v>
      </c>
      <c r="W14" s="5">
        <v>1509</v>
      </c>
      <c r="X14" s="5">
        <v>1559</v>
      </c>
      <c r="Y14" s="5">
        <f>6035-X14-W14-V14</f>
        <v>1438</v>
      </c>
      <c r="Z14" s="5">
        <v>1635</v>
      </c>
      <c r="AA14" s="29">
        <f t="shared" si="0"/>
        <v>6.9326357096141267E-2</v>
      </c>
      <c r="AB14" s="29">
        <f t="shared" si="8"/>
        <v>0.13699582753824757</v>
      </c>
    </row>
    <row r="15" spans="1:37" x14ac:dyDescent="0.35">
      <c r="A15" s="13" t="s">
        <v>37</v>
      </c>
      <c r="B15" s="5">
        <v>263.39999999999998</v>
      </c>
      <c r="C15" s="5">
        <v>270</v>
      </c>
      <c r="D15" s="5">
        <v>326</v>
      </c>
      <c r="E15" s="5">
        <f>1391-D15-C15-B15</f>
        <v>531.6</v>
      </c>
      <c r="F15" s="25">
        <v>493</v>
      </c>
      <c r="G15" s="5">
        <v>605</v>
      </c>
      <c r="H15" s="5">
        <v>548</v>
      </c>
      <c r="I15" s="5">
        <f>2226-H15-G15-F15</f>
        <v>580</v>
      </c>
      <c r="J15" s="5">
        <v>560</v>
      </c>
      <c r="K15" s="5">
        <v>487</v>
      </c>
      <c r="L15" s="5">
        <v>581</v>
      </c>
      <c r="M15" s="5">
        <f>2306-L15-K15-J15</f>
        <v>678</v>
      </c>
      <c r="N15" s="5">
        <v>893</v>
      </c>
      <c r="O15" s="5">
        <v>951</v>
      </c>
      <c r="P15" s="5">
        <v>894</v>
      </c>
      <c r="Q15" s="5">
        <f>3802-P15-O15-N15</f>
        <v>1064</v>
      </c>
      <c r="R15" s="5">
        <v>1279</v>
      </c>
      <c r="S15" s="5">
        <v>1466</v>
      </c>
      <c r="T15" s="5">
        <v>1645</v>
      </c>
      <c r="U15" s="5">
        <f>6091-T15-S15-R15</f>
        <v>1701</v>
      </c>
      <c r="V15" s="5">
        <v>1837</v>
      </c>
      <c r="W15" s="5">
        <v>2150</v>
      </c>
      <c r="X15" s="5">
        <v>2166</v>
      </c>
      <c r="Y15" s="5">
        <f>8319-X15-W15-V15</f>
        <v>2166</v>
      </c>
      <c r="Z15" s="5">
        <v>2288</v>
      </c>
      <c r="AA15" s="29">
        <f t="shared" si="0"/>
        <v>0.24550898203592814</v>
      </c>
      <c r="AB15" s="29">
        <f t="shared" si="8"/>
        <v>5.6325023084025858E-2</v>
      </c>
    </row>
    <row r="16" spans="1:37" s="11" customFormat="1" ht="13.15" x14ac:dyDescent="0.4">
      <c r="A16" s="14" t="s">
        <v>38</v>
      </c>
      <c r="B16" s="11">
        <f>SUM(B12:B15)</f>
        <v>3408.71</v>
      </c>
      <c r="C16" s="11">
        <f t="shared" ref="C16" si="9">SUM(C12:C15)</f>
        <v>4002.1000000000004</v>
      </c>
      <c r="D16" s="11">
        <f t="shared" ref="D16" si="10">SUM(D12:D15)</f>
        <v>6824.0610000000006</v>
      </c>
      <c r="E16" s="11">
        <f t="shared" ref="E16" si="11">SUM(E12:E15)</f>
        <v>7226.2890000000016</v>
      </c>
      <c r="F16" s="11">
        <f t="shared" ref="F16" si="12">SUM(F12:F15)</f>
        <v>4541.3599999999997</v>
      </c>
      <c r="G16" s="11">
        <f t="shared" ref="G16" si="13">SUM(G12:G15)</f>
        <v>6349.5599999999995</v>
      </c>
      <c r="H16" s="11">
        <f t="shared" ref="H16" si="14">SUM(H12:H15)</f>
        <v>6303</v>
      </c>
      <c r="I16" s="11">
        <f t="shared" ref="I16" si="15">SUM(I12:I15)</f>
        <v>7384.0800000000008</v>
      </c>
      <c r="J16" s="11">
        <f t="shared" ref="J16" si="16">SUM(J12:J15)</f>
        <v>5985</v>
      </c>
      <c r="K16" s="11">
        <f t="shared" ref="K16" si="17">SUM(K12:K15)</f>
        <v>6036</v>
      </c>
      <c r="L16" s="11">
        <f t="shared" ref="L16" si="18">SUM(L12:L15)</f>
        <v>8771</v>
      </c>
      <c r="M16" s="11">
        <f t="shared" ref="M16" si="19">SUM(M12:M15)</f>
        <v>10744</v>
      </c>
      <c r="N16" s="11">
        <f t="shared" ref="N16" si="20">SUM(N12:N15)</f>
        <v>10389</v>
      </c>
      <c r="O16" s="11">
        <f t="shared" ref="O16" si="21">SUM(O12:O15)</f>
        <v>11958</v>
      </c>
      <c r="P16" s="11">
        <f t="shared" ref="P16" si="22">SUM(P12:P15)</f>
        <v>13757</v>
      </c>
      <c r="Q16" s="11">
        <f t="shared" ref="Q16" si="23">SUM(Q12:Q15)</f>
        <v>17719</v>
      </c>
      <c r="R16" s="11">
        <f t="shared" ref="R16" si="24">SUM(R12:R15)</f>
        <v>18756</v>
      </c>
      <c r="S16" s="11">
        <f t="shared" ref="S16" si="25">SUM(S12:S15)</f>
        <v>16934</v>
      </c>
      <c r="T16" s="11">
        <f t="shared" ref="T16" si="26">SUM(T12:T15)</f>
        <v>21454</v>
      </c>
      <c r="U16" s="11">
        <f t="shared" ref="U16" si="27">SUM(U12:U15)</f>
        <v>24318</v>
      </c>
      <c r="V16" s="11">
        <f t="shared" ref="V16" si="28">SUM(V12:V15)</f>
        <v>23329</v>
      </c>
      <c r="W16" s="11">
        <f t="shared" ref="W16" si="29">SUM(W12:W15)</f>
        <v>24927</v>
      </c>
      <c r="X16" s="11">
        <f t="shared" ref="X16" si="30">SUM(X12:X15)</f>
        <v>23350</v>
      </c>
      <c r="Y16" s="11">
        <f t="shared" ref="Y16" si="31">SUM(Y12:Y15)</f>
        <v>25167</v>
      </c>
      <c r="Z16" s="11">
        <f t="shared" ref="Z16" si="32">SUM(Z12:Z15)</f>
        <v>21301</v>
      </c>
      <c r="AA16" s="29">
        <f t="shared" si="0"/>
        <v>-8.6930429936988296E-2</v>
      </c>
      <c r="AB16" s="29">
        <f t="shared" si="8"/>
        <v>-0.15361385941908054</v>
      </c>
      <c r="AC16" s="11">
        <f t="shared" ref="AC16:AE16" si="33">SUM(AC12:AC15)</f>
        <v>0</v>
      </c>
      <c r="AD16" s="11">
        <f t="shared" si="33"/>
        <v>0</v>
      </c>
      <c r="AE16" s="11">
        <f t="shared" si="33"/>
        <v>0</v>
      </c>
    </row>
    <row r="17" spans="1:31" x14ac:dyDescent="0.35">
      <c r="AA17" s="29"/>
      <c r="AB17" s="29"/>
    </row>
    <row r="18" spans="1:31" ht="13.15" x14ac:dyDescent="0.4">
      <c r="A18" s="10" t="s">
        <v>39</v>
      </c>
      <c r="AA18" s="29"/>
      <c r="AB18" s="29"/>
    </row>
    <row r="19" spans="1:31" x14ac:dyDescent="0.35">
      <c r="A19" s="13" t="s">
        <v>34</v>
      </c>
      <c r="B19" s="5">
        <v>2091.39</v>
      </c>
      <c r="C19" s="5">
        <v>2529.6999999999998</v>
      </c>
      <c r="D19" s="5">
        <v>4405.8999999999996</v>
      </c>
      <c r="E19" s="5">
        <f>13685.57-D19-C19-B19</f>
        <v>4658.58</v>
      </c>
      <c r="F19" s="5">
        <v>2856.2</v>
      </c>
      <c r="G19" s="5">
        <v>4253.7</v>
      </c>
      <c r="H19" s="5">
        <v>4014</v>
      </c>
      <c r="I19" s="5">
        <f>15939-H19-G19-F19</f>
        <v>4815.1000000000004</v>
      </c>
      <c r="J19" s="5">
        <v>3699</v>
      </c>
      <c r="K19" s="5">
        <v>3714</v>
      </c>
      <c r="L19" s="5">
        <v>5361</v>
      </c>
      <c r="M19" s="5">
        <f>19696-L19-K19-J19</f>
        <v>6922</v>
      </c>
      <c r="N19" s="5">
        <v>6457</v>
      </c>
      <c r="O19" s="5">
        <v>7119</v>
      </c>
      <c r="P19" s="5">
        <v>8150</v>
      </c>
      <c r="Q19" s="5">
        <f>32415-P19-O19-N19</f>
        <v>10689</v>
      </c>
      <c r="R19" s="5">
        <v>10914</v>
      </c>
      <c r="S19" s="5">
        <v>10153</v>
      </c>
      <c r="T19" s="5">
        <v>13099</v>
      </c>
      <c r="U19" s="5">
        <f>49599-T19-S19-R19</f>
        <v>15433</v>
      </c>
      <c r="V19" s="5">
        <v>15422</v>
      </c>
      <c r="W19" s="5">
        <v>16841</v>
      </c>
      <c r="X19" s="5">
        <v>15656</v>
      </c>
      <c r="Y19" s="5">
        <f>65121-X19-W19-V19</f>
        <v>17202</v>
      </c>
      <c r="Z19" s="5">
        <v>13897</v>
      </c>
      <c r="AA19" s="29">
        <f t="shared" si="0"/>
        <v>-9.8884710154324984E-2</v>
      </c>
      <c r="AB19" s="29">
        <f t="shared" ref="AB19:AB23" si="34">(Z19-Y19)/Y19</f>
        <v>-0.19212882222997327</v>
      </c>
    </row>
    <row r="20" spans="1:31" x14ac:dyDescent="0.35">
      <c r="A20" s="13" t="s">
        <v>35</v>
      </c>
      <c r="B20" s="5">
        <v>104.496</v>
      </c>
      <c r="C20" s="5">
        <v>136.9</v>
      </c>
      <c r="D20" s="5">
        <v>119.23</v>
      </c>
      <c r="E20" s="5">
        <f>488.42-D20-C20-B20</f>
        <v>127.794</v>
      </c>
      <c r="F20" s="5">
        <v>117</v>
      </c>
      <c r="G20" s="5">
        <v>106</v>
      </c>
      <c r="H20" s="5">
        <v>117</v>
      </c>
      <c r="I20" s="5">
        <f>459-H20-G20-F20</f>
        <v>119</v>
      </c>
      <c r="J20" s="5">
        <v>122</v>
      </c>
      <c r="K20" s="5">
        <v>148</v>
      </c>
      <c r="L20" s="5">
        <v>145</v>
      </c>
      <c r="M20" s="5">
        <f>563-L20-K20-J20</f>
        <v>148</v>
      </c>
      <c r="N20" s="5">
        <v>160</v>
      </c>
      <c r="O20" s="5">
        <v>188</v>
      </c>
      <c r="P20" s="5">
        <v>234</v>
      </c>
      <c r="Q20" s="5">
        <f>978-P20-O20-N20</f>
        <v>396</v>
      </c>
      <c r="R20" s="5">
        <v>408</v>
      </c>
      <c r="S20" s="5">
        <v>368</v>
      </c>
      <c r="T20" s="5">
        <v>381</v>
      </c>
      <c r="U20" s="5">
        <f>1509-T20-S20-R20</f>
        <v>352</v>
      </c>
      <c r="V20" s="5">
        <v>333</v>
      </c>
      <c r="W20" s="5">
        <v>338</v>
      </c>
      <c r="X20" s="25">
        <v>301</v>
      </c>
      <c r="Y20" s="5">
        <f>1268-X20-W20-V20</f>
        <v>296</v>
      </c>
      <c r="Z20" s="5">
        <v>269</v>
      </c>
      <c r="AA20" s="29">
        <f t="shared" si="0"/>
        <v>-0.19219219219219219</v>
      </c>
      <c r="AB20" s="29">
        <f t="shared" si="34"/>
        <v>-9.1216216216216214E-2</v>
      </c>
    </row>
    <row r="21" spans="1:31" x14ac:dyDescent="0.35">
      <c r="A21" s="13" t="s">
        <v>36</v>
      </c>
      <c r="B21" s="5">
        <v>375.363</v>
      </c>
      <c r="C21" s="5">
        <v>330.27</v>
      </c>
      <c r="D21" s="5">
        <v>330.55</v>
      </c>
      <c r="E21" s="5">
        <f>1365-D21-C21-B21</f>
        <v>328.81700000000006</v>
      </c>
      <c r="F21" s="5">
        <v>317</v>
      </c>
      <c r="G21" s="5">
        <v>325.5</v>
      </c>
      <c r="H21" s="5">
        <v>314</v>
      </c>
      <c r="I21" s="5">
        <f>1341-H21-G21-F21</f>
        <v>384.5</v>
      </c>
      <c r="J21" s="5">
        <v>282</v>
      </c>
      <c r="K21" s="5">
        <v>349</v>
      </c>
      <c r="L21" s="5">
        <v>558</v>
      </c>
      <c r="M21" s="5">
        <f>1976-L21-K21-J21</f>
        <v>787</v>
      </c>
      <c r="N21" s="5">
        <v>595</v>
      </c>
      <c r="O21" s="5">
        <v>781</v>
      </c>
      <c r="P21" s="5">
        <v>803</v>
      </c>
      <c r="Q21" s="5">
        <f>2918-P21-O21-N21</f>
        <v>739</v>
      </c>
      <c r="R21" s="5">
        <v>688</v>
      </c>
      <c r="S21" s="5">
        <v>769</v>
      </c>
      <c r="T21" s="5">
        <v>1013</v>
      </c>
      <c r="U21" s="5">
        <f>3621-T21-S21-R21</f>
        <v>1151</v>
      </c>
      <c r="V21" s="5">
        <v>1361</v>
      </c>
      <c r="W21" s="5">
        <v>1231</v>
      </c>
      <c r="X21" s="5">
        <v>1178</v>
      </c>
      <c r="Y21" s="5">
        <f>4894-X21-W21-V21</f>
        <v>1124</v>
      </c>
      <c r="Z21" s="5">
        <v>1232</v>
      </c>
      <c r="AA21" s="29">
        <f t="shared" si="0"/>
        <v>-9.4783247612049967E-2</v>
      </c>
      <c r="AB21" s="29">
        <f t="shared" si="34"/>
        <v>9.6085409252669035E-2</v>
      </c>
    </row>
    <row r="22" spans="1:31" x14ac:dyDescent="0.35">
      <c r="A22" s="13" t="s">
        <v>37</v>
      </c>
      <c r="B22" s="5">
        <v>381</v>
      </c>
      <c r="C22" s="5">
        <v>386.37</v>
      </c>
      <c r="D22" s="5">
        <v>445</v>
      </c>
      <c r="E22" s="5">
        <f>1880.35-D22-C22-B22</f>
        <v>667.98</v>
      </c>
      <c r="F22" s="5">
        <v>686</v>
      </c>
      <c r="G22" s="5">
        <v>743</v>
      </c>
      <c r="H22" s="5">
        <v>667</v>
      </c>
      <c r="I22" s="5">
        <f>2770-H22-G22-F22</f>
        <v>674</v>
      </c>
      <c r="J22" s="5">
        <v>648</v>
      </c>
      <c r="K22" s="5">
        <v>558</v>
      </c>
      <c r="L22" s="5">
        <v>644</v>
      </c>
      <c r="M22" s="5">
        <f>2671-L22-K22-J22</f>
        <v>821</v>
      </c>
      <c r="N22" s="5">
        <v>962</v>
      </c>
      <c r="O22" s="5">
        <v>986</v>
      </c>
      <c r="P22" s="5">
        <v>910</v>
      </c>
      <c r="Q22" s="5">
        <f>3906-P22-O22-N22</f>
        <v>1048</v>
      </c>
      <c r="R22" s="5">
        <v>1286</v>
      </c>
      <c r="S22" s="5">
        <v>1410</v>
      </c>
      <c r="T22" s="5">
        <v>1579</v>
      </c>
      <c r="U22" s="5">
        <f>5880-T22-S22-R22</f>
        <v>1605</v>
      </c>
      <c r="V22" s="5">
        <v>1702</v>
      </c>
      <c r="W22" s="5">
        <v>1984</v>
      </c>
      <c r="X22" s="5">
        <v>2037</v>
      </c>
      <c r="Y22" s="5">
        <f>7830-X22-W22-V22</f>
        <v>2107</v>
      </c>
      <c r="Z22" s="5">
        <v>2207</v>
      </c>
      <c r="AA22" s="29">
        <f t="shared" si="0"/>
        <v>0.29670975323149235</v>
      </c>
      <c r="AB22" s="29">
        <f t="shared" si="34"/>
        <v>4.7460844803037493E-2</v>
      </c>
    </row>
    <row r="23" spans="1:31" s="11" customFormat="1" ht="13.15" x14ac:dyDescent="0.4">
      <c r="A23" s="14" t="s">
        <v>40</v>
      </c>
      <c r="B23" s="11">
        <f>SUM(B19:B22)</f>
        <v>2952.2489999999998</v>
      </c>
      <c r="C23" s="11">
        <f t="shared" ref="C23" si="35">SUM(C19:C22)</f>
        <v>3383.24</v>
      </c>
      <c r="D23" s="11">
        <f t="shared" ref="D23" si="36">SUM(D19:D22)</f>
        <v>5300.6799999999994</v>
      </c>
      <c r="E23" s="11">
        <f t="shared" ref="E23" si="37">SUM(E19:E22)</f>
        <v>5783.1710000000003</v>
      </c>
      <c r="F23" s="11">
        <f t="shared" ref="F23" si="38">SUM(F19:F22)</f>
        <v>3976.2</v>
      </c>
      <c r="G23" s="11">
        <f t="shared" ref="G23" si="39">SUM(G19:G22)</f>
        <v>5428.2</v>
      </c>
      <c r="H23" s="11">
        <f t="shared" ref="H23" si="40">SUM(H19:H22)</f>
        <v>5112</v>
      </c>
      <c r="I23" s="11">
        <f t="shared" ref="I23" si="41">SUM(I19:I22)</f>
        <v>5992.6</v>
      </c>
      <c r="J23" s="11">
        <f t="shared" ref="J23" si="42">SUM(J19:J22)</f>
        <v>4751</v>
      </c>
      <c r="K23" s="11">
        <f t="shared" ref="K23" si="43">SUM(K19:K22)</f>
        <v>4769</v>
      </c>
      <c r="L23" s="11">
        <f t="shared" ref="L23" si="44">SUM(L19:L22)</f>
        <v>6708</v>
      </c>
      <c r="M23" s="11">
        <f t="shared" ref="M23" si="45">SUM(M19:M22)</f>
        <v>8678</v>
      </c>
      <c r="N23" s="11">
        <f t="shared" ref="N23" si="46">SUM(N19:N22)</f>
        <v>8174</v>
      </c>
      <c r="O23" s="11">
        <f t="shared" ref="O23" si="47">SUM(O19:O22)</f>
        <v>9074</v>
      </c>
      <c r="P23" s="11">
        <f t="shared" ref="P23" si="48">SUM(P19:P22)</f>
        <v>10097</v>
      </c>
      <c r="Q23" s="11">
        <f t="shared" ref="Q23" si="49">SUM(Q19:Q22)</f>
        <v>12872</v>
      </c>
      <c r="R23" s="11">
        <f t="shared" ref="R23" si="50">SUM(R19:R22)</f>
        <v>13296</v>
      </c>
      <c r="S23" s="11">
        <f t="shared" ref="S23" si="51">SUM(S19:S22)</f>
        <v>12700</v>
      </c>
      <c r="T23" s="11">
        <f t="shared" ref="T23" si="52">SUM(T19:T22)</f>
        <v>16072</v>
      </c>
      <c r="U23" s="11">
        <f t="shared" ref="U23" si="53">SUM(U19:U22)</f>
        <v>18541</v>
      </c>
      <c r="V23" s="11">
        <f t="shared" ref="V23" si="54">SUM(V19:V22)</f>
        <v>18818</v>
      </c>
      <c r="W23" s="11">
        <f t="shared" ref="W23" si="55">SUM(W19:W22)</f>
        <v>20394</v>
      </c>
      <c r="X23" s="11">
        <f t="shared" ref="X23" si="56">SUM(X19:X22)</f>
        <v>19172</v>
      </c>
      <c r="Y23" s="11">
        <f t="shared" ref="Y23" si="57">SUM(Y19:Y22)</f>
        <v>20729</v>
      </c>
      <c r="Z23" s="11">
        <f t="shared" ref="Z23" si="58">SUM(Z19:Z22)</f>
        <v>17605</v>
      </c>
      <c r="AA23" s="29">
        <f t="shared" si="0"/>
        <v>-6.4459559995748747E-2</v>
      </c>
      <c r="AB23" s="29">
        <f t="shared" si="34"/>
        <v>-0.15070673935066814</v>
      </c>
      <c r="AC23" s="11">
        <f t="shared" ref="AC23:AE23" si="59">SUM(AC19:AC22)</f>
        <v>0</v>
      </c>
      <c r="AD23" s="11">
        <f t="shared" si="59"/>
        <v>0</v>
      </c>
      <c r="AE23" s="11">
        <f t="shared" si="59"/>
        <v>0</v>
      </c>
    </row>
    <row r="24" spans="1:31" x14ac:dyDescent="0.35">
      <c r="AA24" s="29"/>
      <c r="AB24" s="29"/>
    </row>
    <row r="25" spans="1:31" s="11" customFormat="1" ht="13.15" x14ac:dyDescent="0.4">
      <c r="A25" s="10" t="s">
        <v>41</v>
      </c>
      <c r="B25" s="11">
        <f>B16-B23</f>
        <v>456.46100000000024</v>
      </c>
      <c r="C25" s="11">
        <f t="shared" ref="C25:AC25" si="60">C16-C23</f>
        <v>618.86000000000058</v>
      </c>
      <c r="D25" s="11">
        <f t="shared" si="60"/>
        <v>1523.3810000000012</v>
      </c>
      <c r="E25" s="11">
        <f t="shared" si="60"/>
        <v>1443.1180000000013</v>
      </c>
      <c r="F25" s="11">
        <f t="shared" si="60"/>
        <v>565.15999999999985</v>
      </c>
      <c r="G25" s="11">
        <f t="shared" si="60"/>
        <v>921.35999999999967</v>
      </c>
      <c r="H25" s="11">
        <f t="shared" si="60"/>
        <v>1191</v>
      </c>
      <c r="I25" s="11">
        <f t="shared" si="60"/>
        <v>1391.4800000000005</v>
      </c>
      <c r="J25" s="11">
        <f t="shared" si="60"/>
        <v>1234</v>
      </c>
      <c r="K25" s="11">
        <f t="shared" si="60"/>
        <v>1267</v>
      </c>
      <c r="L25" s="11">
        <f t="shared" si="60"/>
        <v>2063</v>
      </c>
      <c r="M25" s="11">
        <f t="shared" si="60"/>
        <v>2066</v>
      </c>
      <c r="N25" s="11">
        <f t="shared" si="60"/>
        <v>2215</v>
      </c>
      <c r="O25" s="11">
        <f t="shared" si="60"/>
        <v>2884</v>
      </c>
      <c r="P25" s="11">
        <f t="shared" si="60"/>
        <v>3660</v>
      </c>
      <c r="Q25" s="11">
        <f t="shared" si="60"/>
        <v>4847</v>
      </c>
      <c r="R25" s="11">
        <f t="shared" si="60"/>
        <v>5460</v>
      </c>
      <c r="S25" s="11">
        <f t="shared" si="60"/>
        <v>4234</v>
      </c>
      <c r="T25" s="11">
        <f t="shared" si="60"/>
        <v>5382</v>
      </c>
      <c r="U25" s="11">
        <f t="shared" si="60"/>
        <v>5777</v>
      </c>
      <c r="V25" s="11">
        <f t="shared" si="60"/>
        <v>4511</v>
      </c>
      <c r="W25" s="11">
        <f t="shared" si="60"/>
        <v>4533</v>
      </c>
      <c r="X25" s="11">
        <f t="shared" si="60"/>
        <v>4178</v>
      </c>
      <c r="Y25" s="11">
        <f t="shared" si="60"/>
        <v>4438</v>
      </c>
      <c r="Z25" s="11">
        <f t="shared" si="60"/>
        <v>3696</v>
      </c>
      <c r="AA25" s="29">
        <f t="shared" si="0"/>
        <v>-0.18066947461760141</v>
      </c>
      <c r="AB25" s="29">
        <f t="shared" ref="AB25" si="61">(Z25-Y25)/Y25</f>
        <v>-0.16719242902208201</v>
      </c>
      <c r="AC25" s="11">
        <f t="shared" si="60"/>
        <v>0</v>
      </c>
      <c r="AD25" s="11">
        <f t="shared" ref="AD25:AE25" si="62">AD16-AD23</f>
        <v>0</v>
      </c>
      <c r="AE25" s="11">
        <f t="shared" si="62"/>
        <v>0</v>
      </c>
    </row>
    <row r="26" spans="1:31" x14ac:dyDescent="0.35">
      <c r="AA26" s="29"/>
      <c r="AB26" s="29"/>
    </row>
    <row r="27" spans="1:31" ht="13.15" x14ac:dyDescent="0.4">
      <c r="A27" s="10" t="s">
        <v>42</v>
      </c>
      <c r="AA27" s="29"/>
      <c r="AB27" s="29"/>
    </row>
    <row r="28" spans="1:31" x14ac:dyDescent="0.35">
      <c r="A28" s="13" t="s">
        <v>43</v>
      </c>
      <c r="B28" s="5">
        <v>367.1</v>
      </c>
      <c r="C28" s="5">
        <v>386</v>
      </c>
      <c r="D28" s="5">
        <v>351</v>
      </c>
      <c r="E28" s="5">
        <f>1460.37-D28-C28-B28</f>
        <v>356.26999999999987</v>
      </c>
      <c r="F28" s="5">
        <v>340</v>
      </c>
      <c r="G28" s="5">
        <v>323.89999999999998</v>
      </c>
      <c r="H28" s="5">
        <v>334</v>
      </c>
      <c r="I28" s="5">
        <f>1343-H28-G28-F28</f>
        <v>345.1</v>
      </c>
      <c r="J28" s="5">
        <v>324</v>
      </c>
      <c r="K28" s="5">
        <v>279</v>
      </c>
      <c r="L28" s="5">
        <v>366</v>
      </c>
      <c r="M28" s="5">
        <f>1491-L28-K28-J28</f>
        <v>522</v>
      </c>
      <c r="N28" s="5">
        <v>666</v>
      </c>
      <c r="O28" s="5">
        <v>576</v>
      </c>
      <c r="P28" s="5">
        <v>611</v>
      </c>
      <c r="Q28" s="5">
        <f>2593-P28-O28-N28</f>
        <v>740</v>
      </c>
      <c r="R28" s="5">
        <v>865</v>
      </c>
      <c r="S28" s="5">
        <v>667</v>
      </c>
      <c r="T28" s="5">
        <v>733</v>
      </c>
      <c r="U28" s="5">
        <f>3075-T28-S28-R28</f>
        <v>810</v>
      </c>
      <c r="V28" s="5">
        <v>771</v>
      </c>
      <c r="W28" s="5">
        <v>943</v>
      </c>
      <c r="X28" s="5">
        <v>1161</v>
      </c>
      <c r="Y28" s="5">
        <f>3969-X28-W28-V28</f>
        <v>1094</v>
      </c>
      <c r="Z28" s="5">
        <v>1151</v>
      </c>
      <c r="AA28" s="29">
        <f t="shared" si="0"/>
        <v>0.49286640726329445</v>
      </c>
      <c r="AB28" s="29">
        <f t="shared" ref="AB28:AB31" si="63">(Z28-Y28)/Y28</f>
        <v>5.2102376599634369E-2</v>
      </c>
    </row>
    <row r="29" spans="1:31" x14ac:dyDescent="0.35">
      <c r="A29" s="13" t="s">
        <v>44</v>
      </c>
      <c r="B29" s="15">
        <v>686.4</v>
      </c>
      <c r="C29" s="5">
        <v>750.75900000000001</v>
      </c>
      <c r="D29" s="5">
        <v>730</v>
      </c>
      <c r="E29" s="5">
        <f>2834.5-D29-C29-B29</f>
        <v>667.34100000000001</v>
      </c>
      <c r="F29" s="5">
        <v>704</v>
      </c>
      <c r="G29" s="5">
        <v>647.29999999999995</v>
      </c>
      <c r="H29" s="5">
        <v>596</v>
      </c>
      <c r="I29" s="5">
        <f>2646-H29-G29-F29</f>
        <v>698.7</v>
      </c>
      <c r="J29" s="5">
        <v>627</v>
      </c>
      <c r="K29" s="5">
        <v>661</v>
      </c>
      <c r="L29" s="5">
        <v>888</v>
      </c>
      <c r="M29" s="5">
        <f>3145-L29-K29-J29</f>
        <v>969</v>
      </c>
      <c r="N29" s="5">
        <v>1056</v>
      </c>
      <c r="O29" s="5">
        <v>973</v>
      </c>
      <c r="P29" s="5">
        <v>994</v>
      </c>
      <c r="Q29" s="5">
        <f>4517-P29-O29-N29</f>
        <v>1494</v>
      </c>
      <c r="R29" s="5">
        <v>992</v>
      </c>
      <c r="S29" s="5">
        <v>961</v>
      </c>
      <c r="T29" s="5">
        <v>961</v>
      </c>
      <c r="U29" s="5">
        <f>3946-T29-S29-R29</f>
        <v>1032</v>
      </c>
      <c r="V29" s="5">
        <v>1076</v>
      </c>
      <c r="W29" s="5">
        <v>1191</v>
      </c>
      <c r="X29" s="5">
        <v>1253</v>
      </c>
      <c r="Y29" s="5">
        <f>4800-X29-W29-V29</f>
        <v>1280</v>
      </c>
      <c r="Z29" s="5">
        <v>1374</v>
      </c>
      <c r="AA29" s="29">
        <f t="shared" si="0"/>
        <v>0.27695167286245354</v>
      </c>
      <c r="AB29" s="29">
        <f t="shared" si="63"/>
        <v>7.3437500000000003E-2</v>
      </c>
    </row>
    <row r="30" spans="1:31" x14ac:dyDescent="0.35">
      <c r="A30" s="13" t="s">
        <v>84</v>
      </c>
      <c r="B30" s="15"/>
      <c r="C30" s="5">
        <v>103</v>
      </c>
      <c r="D30" s="5">
        <v>26.2</v>
      </c>
      <c r="E30" s="5">
        <f>135.233-D30-C30-B30</f>
        <v>6.0330000000000013</v>
      </c>
      <c r="F30" s="5">
        <v>43.47</v>
      </c>
      <c r="G30" s="5">
        <v>117.345</v>
      </c>
      <c r="H30" s="5">
        <v>0</v>
      </c>
      <c r="I30" s="5">
        <f>149-H30-G30-F30</f>
        <v>-11.814999999999998</v>
      </c>
      <c r="J30" s="5">
        <v>0</v>
      </c>
      <c r="K30" s="5">
        <v>0</v>
      </c>
      <c r="L30" s="5">
        <v>0</v>
      </c>
      <c r="M30" s="5">
        <v>0</v>
      </c>
      <c r="N30" s="5">
        <v>-101</v>
      </c>
      <c r="O30" s="5">
        <v>23</v>
      </c>
      <c r="P30" s="5">
        <v>51</v>
      </c>
      <c r="Q30" s="5">
        <f>-27-P30-O30-N30</f>
        <v>0</v>
      </c>
      <c r="R30" s="5">
        <v>0</v>
      </c>
      <c r="S30" s="5">
        <v>142</v>
      </c>
      <c r="T30" s="5">
        <v>0</v>
      </c>
      <c r="U30" s="5">
        <f>176-T30-S30-R30</f>
        <v>34</v>
      </c>
      <c r="V30" s="5">
        <v>0</v>
      </c>
      <c r="W30" s="5">
        <v>0</v>
      </c>
      <c r="X30" s="5">
        <v>0</v>
      </c>
      <c r="Y30" s="5">
        <v>0</v>
      </c>
      <c r="Z30" s="5">
        <v>0</v>
      </c>
      <c r="AA30" s="29" t="e">
        <f t="shared" si="0"/>
        <v>#DIV/0!</v>
      </c>
      <c r="AB30" s="29" t="e">
        <f t="shared" si="63"/>
        <v>#DIV/0!</v>
      </c>
    </row>
    <row r="31" spans="1:31" s="11" customFormat="1" ht="13.15" x14ac:dyDescent="0.4">
      <c r="A31" s="14" t="s">
        <v>45</v>
      </c>
      <c r="B31" s="11">
        <f>SUM(B28:B30)</f>
        <v>1053.5</v>
      </c>
      <c r="C31" s="11">
        <f t="shared" ref="C31:AC31" si="64">SUM(C28:C30)</f>
        <v>1239.759</v>
      </c>
      <c r="D31" s="11">
        <f t="shared" si="64"/>
        <v>1107.2</v>
      </c>
      <c r="E31" s="11">
        <f t="shared" si="64"/>
        <v>1029.6439999999998</v>
      </c>
      <c r="F31" s="11">
        <f t="shared" si="64"/>
        <v>1087.47</v>
      </c>
      <c r="G31" s="11">
        <f t="shared" si="64"/>
        <v>1088.5449999999998</v>
      </c>
      <c r="H31" s="11">
        <f>SUM(H28:H30)</f>
        <v>930</v>
      </c>
      <c r="I31" s="11">
        <f t="shared" si="64"/>
        <v>1031.9850000000001</v>
      </c>
      <c r="J31" s="11">
        <f t="shared" si="64"/>
        <v>951</v>
      </c>
      <c r="K31" s="11">
        <f t="shared" si="64"/>
        <v>940</v>
      </c>
      <c r="L31" s="11">
        <f t="shared" si="64"/>
        <v>1254</v>
      </c>
      <c r="M31" s="11">
        <f t="shared" si="64"/>
        <v>1491</v>
      </c>
      <c r="N31" s="11">
        <f t="shared" si="64"/>
        <v>1621</v>
      </c>
      <c r="O31" s="11">
        <f t="shared" si="64"/>
        <v>1572</v>
      </c>
      <c r="P31" s="11">
        <f t="shared" si="64"/>
        <v>1656</v>
      </c>
      <c r="Q31" s="11">
        <f t="shared" si="64"/>
        <v>2234</v>
      </c>
      <c r="R31" s="11">
        <f t="shared" si="64"/>
        <v>1857</v>
      </c>
      <c r="S31" s="11">
        <f t="shared" si="64"/>
        <v>1770</v>
      </c>
      <c r="T31" s="11">
        <f t="shared" si="64"/>
        <v>1694</v>
      </c>
      <c r="U31" s="11">
        <f t="shared" si="64"/>
        <v>1876</v>
      </c>
      <c r="V31" s="11">
        <f t="shared" si="64"/>
        <v>1847</v>
      </c>
      <c r="W31" s="11">
        <f t="shared" si="64"/>
        <v>2134</v>
      </c>
      <c r="X31" s="11">
        <f t="shared" si="64"/>
        <v>2414</v>
      </c>
      <c r="Y31" s="11">
        <f t="shared" si="64"/>
        <v>2374</v>
      </c>
      <c r="Z31" s="11">
        <f t="shared" si="64"/>
        <v>2525</v>
      </c>
      <c r="AA31" s="29">
        <f t="shared" si="0"/>
        <v>0.36708175419599348</v>
      </c>
      <c r="AB31" s="29">
        <f t="shared" si="63"/>
        <v>6.3605728727885419E-2</v>
      </c>
      <c r="AC31" s="11">
        <f t="shared" si="64"/>
        <v>0</v>
      </c>
      <c r="AD31" s="11">
        <f t="shared" ref="AD31:AE31" si="65">SUM(AD28:AD30)</f>
        <v>0</v>
      </c>
      <c r="AE31" s="11">
        <f t="shared" si="65"/>
        <v>0</v>
      </c>
    </row>
    <row r="32" spans="1:31" x14ac:dyDescent="0.35">
      <c r="AA32" s="29"/>
      <c r="AB32" s="29"/>
    </row>
    <row r="33" spans="1:31" x14ac:dyDescent="0.35">
      <c r="A33" s="6" t="s">
        <v>46</v>
      </c>
      <c r="B33" s="5">
        <f>B25-B31</f>
        <v>-597.03899999999976</v>
      </c>
      <c r="C33" s="5">
        <f t="shared" ref="C33:AC33" si="66">C25-C31</f>
        <v>-620.89899999999943</v>
      </c>
      <c r="D33" s="5">
        <f t="shared" si="66"/>
        <v>416.18100000000118</v>
      </c>
      <c r="E33" s="5">
        <f t="shared" si="66"/>
        <v>413.47400000000152</v>
      </c>
      <c r="F33" s="5">
        <f t="shared" si="66"/>
        <v>-522.31000000000017</v>
      </c>
      <c r="G33" s="5">
        <f t="shared" si="66"/>
        <v>-167.18500000000017</v>
      </c>
      <c r="H33" s="5">
        <f t="shared" si="66"/>
        <v>261</v>
      </c>
      <c r="I33" s="5">
        <f t="shared" si="66"/>
        <v>359.49500000000035</v>
      </c>
      <c r="J33" s="5">
        <f t="shared" si="66"/>
        <v>283</v>
      </c>
      <c r="K33" s="5">
        <f t="shared" si="66"/>
        <v>327</v>
      </c>
      <c r="L33" s="5">
        <f t="shared" si="66"/>
        <v>809</v>
      </c>
      <c r="M33" s="5">
        <f t="shared" si="66"/>
        <v>575</v>
      </c>
      <c r="N33" s="5">
        <f t="shared" si="66"/>
        <v>594</v>
      </c>
      <c r="O33" s="5">
        <f t="shared" si="66"/>
        <v>1312</v>
      </c>
      <c r="P33" s="5">
        <f t="shared" si="66"/>
        <v>2004</v>
      </c>
      <c r="Q33" s="5">
        <f t="shared" si="66"/>
        <v>2613</v>
      </c>
      <c r="R33" s="5">
        <f t="shared" si="66"/>
        <v>3603</v>
      </c>
      <c r="S33" s="5">
        <f t="shared" si="66"/>
        <v>2464</v>
      </c>
      <c r="T33" s="5">
        <f t="shared" si="66"/>
        <v>3688</v>
      </c>
      <c r="U33" s="5">
        <f t="shared" si="66"/>
        <v>3901</v>
      </c>
      <c r="V33" s="5">
        <f t="shared" si="66"/>
        <v>2664</v>
      </c>
      <c r="W33" s="5">
        <f t="shared" si="66"/>
        <v>2399</v>
      </c>
      <c r="X33" s="5">
        <f t="shared" si="66"/>
        <v>1764</v>
      </c>
      <c r="Y33" s="5">
        <f t="shared" si="66"/>
        <v>2064</v>
      </c>
      <c r="Z33" s="5">
        <f t="shared" si="66"/>
        <v>1171</v>
      </c>
      <c r="AA33" s="29">
        <f t="shared" si="0"/>
        <v>-0.56043543543543539</v>
      </c>
      <c r="AB33" s="29">
        <f t="shared" ref="AB33:AB40" si="67">(Z33-Y33)/Y33</f>
        <v>-0.43265503875968991</v>
      </c>
      <c r="AC33" s="5">
        <f t="shared" si="66"/>
        <v>0</v>
      </c>
      <c r="AD33" s="5">
        <f t="shared" ref="AD33:AE33" si="68">AD25-AD31</f>
        <v>0</v>
      </c>
      <c r="AE33" s="5">
        <f t="shared" si="68"/>
        <v>0</v>
      </c>
    </row>
    <row r="34" spans="1:31" x14ac:dyDescent="0.35">
      <c r="A34" s="6" t="s">
        <v>47</v>
      </c>
      <c r="B34" s="5">
        <v>5.2</v>
      </c>
      <c r="C34" s="5">
        <v>5</v>
      </c>
      <c r="D34" s="5">
        <v>7</v>
      </c>
      <c r="E34" s="5">
        <f>24.5-D34-C34-B34</f>
        <v>7.3</v>
      </c>
      <c r="F34" s="5">
        <v>8.76</v>
      </c>
      <c r="G34" s="5">
        <v>10.3</v>
      </c>
      <c r="H34" s="5">
        <v>15</v>
      </c>
      <c r="I34" s="5">
        <f>44-H34-G34-F34</f>
        <v>9.94</v>
      </c>
      <c r="J34" s="5">
        <v>10</v>
      </c>
      <c r="K34" s="5">
        <v>8</v>
      </c>
      <c r="L34" s="5">
        <v>6</v>
      </c>
      <c r="M34" s="5">
        <f>30-L34-K34-J34</f>
        <v>6</v>
      </c>
      <c r="N34" s="5">
        <v>10</v>
      </c>
      <c r="O34" s="5">
        <v>11</v>
      </c>
      <c r="P34" s="5">
        <v>10</v>
      </c>
      <c r="Q34" s="5">
        <f>56-P34-O34-N34</f>
        <v>25</v>
      </c>
      <c r="R34" s="5">
        <v>28</v>
      </c>
      <c r="S34" s="5">
        <v>26</v>
      </c>
      <c r="T34" s="5">
        <v>86</v>
      </c>
      <c r="U34" s="5">
        <f>297-T34-S34-R34</f>
        <v>157</v>
      </c>
      <c r="V34" s="5">
        <v>213</v>
      </c>
      <c r="W34" s="5">
        <v>238</v>
      </c>
      <c r="X34" s="5">
        <v>282</v>
      </c>
      <c r="Y34" s="5">
        <f>1066-X34-W34-V34</f>
        <v>333</v>
      </c>
      <c r="Z34" s="5">
        <v>350</v>
      </c>
      <c r="AA34" s="29">
        <f t="shared" si="0"/>
        <v>0.64319248826291076</v>
      </c>
      <c r="AB34" s="29">
        <f t="shared" si="67"/>
        <v>5.1051051051051052E-2</v>
      </c>
    </row>
    <row r="35" spans="1:31" x14ac:dyDescent="0.35">
      <c r="A35" s="6" t="s">
        <v>48</v>
      </c>
      <c r="B35" s="5">
        <v>-149.54599999999999</v>
      </c>
      <c r="C35" s="5">
        <v>-164</v>
      </c>
      <c r="D35" s="5">
        <v>-175</v>
      </c>
      <c r="E35" s="5">
        <f>-663-D35-C35-B35</f>
        <v>-174.45400000000001</v>
      </c>
      <c r="F35" s="5">
        <v>-157</v>
      </c>
      <c r="G35" s="5">
        <v>-171.97900000000001</v>
      </c>
      <c r="H35" s="5">
        <v>-185</v>
      </c>
      <c r="I35" s="5">
        <f>-685-H35-G35-F35</f>
        <v>-171.02099999999996</v>
      </c>
      <c r="J35" s="5">
        <v>-169</v>
      </c>
      <c r="K35" s="5">
        <v>-170</v>
      </c>
      <c r="L35" s="5">
        <v>-163</v>
      </c>
      <c r="M35" s="5">
        <f>-784-L35-K35-J35</f>
        <v>-282</v>
      </c>
      <c r="N35" s="5">
        <v>-99</v>
      </c>
      <c r="O35" s="5">
        <v>-75</v>
      </c>
      <c r="P35" s="5">
        <v>-126</v>
      </c>
      <c r="Q35" s="5">
        <f>-371-P35-O35-N35</f>
        <v>-71</v>
      </c>
      <c r="R35" s="5">
        <v>-61</v>
      </c>
      <c r="S35" s="5">
        <v>-44</v>
      </c>
      <c r="T35" s="5">
        <v>-53</v>
      </c>
      <c r="U35" s="5">
        <f>-191-T35-S35-R35</f>
        <v>-33</v>
      </c>
      <c r="V35" s="5">
        <v>-29</v>
      </c>
      <c r="W35" s="5">
        <v>-28</v>
      </c>
      <c r="X35" s="5">
        <v>-38</v>
      </c>
      <c r="Y35" s="5">
        <f>-156-X35-W35-V35</f>
        <v>-61</v>
      </c>
      <c r="Z35" s="5">
        <v>-76</v>
      </c>
      <c r="AA35" s="29">
        <f t="shared" si="0"/>
        <v>1.6206896551724137</v>
      </c>
      <c r="AB35" s="29">
        <f t="shared" si="67"/>
        <v>0.24590163934426229</v>
      </c>
    </row>
    <row r="36" spans="1:31" x14ac:dyDescent="0.35">
      <c r="A36" s="6" t="s">
        <v>49</v>
      </c>
      <c r="B36" s="5">
        <v>-37.700000000000003</v>
      </c>
      <c r="C36" s="5">
        <v>50.9</v>
      </c>
      <c r="D36" s="5">
        <v>23</v>
      </c>
      <c r="E36" s="5">
        <f>21.9-D36-C36-B36</f>
        <v>-14.299999999999997</v>
      </c>
      <c r="F36" s="5">
        <v>25.75</v>
      </c>
      <c r="G36" s="5">
        <v>-40.756</v>
      </c>
      <c r="H36" s="5">
        <v>85</v>
      </c>
      <c r="I36" s="5">
        <f>45-H36-G36-F36</f>
        <v>-24.994</v>
      </c>
      <c r="J36" s="5">
        <v>-54</v>
      </c>
      <c r="K36" s="5">
        <v>-15</v>
      </c>
      <c r="L36" s="5">
        <v>-97</v>
      </c>
      <c r="M36" s="5">
        <f>-122-L36-K36-J36</f>
        <v>44</v>
      </c>
      <c r="N36" s="5">
        <v>28</v>
      </c>
      <c r="O36" s="5">
        <v>45</v>
      </c>
      <c r="P36" s="5">
        <v>-6</v>
      </c>
      <c r="Q36" s="5">
        <f>135-P36-O36-N36</f>
        <v>68</v>
      </c>
      <c r="R36" s="5">
        <v>56</v>
      </c>
      <c r="S36" s="5">
        <v>28</v>
      </c>
      <c r="T36" s="5">
        <v>-85</v>
      </c>
      <c r="U36" s="5">
        <f>-43-T36-S36-R36</f>
        <v>-42</v>
      </c>
      <c r="V36" s="5">
        <v>-48</v>
      </c>
      <c r="W36" s="5">
        <v>328</v>
      </c>
      <c r="X36" s="5">
        <v>37</v>
      </c>
      <c r="Y36" s="5">
        <f>172-X36-W36-V36</f>
        <v>-145</v>
      </c>
      <c r="Z36" s="5">
        <v>108</v>
      </c>
      <c r="AA36" s="29">
        <f t="shared" si="0"/>
        <v>-3.25</v>
      </c>
      <c r="AB36" s="29">
        <f t="shared" si="67"/>
        <v>-1.7448275862068965</v>
      </c>
    </row>
    <row r="37" spans="1:31" x14ac:dyDescent="0.35">
      <c r="A37" s="13" t="s">
        <v>50</v>
      </c>
      <c r="B37" s="5">
        <f>SUM(B33:B36)</f>
        <v>-779.08499999999981</v>
      </c>
      <c r="C37" s="5">
        <f t="shared" ref="C37" si="69">SUM(C33:C36)</f>
        <v>-728.99899999999946</v>
      </c>
      <c r="D37" s="5">
        <f t="shared" ref="D37" si="70">SUM(D33:D36)</f>
        <v>271.18100000000118</v>
      </c>
      <c r="E37" s="5">
        <f t="shared" ref="E37" si="71">SUM(E33:E36)</f>
        <v>232.02000000000152</v>
      </c>
      <c r="F37" s="5">
        <f t="shared" ref="F37" si="72">SUM(F33:F36)</f>
        <v>-644.80000000000018</v>
      </c>
      <c r="G37" s="5">
        <f t="shared" ref="G37" si="73">SUM(G33:G36)</f>
        <v>-369.62000000000012</v>
      </c>
      <c r="H37" s="5">
        <f t="shared" ref="H37" si="74">SUM(H33:H36)</f>
        <v>176</v>
      </c>
      <c r="I37" s="5">
        <f t="shared" ref="I37" si="75">SUM(I33:I36)</f>
        <v>173.42000000000039</v>
      </c>
      <c r="J37" s="5">
        <f t="shared" ref="J37" si="76">SUM(J33:J36)</f>
        <v>70</v>
      </c>
      <c r="K37" s="5">
        <f t="shared" ref="K37" si="77">SUM(K33:K36)</f>
        <v>150</v>
      </c>
      <c r="L37" s="5">
        <f t="shared" ref="L37" si="78">SUM(L33:L36)</f>
        <v>555</v>
      </c>
      <c r="M37" s="5">
        <f t="shared" ref="M37" si="79">SUM(M33:M36)</f>
        <v>343</v>
      </c>
      <c r="N37" s="5">
        <f t="shared" ref="N37" si="80">SUM(N33:N36)</f>
        <v>533</v>
      </c>
      <c r="O37" s="5">
        <f t="shared" ref="O37" si="81">SUM(O33:O36)</f>
        <v>1293</v>
      </c>
      <c r="P37" s="5">
        <f t="shared" ref="P37" si="82">SUM(P33:P36)</f>
        <v>1882</v>
      </c>
      <c r="Q37" s="5">
        <f t="shared" ref="Q37" si="83">SUM(Q33:Q36)</f>
        <v>2635</v>
      </c>
      <c r="R37" s="5">
        <f t="shared" ref="R37" si="84">SUM(R33:R36)</f>
        <v>3626</v>
      </c>
      <c r="S37" s="5">
        <f t="shared" ref="S37" si="85">SUM(S33:S36)</f>
        <v>2474</v>
      </c>
      <c r="T37" s="5">
        <f t="shared" ref="T37" si="86">SUM(T33:T36)</f>
        <v>3636</v>
      </c>
      <c r="U37" s="5">
        <f t="shared" ref="U37" si="87">SUM(U33:U36)</f>
        <v>3983</v>
      </c>
      <c r="V37" s="5">
        <f t="shared" ref="V37" si="88">SUM(V33:V36)</f>
        <v>2800</v>
      </c>
      <c r="W37" s="5">
        <f t="shared" ref="W37" si="89">SUM(W33:W36)</f>
        <v>2937</v>
      </c>
      <c r="X37" s="5">
        <f t="shared" ref="X37" si="90">SUM(X33:X36)</f>
        <v>2045</v>
      </c>
      <c r="Y37" s="5">
        <f t="shared" ref="Y37" si="91">SUM(Y33:Y36)</f>
        <v>2191</v>
      </c>
      <c r="Z37" s="5">
        <f t="shared" ref="Z37" si="92">SUM(Z33:Z36)</f>
        <v>1553</v>
      </c>
      <c r="AA37" s="29">
        <f t="shared" si="0"/>
        <v>-0.44535714285714284</v>
      </c>
      <c r="AB37" s="29">
        <f t="shared" si="67"/>
        <v>-0.29119123687813786</v>
      </c>
      <c r="AC37" s="5">
        <f t="shared" ref="AC37:AE37" si="93">SUM(AC33:AC36)</f>
        <v>0</v>
      </c>
      <c r="AD37" s="5">
        <f t="shared" si="93"/>
        <v>0</v>
      </c>
      <c r="AE37" s="5">
        <f t="shared" si="93"/>
        <v>0</v>
      </c>
    </row>
    <row r="38" spans="1:31" x14ac:dyDescent="0.35">
      <c r="A38" s="13" t="s">
        <v>51</v>
      </c>
      <c r="B38" s="5">
        <v>5.6</v>
      </c>
      <c r="C38" s="5">
        <v>13.7</v>
      </c>
      <c r="D38" s="5">
        <v>16.600000000000001</v>
      </c>
      <c r="E38" s="5">
        <f>57.8-D38-C38-B38</f>
        <v>21.9</v>
      </c>
      <c r="F38" s="5">
        <v>22.9</v>
      </c>
      <c r="G38" s="5">
        <v>19.399999999999999</v>
      </c>
      <c r="H38" s="5">
        <v>26</v>
      </c>
      <c r="I38" s="5">
        <f>110-H38-G38-F38</f>
        <v>41.699999999999996</v>
      </c>
      <c r="J38" s="5">
        <v>2</v>
      </c>
      <c r="K38" s="5">
        <v>21</v>
      </c>
      <c r="L38" s="5">
        <v>186</v>
      </c>
      <c r="M38" s="5">
        <f>292-L38-K38-J38</f>
        <v>83</v>
      </c>
      <c r="N38" s="5">
        <v>69</v>
      </c>
      <c r="O38" s="5">
        <v>115</v>
      </c>
      <c r="P38" s="5">
        <v>223</v>
      </c>
      <c r="Q38" s="5">
        <f>699-P38-O38-N38</f>
        <v>292</v>
      </c>
      <c r="R38" s="5">
        <v>346</v>
      </c>
      <c r="S38" s="5">
        <v>205</v>
      </c>
      <c r="T38" s="5">
        <v>305</v>
      </c>
      <c r="U38" s="5">
        <f>1132-T38-S38-R38</f>
        <v>276</v>
      </c>
      <c r="V38" s="5">
        <v>261</v>
      </c>
      <c r="W38" s="5">
        <v>323</v>
      </c>
      <c r="X38" s="5">
        <v>167</v>
      </c>
      <c r="Y38" s="5">
        <f>-5001-X38-W38-V38</f>
        <v>-5752</v>
      </c>
      <c r="Z38" s="5">
        <v>409</v>
      </c>
      <c r="AA38" s="29">
        <f t="shared" si="0"/>
        <v>0.56704980842911878</v>
      </c>
      <c r="AB38" s="29">
        <f t="shared" si="67"/>
        <v>-1.0711057023643951</v>
      </c>
    </row>
    <row r="39" spans="1:31" s="11" customFormat="1" ht="13.15" x14ac:dyDescent="0.4">
      <c r="A39" s="14" t="s">
        <v>52</v>
      </c>
      <c r="B39" s="11">
        <f>B37-B38</f>
        <v>-784.68499999999983</v>
      </c>
      <c r="C39" s="11">
        <f t="shared" ref="C39" si="94">C37-C38</f>
        <v>-742.6989999999995</v>
      </c>
      <c r="D39" s="11">
        <f t="shared" ref="D39" si="95">D37-D38</f>
        <v>254.58100000000118</v>
      </c>
      <c r="E39" s="11">
        <f t="shared" ref="E39" si="96">E37-E38</f>
        <v>210.12000000000151</v>
      </c>
      <c r="F39" s="11">
        <f t="shared" ref="F39" si="97">F37-F38</f>
        <v>-667.70000000000016</v>
      </c>
      <c r="G39" s="11">
        <f t="shared" ref="G39" si="98">G37-G38</f>
        <v>-389.0200000000001</v>
      </c>
      <c r="H39" s="11">
        <f t="shared" ref="H39" si="99">H37-H38</f>
        <v>150</v>
      </c>
      <c r="I39" s="11">
        <f t="shared" ref="I39" si="100">I37-I38</f>
        <v>131.7200000000004</v>
      </c>
      <c r="J39" s="11">
        <f t="shared" ref="J39" si="101">J37-J38</f>
        <v>68</v>
      </c>
      <c r="K39" s="11">
        <f t="shared" ref="K39" si="102">K37-K38</f>
        <v>129</v>
      </c>
      <c r="L39" s="11">
        <f t="shared" ref="L39" si="103">L37-L38</f>
        <v>369</v>
      </c>
      <c r="M39" s="11">
        <f t="shared" ref="M39" si="104">M37-M38</f>
        <v>260</v>
      </c>
      <c r="N39" s="11">
        <f t="shared" ref="N39" si="105">N37-N38</f>
        <v>464</v>
      </c>
      <c r="O39" s="11">
        <f t="shared" ref="O39" si="106">O37-O38</f>
        <v>1178</v>
      </c>
      <c r="P39" s="11">
        <f t="shared" ref="P39" si="107">P37-P38</f>
        <v>1659</v>
      </c>
      <c r="Q39" s="11">
        <f t="shared" ref="Q39" si="108">Q37-Q38</f>
        <v>2343</v>
      </c>
      <c r="R39" s="11">
        <f t="shared" ref="R39" si="109">R37-R38</f>
        <v>3280</v>
      </c>
      <c r="S39" s="11">
        <f t="shared" ref="S39" si="110">S37-S38</f>
        <v>2269</v>
      </c>
      <c r="T39" s="11">
        <f t="shared" ref="T39" si="111">T37-T38</f>
        <v>3331</v>
      </c>
      <c r="U39" s="11">
        <f t="shared" ref="U39" si="112">U37-U38</f>
        <v>3707</v>
      </c>
      <c r="V39" s="11">
        <f t="shared" ref="V39" si="113">V37-V38</f>
        <v>2539</v>
      </c>
      <c r="W39" s="11">
        <f t="shared" ref="W39" si="114">W37-W38</f>
        <v>2614</v>
      </c>
      <c r="X39" s="11">
        <f t="shared" ref="X39" si="115">X37-X38</f>
        <v>1878</v>
      </c>
      <c r="Y39" s="11">
        <f t="shared" ref="Y39" si="116">Y37-Y38</f>
        <v>7943</v>
      </c>
      <c r="Z39" s="11">
        <f t="shared" ref="Z39" si="117">Z37-Z38</f>
        <v>1144</v>
      </c>
      <c r="AA39" s="29">
        <f t="shared" si="0"/>
        <v>-0.54942890901929897</v>
      </c>
      <c r="AB39" s="29">
        <f t="shared" si="67"/>
        <v>-0.85597381342062195</v>
      </c>
      <c r="AC39" s="11">
        <f t="shared" ref="AC39:AE39" si="118">AC37-AC38</f>
        <v>0</v>
      </c>
      <c r="AD39" s="11">
        <f t="shared" si="118"/>
        <v>0</v>
      </c>
      <c r="AE39" s="11">
        <f t="shared" si="118"/>
        <v>0</v>
      </c>
    </row>
    <row r="40" spans="1:31" x14ac:dyDescent="0.35">
      <c r="A40" s="6" t="s">
        <v>53</v>
      </c>
      <c r="B40" s="5">
        <v>-75.099999999999994</v>
      </c>
      <c r="C40" s="5">
        <v>-25.167000000000002</v>
      </c>
      <c r="D40" s="5">
        <v>-56.843000000000004</v>
      </c>
      <c r="E40" s="5">
        <f>-86.5-D40-C40-B40</f>
        <v>70.61</v>
      </c>
      <c r="F40" s="5">
        <v>34.5</v>
      </c>
      <c r="G40" s="5">
        <v>19.100000000000001</v>
      </c>
      <c r="H40" s="5">
        <v>7</v>
      </c>
      <c r="I40" s="5">
        <f>87-H40-G40-F40</f>
        <v>26.4</v>
      </c>
      <c r="J40" s="5">
        <v>52</v>
      </c>
      <c r="K40" s="5">
        <v>25</v>
      </c>
      <c r="L40" s="5">
        <v>38</v>
      </c>
      <c r="M40" s="5">
        <f>141-L40-K40-J40</f>
        <v>26</v>
      </c>
      <c r="N40" s="5">
        <v>26</v>
      </c>
      <c r="O40" s="5">
        <v>36</v>
      </c>
      <c r="P40" s="5">
        <v>41</v>
      </c>
      <c r="Q40" s="5">
        <f>125-P40-O40-N40</f>
        <v>22</v>
      </c>
      <c r="R40" s="5">
        <v>-38</v>
      </c>
      <c r="S40" s="5">
        <v>10</v>
      </c>
      <c r="T40" s="5">
        <v>39</v>
      </c>
      <c r="U40" s="5">
        <f>31-T40-S40-R40</f>
        <v>20</v>
      </c>
      <c r="V40" s="5">
        <v>26</v>
      </c>
      <c r="W40" s="5">
        <v>-89</v>
      </c>
      <c r="X40" s="5">
        <v>25</v>
      </c>
      <c r="Y40" s="5">
        <f>-23-X40-W40-V40</f>
        <v>15</v>
      </c>
      <c r="Z40" s="5">
        <v>15</v>
      </c>
      <c r="AA40" s="29">
        <f t="shared" si="0"/>
        <v>-0.42307692307692307</v>
      </c>
      <c r="AB40" s="29">
        <f t="shared" si="67"/>
        <v>0</v>
      </c>
    </row>
    <row r="41" spans="1:31" x14ac:dyDescent="0.35">
      <c r="AA41" s="29"/>
      <c r="AB41" s="29"/>
    </row>
    <row r="42" spans="1:31" ht="13.15" x14ac:dyDescent="0.4">
      <c r="A42" s="10" t="s">
        <v>54</v>
      </c>
      <c r="AA42" s="29"/>
      <c r="AB42" s="29"/>
    </row>
    <row r="43" spans="1:31" ht="13.15" x14ac:dyDescent="0.4">
      <c r="A43" s="12" t="s">
        <v>55</v>
      </c>
      <c r="AA43" s="29"/>
      <c r="AB43" s="29"/>
    </row>
    <row r="44" spans="1:31" x14ac:dyDescent="0.35">
      <c r="A44" s="16" t="s">
        <v>31</v>
      </c>
      <c r="B44" s="5">
        <v>2665.67</v>
      </c>
      <c r="C44" s="5">
        <v>2236.42</v>
      </c>
      <c r="D44" s="5">
        <v>2967.5</v>
      </c>
      <c r="E44" s="5">
        <v>3685.6</v>
      </c>
      <c r="F44" s="5">
        <v>2198</v>
      </c>
      <c r="G44" s="5">
        <v>4954.7</v>
      </c>
      <c r="H44" s="5">
        <v>5338</v>
      </c>
      <c r="I44" s="5">
        <v>6268</v>
      </c>
      <c r="J44" s="5">
        <v>8080</v>
      </c>
      <c r="K44" s="5">
        <v>8615</v>
      </c>
      <c r="L44" s="5">
        <v>14531</v>
      </c>
      <c r="M44" s="5">
        <v>19384</v>
      </c>
      <c r="N44" s="5">
        <v>17141</v>
      </c>
      <c r="O44" s="5">
        <v>16229</v>
      </c>
      <c r="P44" s="5">
        <v>16065</v>
      </c>
      <c r="Q44" s="5">
        <v>17576</v>
      </c>
      <c r="R44" s="5">
        <v>17505</v>
      </c>
      <c r="S44" s="5">
        <v>18324</v>
      </c>
      <c r="T44" s="5">
        <v>19532</v>
      </c>
      <c r="U44" s="5">
        <v>16253</v>
      </c>
      <c r="V44" s="5">
        <v>16048</v>
      </c>
      <c r="W44" s="5">
        <v>15296</v>
      </c>
      <c r="X44" s="5">
        <v>15932</v>
      </c>
      <c r="Y44" s="5">
        <v>16398</v>
      </c>
      <c r="Z44" s="5">
        <v>11805</v>
      </c>
      <c r="AA44" s="29">
        <f t="shared" si="0"/>
        <v>-0.26439431704885347</v>
      </c>
      <c r="AB44" s="29">
        <f t="shared" ref="AB44:AB61" si="119">(Z44-Y44)/Y44</f>
        <v>-0.2800951335528723</v>
      </c>
    </row>
    <row r="45" spans="1:31" x14ac:dyDescent="0.35">
      <c r="A45" s="24" t="s">
        <v>98</v>
      </c>
      <c r="B45" s="5">
        <v>120</v>
      </c>
      <c r="C45" s="5">
        <v>146.80000000000001</v>
      </c>
      <c r="D45" s="5">
        <v>158.6</v>
      </c>
      <c r="E45" s="5">
        <v>192.55</v>
      </c>
      <c r="F45" s="5">
        <v>131</v>
      </c>
      <c r="G45" s="5">
        <v>128</v>
      </c>
      <c r="H45" s="5">
        <v>233</v>
      </c>
      <c r="I45" s="5">
        <v>246</v>
      </c>
      <c r="J45" s="5">
        <v>0</v>
      </c>
      <c r="K45" s="5">
        <v>0</v>
      </c>
      <c r="L45" s="5">
        <v>0</v>
      </c>
      <c r="M45" s="5">
        <v>0</v>
      </c>
      <c r="N45" s="5">
        <v>0</v>
      </c>
      <c r="O45" s="5">
        <v>0</v>
      </c>
      <c r="P45" s="5">
        <v>30</v>
      </c>
      <c r="Q45" s="5">
        <v>131</v>
      </c>
      <c r="R45" s="5">
        <v>508</v>
      </c>
      <c r="S45" s="5">
        <v>591</v>
      </c>
      <c r="T45" s="5">
        <v>1575</v>
      </c>
      <c r="U45" s="5">
        <v>5932</v>
      </c>
      <c r="V45" s="5">
        <v>6354</v>
      </c>
      <c r="W45" s="5">
        <v>7779</v>
      </c>
      <c r="X45" s="5">
        <v>10145</v>
      </c>
      <c r="Y45" s="5">
        <v>12696</v>
      </c>
      <c r="Z45" s="5">
        <v>15058</v>
      </c>
      <c r="AA45" s="29">
        <f t="shared" si="0"/>
        <v>1.369845766446333</v>
      </c>
      <c r="AB45" s="29">
        <f t="shared" si="119"/>
        <v>0.18604284814114683</v>
      </c>
    </row>
    <row r="46" spans="1:31" x14ac:dyDescent="0.35">
      <c r="A46" s="16" t="s">
        <v>56</v>
      </c>
      <c r="B46" s="5">
        <v>652.79999999999995</v>
      </c>
      <c r="C46" s="5">
        <v>569.9</v>
      </c>
      <c r="D46" s="5">
        <v>1155</v>
      </c>
      <c r="E46" s="5">
        <v>949</v>
      </c>
      <c r="F46" s="5">
        <v>1046.9000000000001</v>
      </c>
      <c r="G46" s="5">
        <v>1147</v>
      </c>
      <c r="H46" s="5">
        <v>1128</v>
      </c>
      <c r="I46" s="5">
        <v>1324</v>
      </c>
      <c r="J46" s="5">
        <v>1274</v>
      </c>
      <c r="K46" s="5">
        <v>1485</v>
      </c>
      <c r="L46" s="5">
        <v>1757</v>
      </c>
      <c r="M46" s="5">
        <v>1886</v>
      </c>
      <c r="N46" s="5">
        <v>1890</v>
      </c>
      <c r="O46" s="5">
        <v>2129</v>
      </c>
      <c r="P46" s="5">
        <v>1962</v>
      </c>
      <c r="Q46" s="5">
        <v>1913</v>
      </c>
      <c r="R46" s="5">
        <v>2311</v>
      </c>
      <c r="S46" s="5">
        <v>2081</v>
      </c>
      <c r="T46" s="5">
        <v>2192</v>
      </c>
      <c r="U46" s="5">
        <v>2952</v>
      </c>
      <c r="V46" s="5">
        <v>2993</v>
      </c>
      <c r="W46" s="5">
        <v>3447</v>
      </c>
      <c r="X46" s="5">
        <v>2520</v>
      </c>
      <c r="Y46" s="5">
        <v>3508</v>
      </c>
      <c r="Z46" s="5">
        <v>3887</v>
      </c>
      <c r="AA46" s="29">
        <f t="shared" si="0"/>
        <v>0.29869695957233544</v>
      </c>
      <c r="AB46" s="29">
        <f t="shared" si="119"/>
        <v>0.1080387685290764</v>
      </c>
    </row>
    <row r="47" spans="1:31" x14ac:dyDescent="0.35">
      <c r="A47" s="16" t="s">
        <v>57</v>
      </c>
      <c r="B47" s="5">
        <v>2565.8000000000002</v>
      </c>
      <c r="C47" s="5">
        <v>3324.6</v>
      </c>
      <c r="D47" s="5">
        <v>3314</v>
      </c>
      <c r="E47" s="5">
        <v>3113</v>
      </c>
      <c r="F47" s="5">
        <v>3836.85</v>
      </c>
      <c r="G47" s="5">
        <v>3382</v>
      </c>
      <c r="H47" s="5">
        <v>3581</v>
      </c>
      <c r="I47" s="5">
        <v>3552</v>
      </c>
      <c r="J47" s="5">
        <v>4494</v>
      </c>
      <c r="K47" s="5">
        <v>4018</v>
      </c>
      <c r="L47" s="5">
        <v>4218</v>
      </c>
      <c r="M47" s="5">
        <v>4101</v>
      </c>
      <c r="N47" s="5">
        <v>4132</v>
      </c>
      <c r="O47" s="5">
        <v>4733</v>
      </c>
      <c r="P47" s="5">
        <v>5199</v>
      </c>
      <c r="Q47" s="5">
        <v>5757</v>
      </c>
      <c r="R47" s="5">
        <v>6691</v>
      </c>
      <c r="S47" s="5">
        <v>8108</v>
      </c>
      <c r="T47" s="5">
        <v>10327</v>
      </c>
      <c r="U47" s="5">
        <v>12839</v>
      </c>
      <c r="V47" s="5">
        <v>14375</v>
      </c>
      <c r="W47" s="5">
        <v>14356</v>
      </c>
      <c r="X47" s="5">
        <v>13721</v>
      </c>
      <c r="Y47" s="5">
        <v>13626</v>
      </c>
      <c r="Z47" s="5">
        <v>16033</v>
      </c>
      <c r="AA47" s="29">
        <f t="shared" si="0"/>
        <v>0.11533913043478261</v>
      </c>
      <c r="AB47" s="29">
        <f t="shared" si="119"/>
        <v>0.17664758549831205</v>
      </c>
    </row>
    <row r="48" spans="1:31" x14ac:dyDescent="0.35">
      <c r="A48" s="16" t="s">
        <v>58</v>
      </c>
      <c r="B48" s="5">
        <v>379.4</v>
      </c>
      <c r="C48" s="5">
        <v>422</v>
      </c>
      <c r="D48" s="5">
        <v>325.23</v>
      </c>
      <c r="E48" s="5">
        <v>365.7</v>
      </c>
      <c r="F48" s="5">
        <v>464.9</v>
      </c>
      <c r="G48" s="5">
        <v>569.70000000000005</v>
      </c>
      <c r="H48" s="5">
        <v>660</v>
      </c>
      <c r="I48" s="5">
        <v>713</v>
      </c>
      <c r="J48" s="5">
        <v>1045</v>
      </c>
      <c r="K48" s="5">
        <v>1218</v>
      </c>
      <c r="L48" s="5">
        <v>1238</v>
      </c>
      <c r="M48" s="5">
        <v>1346</v>
      </c>
      <c r="N48" s="5">
        <v>1542</v>
      </c>
      <c r="O48" s="5">
        <v>1602</v>
      </c>
      <c r="P48" s="5">
        <v>1746</v>
      </c>
      <c r="Q48" s="5">
        <v>1723</v>
      </c>
      <c r="R48" s="5">
        <v>2035</v>
      </c>
      <c r="S48" s="5">
        <v>2118</v>
      </c>
      <c r="T48" s="5">
        <v>2364</v>
      </c>
      <c r="U48" s="5">
        <v>2941</v>
      </c>
      <c r="V48" s="5">
        <v>3227</v>
      </c>
      <c r="W48" s="5">
        <v>2997</v>
      </c>
      <c r="X48" s="5">
        <v>2708</v>
      </c>
      <c r="Y48" s="5">
        <v>3388</v>
      </c>
      <c r="Z48" s="5">
        <v>3752</v>
      </c>
      <c r="AA48" s="29">
        <f t="shared" si="0"/>
        <v>0.16268980477223427</v>
      </c>
      <c r="AB48" s="29">
        <f t="shared" si="119"/>
        <v>0.10743801652892562</v>
      </c>
    </row>
    <row r="49" spans="1:31" s="11" customFormat="1" ht="13.15" x14ac:dyDescent="0.4">
      <c r="A49" s="17" t="s">
        <v>59</v>
      </c>
      <c r="B49" s="11">
        <f>SUM(B44:B48)</f>
        <v>6383.67</v>
      </c>
      <c r="C49" s="11">
        <f t="shared" ref="C49" si="120">SUM(C44:C48)</f>
        <v>6699.72</v>
      </c>
      <c r="D49" s="11">
        <f t="shared" ref="D49" si="121">SUM(D44:D48)</f>
        <v>7920.33</v>
      </c>
      <c r="E49" s="11">
        <f t="shared" ref="E49" si="122">SUM(E44:E48)</f>
        <v>8305.85</v>
      </c>
      <c r="F49" s="11">
        <f t="shared" ref="F49" si="123">SUM(F44:F48)</f>
        <v>7677.65</v>
      </c>
      <c r="G49" s="11">
        <f t="shared" ref="G49" si="124">SUM(G44:G48)</f>
        <v>10181.400000000001</v>
      </c>
      <c r="H49" s="11">
        <f t="shared" ref="H49" si="125">SUM(H44:H48)</f>
        <v>10940</v>
      </c>
      <c r="I49" s="11">
        <f t="shared" ref="I49" si="126">SUM(I44:I48)</f>
        <v>12103</v>
      </c>
      <c r="J49" s="11">
        <f t="shared" ref="J49" si="127">SUM(J44:J48)</f>
        <v>14893</v>
      </c>
      <c r="K49" s="11">
        <f t="shared" ref="K49" si="128">SUM(K44:K48)</f>
        <v>15336</v>
      </c>
      <c r="L49" s="11">
        <f t="shared" ref="L49" si="129">SUM(L44:L48)</f>
        <v>21744</v>
      </c>
      <c r="M49" s="11">
        <f t="shared" ref="M49" si="130">SUM(M44:M48)</f>
        <v>26717</v>
      </c>
      <c r="N49" s="11">
        <f t="shared" ref="N49" si="131">SUM(N44:N48)</f>
        <v>24705</v>
      </c>
      <c r="O49" s="11">
        <f t="shared" ref="O49" si="132">SUM(O44:O48)</f>
        <v>24693</v>
      </c>
      <c r="P49" s="11">
        <f t="shared" ref="P49" si="133">SUM(P44:P48)</f>
        <v>25002</v>
      </c>
      <c r="Q49" s="11">
        <f t="shared" ref="Q49" si="134">SUM(Q44:Q48)</f>
        <v>27100</v>
      </c>
      <c r="R49" s="11">
        <f t="shared" ref="R49" si="135">SUM(R44:R48)</f>
        <v>29050</v>
      </c>
      <c r="S49" s="11">
        <f t="shared" ref="S49" si="136">SUM(S44:S48)</f>
        <v>31222</v>
      </c>
      <c r="T49" s="11">
        <f t="shared" ref="T49" si="137">SUM(T44:T48)</f>
        <v>35990</v>
      </c>
      <c r="U49" s="11">
        <f t="shared" ref="U49" si="138">SUM(U44:U48)</f>
        <v>40917</v>
      </c>
      <c r="V49" s="11">
        <f t="shared" ref="V49" si="139">SUM(V44:V48)</f>
        <v>42997</v>
      </c>
      <c r="W49" s="11">
        <f t="shared" ref="W49" si="140">SUM(W44:W48)</f>
        <v>43875</v>
      </c>
      <c r="X49" s="11">
        <f t="shared" ref="X49" si="141">SUM(X44:X48)</f>
        <v>45026</v>
      </c>
      <c r="Y49" s="11">
        <f t="shared" ref="Y49" si="142">SUM(Y44:Y48)</f>
        <v>49616</v>
      </c>
      <c r="Z49" s="11">
        <f t="shared" ref="Z49" si="143">SUM(Z44:Z48)</f>
        <v>50535</v>
      </c>
      <c r="AA49" s="29">
        <f t="shared" si="0"/>
        <v>0.17531455682954625</v>
      </c>
      <c r="AB49" s="29">
        <f t="shared" si="119"/>
        <v>1.8522250886810705E-2</v>
      </c>
      <c r="AC49" s="11">
        <f t="shared" ref="AC49:AE49" si="144">SUM(AC44:AC48)</f>
        <v>0</v>
      </c>
      <c r="AD49" s="11">
        <f t="shared" si="144"/>
        <v>0</v>
      </c>
      <c r="AE49" s="11">
        <f t="shared" si="144"/>
        <v>0</v>
      </c>
    </row>
    <row r="50" spans="1:31" x14ac:dyDescent="0.35">
      <c r="A50" s="13" t="s">
        <v>60</v>
      </c>
      <c r="B50" s="5">
        <v>2315</v>
      </c>
      <c r="C50" s="5">
        <v>2282</v>
      </c>
      <c r="D50" s="5">
        <v>2186</v>
      </c>
      <c r="E50" s="5">
        <v>2090</v>
      </c>
      <c r="F50" s="5">
        <v>1972.5</v>
      </c>
      <c r="G50" s="5">
        <v>2069.5</v>
      </c>
      <c r="H50" s="5">
        <v>2253</v>
      </c>
      <c r="I50" s="5">
        <v>2447</v>
      </c>
      <c r="J50" s="5">
        <v>2527</v>
      </c>
      <c r="K50" s="5">
        <v>2524</v>
      </c>
      <c r="L50" s="5">
        <v>2742</v>
      </c>
      <c r="M50" s="5">
        <v>3091</v>
      </c>
      <c r="N50" s="5">
        <v>3396</v>
      </c>
      <c r="O50" s="5">
        <v>3748</v>
      </c>
      <c r="P50" s="5">
        <v>4167</v>
      </c>
      <c r="Q50" s="5">
        <v>4511</v>
      </c>
      <c r="R50" s="5">
        <v>4745</v>
      </c>
      <c r="S50" s="5">
        <v>4782</v>
      </c>
      <c r="T50" s="5">
        <v>4824</v>
      </c>
      <c r="U50" s="5">
        <v>5035</v>
      </c>
      <c r="V50" s="5">
        <v>5473</v>
      </c>
      <c r="W50" s="5">
        <v>5935</v>
      </c>
      <c r="X50" s="5">
        <v>6119</v>
      </c>
      <c r="Y50" s="5">
        <v>5989</v>
      </c>
      <c r="Z50" s="5">
        <v>5736</v>
      </c>
      <c r="AA50" s="29">
        <f t="shared" si="0"/>
        <v>4.8054083683537363E-2</v>
      </c>
      <c r="AB50" s="29">
        <f t="shared" si="119"/>
        <v>-4.2244114209383871E-2</v>
      </c>
    </row>
    <row r="51" spans="1:31" x14ac:dyDescent="0.35">
      <c r="A51" s="13" t="s">
        <v>61</v>
      </c>
      <c r="B51" s="5">
        <v>6346.37</v>
      </c>
      <c r="C51" s="5">
        <v>6340</v>
      </c>
      <c r="D51" s="5">
        <v>6301.53</v>
      </c>
      <c r="E51" s="5">
        <v>6271</v>
      </c>
      <c r="F51" s="5">
        <v>6241.6</v>
      </c>
      <c r="G51" s="5">
        <v>6200.7</v>
      </c>
      <c r="H51" s="5">
        <v>6168</v>
      </c>
      <c r="I51" s="5">
        <v>6138</v>
      </c>
      <c r="J51" s="5">
        <v>6106</v>
      </c>
      <c r="K51" s="5">
        <v>6069</v>
      </c>
      <c r="L51" s="5">
        <v>6025</v>
      </c>
      <c r="M51" s="5">
        <v>5979</v>
      </c>
      <c r="N51" s="5">
        <v>5933</v>
      </c>
      <c r="O51" s="5">
        <v>5883</v>
      </c>
      <c r="P51" s="5">
        <v>5821</v>
      </c>
      <c r="Q51" s="5">
        <v>5765</v>
      </c>
      <c r="R51" s="5">
        <v>5686</v>
      </c>
      <c r="S51" s="5">
        <v>5624</v>
      </c>
      <c r="T51" s="5">
        <v>5562</v>
      </c>
      <c r="U51" s="5">
        <v>5489</v>
      </c>
      <c r="V51" s="5">
        <v>5427</v>
      </c>
      <c r="W51" s="5">
        <v>5365</v>
      </c>
      <c r="X51" s="5">
        <v>5293</v>
      </c>
      <c r="Y51" s="5">
        <v>5229</v>
      </c>
      <c r="Z51" s="5">
        <v>5162</v>
      </c>
      <c r="AA51" s="29">
        <f t="shared" si="0"/>
        <v>-4.8829924451814999E-2</v>
      </c>
      <c r="AB51" s="29">
        <f t="shared" si="119"/>
        <v>-1.2813157391470644E-2</v>
      </c>
    </row>
    <row r="52" spans="1:31" x14ac:dyDescent="0.35">
      <c r="A52" s="13" t="s">
        <v>62</v>
      </c>
      <c r="B52" s="5">
        <v>10519.22</v>
      </c>
      <c r="C52" s="5">
        <v>10969.3</v>
      </c>
      <c r="D52" s="5">
        <v>11246.29</v>
      </c>
      <c r="E52" s="5">
        <v>11330.1</v>
      </c>
      <c r="F52" s="5">
        <v>9850.9</v>
      </c>
      <c r="G52" s="5">
        <v>10083</v>
      </c>
      <c r="H52" s="5">
        <v>10190</v>
      </c>
      <c r="I52" s="5">
        <v>10396</v>
      </c>
      <c r="J52" s="5">
        <v>10638</v>
      </c>
      <c r="K52" s="5">
        <v>11009</v>
      </c>
      <c r="L52" s="5">
        <v>11848</v>
      </c>
      <c r="M52" s="5">
        <v>12747</v>
      </c>
      <c r="N52" s="5">
        <v>13868</v>
      </c>
      <c r="O52" s="5">
        <v>15665</v>
      </c>
      <c r="P52" s="5">
        <v>17298</v>
      </c>
      <c r="Q52" s="5">
        <v>18884</v>
      </c>
      <c r="R52" s="5">
        <v>20027</v>
      </c>
      <c r="S52" s="5">
        <v>21093</v>
      </c>
      <c r="T52" s="5">
        <v>21926</v>
      </c>
      <c r="U52" s="5">
        <v>23548</v>
      </c>
      <c r="V52" s="5">
        <v>24969</v>
      </c>
      <c r="W52" s="5">
        <v>26389</v>
      </c>
      <c r="X52" s="5">
        <v>27744</v>
      </c>
      <c r="Y52" s="5">
        <v>29725</v>
      </c>
      <c r="Z52" s="5">
        <v>31436</v>
      </c>
      <c r="AA52" s="29">
        <f t="shared" si="0"/>
        <v>0.25900116144018581</v>
      </c>
      <c r="AB52" s="29">
        <f t="shared" si="119"/>
        <v>5.75609756097561E-2</v>
      </c>
    </row>
    <row r="53" spans="1:31" x14ac:dyDescent="0.35">
      <c r="A53" s="26" t="s">
        <v>94</v>
      </c>
      <c r="B53" s="5">
        <v>0</v>
      </c>
      <c r="C53" s="5">
        <v>0</v>
      </c>
      <c r="D53" s="5">
        <v>0</v>
      </c>
      <c r="E53" s="5">
        <v>0</v>
      </c>
      <c r="F53" s="5">
        <v>1253</v>
      </c>
      <c r="G53" s="5">
        <v>1248.2</v>
      </c>
      <c r="H53" s="5">
        <v>1234</v>
      </c>
      <c r="I53" s="5">
        <v>1218</v>
      </c>
      <c r="J53" s="5">
        <v>1197</v>
      </c>
      <c r="K53" s="5">
        <v>1274</v>
      </c>
      <c r="L53" s="5">
        <v>1375</v>
      </c>
      <c r="M53" s="5">
        <v>1558</v>
      </c>
      <c r="N53" s="5">
        <v>1647</v>
      </c>
      <c r="O53" s="5">
        <v>1734</v>
      </c>
      <c r="P53" s="5">
        <v>1962</v>
      </c>
      <c r="Q53" s="5">
        <v>2016</v>
      </c>
      <c r="R53" s="5">
        <v>2181</v>
      </c>
      <c r="S53" s="5">
        <v>2185</v>
      </c>
      <c r="T53" s="5">
        <v>2251</v>
      </c>
      <c r="U53" s="5">
        <v>2563</v>
      </c>
      <c r="V53" s="5">
        <v>2800</v>
      </c>
      <c r="W53" s="5">
        <v>3352</v>
      </c>
      <c r="X53" s="5">
        <v>3637</v>
      </c>
      <c r="Y53" s="5">
        <v>4180</v>
      </c>
      <c r="Z53" s="5">
        <v>4367</v>
      </c>
      <c r="AA53" s="29">
        <f t="shared" si="0"/>
        <v>0.55964285714285711</v>
      </c>
      <c r="AB53" s="29">
        <f t="shared" si="119"/>
        <v>4.4736842105263158E-2</v>
      </c>
    </row>
    <row r="54" spans="1:31" x14ac:dyDescent="0.35">
      <c r="A54" s="26" t="s">
        <v>96</v>
      </c>
      <c r="B54" s="5">
        <v>0</v>
      </c>
      <c r="C54" s="5">
        <v>0</v>
      </c>
      <c r="D54" s="5">
        <v>0</v>
      </c>
      <c r="E54" s="5">
        <v>0</v>
      </c>
      <c r="F54" s="5">
        <v>0</v>
      </c>
      <c r="G54" s="5">
        <v>0</v>
      </c>
      <c r="H54" s="5">
        <v>0</v>
      </c>
      <c r="I54" s="5">
        <v>0</v>
      </c>
      <c r="J54" s="5">
        <v>0</v>
      </c>
      <c r="K54" s="5">
        <v>0</v>
      </c>
      <c r="L54" s="5">
        <v>0</v>
      </c>
      <c r="M54" s="5">
        <v>0</v>
      </c>
      <c r="N54" s="5">
        <v>0</v>
      </c>
      <c r="O54" s="5">
        <v>1311</v>
      </c>
      <c r="P54" s="5">
        <v>1260</v>
      </c>
      <c r="Q54" s="5">
        <v>1260</v>
      </c>
      <c r="R54" s="5">
        <v>1261</v>
      </c>
      <c r="S54" s="5">
        <v>218</v>
      </c>
      <c r="T54" s="5">
        <v>218</v>
      </c>
      <c r="U54" s="5">
        <v>184</v>
      </c>
      <c r="V54" s="5">
        <v>184</v>
      </c>
      <c r="W54" s="5">
        <v>184</v>
      </c>
      <c r="X54" s="5">
        <v>184</v>
      </c>
      <c r="Y54" s="5">
        <v>184</v>
      </c>
      <c r="Z54" s="5">
        <v>184</v>
      </c>
      <c r="AA54" s="29">
        <f t="shared" si="0"/>
        <v>0</v>
      </c>
      <c r="AB54" s="29">
        <f t="shared" si="119"/>
        <v>0</v>
      </c>
    </row>
    <row r="55" spans="1:31" x14ac:dyDescent="0.35">
      <c r="A55" s="13" t="s">
        <v>63</v>
      </c>
      <c r="B55" s="5">
        <v>346.428</v>
      </c>
      <c r="C55" s="5">
        <v>300</v>
      </c>
      <c r="D55" s="5">
        <v>291.476</v>
      </c>
      <c r="E55" s="5">
        <v>282.5</v>
      </c>
      <c r="F55" s="5">
        <v>273.56</v>
      </c>
      <c r="G55" s="5">
        <v>327.33999999999997</v>
      </c>
      <c r="H55" s="5">
        <v>351</v>
      </c>
      <c r="I55" s="5">
        <v>339</v>
      </c>
      <c r="J55" s="5">
        <v>323</v>
      </c>
      <c r="K55" s="5">
        <v>312</v>
      </c>
      <c r="L55" s="5">
        <v>318</v>
      </c>
      <c r="M55" s="5">
        <v>313</v>
      </c>
      <c r="N55" s="5">
        <v>299</v>
      </c>
      <c r="O55" s="5">
        <v>283</v>
      </c>
      <c r="P55" s="5">
        <v>269</v>
      </c>
      <c r="Q55" s="5">
        <v>257</v>
      </c>
      <c r="R55" s="5">
        <v>254</v>
      </c>
      <c r="S55" s="5">
        <v>241</v>
      </c>
      <c r="T55" s="5">
        <v>228</v>
      </c>
      <c r="U55" s="5">
        <v>215</v>
      </c>
      <c r="V55" s="5">
        <v>204</v>
      </c>
      <c r="W55" s="5">
        <v>202</v>
      </c>
      <c r="X55" s="5">
        <v>191</v>
      </c>
      <c r="Y55" s="5">
        <v>178</v>
      </c>
      <c r="Z55" s="5">
        <v>171</v>
      </c>
      <c r="AA55" s="29">
        <f t="shared" si="0"/>
        <v>-0.16176470588235295</v>
      </c>
      <c r="AB55" s="29">
        <f t="shared" si="119"/>
        <v>-3.9325842696629212E-2</v>
      </c>
    </row>
    <row r="56" spans="1:31" x14ac:dyDescent="0.35">
      <c r="A56" s="13" t="s">
        <v>64</v>
      </c>
      <c r="B56" s="5">
        <v>61</v>
      </c>
      <c r="C56" s="5">
        <v>64</v>
      </c>
      <c r="D56" s="5">
        <v>65</v>
      </c>
      <c r="E56" s="5">
        <v>68</v>
      </c>
      <c r="F56" s="5">
        <v>74.3</v>
      </c>
      <c r="G56" s="5">
        <v>154</v>
      </c>
      <c r="H56" s="5">
        <v>186</v>
      </c>
      <c r="I56" s="5">
        <v>198</v>
      </c>
      <c r="J56" s="5">
        <v>193</v>
      </c>
      <c r="K56" s="5">
        <v>196</v>
      </c>
      <c r="L56" s="5">
        <v>203</v>
      </c>
      <c r="M56" s="5">
        <v>207</v>
      </c>
      <c r="N56" s="5">
        <v>206</v>
      </c>
      <c r="O56" s="5">
        <v>203</v>
      </c>
      <c r="P56" s="5">
        <v>201</v>
      </c>
      <c r="Q56" s="5">
        <v>200</v>
      </c>
      <c r="R56" s="5">
        <v>200</v>
      </c>
      <c r="S56" s="5">
        <v>196</v>
      </c>
      <c r="T56" s="5">
        <v>191</v>
      </c>
      <c r="U56" s="5">
        <v>194</v>
      </c>
      <c r="V56" s="5">
        <v>195</v>
      </c>
      <c r="W56" s="5">
        <v>263</v>
      </c>
      <c r="X56" s="5">
        <v>250</v>
      </c>
      <c r="Y56" s="5">
        <v>253</v>
      </c>
      <c r="Z56" s="5">
        <v>250</v>
      </c>
      <c r="AA56" s="29">
        <f t="shared" si="0"/>
        <v>0.28205128205128205</v>
      </c>
      <c r="AB56" s="29">
        <f t="shared" si="119"/>
        <v>-1.1857707509881422E-2</v>
      </c>
    </row>
    <row r="57" spans="1:31" ht="25.5" hidden="1" x14ac:dyDescent="0.35">
      <c r="A57" s="27" t="s">
        <v>66</v>
      </c>
      <c r="B57" s="5">
        <v>450</v>
      </c>
      <c r="C57" s="5">
        <v>435</v>
      </c>
      <c r="D57" s="5">
        <v>423</v>
      </c>
      <c r="E57" s="5">
        <v>421.54</v>
      </c>
      <c r="F57" s="5">
        <v>413.2</v>
      </c>
      <c r="G57" s="5">
        <v>400</v>
      </c>
      <c r="H57" s="5">
        <v>398</v>
      </c>
      <c r="I57" s="5">
        <v>393</v>
      </c>
      <c r="J57" s="5">
        <v>0</v>
      </c>
      <c r="K57" s="5">
        <v>0</v>
      </c>
      <c r="L57" s="5">
        <v>0</v>
      </c>
      <c r="M57" s="5">
        <v>0</v>
      </c>
      <c r="N57" s="5">
        <v>0</v>
      </c>
      <c r="O57" s="5">
        <v>0</v>
      </c>
      <c r="P57" s="5">
        <v>0</v>
      </c>
      <c r="Q57" s="5">
        <v>0</v>
      </c>
      <c r="R57" s="5">
        <v>0</v>
      </c>
      <c r="S57" s="25">
        <v>0</v>
      </c>
      <c r="T57" s="5">
        <v>0</v>
      </c>
      <c r="AA57" s="29" t="e">
        <f t="shared" si="0"/>
        <v>#DIV/0!</v>
      </c>
      <c r="AB57" s="29" t="e">
        <f t="shared" si="119"/>
        <v>#DIV/0!</v>
      </c>
    </row>
    <row r="58" spans="1:31" hidden="1" x14ac:dyDescent="0.35">
      <c r="A58" s="13" t="s">
        <v>65</v>
      </c>
      <c r="B58" s="5">
        <v>434</v>
      </c>
      <c r="C58" s="5">
        <v>400</v>
      </c>
      <c r="D58" s="5">
        <v>397</v>
      </c>
      <c r="E58" s="5">
        <v>398.2</v>
      </c>
      <c r="F58" s="5">
        <v>353.7</v>
      </c>
      <c r="G58" s="5">
        <v>365.5</v>
      </c>
      <c r="H58" s="5">
        <v>255</v>
      </c>
      <c r="I58" s="5">
        <v>269</v>
      </c>
      <c r="J58" s="5">
        <v>0</v>
      </c>
      <c r="K58" s="5">
        <v>0</v>
      </c>
      <c r="L58" s="5">
        <v>0</v>
      </c>
      <c r="M58" s="5">
        <v>0</v>
      </c>
      <c r="N58" s="5">
        <v>0</v>
      </c>
      <c r="O58" s="5">
        <v>0</v>
      </c>
      <c r="P58" s="5">
        <v>0</v>
      </c>
      <c r="Q58" s="5">
        <v>0</v>
      </c>
      <c r="R58" s="5">
        <v>0</v>
      </c>
      <c r="S58" s="5">
        <v>0</v>
      </c>
      <c r="T58" s="5">
        <v>0</v>
      </c>
      <c r="AA58" s="29" t="e">
        <f t="shared" si="0"/>
        <v>#DIV/0!</v>
      </c>
      <c r="AB58" s="29" t="e">
        <f t="shared" si="119"/>
        <v>#DIV/0!</v>
      </c>
    </row>
    <row r="59" spans="1:31" x14ac:dyDescent="0.35">
      <c r="A59" s="26" t="s">
        <v>99</v>
      </c>
      <c r="B59" s="5">
        <v>0</v>
      </c>
      <c r="C59" s="5">
        <v>0</v>
      </c>
      <c r="D59" s="5">
        <v>0</v>
      </c>
      <c r="E59" s="5">
        <v>0</v>
      </c>
      <c r="F59" s="5">
        <v>0</v>
      </c>
      <c r="G59" s="5">
        <v>0</v>
      </c>
      <c r="H59" s="5">
        <v>0</v>
      </c>
      <c r="I59" s="5">
        <v>0</v>
      </c>
      <c r="J59" s="5">
        <v>0</v>
      </c>
      <c r="K59" s="5">
        <v>0</v>
      </c>
      <c r="L59" s="5">
        <v>0</v>
      </c>
      <c r="M59" s="5">
        <v>0</v>
      </c>
      <c r="N59" s="5">
        <v>0</v>
      </c>
      <c r="O59" s="5">
        <v>0</v>
      </c>
      <c r="P59" s="5">
        <v>0</v>
      </c>
      <c r="Q59" s="5">
        <v>0</v>
      </c>
      <c r="R59" s="5">
        <v>0</v>
      </c>
      <c r="S59" s="5">
        <v>0</v>
      </c>
      <c r="T59" s="5">
        <v>0</v>
      </c>
      <c r="U59" s="5">
        <v>0</v>
      </c>
      <c r="V59" s="5">
        <v>0</v>
      </c>
      <c r="W59" s="5">
        <v>0</v>
      </c>
      <c r="X59" s="5">
        <v>0</v>
      </c>
      <c r="Y59" s="5">
        <v>6733</v>
      </c>
      <c r="Z59" s="5">
        <v>6769</v>
      </c>
      <c r="AA59" s="29" t="e">
        <f t="shared" si="0"/>
        <v>#DIV/0!</v>
      </c>
      <c r="AB59" s="29">
        <f t="shared" si="119"/>
        <v>5.3467993465023018E-3</v>
      </c>
    </row>
    <row r="60" spans="1:31" x14ac:dyDescent="0.35">
      <c r="A60" s="13" t="s">
        <v>67</v>
      </c>
      <c r="B60" s="5">
        <v>415.47800000000001</v>
      </c>
      <c r="C60" s="5">
        <v>419</v>
      </c>
      <c r="D60" s="5">
        <v>432</v>
      </c>
      <c r="E60" s="5">
        <v>571.65</v>
      </c>
      <c r="F60" s="5">
        <v>802</v>
      </c>
      <c r="G60" s="5">
        <v>843</v>
      </c>
      <c r="H60" s="5">
        <v>820</v>
      </c>
      <c r="I60" s="5">
        <v>808</v>
      </c>
      <c r="J60" s="5">
        <v>1373</v>
      </c>
      <c r="K60" s="5">
        <v>1415</v>
      </c>
      <c r="L60" s="5">
        <v>1436</v>
      </c>
      <c r="M60" s="5">
        <v>1536</v>
      </c>
      <c r="N60" s="5">
        <v>1587</v>
      </c>
      <c r="O60" s="5">
        <v>1626</v>
      </c>
      <c r="P60" s="5">
        <v>1854</v>
      </c>
      <c r="Q60" s="5">
        <v>2138</v>
      </c>
      <c r="R60" s="5">
        <v>2634</v>
      </c>
      <c r="S60" s="5">
        <v>2952</v>
      </c>
      <c r="T60" s="5">
        <v>3236</v>
      </c>
      <c r="U60" s="5">
        <v>4193</v>
      </c>
      <c r="V60" s="5">
        <v>4584</v>
      </c>
      <c r="W60" s="5">
        <v>5026</v>
      </c>
      <c r="X60" s="5">
        <v>5497</v>
      </c>
      <c r="Y60" s="5">
        <v>4531</v>
      </c>
      <c r="Z60" s="5">
        <v>4616</v>
      </c>
      <c r="AA60" s="29">
        <f t="shared" si="0"/>
        <v>6.9808027923211171E-3</v>
      </c>
      <c r="AB60" s="29">
        <f t="shared" si="119"/>
        <v>1.8759655705142354E-2</v>
      </c>
    </row>
    <row r="61" spans="1:31" s="11" customFormat="1" ht="13.15" x14ac:dyDescent="0.4">
      <c r="A61" s="17" t="s">
        <v>68</v>
      </c>
      <c r="B61" s="11">
        <f>SUM(B49:B60)</f>
        <v>27271.166000000001</v>
      </c>
      <c r="C61" s="11">
        <f t="shared" ref="C61" si="145">SUM(C49:C60)</f>
        <v>27909.02</v>
      </c>
      <c r="D61" s="11">
        <f t="shared" ref="D61" si="146">SUM(D49:D60)</f>
        <v>29262.626</v>
      </c>
      <c r="E61" s="11">
        <f t="shared" ref="E61" si="147">SUM(E49:E60)</f>
        <v>29738.84</v>
      </c>
      <c r="F61" s="11">
        <f t="shared" ref="F61" si="148">SUM(F49:F60)</f>
        <v>28912.410000000003</v>
      </c>
      <c r="G61" s="11">
        <f t="shared" ref="G61" si="149">SUM(G49:G60)</f>
        <v>31872.640000000003</v>
      </c>
      <c r="H61" s="11">
        <f t="shared" ref="H61" si="150">SUM(H49:H60)</f>
        <v>32795</v>
      </c>
      <c r="I61" s="11">
        <f t="shared" ref="I61" si="151">SUM(I49:I60)</f>
        <v>34309</v>
      </c>
      <c r="J61" s="11">
        <f t="shared" ref="J61" si="152">SUM(J49:J60)</f>
        <v>37250</v>
      </c>
      <c r="K61" s="11">
        <f t="shared" ref="K61" si="153">SUM(K49:K60)</f>
        <v>38135</v>
      </c>
      <c r="L61" s="11">
        <f t="shared" ref="L61" si="154">SUM(L49:L60)</f>
        <v>45691</v>
      </c>
      <c r="M61" s="11">
        <f>SUM(M49:M60)</f>
        <v>52148</v>
      </c>
      <c r="N61" s="11">
        <f>SUM(N49:N60)</f>
        <v>51641</v>
      </c>
      <c r="O61" s="11">
        <f t="shared" ref="O61" si="155">SUM(O49:O60)</f>
        <v>55146</v>
      </c>
      <c r="P61" s="11">
        <f t="shared" ref="P61" si="156">SUM(P49:P60)</f>
        <v>57834</v>
      </c>
      <c r="Q61" s="11">
        <f t="shared" ref="Q61" si="157">SUM(Q49:Q60)</f>
        <v>62131</v>
      </c>
      <c r="R61" s="11">
        <f t="shared" ref="R61" si="158">SUM(R49:R60)</f>
        <v>66038</v>
      </c>
      <c r="S61" s="11">
        <f t="shared" ref="S61" si="159">SUM(S49:S60)</f>
        <v>68513</v>
      </c>
      <c r="T61" s="11">
        <f t="shared" ref="T61" si="160">SUM(T49:T60)</f>
        <v>74426</v>
      </c>
      <c r="U61" s="11">
        <f t="shared" ref="U61" si="161">SUM(U49:U60)</f>
        <v>82338</v>
      </c>
      <c r="V61" s="11">
        <f t="shared" ref="V61" si="162">SUM(V49:V60)</f>
        <v>86833</v>
      </c>
      <c r="W61" s="11">
        <f t="shared" ref="W61" si="163">SUM(W49:W60)</f>
        <v>90591</v>
      </c>
      <c r="X61" s="11">
        <f t="shared" ref="X61" si="164">SUM(X49:X60)</f>
        <v>93941</v>
      </c>
      <c r="Y61" s="11">
        <f t="shared" ref="Y61" si="165">SUM(Y49:Y60)</f>
        <v>106618</v>
      </c>
      <c r="Z61" s="11">
        <f t="shared" ref="Z61" si="166">SUM(Z49:Z60)</f>
        <v>109226</v>
      </c>
      <c r="AA61" s="29">
        <f t="shared" si="0"/>
        <v>0.25788582681699351</v>
      </c>
      <c r="AB61" s="29">
        <f t="shared" si="119"/>
        <v>2.4461160404434523E-2</v>
      </c>
      <c r="AC61" s="11">
        <f t="shared" ref="AC61:AE61" si="167">SUM(AC49:AC60)</f>
        <v>0</v>
      </c>
      <c r="AD61" s="11">
        <f t="shared" si="167"/>
        <v>0</v>
      </c>
      <c r="AE61" s="11">
        <f t="shared" si="167"/>
        <v>0</v>
      </c>
    </row>
    <row r="62" spans="1:31" x14ac:dyDescent="0.35">
      <c r="AA62" s="29"/>
      <c r="AB62" s="29"/>
    </row>
    <row r="63" spans="1:31" ht="13.15" x14ac:dyDescent="0.4">
      <c r="A63" s="10" t="s">
        <v>69</v>
      </c>
      <c r="AA63" s="29"/>
      <c r="AB63" s="29"/>
    </row>
    <row r="64" spans="1:31" ht="13.15" x14ac:dyDescent="0.4">
      <c r="A64" s="12" t="s">
        <v>70</v>
      </c>
      <c r="AA64" s="29"/>
      <c r="AB64" s="29"/>
    </row>
    <row r="65" spans="1:31" x14ac:dyDescent="0.35">
      <c r="A65" s="16" t="s">
        <v>71</v>
      </c>
      <c r="B65" s="5">
        <v>2603.498</v>
      </c>
      <c r="C65" s="15">
        <v>3030.4929999999999</v>
      </c>
      <c r="D65" s="5">
        <v>3597</v>
      </c>
      <c r="E65" s="5">
        <v>3404.5</v>
      </c>
      <c r="F65" s="5">
        <v>3248.8</v>
      </c>
      <c r="G65" s="5">
        <v>3133.57</v>
      </c>
      <c r="H65" s="5">
        <v>3468</v>
      </c>
      <c r="I65" s="5">
        <v>3771</v>
      </c>
      <c r="J65" s="5">
        <v>3970</v>
      </c>
      <c r="K65" s="5">
        <v>3638</v>
      </c>
      <c r="L65" s="5">
        <v>4958</v>
      </c>
      <c r="M65" s="5">
        <v>6051</v>
      </c>
      <c r="N65" s="5">
        <v>6648</v>
      </c>
      <c r="O65" s="5">
        <v>7558</v>
      </c>
      <c r="P65" s="5">
        <v>8260</v>
      </c>
      <c r="Q65" s="5">
        <v>10025</v>
      </c>
      <c r="R65" s="5">
        <v>11171</v>
      </c>
      <c r="S65" s="5">
        <v>11212</v>
      </c>
      <c r="T65" s="5">
        <v>13897</v>
      </c>
      <c r="U65" s="5">
        <v>15255</v>
      </c>
      <c r="V65" s="5">
        <v>15904</v>
      </c>
      <c r="W65" s="5">
        <v>15273</v>
      </c>
      <c r="X65" s="5">
        <v>13937</v>
      </c>
      <c r="Y65" s="5">
        <v>14431</v>
      </c>
      <c r="Z65" s="5">
        <v>14725</v>
      </c>
      <c r="AA65" s="29">
        <f t="shared" si="0"/>
        <v>-7.4132293762575449E-2</v>
      </c>
      <c r="AB65" s="29">
        <f t="shared" ref="AB65:AB79" si="168">(Z65-Y65)/Y65</f>
        <v>2.037280853717691E-2</v>
      </c>
    </row>
    <row r="66" spans="1:31" x14ac:dyDescent="0.35">
      <c r="A66" s="16" t="s">
        <v>72</v>
      </c>
      <c r="B66" s="5">
        <v>1898</v>
      </c>
      <c r="C66" s="5">
        <v>1814.9</v>
      </c>
      <c r="D66" s="5">
        <v>1990</v>
      </c>
      <c r="E66" s="5">
        <v>2094.25</v>
      </c>
      <c r="F66" s="5">
        <v>2276.96</v>
      </c>
      <c r="G66" s="5">
        <v>2622.9</v>
      </c>
      <c r="H66" s="5">
        <v>2497</v>
      </c>
      <c r="I66" s="5">
        <v>2905</v>
      </c>
      <c r="J66" s="5">
        <v>2825</v>
      </c>
      <c r="K66" s="5">
        <v>3110</v>
      </c>
      <c r="L66" s="5">
        <v>3252</v>
      </c>
      <c r="M66" s="5">
        <v>3855</v>
      </c>
      <c r="N66" s="5">
        <v>4073</v>
      </c>
      <c r="O66" s="5">
        <v>4778</v>
      </c>
      <c r="P66" s="5">
        <v>5443</v>
      </c>
      <c r="Q66" s="5">
        <v>5719</v>
      </c>
      <c r="R66" s="5">
        <v>5906</v>
      </c>
      <c r="S66" s="5">
        <v>6037</v>
      </c>
      <c r="T66" s="5">
        <v>6246</v>
      </c>
      <c r="U66" s="5">
        <v>7142</v>
      </c>
      <c r="V66" s="5">
        <v>7321</v>
      </c>
      <c r="W66" s="5">
        <v>7658</v>
      </c>
      <c r="X66" s="5">
        <v>7636</v>
      </c>
      <c r="Y66" s="5">
        <v>9080</v>
      </c>
      <c r="Z66" s="5">
        <v>9243</v>
      </c>
      <c r="AA66" s="29">
        <f t="shared" si="0"/>
        <v>0.26253244092337114</v>
      </c>
      <c r="AB66" s="29">
        <f t="shared" si="168"/>
        <v>1.7951541850220264E-2</v>
      </c>
    </row>
    <row r="67" spans="1:31" x14ac:dyDescent="0.35">
      <c r="A67" s="16" t="s">
        <v>73</v>
      </c>
      <c r="B67" s="5">
        <v>536</v>
      </c>
      <c r="C67" s="5">
        <v>576.29999999999995</v>
      </c>
      <c r="D67" s="5">
        <v>571</v>
      </c>
      <c r="E67" s="5">
        <v>630.29</v>
      </c>
      <c r="F67" s="5">
        <v>762.8</v>
      </c>
      <c r="G67" s="5">
        <v>883.3</v>
      </c>
      <c r="H67" s="5">
        <v>1045</v>
      </c>
      <c r="I67" s="5">
        <v>1163</v>
      </c>
      <c r="J67" s="5">
        <v>1186</v>
      </c>
      <c r="K67" s="5">
        <v>1130</v>
      </c>
      <c r="L67" s="25">
        <v>1258</v>
      </c>
      <c r="M67" s="5">
        <v>1458</v>
      </c>
      <c r="N67" s="5">
        <v>1592</v>
      </c>
      <c r="O67" s="5">
        <v>1693</v>
      </c>
      <c r="P67" s="5">
        <v>1801</v>
      </c>
      <c r="Q67" s="5">
        <v>1447</v>
      </c>
      <c r="R67" s="5">
        <v>1594</v>
      </c>
      <c r="S67" s="5">
        <v>1858</v>
      </c>
      <c r="T67" s="5">
        <v>1928</v>
      </c>
      <c r="U67" s="5">
        <v>1747</v>
      </c>
      <c r="V67" s="5">
        <v>1750</v>
      </c>
      <c r="W67" s="5">
        <v>2176</v>
      </c>
      <c r="X67" s="5">
        <v>2206</v>
      </c>
      <c r="Y67" s="5">
        <v>2864</v>
      </c>
      <c r="Z67" s="5">
        <v>3024</v>
      </c>
      <c r="AA67" s="29">
        <f t="shared" si="0"/>
        <v>0.72799999999999998</v>
      </c>
      <c r="AB67" s="29">
        <f t="shared" si="168"/>
        <v>5.5865921787709494E-2</v>
      </c>
    </row>
    <row r="68" spans="1:31" hidden="1" x14ac:dyDescent="0.35">
      <c r="A68" s="16" t="s">
        <v>74</v>
      </c>
      <c r="B68" s="5">
        <v>629</v>
      </c>
      <c r="C68" s="5">
        <v>674</v>
      </c>
      <c r="D68" s="5">
        <v>604.9</v>
      </c>
      <c r="E68" s="5">
        <v>502.8</v>
      </c>
      <c r="F68" s="5">
        <v>480</v>
      </c>
      <c r="G68" s="5">
        <v>526.75</v>
      </c>
      <c r="H68" s="5">
        <v>441</v>
      </c>
      <c r="I68" s="5">
        <v>317</v>
      </c>
      <c r="J68" s="5">
        <v>0</v>
      </c>
      <c r="K68" s="5">
        <v>0</v>
      </c>
      <c r="L68" s="5">
        <v>0</v>
      </c>
      <c r="M68" s="5">
        <v>0</v>
      </c>
      <c r="N68" s="5">
        <v>0</v>
      </c>
      <c r="O68" s="5">
        <v>0</v>
      </c>
      <c r="P68" s="5">
        <v>0</v>
      </c>
      <c r="Q68" s="5">
        <v>0</v>
      </c>
      <c r="R68" s="5">
        <v>0</v>
      </c>
      <c r="S68" s="5">
        <v>0</v>
      </c>
      <c r="T68" s="5">
        <v>0</v>
      </c>
      <c r="U68" s="5">
        <v>0</v>
      </c>
      <c r="V68" s="5">
        <v>0</v>
      </c>
      <c r="W68" s="5">
        <v>0</v>
      </c>
      <c r="X68" s="5">
        <v>0</v>
      </c>
      <c r="Y68" s="5">
        <v>0</v>
      </c>
      <c r="Z68" s="5">
        <v>0</v>
      </c>
      <c r="AA68" s="29" t="e">
        <f t="shared" si="0"/>
        <v>#DIV/0!</v>
      </c>
      <c r="AB68" s="29" t="e">
        <f t="shared" si="168"/>
        <v>#DIV/0!</v>
      </c>
    </row>
    <row r="69" spans="1:31" x14ac:dyDescent="0.35">
      <c r="A69" s="16" t="s">
        <v>75</v>
      </c>
      <c r="B69" s="5">
        <v>985</v>
      </c>
      <c r="C69" s="5">
        <v>942</v>
      </c>
      <c r="D69" s="5">
        <v>906</v>
      </c>
      <c r="E69" s="5">
        <v>792.6</v>
      </c>
      <c r="F69" s="5">
        <v>768</v>
      </c>
      <c r="G69" s="5">
        <v>631</v>
      </c>
      <c r="H69" s="5">
        <v>665</v>
      </c>
      <c r="I69" s="5">
        <v>726</v>
      </c>
      <c r="J69" s="5">
        <v>788</v>
      </c>
      <c r="K69" s="5">
        <v>713</v>
      </c>
      <c r="L69" s="5">
        <v>708</v>
      </c>
      <c r="M69" s="5">
        <v>752</v>
      </c>
      <c r="N69" s="5">
        <v>745</v>
      </c>
      <c r="O69" s="5">
        <v>812</v>
      </c>
      <c r="P69" s="5">
        <v>831</v>
      </c>
      <c r="Q69" s="5">
        <v>925</v>
      </c>
      <c r="R69" s="5">
        <v>1125</v>
      </c>
      <c r="S69" s="5">
        <v>1182</v>
      </c>
      <c r="T69" s="5">
        <v>1083</v>
      </c>
      <c r="U69" s="5">
        <v>1063</v>
      </c>
      <c r="V69" s="5">
        <v>1057</v>
      </c>
      <c r="W69" s="5">
        <v>1026</v>
      </c>
      <c r="X69" s="5">
        <v>894</v>
      </c>
      <c r="Y69" s="5">
        <v>0</v>
      </c>
      <c r="Z69" s="5">
        <v>0</v>
      </c>
      <c r="AA69" s="29">
        <f t="shared" si="0"/>
        <v>-1</v>
      </c>
      <c r="AB69" s="29" t="e">
        <f t="shared" si="168"/>
        <v>#DIV/0!</v>
      </c>
    </row>
    <row r="70" spans="1:31" ht="25.5" x14ac:dyDescent="0.35">
      <c r="A70" s="28" t="s">
        <v>76</v>
      </c>
      <c r="B70" s="5">
        <v>1915.5</v>
      </c>
      <c r="C70" s="5">
        <v>2021</v>
      </c>
      <c r="D70" s="5">
        <v>2106.538</v>
      </c>
      <c r="E70" s="5">
        <v>2567.6999999999998</v>
      </c>
      <c r="F70" s="5">
        <v>1705.7</v>
      </c>
      <c r="G70" s="5">
        <v>1791</v>
      </c>
      <c r="H70" s="5">
        <v>2030</v>
      </c>
      <c r="I70" s="5">
        <v>1785</v>
      </c>
      <c r="J70" s="5">
        <v>3217</v>
      </c>
      <c r="K70" s="5">
        <v>3679</v>
      </c>
      <c r="L70" s="5">
        <v>3126</v>
      </c>
      <c r="M70" s="5">
        <v>2132</v>
      </c>
      <c r="N70" s="5">
        <v>1819</v>
      </c>
      <c r="O70" s="5">
        <v>1530</v>
      </c>
      <c r="P70" s="5">
        <v>1716</v>
      </c>
      <c r="Q70" s="5">
        <v>1589</v>
      </c>
      <c r="R70" s="5">
        <v>1659</v>
      </c>
      <c r="S70" s="5">
        <v>1532</v>
      </c>
      <c r="T70" s="5">
        <v>1457</v>
      </c>
      <c r="U70" s="5">
        <v>1502</v>
      </c>
      <c r="V70" s="5">
        <v>1404</v>
      </c>
      <c r="W70" s="5">
        <v>1459</v>
      </c>
      <c r="X70" s="5">
        <v>1967</v>
      </c>
      <c r="Y70" s="5">
        <v>2373</v>
      </c>
      <c r="Z70" s="5">
        <v>2461</v>
      </c>
      <c r="AA70" s="29">
        <f t="shared" ref="AA70:AB91" si="169">(Z70-V70)/V70</f>
        <v>0.7528490028490028</v>
      </c>
      <c r="AB70" s="29">
        <f t="shared" si="168"/>
        <v>3.7083860092709649E-2</v>
      </c>
    </row>
    <row r="71" spans="1:31" hidden="1" x14ac:dyDescent="0.35">
      <c r="A71" s="24" t="s">
        <v>93</v>
      </c>
      <c r="B71" s="5">
        <v>83</v>
      </c>
      <c r="C71" s="5">
        <v>83</v>
      </c>
      <c r="D71" s="5">
        <v>0</v>
      </c>
      <c r="E71" s="5">
        <v>0</v>
      </c>
      <c r="F71" s="5">
        <v>0</v>
      </c>
      <c r="G71" s="5">
        <v>0</v>
      </c>
      <c r="H71" s="5">
        <v>0</v>
      </c>
      <c r="I71" s="5">
        <v>0</v>
      </c>
      <c r="J71" s="5">
        <v>0</v>
      </c>
      <c r="K71" s="5">
        <v>0</v>
      </c>
      <c r="L71" s="5">
        <v>0</v>
      </c>
      <c r="M71" s="5">
        <v>0</v>
      </c>
      <c r="N71" s="5">
        <v>0</v>
      </c>
      <c r="O71" s="5">
        <v>0</v>
      </c>
      <c r="P71" s="5">
        <v>0</v>
      </c>
      <c r="Q71" s="5">
        <v>0</v>
      </c>
      <c r="R71" s="5">
        <v>0</v>
      </c>
      <c r="S71" s="5">
        <v>0</v>
      </c>
      <c r="T71" s="5">
        <v>0</v>
      </c>
      <c r="U71" s="5">
        <v>0</v>
      </c>
      <c r="V71" s="5">
        <v>0</v>
      </c>
      <c r="W71" s="5">
        <v>0</v>
      </c>
      <c r="X71" s="5">
        <v>0</v>
      </c>
      <c r="AA71" s="29" t="e">
        <f t="shared" si="169"/>
        <v>#DIV/0!</v>
      </c>
      <c r="AB71" s="29" t="e">
        <f t="shared" si="168"/>
        <v>#DIV/0!</v>
      </c>
    </row>
    <row r="72" spans="1:31" s="11" customFormat="1" ht="13.15" x14ac:dyDescent="0.4">
      <c r="A72" s="17" t="s">
        <v>77</v>
      </c>
      <c r="B72" s="11">
        <f>SUM(B65:B71)</f>
        <v>8649.9979999999996</v>
      </c>
      <c r="C72" s="11">
        <f t="shared" ref="C72" si="170">SUM(C65:C71)</f>
        <v>9141.6929999999993</v>
      </c>
      <c r="D72" s="11">
        <f t="shared" ref="D72" si="171">SUM(D65:D71)</f>
        <v>9775.4380000000001</v>
      </c>
      <c r="E72" s="11">
        <f t="shared" ref="E72" si="172">SUM(E65:E71)</f>
        <v>9992.14</v>
      </c>
      <c r="F72" s="11">
        <f t="shared" ref="F72" si="173">SUM(F65:F71)</f>
        <v>9242.26</v>
      </c>
      <c r="G72" s="11">
        <f t="shared" ref="G72" si="174">SUM(G65:G71)</f>
        <v>9588.52</v>
      </c>
      <c r="H72" s="11">
        <f t="shared" ref="H72" si="175">SUM(H65:H71)</f>
        <v>10146</v>
      </c>
      <c r="I72" s="11">
        <f t="shared" ref="I72" si="176">SUM(I65:I71)</f>
        <v>10667</v>
      </c>
      <c r="J72" s="11">
        <f t="shared" ref="J72" si="177">SUM(J65:J71)</f>
        <v>11986</v>
      </c>
      <c r="K72" s="11">
        <f t="shared" ref="K72" si="178">SUM(K65:K71)</f>
        <v>12270</v>
      </c>
      <c r="L72" s="11">
        <f t="shared" ref="L72" si="179">SUM(L65:L71)</f>
        <v>13302</v>
      </c>
      <c r="M72" s="11">
        <f>SUM(M65:M71)</f>
        <v>14248</v>
      </c>
      <c r="N72" s="11">
        <f t="shared" ref="N72" si="180">SUM(N65:N71)</f>
        <v>14877</v>
      </c>
      <c r="O72" s="11">
        <f t="shared" ref="O72" si="181">SUM(O65:O71)</f>
        <v>16371</v>
      </c>
      <c r="P72" s="11">
        <f t="shared" ref="P72" si="182">SUM(P65:P71)</f>
        <v>18051</v>
      </c>
      <c r="Q72" s="11">
        <f t="shared" ref="Q72" si="183">SUM(Q65:Q71)</f>
        <v>19705</v>
      </c>
      <c r="R72" s="11">
        <f t="shared" ref="R72" si="184">SUM(R65:R71)</f>
        <v>21455</v>
      </c>
      <c r="S72" s="11">
        <f t="shared" ref="S72" si="185">SUM(S65:S71)</f>
        <v>21821</v>
      </c>
      <c r="T72" s="11">
        <f>SUM(T65:T71)</f>
        <v>24611</v>
      </c>
      <c r="U72" s="11">
        <f t="shared" ref="U72" si="186">SUM(U65:U71)</f>
        <v>26709</v>
      </c>
      <c r="V72" s="11">
        <f t="shared" ref="V72" si="187">SUM(V65:V71)</f>
        <v>27436</v>
      </c>
      <c r="W72" s="11">
        <f t="shared" ref="W72" si="188">SUM(W65:W71)</f>
        <v>27592</v>
      </c>
      <c r="X72" s="11">
        <f t="shared" ref="X72" si="189">SUM(X65:X71)</f>
        <v>26640</v>
      </c>
      <c r="Y72" s="11">
        <f t="shared" ref="Y72" si="190">SUM(Y65:Y71)</f>
        <v>28748</v>
      </c>
      <c r="Z72" s="11">
        <f t="shared" ref="Z72" si="191">SUM(Z65:Z71)</f>
        <v>29453</v>
      </c>
      <c r="AA72" s="29">
        <f t="shared" si="169"/>
        <v>7.3516547601691212E-2</v>
      </c>
      <c r="AB72" s="29">
        <f t="shared" si="168"/>
        <v>2.4523445109224988E-2</v>
      </c>
      <c r="AC72" s="11">
        <f t="shared" ref="AC72:AE72" si="192">SUM(AC65:AC71)</f>
        <v>0</v>
      </c>
      <c r="AD72" s="11">
        <f t="shared" si="192"/>
        <v>0</v>
      </c>
      <c r="AE72" s="11">
        <f t="shared" si="192"/>
        <v>0</v>
      </c>
    </row>
    <row r="73" spans="1:31" x14ac:dyDescent="0.35">
      <c r="A73" s="26" t="s">
        <v>95</v>
      </c>
      <c r="B73" s="5">
        <v>8761.1</v>
      </c>
      <c r="C73" s="5">
        <v>9511</v>
      </c>
      <c r="D73" s="5">
        <v>9670</v>
      </c>
      <c r="E73" s="5">
        <v>9403.7000000000007</v>
      </c>
      <c r="F73" s="5">
        <v>9788</v>
      </c>
      <c r="G73" s="5">
        <v>11234.4</v>
      </c>
      <c r="H73" s="5">
        <v>11313</v>
      </c>
      <c r="I73" s="5">
        <v>11634</v>
      </c>
      <c r="J73" s="5">
        <v>10666</v>
      </c>
      <c r="K73" s="5">
        <v>10416</v>
      </c>
      <c r="L73" s="5">
        <v>10559</v>
      </c>
      <c r="M73" s="5">
        <v>9556</v>
      </c>
      <c r="N73" s="5">
        <v>9053</v>
      </c>
      <c r="O73" s="5">
        <v>7871</v>
      </c>
      <c r="P73" s="5">
        <v>6438</v>
      </c>
      <c r="Q73" s="5">
        <v>5245</v>
      </c>
      <c r="R73" s="5">
        <v>3153</v>
      </c>
      <c r="S73" s="5">
        <v>2898</v>
      </c>
      <c r="T73" s="5">
        <v>2096</v>
      </c>
      <c r="U73" s="5">
        <v>1597</v>
      </c>
      <c r="V73" s="5">
        <v>1272</v>
      </c>
      <c r="W73" s="5">
        <v>872</v>
      </c>
      <c r="X73" s="5">
        <v>2426</v>
      </c>
      <c r="Y73" s="5">
        <v>2857</v>
      </c>
      <c r="Z73" s="5">
        <v>2899</v>
      </c>
      <c r="AA73" s="29">
        <f t="shared" si="169"/>
        <v>1.2790880503144655</v>
      </c>
      <c r="AB73" s="29">
        <f t="shared" si="168"/>
        <v>1.4700735036751837E-2</v>
      </c>
    </row>
    <row r="74" spans="1:31" hidden="1" x14ac:dyDescent="0.35">
      <c r="A74" s="13" t="s">
        <v>78</v>
      </c>
      <c r="B74" s="5">
        <v>0.1</v>
      </c>
      <c r="C74" s="5">
        <v>0.1</v>
      </c>
      <c r="D74" s="5">
        <v>0.01</v>
      </c>
      <c r="E74" s="5">
        <v>0</v>
      </c>
      <c r="F74" s="5">
        <v>0</v>
      </c>
      <c r="AA74" s="29" t="e">
        <f t="shared" si="169"/>
        <v>#DIV/0!</v>
      </c>
      <c r="AB74" s="29" t="e">
        <f t="shared" si="168"/>
        <v>#DIV/0!</v>
      </c>
    </row>
    <row r="75" spans="1:31" hidden="1" x14ac:dyDescent="0.35">
      <c r="A75" s="13" t="s">
        <v>79</v>
      </c>
      <c r="B75" s="5">
        <v>2.556</v>
      </c>
      <c r="C75" s="5">
        <v>3</v>
      </c>
      <c r="D75" s="5">
        <v>2.6339999999999999</v>
      </c>
      <c r="E75" s="5">
        <v>0</v>
      </c>
      <c r="F75" s="5">
        <v>0</v>
      </c>
      <c r="AA75" s="29" t="e">
        <f t="shared" si="169"/>
        <v>#DIV/0!</v>
      </c>
      <c r="AB75" s="29" t="e">
        <f t="shared" si="168"/>
        <v>#DIV/0!</v>
      </c>
    </row>
    <row r="76" spans="1:31" x14ac:dyDescent="0.35">
      <c r="A76" s="13" t="s">
        <v>73</v>
      </c>
      <c r="B76" s="5">
        <v>818.25</v>
      </c>
      <c r="C76" s="5">
        <v>795.8</v>
      </c>
      <c r="D76" s="5">
        <v>950.1</v>
      </c>
      <c r="E76" s="5">
        <v>990.9</v>
      </c>
      <c r="F76" s="5">
        <v>1157</v>
      </c>
      <c r="G76" s="5">
        <v>1182</v>
      </c>
      <c r="H76" s="5">
        <v>1140</v>
      </c>
      <c r="I76" s="5">
        <v>1207</v>
      </c>
      <c r="J76" s="5">
        <v>1199</v>
      </c>
      <c r="K76" s="5">
        <v>1198</v>
      </c>
      <c r="L76" s="5">
        <v>1233</v>
      </c>
      <c r="M76" s="5">
        <v>1284</v>
      </c>
      <c r="N76" s="5">
        <v>1294</v>
      </c>
      <c r="O76" s="5">
        <v>1318</v>
      </c>
      <c r="P76" s="5">
        <v>1365</v>
      </c>
      <c r="Q76" s="5">
        <v>2052</v>
      </c>
      <c r="R76" s="5">
        <v>2185</v>
      </c>
      <c r="S76" s="5">
        <v>2210</v>
      </c>
      <c r="T76" s="5">
        <v>2265</v>
      </c>
      <c r="U76" s="5">
        <v>2804</v>
      </c>
      <c r="V76" s="5">
        <v>2911</v>
      </c>
      <c r="W76" s="5">
        <v>3021</v>
      </c>
      <c r="X76" s="5">
        <v>3059</v>
      </c>
      <c r="Y76" s="5">
        <v>3251</v>
      </c>
      <c r="Z76" s="5">
        <v>3214</v>
      </c>
      <c r="AA76" s="29">
        <f t="shared" si="169"/>
        <v>0.10408794228787359</v>
      </c>
      <c r="AB76" s="29">
        <f t="shared" si="168"/>
        <v>-1.1381113503537373E-2</v>
      </c>
    </row>
    <row r="77" spans="1:31" hidden="1" x14ac:dyDescent="0.35">
      <c r="A77" s="13" t="s">
        <v>74</v>
      </c>
      <c r="B77" s="5">
        <v>756.8</v>
      </c>
      <c r="C77" s="5">
        <v>585</v>
      </c>
      <c r="D77" s="5">
        <v>455.76</v>
      </c>
      <c r="E77" s="5">
        <v>328.9</v>
      </c>
      <c r="F77" s="5">
        <v>211</v>
      </c>
      <c r="G77" s="5">
        <v>61</v>
      </c>
      <c r="H77" s="5">
        <v>38</v>
      </c>
      <c r="I77" s="5">
        <v>36</v>
      </c>
      <c r="J77" s="5">
        <v>0</v>
      </c>
      <c r="K77" s="5">
        <v>0</v>
      </c>
      <c r="L77" s="5">
        <v>0</v>
      </c>
      <c r="M77" s="5">
        <v>0</v>
      </c>
      <c r="N77" s="5">
        <v>0</v>
      </c>
      <c r="O77" s="5">
        <v>0</v>
      </c>
      <c r="P77" s="5">
        <v>0</v>
      </c>
      <c r="Q77" s="5">
        <v>0</v>
      </c>
      <c r="R77" s="5">
        <v>0</v>
      </c>
      <c r="S77" s="5">
        <v>0</v>
      </c>
      <c r="T77" s="5">
        <v>0</v>
      </c>
      <c r="U77" s="5">
        <v>0</v>
      </c>
      <c r="V77" s="5">
        <v>0</v>
      </c>
      <c r="W77" s="5">
        <v>0</v>
      </c>
      <c r="X77" s="5">
        <v>0</v>
      </c>
      <c r="Y77" s="5">
        <v>0</v>
      </c>
      <c r="Z77" s="5">
        <v>0</v>
      </c>
      <c r="AA77" s="29" t="e">
        <f t="shared" si="169"/>
        <v>#DIV/0!</v>
      </c>
      <c r="AB77" s="29" t="e">
        <f t="shared" si="168"/>
        <v>#DIV/0!</v>
      </c>
    </row>
    <row r="78" spans="1:31" x14ac:dyDescent="0.35">
      <c r="A78" s="13" t="s">
        <v>67</v>
      </c>
      <c r="B78" s="5">
        <v>2561.9</v>
      </c>
      <c r="C78" s="5">
        <v>2607.4580000000001</v>
      </c>
      <c r="D78" s="5">
        <v>2555.3000000000002</v>
      </c>
      <c r="E78" s="5">
        <v>2710.4</v>
      </c>
      <c r="F78" s="5">
        <v>2475</v>
      </c>
      <c r="G78" s="5">
        <v>2655.7</v>
      </c>
      <c r="H78" s="5">
        <v>2676</v>
      </c>
      <c r="I78" s="5">
        <v>2655</v>
      </c>
      <c r="J78" s="5">
        <v>2667</v>
      </c>
      <c r="K78" s="5">
        <v>2870</v>
      </c>
      <c r="L78" s="5">
        <v>3049</v>
      </c>
      <c r="M78" s="5">
        <v>3330</v>
      </c>
      <c r="N78" s="5">
        <v>3283</v>
      </c>
      <c r="O78" s="5">
        <v>3336</v>
      </c>
      <c r="P78" s="5">
        <v>3486</v>
      </c>
      <c r="Q78" s="5">
        <v>3546</v>
      </c>
      <c r="R78" s="5">
        <v>3839</v>
      </c>
      <c r="S78" s="5">
        <v>3926</v>
      </c>
      <c r="T78" s="5">
        <v>4330</v>
      </c>
      <c r="U78" s="5">
        <v>5330</v>
      </c>
      <c r="V78" s="5">
        <v>5979</v>
      </c>
      <c r="W78" s="5">
        <v>6924</v>
      </c>
      <c r="X78" s="5">
        <v>7321</v>
      </c>
      <c r="Y78" s="5">
        <v>8153</v>
      </c>
      <c r="Z78" s="5">
        <v>8480</v>
      </c>
      <c r="AA78" s="29">
        <f t="shared" si="169"/>
        <v>0.41829737414283324</v>
      </c>
      <c r="AB78" s="29">
        <f t="shared" si="168"/>
        <v>4.0107935729179443E-2</v>
      </c>
    </row>
    <row r="79" spans="1:31" s="11" customFormat="1" ht="13.15" x14ac:dyDescent="0.4">
      <c r="A79" s="17" t="s">
        <v>80</v>
      </c>
      <c r="B79" s="11">
        <f>SUM(B72:B78)</f>
        <v>21550.703999999998</v>
      </c>
      <c r="C79" s="11">
        <f t="shared" ref="C79" si="193">SUM(C72:C78)</f>
        <v>22644.050999999996</v>
      </c>
      <c r="D79" s="11">
        <f t="shared" ref="D79" si="194">SUM(D72:D78)</f>
        <v>23409.241999999995</v>
      </c>
      <c r="E79" s="11">
        <f t="shared" ref="E79" si="195">SUM(E72:E78)</f>
        <v>23426.040000000005</v>
      </c>
      <c r="F79" s="11">
        <f t="shared" ref="F79" si="196">SUM(F72:F78)</f>
        <v>22873.260000000002</v>
      </c>
      <c r="G79" s="11">
        <f t="shared" ref="G79" si="197">SUM(G72:G78)</f>
        <v>24721.62</v>
      </c>
      <c r="H79" s="11">
        <f t="shared" ref="H79" si="198">SUM(H72:H78)</f>
        <v>25313</v>
      </c>
      <c r="I79" s="11">
        <f t="shared" ref="I79" si="199">SUM(I72:I78)</f>
        <v>26199</v>
      </c>
      <c r="J79" s="11">
        <f t="shared" ref="J79" si="200">SUM(J72:J78)</f>
        <v>26518</v>
      </c>
      <c r="K79" s="11">
        <f t="shared" ref="K79" si="201">SUM(K72:K78)</f>
        <v>26754</v>
      </c>
      <c r="L79" s="11">
        <f t="shared" ref="L79" si="202">SUM(L72:L78)</f>
        <v>28143</v>
      </c>
      <c r="M79" s="11">
        <f t="shared" ref="M79" si="203">SUM(M72:M78)</f>
        <v>28418</v>
      </c>
      <c r="N79" s="11">
        <f>SUM(N72:N78)</f>
        <v>28507</v>
      </c>
      <c r="O79" s="11">
        <f t="shared" ref="O79" si="204">SUM(O72:O78)</f>
        <v>28896</v>
      </c>
      <c r="P79" s="11">
        <f t="shared" ref="P79" si="205">SUM(P72:P78)</f>
        <v>29340</v>
      </c>
      <c r="Q79" s="11">
        <f t="shared" ref="Q79" si="206">SUM(Q72:Q78)</f>
        <v>30548</v>
      </c>
      <c r="R79" s="11">
        <f t="shared" ref="R79" si="207">SUM(R72:R78)</f>
        <v>30632</v>
      </c>
      <c r="S79" s="11">
        <f t="shared" ref="S79" si="208">SUM(S72:S78)</f>
        <v>30855</v>
      </c>
      <c r="T79" s="11">
        <f t="shared" ref="T79" si="209">SUM(T72:T78)</f>
        <v>33302</v>
      </c>
      <c r="U79" s="11">
        <f t="shared" ref="U79" si="210">SUM(U72:U78)</f>
        <v>36440</v>
      </c>
      <c r="V79" s="11">
        <f t="shared" ref="V79" si="211">SUM(V72:V78)</f>
        <v>37598</v>
      </c>
      <c r="W79" s="11">
        <f t="shared" ref="W79" si="212">SUM(W72:W78)</f>
        <v>38409</v>
      </c>
      <c r="X79" s="11">
        <f t="shared" ref="X79" si="213">SUM(X72:X78)</f>
        <v>39446</v>
      </c>
      <c r="Y79" s="11">
        <f t="shared" ref="Y79" si="214">SUM(Y72:Y78)</f>
        <v>43009</v>
      </c>
      <c r="Z79" s="11">
        <f t="shared" ref="Z79" si="215">SUM(Z72:Z78)</f>
        <v>44046</v>
      </c>
      <c r="AA79" s="29">
        <f t="shared" si="169"/>
        <v>0.17149848396191286</v>
      </c>
      <c r="AB79" s="29">
        <f t="shared" si="168"/>
        <v>2.4111232532725707E-2</v>
      </c>
      <c r="AC79" s="11">
        <f t="shared" ref="AC79:AE79" si="216">SUM(AC72:AC78)</f>
        <v>0</v>
      </c>
      <c r="AD79" s="11">
        <f t="shared" si="216"/>
        <v>0</v>
      </c>
      <c r="AE79" s="11">
        <f t="shared" si="216"/>
        <v>0</v>
      </c>
    </row>
    <row r="80" spans="1:31" x14ac:dyDescent="0.35">
      <c r="AA80" s="29"/>
      <c r="AB80" s="29"/>
    </row>
    <row r="81" spans="1:31" x14ac:dyDescent="0.35">
      <c r="A81" s="6" t="s">
        <v>81</v>
      </c>
      <c r="B81" s="5">
        <f>B61-B79</f>
        <v>5720.4620000000032</v>
      </c>
      <c r="C81" s="5">
        <f t="shared" ref="C81:AC81" si="217">C61-C79</f>
        <v>5264.9690000000046</v>
      </c>
      <c r="D81" s="5">
        <f t="shared" si="217"/>
        <v>5853.3840000000055</v>
      </c>
      <c r="E81" s="5">
        <f t="shared" si="217"/>
        <v>6312.7999999999956</v>
      </c>
      <c r="F81" s="5">
        <f t="shared" si="217"/>
        <v>6039.1500000000015</v>
      </c>
      <c r="G81" s="5">
        <f t="shared" si="217"/>
        <v>7151.0200000000041</v>
      </c>
      <c r="H81" s="5">
        <f t="shared" si="217"/>
        <v>7482</v>
      </c>
      <c r="I81" s="5">
        <f t="shared" si="217"/>
        <v>8110</v>
      </c>
      <c r="J81" s="5">
        <f t="shared" si="217"/>
        <v>10732</v>
      </c>
      <c r="K81" s="5">
        <f t="shared" si="217"/>
        <v>11381</v>
      </c>
      <c r="L81" s="5">
        <f t="shared" si="217"/>
        <v>17548</v>
      </c>
      <c r="M81" s="5">
        <f t="shared" si="217"/>
        <v>23730</v>
      </c>
      <c r="N81" s="5">
        <f t="shared" si="217"/>
        <v>23134</v>
      </c>
      <c r="O81" s="5">
        <f t="shared" si="217"/>
        <v>26250</v>
      </c>
      <c r="P81" s="5">
        <f t="shared" si="217"/>
        <v>28494</v>
      </c>
      <c r="Q81" s="5">
        <f t="shared" si="217"/>
        <v>31583</v>
      </c>
      <c r="R81" s="5">
        <f t="shared" si="217"/>
        <v>35406</v>
      </c>
      <c r="S81" s="5">
        <f t="shared" si="217"/>
        <v>37658</v>
      </c>
      <c r="T81" s="5">
        <f t="shared" si="217"/>
        <v>41124</v>
      </c>
      <c r="U81" s="5">
        <f t="shared" si="217"/>
        <v>45898</v>
      </c>
      <c r="V81" s="5">
        <f t="shared" si="217"/>
        <v>49235</v>
      </c>
      <c r="W81" s="5">
        <f t="shared" si="217"/>
        <v>52182</v>
      </c>
      <c r="X81" s="5">
        <f t="shared" si="217"/>
        <v>54495</v>
      </c>
      <c r="Y81" s="5">
        <f t="shared" si="217"/>
        <v>63609</v>
      </c>
      <c r="Z81" s="5">
        <f t="shared" si="217"/>
        <v>65180</v>
      </c>
      <c r="AA81" s="29">
        <f t="shared" si="169"/>
        <v>0.32385498121255207</v>
      </c>
      <c r="AB81" s="29">
        <f t="shared" ref="AB81:AB91" si="218">(Z81-Y81)/Y81</f>
        <v>2.4697762895187787E-2</v>
      </c>
      <c r="AC81" s="5">
        <f t="shared" si="217"/>
        <v>0</v>
      </c>
      <c r="AD81" s="5">
        <f t="shared" ref="AD81:AE81" si="219">AD61-AD79</f>
        <v>0</v>
      </c>
      <c r="AE81" s="5">
        <f t="shared" si="219"/>
        <v>0</v>
      </c>
    </row>
    <row r="82" spans="1:31" x14ac:dyDescent="0.35">
      <c r="A82" s="6" t="s">
        <v>82</v>
      </c>
      <c r="B82" s="5">
        <f>B7-B8+B9</f>
        <v>52465.866000000002</v>
      </c>
      <c r="C82" s="5">
        <f t="shared" ref="C82:AC82" si="220">C7-C8+C9</f>
        <v>67044.78</v>
      </c>
      <c r="D82" s="5">
        <f t="shared" si="220"/>
        <v>55381.571999999993</v>
      </c>
      <c r="E82" s="5">
        <f t="shared" si="220"/>
        <v>64479.260000000009</v>
      </c>
      <c r="F82" s="5">
        <f t="shared" si="220"/>
        <v>57233.7</v>
      </c>
      <c r="G82" s="5">
        <f t="shared" si="220"/>
        <v>47136.700000000004</v>
      </c>
      <c r="H82" s="5">
        <f t="shared" si="220"/>
        <v>51938.96</v>
      </c>
      <c r="I82" s="5">
        <f t="shared" si="220"/>
        <v>80851.290000000008</v>
      </c>
      <c r="J82" s="5">
        <f t="shared" si="220"/>
        <v>109964.26</v>
      </c>
      <c r="K82" s="5">
        <f t="shared" si="220"/>
        <v>229224.91999999998</v>
      </c>
      <c r="L82" s="5">
        <f t="shared" si="220"/>
        <v>473199</v>
      </c>
      <c r="M82" s="5">
        <f t="shared" si="220"/>
        <v>756533.78</v>
      </c>
      <c r="N82" s="5">
        <f t="shared" si="220"/>
        <v>750484.36</v>
      </c>
      <c r="O82" s="5">
        <f t="shared" si="220"/>
        <v>753767.49</v>
      </c>
      <c r="P82" s="5">
        <f t="shared" si="220"/>
        <v>862911.81</v>
      </c>
      <c r="Q82" s="5">
        <f t="shared" si="220"/>
        <v>1181879.3599999999</v>
      </c>
      <c r="R82" s="5">
        <f t="shared" si="220"/>
        <v>1233941.3999999999</v>
      </c>
      <c r="S82" s="5">
        <f t="shared" si="220"/>
        <v>763079.08</v>
      </c>
      <c r="T82" s="5">
        <f t="shared" si="220"/>
        <v>902333</v>
      </c>
      <c r="U82" s="5">
        <f t="shared" si="220"/>
        <v>408964.5</v>
      </c>
      <c r="V82" s="5">
        <f t="shared" si="220"/>
        <v>699745.28000000003</v>
      </c>
      <c r="W82" s="5">
        <f t="shared" si="220"/>
        <v>889692.05999999994</v>
      </c>
      <c r="X82" s="5">
        <f t="shared" si="220"/>
        <v>852334.46</v>
      </c>
      <c r="Y82" s="5">
        <f t="shared" si="220"/>
        <v>840346.29999999993</v>
      </c>
      <c r="Z82" s="5">
        <f t="shared" si="220"/>
        <v>590357.07999999996</v>
      </c>
      <c r="AA82" s="29">
        <f t="shared" si="169"/>
        <v>-0.1563257418470905</v>
      </c>
      <c r="AB82" s="29">
        <f t="shared" si="218"/>
        <v>-0.29748357314121571</v>
      </c>
      <c r="AC82" s="5">
        <f t="shared" si="220"/>
        <v>0</v>
      </c>
      <c r="AD82" s="5">
        <f t="shared" ref="AD82:AE82" si="221">AD7-AD8+AD9</f>
        <v>0</v>
      </c>
      <c r="AE82" s="5">
        <f t="shared" si="221"/>
        <v>0</v>
      </c>
    </row>
    <row r="83" spans="1:31" x14ac:dyDescent="0.35">
      <c r="A83" s="6" t="s">
        <v>83</v>
      </c>
      <c r="B83" s="18">
        <f t="shared" ref="B83:C83" si="222">(B39-B40)/B6</f>
        <v>-0.279694521087899</v>
      </c>
      <c r="C83" s="18">
        <f t="shared" si="222"/>
        <v>-0.28138509803921546</v>
      </c>
      <c r="D83" s="18">
        <f>(D39-D40)/D6</f>
        <v>0.11663820224719144</v>
      </c>
      <c r="E83" s="18">
        <f t="shared" ref="E83:AC83" si="223">(E39-E40)/E6</f>
        <v>5.4517389605315172E-2</v>
      </c>
      <c r="F83" s="18">
        <f t="shared" si="223"/>
        <v>-0.27059730250481701</v>
      </c>
      <c r="G83" s="18">
        <f t="shared" si="223"/>
        <v>-0.15371751412429382</v>
      </c>
      <c r="H83" s="18">
        <f t="shared" si="223"/>
        <v>5.1699204627621113E-2</v>
      </c>
      <c r="I83" s="18">
        <f t="shared" si="223"/>
        <v>3.9579105599398867E-2</v>
      </c>
      <c r="J83" s="18">
        <f t="shared" si="223"/>
        <v>5.3655264922870555E-3</v>
      </c>
      <c r="K83" s="18">
        <f t="shared" si="223"/>
        <v>3.3462033462033462E-2</v>
      </c>
      <c r="L83" s="18">
        <f t="shared" si="223"/>
        <v>9.9849170437405738E-2</v>
      </c>
      <c r="M83" s="18">
        <f t="shared" si="223"/>
        <v>7.2022160664819951E-2</v>
      </c>
      <c r="N83" s="18">
        <f t="shared" si="223"/>
        <v>0.12886142983230361</v>
      </c>
      <c r="O83" s="18">
        <f t="shared" si="223"/>
        <v>0.34018468871015789</v>
      </c>
      <c r="P83" s="18">
        <f t="shared" si="223"/>
        <v>0.48026120510537251</v>
      </c>
      <c r="Q83" s="18">
        <f t="shared" si="223"/>
        <v>0.68546958062610752</v>
      </c>
      <c r="R83" s="18">
        <f t="shared" si="223"/>
        <v>0.95564516129032262</v>
      </c>
      <c r="S83" s="18">
        <f t="shared" si="223"/>
        <v>0.65213625866050806</v>
      </c>
      <c r="T83" s="18">
        <f t="shared" si="223"/>
        <v>0.94925028835063441</v>
      </c>
      <c r="U83" s="18">
        <f t="shared" si="223"/>
        <v>1.0610071942446042</v>
      </c>
      <c r="V83" s="18">
        <f t="shared" si="223"/>
        <v>0.7246251441753172</v>
      </c>
      <c r="W83" s="18">
        <f t="shared" si="223"/>
        <v>0.77717078780908566</v>
      </c>
      <c r="X83" s="18">
        <f t="shared" si="223"/>
        <v>0.53048955052963065</v>
      </c>
      <c r="Y83" s="18">
        <f t="shared" si="223"/>
        <v>2.2748923959827834</v>
      </c>
      <c r="Z83" s="18">
        <f t="shared" si="223"/>
        <v>0.32405281285878301</v>
      </c>
      <c r="AA83" s="29">
        <f t="shared" si="169"/>
        <v>-0.55279938121995242</v>
      </c>
      <c r="AB83" s="29">
        <f t="shared" si="218"/>
        <v>-0.85755246558869092</v>
      </c>
      <c r="AC83" s="18" t="e">
        <f t="shared" si="223"/>
        <v>#DIV/0!</v>
      </c>
      <c r="AD83" s="18" t="e">
        <f t="shared" ref="AD83:AE83" si="224">(AD39-AD40)/AD6</f>
        <v>#DIV/0!</v>
      </c>
      <c r="AE83" s="18" t="e">
        <f t="shared" si="224"/>
        <v>#DIV/0!</v>
      </c>
    </row>
    <row r="84" spans="1:31" x14ac:dyDescent="0.35">
      <c r="A84" s="20" t="s">
        <v>85</v>
      </c>
      <c r="B84" s="21">
        <f>B25/B16</f>
        <v>0.13391018889843964</v>
      </c>
      <c r="C84" s="21">
        <f t="shared" ref="C84:AC84" si="225">C25/C16</f>
        <v>0.15463381724594602</v>
      </c>
      <c r="D84" s="21">
        <f t="shared" si="225"/>
        <v>0.22323672077374471</v>
      </c>
      <c r="E84" s="21">
        <f t="shared" si="225"/>
        <v>0.19970388673909956</v>
      </c>
      <c r="F84" s="21">
        <f t="shared" si="225"/>
        <v>0.12444730212975846</v>
      </c>
      <c r="G84" s="21">
        <f t="shared" si="225"/>
        <v>0.14510611758925024</v>
      </c>
      <c r="H84" s="21">
        <f t="shared" si="225"/>
        <v>0.18895763921941933</v>
      </c>
      <c r="I84" s="21">
        <f t="shared" si="225"/>
        <v>0.18844324546862984</v>
      </c>
      <c r="J84" s="21">
        <f t="shared" si="225"/>
        <v>0.20618212197159566</v>
      </c>
      <c r="K84" s="21">
        <f t="shared" si="225"/>
        <v>0.20990722332670642</v>
      </c>
      <c r="L84" s="21">
        <f t="shared" si="225"/>
        <v>0.23520693193478509</v>
      </c>
      <c r="M84" s="21">
        <f t="shared" si="225"/>
        <v>0.19229337304542071</v>
      </c>
      <c r="N84" s="21">
        <f t="shared" si="225"/>
        <v>0.21320627586870727</v>
      </c>
      <c r="O84" s="21">
        <f t="shared" si="225"/>
        <v>0.24117745442381669</v>
      </c>
      <c r="P84" s="21">
        <f t="shared" si="225"/>
        <v>0.26604637639020134</v>
      </c>
      <c r="Q84" s="21">
        <f t="shared" si="225"/>
        <v>0.27354816863254133</v>
      </c>
      <c r="R84" s="21">
        <f t="shared" si="225"/>
        <v>0.29110684580934099</v>
      </c>
      <c r="S84" s="21">
        <f t="shared" si="225"/>
        <v>0.25002952639659853</v>
      </c>
      <c r="T84" s="21">
        <f t="shared" si="225"/>
        <v>0.25086231005873033</v>
      </c>
      <c r="U84" s="21">
        <f t="shared" si="225"/>
        <v>0.23756065465910026</v>
      </c>
      <c r="V84" s="21">
        <f t="shared" si="225"/>
        <v>0.19336448197522396</v>
      </c>
      <c r="W84" s="21">
        <f t="shared" si="225"/>
        <v>0.18185100493440848</v>
      </c>
      <c r="X84" s="21">
        <f t="shared" si="225"/>
        <v>0.17892933618843684</v>
      </c>
      <c r="Y84" s="21">
        <f t="shared" si="225"/>
        <v>0.17634203520483172</v>
      </c>
      <c r="Z84" s="21">
        <f t="shared" si="225"/>
        <v>0.1735129806112389</v>
      </c>
      <c r="AA84" s="29">
        <f t="shared" si="169"/>
        <v>-0.10266363895375913</v>
      </c>
      <c r="AB84" s="29">
        <f t="shared" si="218"/>
        <v>-1.6042996159745446E-2</v>
      </c>
      <c r="AC84" s="21" t="e">
        <f t="shared" si="225"/>
        <v>#DIV/0!</v>
      </c>
      <c r="AD84" s="21" t="e">
        <f t="shared" ref="AD84:AE84" si="226">AD25/AD16</f>
        <v>#DIV/0!</v>
      </c>
      <c r="AE84" s="21" t="e">
        <f t="shared" si="226"/>
        <v>#DIV/0!</v>
      </c>
    </row>
    <row r="85" spans="1:31" x14ac:dyDescent="0.35">
      <c r="A85" s="20" t="s">
        <v>86</v>
      </c>
      <c r="B85" s="21">
        <f>B39/B16</f>
        <v>-0.23019998767862324</v>
      </c>
      <c r="C85" s="21">
        <f t="shared" ref="C85:AC85" si="227">C39/C16</f>
        <v>-0.18557732190599921</v>
      </c>
      <c r="D85" s="21">
        <f t="shared" si="227"/>
        <v>3.7306378122938987E-2</v>
      </c>
      <c r="E85" s="21">
        <f t="shared" si="227"/>
        <v>2.9077165333409923E-2</v>
      </c>
      <c r="F85" s="21">
        <f t="shared" si="227"/>
        <v>-0.14702644141842977</v>
      </c>
      <c r="G85" s="21">
        <f t="shared" si="227"/>
        <v>-6.1267237414876011E-2</v>
      </c>
      <c r="H85" s="21">
        <f t="shared" si="227"/>
        <v>2.3798191337458353E-2</v>
      </c>
      <c r="I85" s="21">
        <f t="shared" si="227"/>
        <v>1.7838376615638019E-2</v>
      </c>
      <c r="J85" s="21">
        <f t="shared" si="227"/>
        <v>1.1361737677527151E-2</v>
      </c>
      <c r="K85" s="21">
        <f t="shared" si="227"/>
        <v>2.1371769383697812E-2</v>
      </c>
      <c r="L85" s="21">
        <f t="shared" si="227"/>
        <v>4.2070459468703685E-2</v>
      </c>
      <c r="M85" s="21">
        <f t="shared" si="227"/>
        <v>2.4199553239017124E-2</v>
      </c>
      <c r="N85" s="21">
        <f t="shared" si="227"/>
        <v>4.4662623929155841E-2</v>
      </c>
      <c r="O85" s="21">
        <f t="shared" si="227"/>
        <v>9.8511456765345382E-2</v>
      </c>
      <c r="P85" s="21">
        <f t="shared" si="227"/>
        <v>0.12059315257686996</v>
      </c>
      <c r="Q85" s="21">
        <f t="shared" si="227"/>
        <v>0.13223093854054968</v>
      </c>
      <c r="R85" s="21">
        <f t="shared" si="227"/>
        <v>0.17487737257410962</v>
      </c>
      <c r="S85" s="21">
        <f t="shared" si="227"/>
        <v>0.13399078776426124</v>
      </c>
      <c r="T85" s="21">
        <f t="shared" si="227"/>
        <v>0.15526242192598116</v>
      </c>
      <c r="U85" s="21">
        <f t="shared" si="227"/>
        <v>0.15243852290484414</v>
      </c>
      <c r="V85" s="21">
        <f t="shared" si="227"/>
        <v>0.10883449783531227</v>
      </c>
      <c r="W85" s="21">
        <f t="shared" si="227"/>
        <v>0.10486620933124724</v>
      </c>
      <c r="X85" s="21">
        <f t="shared" si="227"/>
        <v>8.0428265524625273E-2</v>
      </c>
      <c r="Y85" s="21">
        <f t="shared" si="227"/>
        <v>0.31561171375213576</v>
      </c>
      <c r="Z85" s="21">
        <f t="shared" si="227"/>
        <v>5.3706398760621568E-2</v>
      </c>
      <c r="AA85" s="29">
        <f t="shared" si="169"/>
        <v>-0.50653147826445821</v>
      </c>
      <c r="AB85" s="29">
        <f t="shared" si="218"/>
        <v>-0.8298339496904743</v>
      </c>
      <c r="AC85" s="21" t="e">
        <f t="shared" si="227"/>
        <v>#DIV/0!</v>
      </c>
      <c r="AD85" s="21" t="e">
        <f t="shared" ref="AD85:AE85" si="228">AD39/AD16</f>
        <v>#DIV/0!</v>
      </c>
      <c r="AE85" s="21" t="e">
        <f t="shared" si="228"/>
        <v>#DIV/0!</v>
      </c>
    </row>
    <row r="86" spans="1:31" x14ac:dyDescent="0.35">
      <c r="A86" s="22" t="s">
        <v>87</v>
      </c>
      <c r="B86" s="23">
        <f>B12/B16</f>
        <v>0.75156877528449184</v>
      </c>
      <c r="C86" s="23">
        <f t="shared" ref="C86:AC86" si="229">C12/C16</f>
        <v>0.77906599035506352</v>
      </c>
      <c r="D86" s="23">
        <f t="shared" si="229"/>
        <v>0.86140789186966527</v>
      </c>
      <c r="E86" s="23">
        <f t="shared" si="229"/>
        <v>0.8404618193376987</v>
      </c>
      <c r="F86" s="23">
        <f t="shared" si="229"/>
        <v>0.77260996705832619</v>
      </c>
      <c r="G86" s="23">
        <f t="shared" si="229"/>
        <v>0.81391466495316223</v>
      </c>
      <c r="H86" s="23">
        <f t="shared" si="229"/>
        <v>0.8142154529589084</v>
      </c>
      <c r="I86" s="23">
        <f t="shared" si="229"/>
        <v>0.83196552583395622</v>
      </c>
      <c r="J86" s="23">
        <f t="shared" si="229"/>
        <v>0.81754385964912279</v>
      </c>
      <c r="K86" s="23">
        <f t="shared" si="229"/>
        <v>0.81361829025844934</v>
      </c>
      <c r="L86" s="23">
        <f t="shared" si="229"/>
        <v>0.83753277847451835</v>
      </c>
      <c r="M86" s="23">
        <f t="shared" si="229"/>
        <v>0.84084139985107964</v>
      </c>
      <c r="N86" s="23">
        <f t="shared" si="229"/>
        <v>0.83790547694677064</v>
      </c>
      <c r="O86" s="23">
        <f t="shared" si="229"/>
        <v>0.82572336511122257</v>
      </c>
      <c r="P86" s="23">
        <f t="shared" si="229"/>
        <v>0.8484407937777132</v>
      </c>
      <c r="Q86" s="23">
        <f t="shared" si="229"/>
        <v>0.7830012980416502</v>
      </c>
      <c r="R86" s="23">
        <f t="shared" si="229"/>
        <v>0.82714864576668801</v>
      </c>
      <c r="S86" s="23">
        <f t="shared" si="229"/>
        <v>0.80725168300460615</v>
      </c>
      <c r="T86" s="23">
        <f t="shared" si="229"/>
        <v>0.82898294024424346</v>
      </c>
      <c r="U86" s="23">
        <f t="shared" si="229"/>
        <v>0.83234641006661736</v>
      </c>
      <c r="V86" s="23">
        <f t="shared" si="229"/>
        <v>0.80920742423592951</v>
      </c>
      <c r="W86" s="23">
        <f t="shared" si="229"/>
        <v>0.81915192361696154</v>
      </c>
      <c r="X86" s="23">
        <f t="shared" si="229"/>
        <v>0.79580299785867237</v>
      </c>
      <c r="Y86" s="23">
        <f t="shared" si="229"/>
        <v>0.81972424206301908</v>
      </c>
      <c r="Z86" s="23">
        <f t="shared" si="229"/>
        <v>0.77273367447537677</v>
      </c>
      <c r="AA86" s="29">
        <f t="shared" si="169"/>
        <v>-4.5073424523992725E-2</v>
      </c>
      <c r="AB86" s="29">
        <f t="shared" si="218"/>
        <v>-5.7324848011545991E-2</v>
      </c>
      <c r="AC86" s="23" t="e">
        <f t="shared" si="229"/>
        <v>#DIV/0!</v>
      </c>
      <c r="AD86" s="23" t="e">
        <f t="shared" ref="AD86:AE86" si="230">AD12/AD16</f>
        <v>#DIV/0!</v>
      </c>
      <c r="AE86" s="23" t="e">
        <f t="shared" si="230"/>
        <v>#DIV/0!</v>
      </c>
    </row>
    <row r="87" spans="1:31" x14ac:dyDescent="0.35">
      <c r="A87" s="22" t="s">
        <v>88</v>
      </c>
      <c r="B87" s="23">
        <f>B13/B16</f>
        <v>5.0878484822704191E-2</v>
      </c>
      <c r="C87" s="23">
        <f t="shared" ref="C87:AC87" si="231">C13/C16</f>
        <v>5.9918542765048349E-2</v>
      </c>
      <c r="D87" s="23">
        <f t="shared" si="231"/>
        <v>3.2306422817732723E-2</v>
      </c>
      <c r="E87" s="23">
        <f t="shared" si="231"/>
        <v>3.4563937312775607E-2</v>
      </c>
      <c r="F87" s="23">
        <f t="shared" si="231"/>
        <v>4.7342646255747182E-2</v>
      </c>
      <c r="G87" s="23">
        <f t="shared" si="231"/>
        <v>3.2814872211617815E-2</v>
      </c>
      <c r="H87" s="23">
        <f t="shared" si="231"/>
        <v>3.5062668570521975E-2</v>
      </c>
      <c r="I87" s="23">
        <f t="shared" si="231"/>
        <v>3.0422205609906713E-2</v>
      </c>
      <c r="J87" s="23">
        <f t="shared" si="231"/>
        <v>3.9933166248955723E-2</v>
      </c>
      <c r="K87" s="23">
        <f t="shared" si="231"/>
        <v>4.4400265076209408E-2</v>
      </c>
      <c r="L87" s="23">
        <f t="shared" si="231"/>
        <v>3.0213202599475544E-2</v>
      </c>
      <c r="M87" s="23">
        <f t="shared" si="231"/>
        <v>2.6061057334326135E-2</v>
      </c>
      <c r="N87" s="23">
        <f t="shared" si="231"/>
        <v>2.8587929540860525E-2</v>
      </c>
      <c r="O87" s="23">
        <f t="shared" si="231"/>
        <v>2.7763840107041311E-2</v>
      </c>
      <c r="P87" s="23">
        <f t="shared" si="231"/>
        <v>2.7985752707712436E-2</v>
      </c>
      <c r="Q87" s="23">
        <f t="shared" si="231"/>
        <v>0.11812179016874541</v>
      </c>
      <c r="R87" s="23">
        <f t="shared" si="231"/>
        <v>7.1817018554062695E-2</v>
      </c>
      <c r="S87" s="23">
        <f t="shared" si="231"/>
        <v>5.5037203259714187E-2</v>
      </c>
      <c r="T87" s="23">
        <f t="shared" si="231"/>
        <v>4.227649855504801E-2</v>
      </c>
      <c r="U87" s="23">
        <f t="shared" si="231"/>
        <v>4.38358417633029E-2</v>
      </c>
      <c r="V87" s="23">
        <f t="shared" si="231"/>
        <v>4.6508637318359122E-2</v>
      </c>
      <c r="W87" s="23">
        <f t="shared" si="231"/>
        <v>3.4059453604525211E-2</v>
      </c>
      <c r="X87" s="23">
        <f t="shared" si="231"/>
        <v>4.4668094218415416E-2</v>
      </c>
      <c r="Y87" s="23">
        <f t="shared" si="231"/>
        <v>3.7072356657527714E-2</v>
      </c>
      <c r="Z87" s="23">
        <f t="shared" si="231"/>
        <v>4.3096568236233042E-2</v>
      </c>
      <c r="AA87" s="29">
        <f t="shared" si="169"/>
        <v>-7.336420241190722E-2</v>
      </c>
      <c r="AB87" s="29">
        <f t="shared" si="218"/>
        <v>0.16249874898314792</v>
      </c>
      <c r="AC87" s="23" t="e">
        <f t="shared" si="231"/>
        <v>#DIV/0!</v>
      </c>
      <c r="AD87" s="23" t="e">
        <f t="shared" ref="AD87:AE87" si="232">AD13/AD16</f>
        <v>#DIV/0!</v>
      </c>
      <c r="AE87" s="23" t="e">
        <f t="shared" si="232"/>
        <v>#DIV/0!</v>
      </c>
    </row>
    <row r="88" spans="1:31" x14ac:dyDescent="0.35">
      <c r="A88" s="22" t="s">
        <v>89</v>
      </c>
      <c r="B88" s="23">
        <f>B14/B16</f>
        <v>0.12028010596383969</v>
      </c>
      <c r="C88" s="23">
        <f t="shared" ref="C88:AC88" si="233">C14/C16</f>
        <v>9.3550885784962887E-2</v>
      </c>
      <c r="D88" s="23">
        <f t="shared" si="233"/>
        <v>5.8513544940468731E-2</v>
      </c>
      <c r="E88" s="23">
        <f t="shared" si="233"/>
        <v>5.1409513237015571E-2</v>
      </c>
      <c r="F88" s="23">
        <f t="shared" si="233"/>
        <v>7.1489597829725027E-2</v>
      </c>
      <c r="G88" s="23">
        <f t="shared" si="233"/>
        <v>5.7988270053358028E-2</v>
      </c>
      <c r="H88" s="23">
        <f t="shared" si="233"/>
        <v>6.3779152784388393E-2</v>
      </c>
      <c r="I88" s="23">
        <f t="shared" si="233"/>
        <v>5.9064907205772399E-2</v>
      </c>
      <c r="J88" s="23">
        <f t="shared" si="233"/>
        <v>4.8955722639933169E-2</v>
      </c>
      <c r="K88" s="23">
        <f t="shared" si="233"/>
        <v>6.1298873426110005E-2</v>
      </c>
      <c r="L88" s="23">
        <f t="shared" si="233"/>
        <v>6.6012997377722038E-2</v>
      </c>
      <c r="M88" s="23">
        <f t="shared" si="233"/>
        <v>6.9992553983618769E-2</v>
      </c>
      <c r="N88" s="23">
        <f t="shared" si="233"/>
        <v>4.7550293579747813E-2</v>
      </c>
      <c r="O88" s="23">
        <f t="shared" si="233"/>
        <v>6.6984445559458108E-2</v>
      </c>
      <c r="P88" s="23">
        <f t="shared" si="233"/>
        <v>5.8588355019262919E-2</v>
      </c>
      <c r="Q88" s="23">
        <f t="shared" si="233"/>
        <v>3.8828376319205375E-2</v>
      </c>
      <c r="R88" s="23">
        <f t="shared" si="233"/>
        <v>3.2842823629771804E-2</v>
      </c>
      <c r="S88" s="23">
        <f t="shared" si="233"/>
        <v>5.1139718908704383E-2</v>
      </c>
      <c r="T88" s="23">
        <f t="shared" si="233"/>
        <v>5.2064883005500141E-2</v>
      </c>
      <c r="U88" s="23">
        <f t="shared" si="233"/>
        <v>5.3869561641582367E-2</v>
      </c>
      <c r="V88" s="23">
        <f t="shared" si="233"/>
        <v>6.5540743280895028E-2</v>
      </c>
      <c r="W88" s="23">
        <f t="shared" si="233"/>
        <v>6.0536767360693224E-2</v>
      </c>
      <c r="X88" s="23">
        <f t="shared" si="233"/>
        <v>6.6766595289079231E-2</v>
      </c>
      <c r="Y88" s="23">
        <f t="shared" si="233"/>
        <v>5.7138316048794054E-2</v>
      </c>
      <c r="Z88" s="23">
        <f t="shared" si="233"/>
        <v>7.6756959767147082E-2</v>
      </c>
      <c r="AA88" s="29">
        <f t="shared" si="169"/>
        <v>0.17113349536152658</v>
      </c>
      <c r="AB88" s="29">
        <f t="shared" si="218"/>
        <v>0.34335355108469451</v>
      </c>
      <c r="AC88" s="23" t="e">
        <f t="shared" si="233"/>
        <v>#DIV/0!</v>
      </c>
      <c r="AD88" s="23" t="e">
        <f t="shared" ref="AD88:AE88" si="234">AD14/AD16</f>
        <v>#DIV/0!</v>
      </c>
      <c r="AE88" s="23" t="e">
        <f t="shared" si="234"/>
        <v>#DIV/0!</v>
      </c>
    </row>
    <row r="89" spans="1:31" x14ac:dyDescent="0.35">
      <c r="A89" s="22" t="s">
        <v>90</v>
      </c>
      <c r="B89" s="23">
        <f>B15/B16</f>
        <v>7.7272633928964315E-2</v>
      </c>
      <c r="C89" s="23">
        <f t="shared" ref="C89:AC89" si="235">C15/C16</f>
        <v>6.7464581094925161E-2</v>
      </c>
      <c r="D89" s="23">
        <f t="shared" si="235"/>
        <v>4.7772140372133245E-2</v>
      </c>
      <c r="E89" s="23">
        <f t="shared" si="235"/>
        <v>7.3564730112510024E-2</v>
      </c>
      <c r="F89" s="23">
        <f t="shared" si="235"/>
        <v>0.10855778885620167</v>
      </c>
      <c r="G89" s="23">
        <f t="shared" si="235"/>
        <v>9.5282192781862063E-2</v>
      </c>
      <c r="H89" s="23">
        <f t="shared" si="235"/>
        <v>8.694272568618118E-2</v>
      </c>
      <c r="I89" s="23">
        <f t="shared" si="235"/>
        <v>7.8547361350364553E-2</v>
      </c>
      <c r="J89" s="23">
        <f t="shared" si="235"/>
        <v>9.3567251461988299E-2</v>
      </c>
      <c r="K89" s="23">
        <f t="shared" si="235"/>
        <v>8.0682571239231282E-2</v>
      </c>
      <c r="L89" s="23">
        <f t="shared" si="235"/>
        <v>6.6241021548284124E-2</v>
      </c>
      <c r="M89" s="23">
        <f t="shared" si="235"/>
        <v>6.3104988830975428E-2</v>
      </c>
      <c r="N89" s="23">
        <f t="shared" si="235"/>
        <v>8.5956299932621036E-2</v>
      </c>
      <c r="O89" s="23">
        <f t="shared" si="235"/>
        <v>7.9528349222277972E-2</v>
      </c>
      <c r="P89" s="23">
        <f t="shared" si="235"/>
        <v>6.4985098495311477E-2</v>
      </c>
      <c r="Q89" s="23">
        <f t="shared" si="235"/>
        <v>6.0048535470399005E-2</v>
      </c>
      <c r="R89" s="23">
        <f t="shared" si="235"/>
        <v>6.8191512049477501E-2</v>
      </c>
      <c r="S89" s="23">
        <f t="shared" si="235"/>
        <v>8.6571394826975318E-2</v>
      </c>
      <c r="T89" s="23">
        <f t="shared" si="235"/>
        <v>7.6675678195208347E-2</v>
      </c>
      <c r="U89" s="23">
        <f t="shared" si="235"/>
        <v>6.9948186528497408E-2</v>
      </c>
      <c r="V89" s="23">
        <f t="shared" si="235"/>
        <v>7.8743195164816329E-2</v>
      </c>
      <c r="W89" s="23">
        <f t="shared" si="235"/>
        <v>8.6251855417820031E-2</v>
      </c>
      <c r="X89" s="23">
        <f t="shared" si="235"/>
        <v>9.2762312633832972E-2</v>
      </c>
      <c r="Y89" s="23">
        <f t="shared" si="235"/>
        <v>8.60650852306592E-2</v>
      </c>
      <c r="Z89" s="23">
        <f t="shared" si="235"/>
        <v>0.10741279752124314</v>
      </c>
      <c r="AA89" s="29">
        <f t="shared" si="169"/>
        <v>0.36408990385034345</v>
      </c>
      <c r="AB89" s="29">
        <f t="shared" si="218"/>
        <v>0.24804149363671557</v>
      </c>
      <c r="AC89" s="23" t="e">
        <f t="shared" si="235"/>
        <v>#DIV/0!</v>
      </c>
      <c r="AD89" s="23" t="e">
        <f t="shared" ref="AD89:AE89" si="236">AD15/AD16</f>
        <v>#DIV/0!</v>
      </c>
      <c r="AE89" s="23" t="e">
        <f t="shared" si="236"/>
        <v>#DIV/0!</v>
      </c>
    </row>
    <row r="90" spans="1:31" x14ac:dyDescent="0.35">
      <c r="A90" s="20" t="s">
        <v>91</v>
      </c>
      <c r="B90" s="21">
        <f>(B39+B40)/B81</f>
        <v>-0.15029992332787095</v>
      </c>
      <c r="C90" s="21">
        <f t="shared" ref="C90:AC90" si="237">(C39+C40)/C81</f>
        <v>-0.14584435349951708</v>
      </c>
      <c r="D90" s="21">
        <f t="shared" si="237"/>
        <v>3.3781826034307849E-2</v>
      </c>
      <c r="E90" s="21">
        <f t="shared" si="237"/>
        <v>4.4469965783804605E-2</v>
      </c>
      <c r="F90" s="21">
        <f t="shared" si="237"/>
        <v>-0.10484919235322852</v>
      </c>
      <c r="G90" s="21">
        <f t="shared" si="237"/>
        <v>-5.1729683317904278E-2</v>
      </c>
      <c r="H90" s="21">
        <f t="shared" si="237"/>
        <v>2.0983694199411922E-2</v>
      </c>
      <c r="I90" s="21">
        <f t="shared" si="237"/>
        <v>1.9496917385943328E-2</v>
      </c>
      <c r="J90" s="21">
        <f t="shared" si="237"/>
        <v>1.1181513231457324E-2</v>
      </c>
      <c r="K90" s="21">
        <f t="shared" si="237"/>
        <v>1.3531324136719093E-2</v>
      </c>
      <c r="L90" s="21">
        <f t="shared" si="237"/>
        <v>2.3193526327786644E-2</v>
      </c>
      <c r="M90" s="21">
        <f t="shared" si="237"/>
        <v>1.2052254530130636E-2</v>
      </c>
      <c r="N90" s="21">
        <f t="shared" si="237"/>
        <v>2.1180945794069334E-2</v>
      </c>
      <c r="O90" s="21">
        <f t="shared" si="237"/>
        <v>4.6247619047619044E-2</v>
      </c>
      <c r="P90" s="21">
        <f t="shared" si="237"/>
        <v>5.9661683161367308E-2</v>
      </c>
      <c r="Q90" s="21">
        <f t="shared" si="237"/>
        <v>7.4882056802710317E-2</v>
      </c>
      <c r="R90" s="21">
        <f t="shared" si="237"/>
        <v>9.1566401174942094E-2</v>
      </c>
      <c r="S90" s="21">
        <f t="shared" si="237"/>
        <v>6.0518349354718788E-2</v>
      </c>
      <c r="T90" s="21">
        <f t="shared" si="237"/>
        <v>8.1947281392860616E-2</v>
      </c>
      <c r="U90" s="21">
        <f t="shared" si="237"/>
        <v>8.1201795285197609E-2</v>
      </c>
      <c r="V90" s="21">
        <f t="shared" si="237"/>
        <v>5.2097085406722858E-2</v>
      </c>
      <c r="W90" s="21">
        <f t="shared" si="237"/>
        <v>4.8388333141696369E-2</v>
      </c>
      <c r="X90" s="21">
        <f t="shared" si="237"/>
        <v>3.4920634920634921E-2</v>
      </c>
      <c r="Y90" s="21">
        <f t="shared" si="237"/>
        <v>0.12510808218962727</v>
      </c>
      <c r="Z90" s="21">
        <f t="shared" si="237"/>
        <v>1.7781528076096963E-2</v>
      </c>
      <c r="AA90" s="29">
        <f t="shared" si="169"/>
        <v>-0.65868478174400236</v>
      </c>
      <c r="AB90" s="29">
        <f t="shared" si="218"/>
        <v>-0.85787066858602012</v>
      </c>
      <c r="AC90" s="21" t="e">
        <f t="shared" si="237"/>
        <v>#DIV/0!</v>
      </c>
      <c r="AD90" s="21" t="e">
        <f t="shared" ref="AD90:AE90" si="238">(AD39+AD40)/AD81</f>
        <v>#DIV/0!</v>
      </c>
      <c r="AE90" s="21" t="e">
        <f t="shared" si="238"/>
        <v>#DIV/0!</v>
      </c>
    </row>
    <row r="91" spans="1:31" x14ac:dyDescent="0.35">
      <c r="A91" s="20" t="s">
        <v>92</v>
      </c>
      <c r="B91" s="23">
        <f>B49/B72</f>
        <v>0.73799670242698323</v>
      </c>
      <c r="C91" s="23">
        <f t="shared" ref="C91:AC91" si="239">C49/C72</f>
        <v>0.73287519062388129</v>
      </c>
      <c r="D91" s="23">
        <f t="shared" si="239"/>
        <v>0.81022763378991303</v>
      </c>
      <c r="E91" s="23">
        <f t="shared" si="239"/>
        <v>0.83123835334572982</v>
      </c>
      <c r="F91" s="23">
        <f t="shared" si="239"/>
        <v>0.83071131952574362</v>
      </c>
      <c r="G91" s="23">
        <f t="shared" si="239"/>
        <v>1.0618322744281705</v>
      </c>
      <c r="H91" s="23">
        <f t="shared" si="239"/>
        <v>1.0782574413561994</v>
      </c>
      <c r="I91" s="23">
        <f t="shared" si="239"/>
        <v>1.1346207931002157</v>
      </c>
      <c r="J91" s="23">
        <f t="shared" si="239"/>
        <v>1.2425329551143001</v>
      </c>
      <c r="K91" s="23">
        <f t="shared" si="239"/>
        <v>1.2498777506112468</v>
      </c>
      <c r="L91" s="23">
        <f t="shared" si="239"/>
        <v>1.6346414073071718</v>
      </c>
      <c r="M91" s="23">
        <f t="shared" si="239"/>
        <v>1.8751403705783267</v>
      </c>
      <c r="N91" s="23">
        <f t="shared" si="239"/>
        <v>1.660617059891107</v>
      </c>
      <c r="O91" s="23">
        <f t="shared" si="239"/>
        <v>1.5083379146050944</v>
      </c>
      <c r="P91" s="23">
        <f t="shared" si="239"/>
        <v>1.3850756190792755</v>
      </c>
      <c r="Q91" s="23">
        <f t="shared" si="239"/>
        <v>1.3752854605430094</v>
      </c>
      <c r="R91" s="23">
        <f t="shared" si="239"/>
        <v>1.3539967373572595</v>
      </c>
      <c r="S91" s="23">
        <f t="shared" si="239"/>
        <v>1.4308235186288438</v>
      </c>
      <c r="T91" s="23">
        <f t="shared" si="239"/>
        <v>1.4623542318475478</v>
      </c>
      <c r="U91" s="23">
        <f t="shared" si="239"/>
        <v>1.53195552061103</v>
      </c>
      <c r="V91" s="23">
        <f t="shared" si="239"/>
        <v>1.567174515235457</v>
      </c>
      <c r="W91" s="23">
        <f t="shared" si="239"/>
        <v>1.5901348216874456</v>
      </c>
      <c r="X91" s="23">
        <f t="shared" si="239"/>
        <v>1.6901651651651652</v>
      </c>
      <c r="Y91" s="23">
        <f t="shared" si="239"/>
        <v>1.7258939752330598</v>
      </c>
      <c r="Z91" s="23">
        <f t="shared" si="239"/>
        <v>1.7157844701728178</v>
      </c>
      <c r="AA91" s="29">
        <f t="shared" si="169"/>
        <v>9.4826679155788296E-2</v>
      </c>
      <c r="AB91" s="29">
        <f t="shared" si="218"/>
        <v>-5.8575469903224143E-3</v>
      </c>
      <c r="AC91" s="23" t="e">
        <f t="shared" si="239"/>
        <v>#DIV/0!</v>
      </c>
      <c r="AD91" s="23" t="e">
        <f t="shared" ref="AD91:AE91" si="240">AD49/AD72</f>
        <v>#DIV/0!</v>
      </c>
      <c r="AE91" s="23" t="e">
        <f t="shared" si="240"/>
        <v>#DIV/0!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4" ma:contentTypeDescription="Create a new document." ma:contentTypeScope="" ma:versionID="120c46befeed181212ee4011ffacfb7d">
  <xsd:schema xmlns:xsd="http://www.w3.org/2001/XMLSchema" xmlns:xs="http://www.w3.org/2001/XMLSchema" xmlns:p="http://schemas.microsoft.com/office/2006/metadata/properties" xmlns:ns3="36567613-e428-4167-ab55-a4f66cede826" targetNamespace="http://schemas.microsoft.com/office/2006/metadata/properties" ma:root="true" ma:fieldsID="f5f46ca8589c002687fe72246ecbcd08"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9B4B395-A628-4AF2-9AB1-05807B2F72E8}">
  <ds:schemaRefs>
    <ds:schemaRef ds:uri="http://schemas.microsoft.com/sharepoint/v3/contenttype/forms"/>
  </ds:schemaRefs>
</ds:datastoreItem>
</file>

<file path=customXml/itemProps2.xml><?xml version="1.0" encoding="utf-8"?>
<ds:datastoreItem xmlns:ds="http://schemas.openxmlformats.org/officeDocument/2006/customXml" ds:itemID="{82AF3359-AA7B-4C3F-BB32-4122371AAA35}">
  <ds:schemaRefs>
    <ds:schemaRef ds:uri="http://schemas.microsoft.com/office/infopath/2007/PartnerControls"/>
    <ds:schemaRef ds:uri="http://www.w3.org/XML/1998/namespace"/>
    <ds:schemaRef ds:uri="http://purl.org/dc/elements/1.1/"/>
    <ds:schemaRef ds:uri="http://purl.org/dc/terms/"/>
    <ds:schemaRef ds:uri="http://schemas.microsoft.com/office/2006/documentManagement/types"/>
    <ds:schemaRef ds:uri="36567613-e428-4167-ab55-a4f66cede826"/>
    <ds:schemaRef ds:uri="http://schemas.openxmlformats.org/package/2006/metadata/core-properti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66A03E89-410C-478C-95E8-7BD0AB1924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Gonzalez Herrera, Abraham</dc:creator>
  <cp:lastModifiedBy>Gonzalez Herrera, Abraham</cp:lastModifiedBy>
  <dcterms:created xsi:type="dcterms:W3CDTF">2023-02-21T16:55:27Z</dcterms:created>
  <dcterms:modified xsi:type="dcterms:W3CDTF">2024-04-24T20:05:04Z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