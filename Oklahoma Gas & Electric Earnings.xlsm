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jeccd-my.sharepoint.com/personal/abgo6476_stu_evc_edu/Documents/Earnings Models/"/>
    </mc:Choice>
  </mc:AlternateContent>
  <xr:revisionPtr revIDLastSave="806" documentId="8_{46D71FC1-06A7-4CCB-9713-B765C68316A9}" xr6:coauthVersionLast="47" xr6:coauthVersionMax="47" xr10:uidLastSave="{6B6F03EA-9095-4093-824A-8F6C9B16CF88}"/>
  <bookViews>
    <workbookView xWindow="-120" yWindow="-120" windowWidth="27930" windowHeight="16440" xr2:uid="{CD218907-FF69-440B-8102-4E26B44E461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8" i="1"/>
  <c r="Y9" i="1"/>
  <c r="Y12" i="1"/>
  <c r="Y13" i="1"/>
  <c r="Y14" i="1"/>
  <c r="Y15" i="1"/>
  <c r="Y17" i="1"/>
  <c r="Y18" i="1"/>
  <c r="Y19" i="1"/>
  <c r="Y20" i="1"/>
  <c r="Y21" i="1"/>
  <c r="Y22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7" i="1"/>
  <c r="Y4" i="1"/>
  <c r="V55" i="1" l="1"/>
  <c r="W55" i="1"/>
  <c r="X55" i="1"/>
  <c r="Z55" i="1"/>
  <c r="AA55" i="1"/>
  <c r="AA38" i="1"/>
  <c r="Z38" i="1"/>
  <c r="X38" i="1"/>
  <c r="W38" i="1"/>
  <c r="V38" i="1"/>
  <c r="V57" i="1" s="1"/>
  <c r="AA9" i="1"/>
  <c r="AA15" i="1"/>
  <c r="AA17" i="1" s="1"/>
  <c r="AA20" i="1" s="1"/>
  <c r="AA22" i="1" s="1"/>
  <c r="Z15" i="1"/>
  <c r="X15" i="1"/>
  <c r="W15" i="1"/>
  <c r="V15" i="1"/>
  <c r="AA6" i="1"/>
  <c r="Z6" i="1"/>
  <c r="Z9" i="1" s="1"/>
  <c r="X6" i="1"/>
  <c r="X9" i="1" s="1"/>
  <c r="W6" i="1"/>
  <c r="W9" i="1" s="1"/>
  <c r="V6" i="1"/>
  <c r="V9" i="1" s="1"/>
  <c r="U55" i="1"/>
  <c r="U38" i="1"/>
  <c r="U21" i="1"/>
  <c r="U19" i="1"/>
  <c r="U18" i="1"/>
  <c r="U14" i="1"/>
  <c r="U13" i="1"/>
  <c r="U12" i="1"/>
  <c r="U8" i="1"/>
  <c r="U5" i="1"/>
  <c r="U4" i="1"/>
  <c r="T55" i="1"/>
  <c r="T38" i="1"/>
  <c r="T15" i="1"/>
  <c r="T6" i="1"/>
  <c r="T9" i="1" s="1"/>
  <c r="S55" i="1"/>
  <c r="S38" i="1"/>
  <c r="S15" i="1"/>
  <c r="S6" i="1"/>
  <c r="S9" i="1" s="1"/>
  <c r="R55" i="1"/>
  <c r="R38" i="1"/>
  <c r="R15" i="1"/>
  <c r="R6" i="1"/>
  <c r="R9" i="1" s="1"/>
  <c r="R17" i="1" s="1"/>
  <c r="R20" i="1" s="1"/>
  <c r="R22" i="1" s="1"/>
  <c r="Q55" i="1"/>
  <c r="Q38" i="1"/>
  <c r="Q21" i="1"/>
  <c r="Q19" i="1"/>
  <c r="Q18" i="1"/>
  <c r="Q14" i="1"/>
  <c r="Q13" i="1"/>
  <c r="Q12" i="1"/>
  <c r="Q8" i="1"/>
  <c r="Q5" i="1"/>
  <c r="Q4" i="1"/>
  <c r="Q6" i="1" s="1"/>
  <c r="P55" i="1"/>
  <c r="P38" i="1"/>
  <c r="P15" i="1"/>
  <c r="P6" i="1"/>
  <c r="P9" i="1" s="1"/>
  <c r="O55" i="1"/>
  <c r="O38" i="1"/>
  <c r="O15" i="1"/>
  <c r="O6" i="1"/>
  <c r="O9" i="1" s="1"/>
  <c r="N55" i="1"/>
  <c r="N38" i="1"/>
  <c r="N15" i="1"/>
  <c r="N6" i="1"/>
  <c r="N9" i="1" s="1"/>
  <c r="M55" i="1"/>
  <c r="M38" i="1"/>
  <c r="M21" i="1"/>
  <c r="M19" i="1"/>
  <c r="M18" i="1"/>
  <c r="M14" i="1"/>
  <c r="M13" i="1"/>
  <c r="M12" i="1"/>
  <c r="M8" i="1"/>
  <c r="M5" i="1"/>
  <c r="M4" i="1"/>
  <c r="L55" i="1"/>
  <c r="L38" i="1"/>
  <c r="L15" i="1"/>
  <c r="L6" i="1"/>
  <c r="L9" i="1" s="1"/>
  <c r="L17" i="1" s="1"/>
  <c r="L20" i="1" s="1"/>
  <c r="L22" i="1" s="1"/>
  <c r="K55" i="1"/>
  <c r="K38" i="1"/>
  <c r="K15" i="1"/>
  <c r="K6" i="1"/>
  <c r="K9" i="1" s="1"/>
  <c r="J55" i="1"/>
  <c r="J38" i="1"/>
  <c r="J15" i="1"/>
  <c r="J6" i="1"/>
  <c r="J9" i="1" s="1"/>
  <c r="I55" i="1"/>
  <c r="I38" i="1"/>
  <c r="I21" i="1"/>
  <c r="I19" i="1"/>
  <c r="I18" i="1"/>
  <c r="I14" i="1"/>
  <c r="I13" i="1"/>
  <c r="I12" i="1"/>
  <c r="I8" i="1"/>
  <c r="I5" i="1"/>
  <c r="I4" i="1"/>
  <c r="H55" i="1"/>
  <c r="H38" i="1"/>
  <c r="H15" i="1"/>
  <c r="H6" i="1"/>
  <c r="H9" i="1" s="1"/>
  <c r="G55" i="1"/>
  <c r="G38" i="1"/>
  <c r="G15" i="1"/>
  <c r="G6" i="1"/>
  <c r="G9" i="1" s="1"/>
  <c r="F55" i="1"/>
  <c r="F38" i="1"/>
  <c r="F15" i="1"/>
  <c r="F6" i="1"/>
  <c r="F9" i="1" s="1"/>
  <c r="E55" i="1"/>
  <c r="E38" i="1"/>
  <c r="E21" i="1"/>
  <c r="E19" i="1"/>
  <c r="E18" i="1"/>
  <c r="E14" i="1"/>
  <c r="E13" i="1"/>
  <c r="E12" i="1"/>
  <c r="E8" i="1"/>
  <c r="E5" i="1"/>
  <c r="E4" i="1"/>
  <c r="D55" i="1"/>
  <c r="D38" i="1"/>
  <c r="D15" i="1"/>
  <c r="D6" i="1"/>
  <c r="D9" i="1" s="1"/>
  <c r="C55" i="1"/>
  <c r="C38" i="1"/>
  <c r="C15" i="1"/>
  <c r="C6" i="1"/>
  <c r="C9" i="1" s="1"/>
  <c r="B55" i="1"/>
  <c r="B27" i="1"/>
  <c r="B38" i="1" s="1"/>
  <c r="B15" i="1"/>
  <c r="B6" i="1"/>
  <c r="B9" i="1" s="1"/>
  <c r="P17" i="1" l="1"/>
  <c r="P20" i="1" s="1"/>
  <c r="P22" i="1" s="1"/>
  <c r="K17" i="1"/>
  <c r="K20" i="1" s="1"/>
  <c r="K22" i="1" s="1"/>
  <c r="V17" i="1"/>
  <c r="V20" i="1" s="1"/>
  <c r="V22" i="1" s="1"/>
  <c r="Z17" i="1"/>
  <c r="Z20" i="1" s="1"/>
  <c r="Z22" i="1" s="1"/>
  <c r="F17" i="1"/>
  <c r="F20" i="1" s="1"/>
  <c r="F22" i="1" s="1"/>
  <c r="X57" i="1"/>
  <c r="X17" i="1"/>
  <c r="X20" i="1" s="1"/>
  <c r="X22" i="1" s="1"/>
  <c r="Z57" i="1"/>
  <c r="W57" i="1"/>
  <c r="W17" i="1"/>
  <c r="W20" i="1" s="1"/>
  <c r="W22" i="1" s="1"/>
  <c r="T57" i="1"/>
  <c r="H17" i="1"/>
  <c r="H20" i="1" s="1"/>
  <c r="H22" i="1" s="1"/>
  <c r="R57" i="1"/>
  <c r="AA57" i="1"/>
  <c r="S17" i="1"/>
  <c r="S20" i="1" s="1"/>
  <c r="S22" i="1" s="1"/>
  <c r="N17" i="1"/>
  <c r="N20" i="1" s="1"/>
  <c r="N22" i="1" s="1"/>
  <c r="T17" i="1"/>
  <c r="T20" i="1" s="1"/>
  <c r="T22" i="1" s="1"/>
  <c r="O17" i="1"/>
  <c r="O20" i="1" s="1"/>
  <c r="O22" i="1" s="1"/>
  <c r="U6" i="1"/>
  <c r="S57" i="1"/>
  <c r="U57" i="1"/>
  <c r="Q57" i="1"/>
  <c r="U9" i="1"/>
  <c r="Q9" i="1"/>
  <c r="I6" i="1"/>
  <c r="I9" i="1" s="1"/>
  <c r="D17" i="1"/>
  <c r="D20" i="1" s="1"/>
  <c r="D22" i="1" s="1"/>
  <c r="N57" i="1"/>
  <c r="G17" i="1"/>
  <c r="G20" i="1" s="1"/>
  <c r="G22" i="1" s="1"/>
  <c r="U15" i="1"/>
  <c r="P57" i="1"/>
  <c r="O57" i="1"/>
  <c r="M57" i="1"/>
  <c r="L57" i="1"/>
  <c r="J57" i="1"/>
  <c r="H57" i="1"/>
  <c r="G57" i="1"/>
  <c r="F57" i="1"/>
  <c r="C57" i="1"/>
  <c r="E57" i="1"/>
  <c r="K57" i="1"/>
  <c r="I57" i="1"/>
  <c r="J17" i="1"/>
  <c r="J20" i="1" s="1"/>
  <c r="J22" i="1" s="1"/>
  <c r="Q15" i="1"/>
  <c r="Q17" i="1" s="1"/>
  <c r="Q20" i="1" s="1"/>
  <c r="Q22" i="1" s="1"/>
  <c r="M6" i="1"/>
  <c r="M9" i="1" s="1"/>
  <c r="D57" i="1"/>
  <c r="E6" i="1"/>
  <c r="E9" i="1" s="1"/>
  <c r="M15" i="1"/>
  <c r="I15" i="1"/>
  <c r="C17" i="1"/>
  <c r="C20" i="1" s="1"/>
  <c r="C22" i="1" s="1"/>
  <c r="E15" i="1"/>
  <c r="B17" i="1"/>
  <c r="B57" i="1"/>
  <c r="U17" i="1" l="1"/>
  <c r="U20" i="1" s="1"/>
  <c r="U22" i="1" s="1"/>
  <c r="I17" i="1"/>
  <c r="I20" i="1" s="1"/>
  <c r="I22" i="1" s="1"/>
  <c r="M17" i="1"/>
  <c r="M20" i="1" s="1"/>
  <c r="M22" i="1" s="1"/>
  <c r="E17" i="1"/>
  <c r="E20" i="1" s="1"/>
  <c r="E22" i="1" s="1"/>
  <c r="B20" i="1"/>
  <c r="B22" i="1" s="1"/>
</calcChain>
</file>

<file path=xl/sharedStrings.xml><?xml version="1.0" encoding="utf-8"?>
<sst xmlns="http://schemas.openxmlformats.org/spreadsheetml/2006/main" count="78" uniqueCount="76">
  <si>
    <t>Quarter &amp; Year</t>
  </si>
  <si>
    <t>Reported Date</t>
  </si>
  <si>
    <t>Q118</t>
  </si>
  <si>
    <t>Q218</t>
  </si>
  <si>
    <t>Q318</t>
  </si>
  <si>
    <t>Q418</t>
  </si>
  <si>
    <t>Q119</t>
  </si>
  <si>
    <t>Q219</t>
  </si>
  <si>
    <t>Q319</t>
  </si>
  <si>
    <t>Q419</t>
  </si>
  <si>
    <t>Q120</t>
  </si>
  <si>
    <t>Q220</t>
  </si>
  <si>
    <t>Q320</t>
  </si>
  <si>
    <t>Q420</t>
  </si>
  <si>
    <t>Q121</t>
  </si>
  <si>
    <t>Q221</t>
  </si>
  <si>
    <t>Q321</t>
  </si>
  <si>
    <t>Q421</t>
  </si>
  <si>
    <t>Q122</t>
  </si>
  <si>
    <t>Q222</t>
  </si>
  <si>
    <t>Q322</t>
  </si>
  <si>
    <t>Q422</t>
  </si>
  <si>
    <t>Q123</t>
  </si>
  <si>
    <t>Q223</t>
  </si>
  <si>
    <t>Revenues</t>
  </si>
  <si>
    <t>Contracts with customers</t>
  </si>
  <si>
    <t>Total revenues</t>
  </si>
  <si>
    <t>Cost of sales</t>
  </si>
  <si>
    <t>Gross profit</t>
  </si>
  <si>
    <t>Expenses</t>
  </si>
  <si>
    <t>Depreciation &amp; amortization</t>
  </si>
  <si>
    <t>Taxes other than income</t>
  </si>
  <si>
    <t>Total expenses</t>
  </si>
  <si>
    <t>Operating income (loss)</t>
  </si>
  <si>
    <t>Income before taxes</t>
  </si>
  <si>
    <t>Income tax expense</t>
  </si>
  <si>
    <t xml:space="preserve">Assets </t>
  </si>
  <si>
    <t>Current assets</t>
  </si>
  <si>
    <t>Cash &amp; cash equivalents</t>
  </si>
  <si>
    <t>Accounts receivable</t>
  </si>
  <si>
    <t>Accrued unbilled revenue</t>
  </si>
  <si>
    <t>Income taxes receivable</t>
  </si>
  <si>
    <t>Fuel inventories</t>
  </si>
  <si>
    <t>Materials &amp; supplies</t>
  </si>
  <si>
    <t>Other</t>
  </si>
  <si>
    <t>Other property &amp; investments</t>
  </si>
  <si>
    <t>Property, plant &amp; equipment, net</t>
  </si>
  <si>
    <t>Deferred charges &amp; other</t>
  </si>
  <si>
    <t>Total assets</t>
  </si>
  <si>
    <t>Liabilities</t>
  </si>
  <si>
    <t>Current liabilities</t>
  </si>
  <si>
    <t>Short-term debt</t>
  </si>
  <si>
    <t>Accounts payable</t>
  </si>
  <si>
    <t>Dividends payable</t>
  </si>
  <si>
    <t>Customer deposits</t>
  </si>
  <si>
    <t>Accrued taxes</t>
  </si>
  <si>
    <t>Accrued interest</t>
  </si>
  <si>
    <t>Accrued compensation</t>
  </si>
  <si>
    <t>Fuel clause over recoveries</t>
  </si>
  <si>
    <t>Long-term debt</t>
  </si>
  <si>
    <t>Deferred credits &amp; other</t>
  </si>
  <si>
    <t>Total liabilities</t>
  </si>
  <si>
    <t>Total equity</t>
  </si>
  <si>
    <t>Fuel clause under recoveries</t>
  </si>
  <si>
    <t>Net income (loss)</t>
  </si>
  <si>
    <t>Advances to parent</t>
  </si>
  <si>
    <t>Advances from parent</t>
  </si>
  <si>
    <t>Q323</t>
  </si>
  <si>
    <t>Q423</t>
  </si>
  <si>
    <t>Q124</t>
  </si>
  <si>
    <t>Operation &amp; maintenance</t>
  </si>
  <si>
    <t>Other income (expense), net</t>
  </si>
  <si>
    <t>Interest expense, net</t>
  </si>
  <si>
    <t>Long-term debt due within 1-year</t>
  </si>
  <si>
    <t>% Change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</si>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</sst>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4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5" fillId="0" borderId="0" xfId="1" applyNumberFormat="1" applyFont="1"/>
    <xf numFmtId="164" fontId="7" fillId="0" borderId="0" xfId="1" applyNumberFormat="1" applyFont="1"/>
    <xf numFmtId="164" fontId="3" fillId="0" borderId="0" xfId="1" applyNumberFormat="1" applyFont="1"/>
    <xf numFmtId="164" fontId="2" fillId="0" borderId="0" xfId="1" applyNumberFormat="1" applyFont="1"/>
    <xf numFmtId="0" fontId="4" fillId="2" borderId="0" xfId="0" applyFont="1" applyFill="1" applyAlignment="1">
      <alignment vertical="center" wrapText="1"/>
    </xf>
    <xf numFmtId="0" fontId="7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2" borderId="0" xfId="0" applyFont="1" applyFill="1" applyAlignment="1">
      <alignment horizontal="center"/>
    </xf>
    <xf numFmtId="164" fontId="1" fillId="0" borderId="0" xfId="1" applyNumberFormat="1" applyFont="1"/>
    <xf numFmtId="0" fontId="7" fillId="0" borderId="0" xfId="0" applyFont="1" applyAlignment="1">
      <alignment horizontal="left" wrapText="1" indent="1"/>
    </xf>
    <xf numFmtId="0" fontId="3" fillId="0" borderId="0" xfId="0" applyFont="1" applyAlignment="1">
      <alignment horizontal="left" wrapText="1" indent="1"/>
    </xf>
    <xf numFmtId="0" fontId="7" fillId="0" borderId="0" xfId="0" applyFont="1" applyAlignment="1">
      <alignment horizontal="left" wrapText="1" indent="2"/>
    </xf>
    <xf numFmtId="0" fontId="3" fillId="0" borderId="0" xfId="0" applyFont="1" applyAlignment="1">
      <alignment horizontal="left" wrapText="1" indent="2"/>
    </xf>
    <xf numFmtId="0" fontId="2" fillId="0" borderId="0" xfId="0" applyFont="1" applyAlignment="1">
      <alignment horizontal="left" wrapText="1" indent="2"/>
    </xf>
    <xf numFmtId="0" fontId="7" fillId="0" borderId="0" xfId="0" applyFont="1" applyAlignment="1">
      <alignment horizontal="left" wrapText="1" indent="3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 indent="1"/>
    </xf>
    <xf numFmtId="0" fontId="1" fillId="0" borderId="0" xfId="0" applyFont="1" applyAlignment="1">
      <alignment horizontal="left" wrapText="1" indent="2"/>
    </xf>
    <xf numFmtId="9" fontId="8" fillId="0" borderId="0" xfId="2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667A-8B3A-43F8-9127-2CCF9535A020}">
  <dimension ref="A1:AJ57"/>
  <sheetViews>
    <sheetView tabSelected="1" zoomScale="125" zoomScaleNormal="125" workbookViewId="0">
      <pane xSplit="1" topLeftCell="Q1" activePane="topRight" state="frozen"/>
      <selection pane="topRight" activeCell="Y17" sqref="Y17"/>
    </sheetView>
  </sheetViews>
  <sheetFormatPr defaultColWidth="12.7109375" defaultRowHeight="12.75" x14ac:dyDescent="0.2"/>
  <cols>
    <col min="1" max="1" width="25.7109375" style="12" customWidth="1"/>
    <col min="2" max="23" width="12.7109375" style="3" customWidth="1"/>
    <col min="24" max="24" width="12.7109375" style="3"/>
    <col min="25" max="25" width="10.7109375" style="3" customWidth="1"/>
    <col min="26" max="16384" width="12.7109375" style="3"/>
  </cols>
  <sheetData>
    <row r="1" spans="1:36" s="13" customFormat="1" ht="15" customHeight="1" x14ac:dyDescent="0.2">
      <c r="A1" s="7" t="s">
        <v>1</v>
      </c>
      <c r="B1" s="1">
        <v>43190</v>
      </c>
      <c r="C1" s="1">
        <v>43281</v>
      </c>
      <c r="D1" s="1">
        <v>43373</v>
      </c>
      <c r="E1" s="1">
        <v>43465</v>
      </c>
      <c r="F1" s="1">
        <v>43555</v>
      </c>
      <c r="G1" s="1">
        <v>43646</v>
      </c>
      <c r="H1" s="1">
        <v>43738</v>
      </c>
      <c r="I1" s="1">
        <v>43830</v>
      </c>
      <c r="J1" s="1">
        <v>43921</v>
      </c>
      <c r="K1" s="1">
        <v>44012</v>
      </c>
      <c r="L1" s="1">
        <v>44104</v>
      </c>
      <c r="M1" s="1">
        <v>44196</v>
      </c>
      <c r="N1" s="1">
        <v>44286</v>
      </c>
      <c r="O1" s="1">
        <v>44377</v>
      </c>
      <c r="P1" s="1">
        <v>44469</v>
      </c>
      <c r="Q1" s="1">
        <v>44561</v>
      </c>
      <c r="R1" s="1">
        <v>44651</v>
      </c>
      <c r="S1" s="1">
        <v>44742</v>
      </c>
      <c r="T1" s="1">
        <v>44834</v>
      </c>
      <c r="U1" s="1">
        <v>44926</v>
      </c>
      <c r="V1" s="1">
        <v>45016</v>
      </c>
      <c r="W1" s="1">
        <v>45107</v>
      </c>
      <c r="X1" s="1">
        <v>45199</v>
      </c>
      <c r="Y1" s="1" t="s">
        <v>74</v>
      </c>
      <c r="Z1" s="1">
        <v>45291</v>
      </c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s="13" customFormat="1" ht="15" customHeight="1" x14ac:dyDescent="0.2">
      <c r="A2" s="7" t="s">
        <v>0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2" t="s">
        <v>22</v>
      </c>
      <c r="W2" s="2" t="s">
        <v>23</v>
      </c>
      <c r="X2" s="2" t="s">
        <v>67</v>
      </c>
      <c r="Y2" s="2" t="s">
        <v>75</v>
      </c>
      <c r="Z2" s="2" t="s">
        <v>68</v>
      </c>
      <c r="AA2" s="2" t="s">
        <v>69</v>
      </c>
      <c r="AB2" s="2"/>
      <c r="AC2" s="2"/>
      <c r="AD2" s="2"/>
      <c r="AE2" s="2"/>
      <c r="AF2" s="2"/>
      <c r="AG2" s="2"/>
      <c r="AH2" s="2"/>
      <c r="AI2" s="2"/>
      <c r="AJ2" s="2"/>
    </row>
    <row r="3" spans="1:36" x14ac:dyDescent="0.2">
      <c r="A3" s="8" t="s">
        <v>24</v>
      </c>
    </row>
    <row r="4" spans="1:36" x14ac:dyDescent="0.2">
      <c r="A4" s="9" t="s">
        <v>25</v>
      </c>
      <c r="B4" s="3">
        <v>477.9</v>
      </c>
      <c r="C4" s="3">
        <v>547.70000000000005</v>
      </c>
      <c r="D4" s="3">
        <v>684.5</v>
      </c>
      <c r="E4" s="3">
        <f>2211.7-SUM(B4:D4)</f>
        <v>501.59999999999991</v>
      </c>
      <c r="F4" s="3">
        <v>477.4</v>
      </c>
      <c r="G4" s="3">
        <v>501.1</v>
      </c>
      <c r="H4" s="3">
        <v>739.2</v>
      </c>
      <c r="I4" s="3">
        <f>2175.5-SUM(F4:H4)</f>
        <v>457.79999999999995</v>
      </c>
      <c r="J4" s="3">
        <v>420.4</v>
      </c>
      <c r="K4" s="3">
        <v>492</v>
      </c>
      <c r="L4" s="3">
        <v>687.8</v>
      </c>
      <c r="M4" s="3">
        <f>2069.8-SUM(J4:L4)</f>
        <v>469.60000000000036</v>
      </c>
      <c r="N4" s="3">
        <v>1621</v>
      </c>
      <c r="O4" s="3">
        <v>564.5</v>
      </c>
      <c r="P4" s="3">
        <v>848.2</v>
      </c>
      <c r="Q4" s="3">
        <f>3588.7-SUM(N4:P4)</f>
        <v>555</v>
      </c>
      <c r="R4" s="3">
        <v>578.1</v>
      </c>
      <c r="S4" s="3">
        <v>791</v>
      </c>
      <c r="T4" s="3">
        <v>1250.5999999999999</v>
      </c>
      <c r="U4" s="3">
        <f>3304.2-SUM(R4:T4)</f>
        <v>684.5</v>
      </c>
      <c r="V4" s="3">
        <v>544.6</v>
      </c>
      <c r="W4" s="3">
        <v>589.20000000000005</v>
      </c>
      <c r="X4" s="3">
        <v>923</v>
      </c>
      <c r="Y4" s="24">
        <f>(X4-T4)/T4</f>
        <v>-0.26195426195426191</v>
      </c>
    </row>
    <row r="5" spans="1:36" x14ac:dyDescent="0.2">
      <c r="A5" s="10" t="s">
        <v>44</v>
      </c>
      <c r="B5" s="3">
        <v>14.8</v>
      </c>
      <c r="C5" s="3">
        <v>19.3</v>
      </c>
      <c r="D5" s="3">
        <v>14.3</v>
      </c>
      <c r="E5" s="3">
        <f>58.6-SUM(B5:D5)</f>
        <v>10.199999999999996</v>
      </c>
      <c r="F5" s="3">
        <v>12.6</v>
      </c>
      <c r="G5" s="3">
        <v>12.6</v>
      </c>
      <c r="H5" s="3">
        <v>16.2</v>
      </c>
      <c r="I5" s="3">
        <f>56.1-SUM(F5:H5)</f>
        <v>14.700000000000003</v>
      </c>
      <c r="J5" s="3">
        <v>10.9</v>
      </c>
      <c r="K5" s="3">
        <v>11.5</v>
      </c>
      <c r="L5" s="3">
        <v>14.3</v>
      </c>
      <c r="M5" s="3">
        <f>52.5-SUM(J5:L5)</f>
        <v>15.799999999999997</v>
      </c>
      <c r="N5" s="3">
        <v>9.6</v>
      </c>
      <c r="O5" s="3">
        <v>12.9</v>
      </c>
      <c r="P5" s="3">
        <v>16.2</v>
      </c>
      <c r="Q5" s="3">
        <f>65-SUM(N5:P5)</f>
        <v>26.299999999999997</v>
      </c>
      <c r="R5" s="3">
        <v>11.2</v>
      </c>
      <c r="S5" s="3">
        <v>12.7</v>
      </c>
      <c r="T5" s="3">
        <v>20.2</v>
      </c>
      <c r="U5" s="3">
        <f>71.5-SUM(R5:T5)</f>
        <v>27.400000000000006</v>
      </c>
      <c r="V5" s="3">
        <v>12.6</v>
      </c>
      <c r="W5" s="3">
        <v>15.8</v>
      </c>
      <c r="X5" s="3">
        <v>22.4</v>
      </c>
      <c r="Y5" s="24">
        <f t="shared" ref="Y5:Y57" si="0">(X5-T5)/T5</f>
        <v>0.10891089108910888</v>
      </c>
    </row>
    <row r="6" spans="1:36" s="14" customFormat="1" x14ac:dyDescent="0.2">
      <c r="A6" s="8" t="s">
        <v>26</v>
      </c>
      <c r="B6" s="4">
        <f t="shared" ref="B6:AA6" si="1">SUM(B4:B5)</f>
        <v>492.7</v>
      </c>
      <c r="C6" s="4">
        <f t="shared" si="1"/>
        <v>567</v>
      </c>
      <c r="D6" s="4">
        <f t="shared" si="1"/>
        <v>698.8</v>
      </c>
      <c r="E6" s="4">
        <f t="shared" si="1"/>
        <v>511.7999999999999</v>
      </c>
      <c r="F6" s="4">
        <f t="shared" si="1"/>
        <v>490</v>
      </c>
      <c r="G6" s="4">
        <f t="shared" si="1"/>
        <v>513.70000000000005</v>
      </c>
      <c r="H6" s="4">
        <f t="shared" si="1"/>
        <v>755.40000000000009</v>
      </c>
      <c r="I6" s="4">
        <f t="shared" si="1"/>
        <v>472.49999999999994</v>
      </c>
      <c r="J6" s="4">
        <f t="shared" si="1"/>
        <v>431.29999999999995</v>
      </c>
      <c r="K6" s="4">
        <f t="shared" si="1"/>
        <v>503.5</v>
      </c>
      <c r="L6" s="4">
        <f t="shared" si="1"/>
        <v>702.09999999999991</v>
      </c>
      <c r="M6" s="4">
        <f t="shared" si="1"/>
        <v>485.40000000000038</v>
      </c>
      <c r="N6" s="4">
        <f t="shared" si="1"/>
        <v>1630.6</v>
      </c>
      <c r="O6" s="4">
        <f t="shared" si="1"/>
        <v>577.4</v>
      </c>
      <c r="P6" s="4">
        <f t="shared" si="1"/>
        <v>864.40000000000009</v>
      </c>
      <c r="Q6" s="4">
        <f t="shared" si="1"/>
        <v>581.29999999999995</v>
      </c>
      <c r="R6" s="4">
        <f t="shared" si="1"/>
        <v>589.30000000000007</v>
      </c>
      <c r="S6" s="4">
        <f t="shared" si="1"/>
        <v>803.7</v>
      </c>
      <c r="T6" s="4">
        <f t="shared" si="1"/>
        <v>1270.8</v>
      </c>
      <c r="U6" s="4">
        <f t="shared" si="1"/>
        <v>711.9</v>
      </c>
      <c r="V6" s="4">
        <f t="shared" si="1"/>
        <v>557.20000000000005</v>
      </c>
      <c r="W6" s="4">
        <f t="shared" si="1"/>
        <v>605</v>
      </c>
      <c r="X6" s="4">
        <f t="shared" si="1"/>
        <v>945.4</v>
      </c>
      <c r="Y6" s="24">
        <f t="shared" si="0"/>
        <v>-0.25605917532263139</v>
      </c>
      <c r="Z6" s="4">
        <f t="shared" si="1"/>
        <v>0</v>
      </c>
      <c r="AA6" s="4">
        <f t="shared" si="1"/>
        <v>0</v>
      </c>
    </row>
    <row r="7" spans="1:36" s="14" customFormat="1" x14ac:dyDescent="0.2">
      <c r="A7" s="8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24"/>
      <c r="Z7" s="4"/>
      <c r="AA7" s="4"/>
    </row>
    <row r="8" spans="1:36" s="4" customFormat="1" x14ac:dyDescent="0.2">
      <c r="A8" s="8" t="s">
        <v>27</v>
      </c>
      <c r="B8" s="4">
        <v>210.5</v>
      </c>
      <c r="C8" s="4">
        <v>208.7</v>
      </c>
      <c r="D8" s="4">
        <v>244.4</v>
      </c>
      <c r="E8" s="4">
        <f>892.5-SUM(B8:D8)</f>
        <v>228.89999999999998</v>
      </c>
      <c r="F8" s="4">
        <v>212.6</v>
      </c>
      <c r="G8" s="4">
        <v>178.7</v>
      </c>
      <c r="H8" s="4">
        <v>234</v>
      </c>
      <c r="I8" s="4">
        <f>786.9-SUM(F8:H8)</f>
        <v>161.60000000000002</v>
      </c>
      <c r="J8" s="4">
        <v>135</v>
      </c>
      <c r="K8" s="4">
        <v>137.4</v>
      </c>
      <c r="L8" s="4">
        <v>209.1</v>
      </c>
      <c r="M8" s="4">
        <f>644.6-SUM(J8:L8)</f>
        <v>163.10000000000002</v>
      </c>
      <c r="N8" s="4">
        <v>1346.8</v>
      </c>
      <c r="O8" s="4">
        <v>200</v>
      </c>
      <c r="P8" s="4">
        <v>330.1</v>
      </c>
      <c r="Q8" s="4">
        <f>2127.6-SUM(N8:P8)</f>
        <v>250.69999999999982</v>
      </c>
      <c r="R8" s="4">
        <v>255.7</v>
      </c>
      <c r="S8" s="4">
        <v>393.3</v>
      </c>
      <c r="T8" s="4">
        <v>673.8</v>
      </c>
      <c r="U8" s="4">
        <f>1662.4-SUM(R8:T8)</f>
        <v>339.60000000000014</v>
      </c>
      <c r="V8" s="4">
        <v>200.6</v>
      </c>
      <c r="W8" s="4">
        <v>181.8</v>
      </c>
      <c r="X8" s="4">
        <v>333.8</v>
      </c>
      <c r="Y8" s="24">
        <f t="shared" si="0"/>
        <v>-0.50460077174235674</v>
      </c>
    </row>
    <row r="9" spans="1:36" s="4" customFormat="1" x14ac:dyDescent="0.2">
      <c r="A9" s="8" t="s">
        <v>28</v>
      </c>
      <c r="B9" s="4">
        <f t="shared" ref="B9:AA9" si="2">B6-B8</f>
        <v>282.2</v>
      </c>
      <c r="C9" s="4">
        <f t="shared" si="2"/>
        <v>358.3</v>
      </c>
      <c r="D9" s="4">
        <f t="shared" si="2"/>
        <v>454.4</v>
      </c>
      <c r="E9" s="4">
        <f t="shared" si="2"/>
        <v>282.89999999999992</v>
      </c>
      <c r="F9" s="4">
        <f t="shared" si="2"/>
        <v>277.39999999999998</v>
      </c>
      <c r="G9" s="4">
        <f t="shared" si="2"/>
        <v>335.00000000000006</v>
      </c>
      <c r="H9" s="4">
        <f t="shared" si="2"/>
        <v>521.40000000000009</v>
      </c>
      <c r="I9" s="4">
        <f t="shared" si="2"/>
        <v>310.89999999999992</v>
      </c>
      <c r="J9" s="4">
        <f t="shared" si="2"/>
        <v>296.29999999999995</v>
      </c>
      <c r="K9" s="4">
        <f t="shared" si="2"/>
        <v>366.1</v>
      </c>
      <c r="L9" s="4">
        <f t="shared" si="2"/>
        <v>492.99999999999989</v>
      </c>
      <c r="M9" s="4">
        <f t="shared" si="2"/>
        <v>322.30000000000035</v>
      </c>
      <c r="N9" s="4">
        <f t="shared" si="2"/>
        <v>283.79999999999995</v>
      </c>
      <c r="O9" s="4">
        <f t="shared" si="2"/>
        <v>377.4</v>
      </c>
      <c r="P9" s="4">
        <f t="shared" si="2"/>
        <v>534.30000000000007</v>
      </c>
      <c r="Q9" s="4">
        <f t="shared" si="2"/>
        <v>330.60000000000014</v>
      </c>
      <c r="R9" s="4">
        <f t="shared" si="2"/>
        <v>333.60000000000008</v>
      </c>
      <c r="S9" s="4">
        <f t="shared" si="2"/>
        <v>410.40000000000003</v>
      </c>
      <c r="T9" s="4">
        <f t="shared" si="2"/>
        <v>597</v>
      </c>
      <c r="U9" s="4">
        <f t="shared" si="2"/>
        <v>372.29999999999984</v>
      </c>
      <c r="V9" s="4">
        <f t="shared" si="2"/>
        <v>356.6</v>
      </c>
      <c r="W9" s="4">
        <f t="shared" si="2"/>
        <v>423.2</v>
      </c>
      <c r="X9" s="4">
        <f t="shared" si="2"/>
        <v>611.59999999999991</v>
      </c>
      <c r="Y9" s="24">
        <f t="shared" si="0"/>
        <v>2.4455611390284605E-2</v>
      </c>
      <c r="Z9" s="4">
        <f t="shared" si="2"/>
        <v>0</v>
      </c>
      <c r="AA9" s="4">
        <f t="shared" si="2"/>
        <v>0</v>
      </c>
    </row>
    <row r="10" spans="1:36" x14ac:dyDescent="0.2">
      <c r="Y10" s="24"/>
    </row>
    <row r="11" spans="1:36" x14ac:dyDescent="0.2">
      <c r="A11" s="11" t="s">
        <v>29</v>
      </c>
      <c r="Y11" s="24"/>
    </row>
    <row r="12" spans="1:36" x14ac:dyDescent="0.2">
      <c r="A12" s="22" t="s">
        <v>70</v>
      </c>
      <c r="B12" s="3">
        <v>118.8</v>
      </c>
      <c r="C12" s="3">
        <v>123.2</v>
      </c>
      <c r="D12" s="3">
        <v>123.3</v>
      </c>
      <c r="E12" s="3">
        <f>474.6-SUM(B12:D12)</f>
        <v>109.30000000000001</v>
      </c>
      <c r="F12" s="3">
        <v>119</v>
      </c>
      <c r="G12" s="3">
        <v>119.8</v>
      </c>
      <c r="H12" s="3">
        <v>129.80000000000001</v>
      </c>
      <c r="I12" s="3">
        <f>491.8-SUM(F12:H12)</f>
        <v>123.19999999999999</v>
      </c>
      <c r="J12" s="3">
        <v>120</v>
      </c>
      <c r="K12" s="3">
        <v>117.5</v>
      </c>
      <c r="L12" s="3">
        <v>109.7</v>
      </c>
      <c r="M12" s="3">
        <f>464.4-SUM(J12:L12)</f>
        <v>117.19999999999999</v>
      </c>
      <c r="N12" s="3">
        <v>109.3</v>
      </c>
      <c r="O12" s="3">
        <v>119.2</v>
      </c>
      <c r="P12" s="3">
        <v>115.4</v>
      </c>
      <c r="Q12" s="3">
        <f>464.7-SUM(N12:P12)</f>
        <v>120.80000000000001</v>
      </c>
      <c r="R12" s="3">
        <v>115</v>
      </c>
      <c r="S12" s="3">
        <v>118.1</v>
      </c>
      <c r="T12" s="3">
        <v>131.4</v>
      </c>
      <c r="U12" s="3">
        <f>491.9-SUM(R12:T12)</f>
        <v>127.39999999999998</v>
      </c>
      <c r="V12" s="3">
        <v>130.4</v>
      </c>
      <c r="W12" s="3">
        <v>128.30000000000001</v>
      </c>
      <c r="X12" s="3">
        <v>122.7</v>
      </c>
      <c r="Y12" s="24">
        <f t="shared" si="0"/>
        <v>-6.6210045662100481E-2</v>
      </c>
    </row>
    <row r="13" spans="1:36" x14ac:dyDescent="0.2">
      <c r="A13" s="16" t="s">
        <v>30</v>
      </c>
      <c r="B13" s="3">
        <v>78.8</v>
      </c>
      <c r="C13" s="3">
        <v>80.900000000000006</v>
      </c>
      <c r="D13" s="3">
        <v>81.099999999999994</v>
      </c>
      <c r="E13" s="3">
        <f>321.6-SUM(B13:D13)</f>
        <v>80.80000000000004</v>
      </c>
      <c r="F13" s="3">
        <v>82.4</v>
      </c>
      <c r="G13" s="3">
        <v>84.3</v>
      </c>
      <c r="H13" s="3">
        <v>94.1</v>
      </c>
      <c r="I13" s="3">
        <f>355-SUM(F13:H13)</f>
        <v>94.200000000000045</v>
      </c>
      <c r="J13" s="3">
        <v>94.4</v>
      </c>
      <c r="K13" s="3">
        <v>97.3</v>
      </c>
      <c r="L13" s="3">
        <v>100.5</v>
      </c>
      <c r="M13" s="3">
        <f>391.3-SUM(J13:L13)</f>
        <v>99.100000000000023</v>
      </c>
      <c r="N13" s="3">
        <v>98.7</v>
      </c>
      <c r="O13" s="3">
        <v>102.9</v>
      </c>
      <c r="P13" s="3">
        <v>108.6</v>
      </c>
      <c r="Q13" s="3">
        <f>416-SUM(N13:P13)</f>
        <v>105.79999999999995</v>
      </c>
      <c r="R13" s="3">
        <v>107.4</v>
      </c>
      <c r="S13" s="3">
        <v>111.6</v>
      </c>
      <c r="T13" s="3">
        <v>122.4</v>
      </c>
      <c r="U13" s="3">
        <f>460.9-SUM(R13:T13)</f>
        <v>119.5</v>
      </c>
      <c r="V13" s="3">
        <v>121.2</v>
      </c>
      <c r="W13" s="3">
        <v>124.1</v>
      </c>
      <c r="X13" s="3">
        <v>132.5</v>
      </c>
      <c r="Y13" s="24">
        <f t="shared" si="0"/>
        <v>8.2516339869281002E-2</v>
      </c>
    </row>
    <row r="14" spans="1:36" x14ac:dyDescent="0.2">
      <c r="A14" s="16" t="s">
        <v>31</v>
      </c>
      <c r="B14" s="3">
        <v>24.1</v>
      </c>
      <c r="C14" s="3">
        <v>22.5</v>
      </c>
      <c r="D14" s="3">
        <v>22.7</v>
      </c>
      <c r="E14" s="3">
        <f>92-SUM(B14:D14)</f>
        <v>22.700000000000003</v>
      </c>
      <c r="F14" s="3">
        <v>26.3</v>
      </c>
      <c r="G14" s="3">
        <v>20.9</v>
      </c>
      <c r="H14" s="3">
        <v>23.2</v>
      </c>
      <c r="I14" s="3">
        <f>93.6-SUM(F14:H14)</f>
        <v>23.199999999999989</v>
      </c>
      <c r="J14" s="3">
        <v>25.6</v>
      </c>
      <c r="K14" s="3">
        <v>25.9</v>
      </c>
      <c r="L14" s="3">
        <v>24.8</v>
      </c>
      <c r="M14" s="3">
        <f>97.2-SUM(J14:L14)</f>
        <v>20.900000000000006</v>
      </c>
      <c r="N14" s="3">
        <v>27.2</v>
      </c>
      <c r="O14" s="3">
        <v>25.8</v>
      </c>
      <c r="P14" s="3">
        <v>25.5</v>
      </c>
      <c r="Q14" s="3">
        <f>99.3-SUM(N14:P14)</f>
        <v>20.799999999999997</v>
      </c>
      <c r="R14" s="3">
        <v>28.1</v>
      </c>
      <c r="S14" s="3">
        <v>24.1</v>
      </c>
      <c r="T14" s="3">
        <v>25.3</v>
      </c>
      <c r="U14" s="3">
        <f>98-SUM(R14:T14)</f>
        <v>20.5</v>
      </c>
      <c r="V14" s="3">
        <v>28.5</v>
      </c>
      <c r="W14" s="3">
        <v>24.4</v>
      </c>
      <c r="X14" s="3">
        <v>25.3</v>
      </c>
      <c r="Y14" s="24">
        <f t="shared" si="0"/>
        <v>0</v>
      </c>
    </row>
    <row r="15" spans="1:36" s="4" customFormat="1" x14ac:dyDescent="0.2">
      <c r="A15" s="17" t="s">
        <v>32</v>
      </c>
      <c r="B15" s="4">
        <f t="shared" ref="B15:AA15" si="3">SUM(B12:B14)</f>
        <v>221.7</v>
      </c>
      <c r="C15" s="4">
        <f t="shared" si="3"/>
        <v>226.60000000000002</v>
      </c>
      <c r="D15" s="4">
        <f t="shared" si="3"/>
        <v>227.09999999999997</v>
      </c>
      <c r="E15" s="4">
        <f t="shared" si="3"/>
        <v>212.80000000000007</v>
      </c>
      <c r="F15" s="4">
        <f t="shared" si="3"/>
        <v>227.70000000000002</v>
      </c>
      <c r="G15" s="4">
        <f t="shared" si="3"/>
        <v>225</v>
      </c>
      <c r="H15" s="4">
        <f t="shared" si="3"/>
        <v>247.1</v>
      </c>
      <c r="I15" s="4">
        <f t="shared" si="3"/>
        <v>240.60000000000002</v>
      </c>
      <c r="J15" s="4">
        <f t="shared" si="3"/>
        <v>240</v>
      </c>
      <c r="K15" s="4">
        <f t="shared" si="3"/>
        <v>240.70000000000002</v>
      </c>
      <c r="L15" s="4">
        <f t="shared" si="3"/>
        <v>235</v>
      </c>
      <c r="M15" s="4">
        <f t="shared" si="3"/>
        <v>237.20000000000002</v>
      </c>
      <c r="N15" s="4">
        <f t="shared" si="3"/>
        <v>235.2</v>
      </c>
      <c r="O15" s="4">
        <f t="shared" si="3"/>
        <v>247.90000000000003</v>
      </c>
      <c r="P15" s="4">
        <f t="shared" si="3"/>
        <v>249.5</v>
      </c>
      <c r="Q15" s="4">
        <f t="shared" si="3"/>
        <v>247.39999999999998</v>
      </c>
      <c r="R15" s="4">
        <f t="shared" si="3"/>
        <v>250.5</v>
      </c>
      <c r="S15" s="4">
        <f t="shared" si="3"/>
        <v>253.79999999999998</v>
      </c>
      <c r="T15" s="4">
        <f t="shared" si="3"/>
        <v>279.10000000000002</v>
      </c>
      <c r="U15" s="4">
        <f t="shared" si="3"/>
        <v>267.39999999999998</v>
      </c>
      <c r="V15" s="4">
        <f t="shared" si="3"/>
        <v>280.10000000000002</v>
      </c>
      <c r="W15" s="4">
        <f t="shared" si="3"/>
        <v>276.8</v>
      </c>
      <c r="X15" s="4">
        <f t="shared" si="3"/>
        <v>280.5</v>
      </c>
      <c r="Y15" s="24">
        <f t="shared" si="0"/>
        <v>5.0161232533141422E-3</v>
      </c>
      <c r="Z15" s="4">
        <f t="shared" si="3"/>
        <v>0</v>
      </c>
      <c r="AA15" s="4">
        <f t="shared" si="3"/>
        <v>0</v>
      </c>
    </row>
    <row r="16" spans="1:36" x14ac:dyDescent="0.2">
      <c r="Y16" s="24"/>
    </row>
    <row r="17" spans="1:27" s="4" customFormat="1" x14ac:dyDescent="0.2">
      <c r="A17" s="11" t="s">
        <v>33</v>
      </c>
      <c r="B17" s="4">
        <f t="shared" ref="B17:AA17" si="4">B9-B15</f>
        <v>60.5</v>
      </c>
      <c r="C17" s="4">
        <f t="shared" si="4"/>
        <v>131.69999999999999</v>
      </c>
      <c r="D17" s="4">
        <f t="shared" si="4"/>
        <v>227.3</v>
      </c>
      <c r="E17" s="4">
        <f t="shared" si="4"/>
        <v>70.099999999999852</v>
      </c>
      <c r="F17" s="4">
        <f t="shared" si="4"/>
        <v>49.69999999999996</v>
      </c>
      <c r="G17" s="4">
        <f t="shared" si="4"/>
        <v>110.00000000000006</v>
      </c>
      <c r="H17" s="4">
        <f t="shared" si="4"/>
        <v>274.30000000000007</v>
      </c>
      <c r="I17" s="4">
        <f t="shared" si="4"/>
        <v>70.299999999999898</v>
      </c>
      <c r="J17" s="4">
        <f t="shared" si="4"/>
        <v>56.299999999999955</v>
      </c>
      <c r="K17" s="4">
        <f t="shared" si="4"/>
        <v>125.4</v>
      </c>
      <c r="L17" s="4">
        <f t="shared" si="4"/>
        <v>257.99999999999989</v>
      </c>
      <c r="M17" s="4">
        <f t="shared" si="4"/>
        <v>85.100000000000335</v>
      </c>
      <c r="N17" s="4">
        <f t="shared" si="4"/>
        <v>48.599999999999966</v>
      </c>
      <c r="O17" s="4">
        <f t="shared" si="4"/>
        <v>129.49999999999994</v>
      </c>
      <c r="P17" s="4">
        <f t="shared" si="4"/>
        <v>284.80000000000007</v>
      </c>
      <c r="Q17" s="4">
        <f t="shared" si="4"/>
        <v>83.200000000000159</v>
      </c>
      <c r="R17" s="4">
        <f t="shared" si="4"/>
        <v>83.10000000000008</v>
      </c>
      <c r="S17" s="4">
        <f t="shared" si="4"/>
        <v>156.60000000000005</v>
      </c>
      <c r="T17" s="4">
        <f t="shared" si="4"/>
        <v>317.89999999999998</v>
      </c>
      <c r="U17" s="4">
        <f t="shared" si="4"/>
        <v>104.89999999999986</v>
      </c>
      <c r="V17" s="4">
        <f t="shared" si="4"/>
        <v>76.5</v>
      </c>
      <c r="W17" s="4">
        <f t="shared" si="4"/>
        <v>146.39999999999998</v>
      </c>
      <c r="X17" s="4">
        <f t="shared" si="4"/>
        <v>331.09999999999991</v>
      </c>
      <c r="Y17" s="24">
        <f t="shared" si="0"/>
        <v>4.1522491349480758E-2</v>
      </c>
      <c r="Z17" s="4">
        <f t="shared" si="4"/>
        <v>0</v>
      </c>
      <c r="AA17" s="4">
        <f t="shared" si="4"/>
        <v>0</v>
      </c>
    </row>
    <row r="18" spans="1:27" s="5" customFormat="1" x14ac:dyDescent="0.2">
      <c r="A18" s="21" t="s">
        <v>71</v>
      </c>
      <c r="B18" s="5">
        <v>43.2</v>
      </c>
      <c r="C18" s="5">
        <v>37.799999999999997</v>
      </c>
      <c r="D18" s="5">
        <v>46.8</v>
      </c>
      <c r="E18" s="3">
        <f>164.1-SUM(B18:D18)</f>
        <v>36.299999999999997</v>
      </c>
      <c r="F18" s="5">
        <v>26.2</v>
      </c>
      <c r="G18" s="5">
        <v>37.299999999999997</v>
      </c>
      <c r="H18" s="5">
        <v>37</v>
      </c>
      <c r="I18" s="3">
        <f>107-SUM(F18:H18)</f>
        <v>6.5</v>
      </c>
      <c r="J18" s="5">
        <v>-744.4</v>
      </c>
      <c r="K18" s="5">
        <v>28.9</v>
      </c>
      <c r="L18" s="5">
        <v>15</v>
      </c>
      <c r="M18" s="3">
        <f>4.1-SUM(J18:L18)</f>
        <v>704.6</v>
      </c>
      <c r="N18" s="5">
        <v>54.1</v>
      </c>
      <c r="O18" s="5">
        <v>33.4</v>
      </c>
      <c r="P18" s="5">
        <v>43.3</v>
      </c>
      <c r="Q18" s="3">
        <f>7.7-SUM(N18:P18)</f>
        <v>-123.10000000000001</v>
      </c>
      <c r="R18" s="5">
        <v>291.60000000000002</v>
      </c>
      <c r="S18" s="5">
        <v>-27.9</v>
      </c>
      <c r="T18" s="5">
        <v>38.700000000000003</v>
      </c>
      <c r="U18" s="3">
        <f>11.2-SUM(R18:T18)</f>
        <v>-291.20000000000005</v>
      </c>
      <c r="V18" s="5">
        <v>16.399999999999999</v>
      </c>
      <c r="W18" s="5">
        <v>14.5</v>
      </c>
      <c r="X18" s="5">
        <v>6.6</v>
      </c>
      <c r="Y18" s="24">
        <f t="shared" si="0"/>
        <v>-0.8294573643410853</v>
      </c>
    </row>
    <row r="19" spans="1:27" s="5" customFormat="1" x14ac:dyDescent="0.2">
      <c r="A19" s="21" t="s">
        <v>72</v>
      </c>
      <c r="B19" s="5">
        <v>38.6</v>
      </c>
      <c r="C19" s="5">
        <v>40.9</v>
      </c>
      <c r="D19" s="5">
        <v>38.700000000000003</v>
      </c>
      <c r="E19" s="3">
        <f>156-SUM(B19:D19)</f>
        <v>37.799999999999997</v>
      </c>
      <c r="F19" s="5">
        <v>34.6</v>
      </c>
      <c r="G19" s="5">
        <v>35.9</v>
      </c>
      <c r="H19" s="5">
        <v>39.6</v>
      </c>
      <c r="I19" s="3">
        <f>147.9-SUM(F19:H19)</f>
        <v>37.800000000000011</v>
      </c>
      <c r="J19" s="5">
        <v>38.299999999999997</v>
      </c>
      <c r="K19" s="5">
        <v>40.799999999999997</v>
      </c>
      <c r="L19" s="5">
        <v>39.799999999999997</v>
      </c>
      <c r="M19" s="3">
        <f>154.8-SUM(J19:L19)</f>
        <v>35.90000000000002</v>
      </c>
      <c r="N19" s="5">
        <v>39.4</v>
      </c>
      <c r="O19" s="5">
        <v>39.9</v>
      </c>
      <c r="P19" s="5">
        <v>39.5</v>
      </c>
      <c r="Q19" s="3">
        <f>152-SUM(N19:P19)</f>
        <v>33.200000000000003</v>
      </c>
      <c r="R19" s="5">
        <v>40.1</v>
      </c>
      <c r="S19" s="5">
        <v>42.4</v>
      </c>
      <c r="T19" s="5">
        <v>42.2</v>
      </c>
      <c r="U19" s="3">
        <f>157.8-SUM(R19:T19)</f>
        <v>33.100000000000009</v>
      </c>
      <c r="V19" s="5">
        <v>47.8</v>
      </c>
      <c r="W19" s="14">
        <v>57.7</v>
      </c>
      <c r="X19" s="5">
        <v>57.4</v>
      </c>
      <c r="Y19" s="24">
        <f t="shared" si="0"/>
        <v>0.36018957345971553</v>
      </c>
    </row>
    <row r="20" spans="1:27" x14ac:dyDescent="0.2">
      <c r="A20" s="16" t="s">
        <v>34</v>
      </c>
      <c r="B20" s="3">
        <f t="shared" ref="B20:AA20" si="5">SUM(B17:B18)-B19</f>
        <v>65.099999999999994</v>
      </c>
      <c r="C20" s="3">
        <f t="shared" si="5"/>
        <v>128.6</v>
      </c>
      <c r="D20" s="3">
        <f t="shared" si="5"/>
        <v>235.40000000000003</v>
      </c>
      <c r="E20" s="3">
        <f t="shared" si="5"/>
        <v>68.599999999999852</v>
      </c>
      <c r="F20" s="3">
        <f t="shared" si="5"/>
        <v>41.299999999999962</v>
      </c>
      <c r="G20" s="3">
        <f t="shared" si="5"/>
        <v>111.40000000000006</v>
      </c>
      <c r="H20" s="3">
        <f t="shared" si="5"/>
        <v>271.70000000000005</v>
      </c>
      <c r="I20" s="3">
        <f t="shared" si="5"/>
        <v>38.999999999999886</v>
      </c>
      <c r="J20" s="3">
        <f t="shared" si="5"/>
        <v>-726.4</v>
      </c>
      <c r="K20" s="3">
        <f t="shared" si="5"/>
        <v>113.50000000000001</v>
      </c>
      <c r="L20" s="3">
        <f t="shared" si="5"/>
        <v>233.19999999999987</v>
      </c>
      <c r="M20" s="3">
        <f t="shared" si="5"/>
        <v>753.80000000000041</v>
      </c>
      <c r="N20" s="3">
        <f t="shared" si="5"/>
        <v>63.299999999999962</v>
      </c>
      <c r="O20" s="3">
        <f t="shared" si="5"/>
        <v>122.99999999999994</v>
      </c>
      <c r="P20" s="3">
        <f t="shared" si="5"/>
        <v>288.60000000000008</v>
      </c>
      <c r="Q20" s="3">
        <f t="shared" si="5"/>
        <v>-73.099999999999852</v>
      </c>
      <c r="R20" s="3">
        <f t="shared" si="5"/>
        <v>334.60000000000008</v>
      </c>
      <c r="S20" s="3">
        <f t="shared" si="5"/>
        <v>86.30000000000004</v>
      </c>
      <c r="T20" s="3">
        <f t="shared" si="5"/>
        <v>314.39999999999998</v>
      </c>
      <c r="U20" s="3">
        <f t="shared" si="5"/>
        <v>-219.4000000000002</v>
      </c>
      <c r="V20" s="3">
        <f t="shared" si="5"/>
        <v>45.100000000000009</v>
      </c>
      <c r="W20" s="3">
        <f t="shared" si="5"/>
        <v>103.19999999999997</v>
      </c>
      <c r="X20" s="3">
        <f t="shared" si="5"/>
        <v>280.29999999999995</v>
      </c>
      <c r="Y20" s="24">
        <f t="shared" si="0"/>
        <v>-0.10846055979643773</v>
      </c>
      <c r="Z20" s="3">
        <f t="shared" si="5"/>
        <v>0</v>
      </c>
      <c r="AA20" s="3">
        <f t="shared" si="5"/>
        <v>0</v>
      </c>
    </row>
    <row r="21" spans="1:27" x14ac:dyDescent="0.2">
      <c r="A21" s="16" t="s">
        <v>35</v>
      </c>
      <c r="B21" s="3">
        <v>10.1</v>
      </c>
      <c r="C21" s="3">
        <v>17.899999999999999</v>
      </c>
      <c r="D21" s="3">
        <v>30.3</v>
      </c>
      <c r="E21" s="3">
        <f>72.2-SUM(B21:D21)</f>
        <v>13.900000000000006</v>
      </c>
      <c r="F21" s="3">
        <v>-5.8</v>
      </c>
      <c r="G21" s="3">
        <v>11.2</v>
      </c>
      <c r="H21" s="3">
        <v>20.8</v>
      </c>
      <c r="I21" s="3">
        <f>29.8-SUM(F21:H21)</f>
        <v>3.6000000000000014</v>
      </c>
      <c r="J21" s="3">
        <v>-234.6</v>
      </c>
      <c r="K21" s="3">
        <v>27.6</v>
      </c>
      <c r="L21" s="3">
        <v>55.8</v>
      </c>
      <c r="M21" s="3">
        <f>34.7-SUM(J21:L21)</f>
        <v>185.89999999999998</v>
      </c>
      <c r="N21" s="3">
        <v>10.6</v>
      </c>
      <c r="O21" s="3">
        <v>10.1</v>
      </c>
      <c r="P21" s="3">
        <v>36.1</v>
      </c>
      <c r="Q21" s="3">
        <f>41.8-SUM(N21:P21)</f>
        <v>-15</v>
      </c>
      <c r="R21" s="3">
        <v>55.1</v>
      </c>
      <c r="S21" s="3">
        <v>13.2</v>
      </c>
      <c r="T21" s="3">
        <v>51.6</v>
      </c>
      <c r="U21" s="3">
        <f>76.4-SUM(R21:T21)</f>
        <v>-43.5</v>
      </c>
      <c r="V21" s="3">
        <v>6.8</v>
      </c>
      <c r="W21" s="3">
        <v>14.8</v>
      </c>
      <c r="X21" s="3">
        <v>38.4</v>
      </c>
      <c r="Y21" s="24">
        <f t="shared" si="0"/>
        <v>-0.25581395348837216</v>
      </c>
    </row>
    <row r="22" spans="1:27" s="4" customFormat="1" x14ac:dyDescent="0.2">
      <c r="A22" s="17" t="s">
        <v>64</v>
      </c>
      <c r="B22" s="4">
        <f t="shared" ref="B22:AA22" si="6">B20-B21</f>
        <v>54.999999999999993</v>
      </c>
      <c r="C22" s="4">
        <f t="shared" si="6"/>
        <v>110.69999999999999</v>
      </c>
      <c r="D22" s="4">
        <f t="shared" si="6"/>
        <v>205.10000000000002</v>
      </c>
      <c r="E22" s="4">
        <f t="shared" si="6"/>
        <v>54.699999999999847</v>
      </c>
      <c r="F22" s="4">
        <f t="shared" si="6"/>
        <v>47.099999999999959</v>
      </c>
      <c r="G22" s="4">
        <f t="shared" si="6"/>
        <v>100.20000000000006</v>
      </c>
      <c r="H22" s="4">
        <f t="shared" si="6"/>
        <v>250.90000000000003</v>
      </c>
      <c r="I22" s="4">
        <f t="shared" si="6"/>
        <v>35.399999999999885</v>
      </c>
      <c r="J22" s="4">
        <f t="shared" si="6"/>
        <v>-491.79999999999995</v>
      </c>
      <c r="K22" s="4">
        <f t="shared" si="6"/>
        <v>85.9</v>
      </c>
      <c r="L22" s="4">
        <f t="shared" si="6"/>
        <v>177.39999999999986</v>
      </c>
      <c r="M22" s="4">
        <f t="shared" si="6"/>
        <v>567.90000000000043</v>
      </c>
      <c r="N22" s="4">
        <f t="shared" si="6"/>
        <v>52.69999999999996</v>
      </c>
      <c r="O22" s="4">
        <f t="shared" si="6"/>
        <v>112.89999999999995</v>
      </c>
      <c r="P22" s="4">
        <f t="shared" si="6"/>
        <v>252.50000000000009</v>
      </c>
      <c r="Q22" s="4">
        <f t="shared" si="6"/>
        <v>-58.099999999999852</v>
      </c>
      <c r="R22" s="4">
        <f t="shared" si="6"/>
        <v>279.50000000000006</v>
      </c>
      <c r="S22" s="4">
        <f t="shared" si="6"/>
        <v>73.100000000000037</v>
      </c>
      <c r="T22" s="4">
        <f t="shared" si="6"/>
        <v>262.79999999999995</v>
      </c>
      <c r="U22" s="4">
        <f t="shared" si="6"/>
        <v>-175.9000000000002</v>
      </c>
      <c r="V22" s="4">
        <f t="shared" si="6"/>
        <v>38.300000000000011</v>
      </c>
      <c r="W22" s="4">
        <f t="shared" si="6"/>
        <v>88.399999999999977</v>
      </c>
      <c r="X22" s="4">
        <f t="shared" si="6"/>
        <v>241.89999999999995</v>
      </c>
      <c r="Y22" s="24">
        <f t="shared" si="0"/>
        <v>-7.952815829528162E-2</v>
      </c>
      <c r="Z22" s="4">
        <f t="shared" si="6"/>
        <v>0</v>
      </c>
      <c r="AA22" s="4">
        <f t="shared" si="6"/>
        <v>0</v>
      </c>
    </row>
    <row r="23" spans="1:27" x14ac:dyDescent="0.2">
      <c r="Y23" s="24"/>
    </row>
    <row r="24" spans="1:27" x14ac:dyDescent="0.2">
      <c r="A24" s="11" t="s">
        <v>36</v>
      </c>
      <c r="Y24" s="24"/>
    </row>
    <row r="25" spans="1:27" x14ac:dyDescent="0.2">
      <c r="A25" s="15" t="s">
        <v>37</v>
      </c>
      <c r="Y25" s="24"/>
    </row>
    <row r="26" spans="1:27" x14ac:dyDescent="0.2">
      <c r="A26" s="18" t="s">
        <v>38</v>
      </c>
      <c r="B26" s="3">
        <v>2.2999999999999998</v>
      </c>
      <c r="C26" s="3">
        <v>0</v>
      </c>
      <c r="D26" s="3">
        <v>90.7</v>
      </c>
      <c r="E26" s="3">
        <v>94.3</v>
      </c>
      <c r="F26" s="3">
        <v>0</v>
      </c>
      <c r="G26" s="3">
        <v>0</v>
      </c>
      <c r="H26" s="3">
        <v>13.2</v>
      </c>
      <c r="I26" s="3">
        <v>0</v>
      </c>
      <c r="J26" s="3">
        <v>145.9</v>
      </c>
      <c r="K26" s="3">
        <v>67.5</v>
      </c>
      <c r="L26" s="3">
        <v>32</v>
      </c>
      <c r="M26" s="3">
        <v>0</v>
      </c>
      <c r="N26" s="3">
        <v>0</v>
      </c>
      <c r="O26" s="3">
        <v>0</v>
      </c>
      <c r="P26" s="3">
        <v>1.5</v>
      </c>
      <c r="Q26" s="3">
        <v>0</v>
      </c>
      <c r="R26" s="3">
        <v>0</v>
      </c>
      <c r="S26" s="3">
        <v>4.9000000000000004</v>
      </c>
      <c r="T26" s="3">
        <v>456.2</v>
      </c>
      <c r="U26" s="3">
        <v>0</v>
      </c>
      <c r="V26" s="3">
        <v>307</v>
      </c>
      <c r="W26" s="3">
        <v>0.3</v>
      </c>
      <c r="X26" s="3">
        <v>2.8</v>
      </c>
      <c r="Y26" s="24">
        <f t="shared" si="0"/>
        <v>-0.99386234107847438</v>
      </c>
    </row>
    <row r="27" spans="1:27" x14ac:dyDescent="0.2">
      <c r="A27" s="18" t="s">
        <v>39</v>
      </c>
      <c r="B27" s="3">
        <f>6.9+177.6</f>
        <v>184.5</v>
      </c>
      <c r="C27" s="3">
        <v>221.2</v>
      </c>
      <c r="D27" s="3">
        <v>245.2</v>
      </c>
      <c r="E27" s="3">
        <v>174.7</v>
      </c>
      <c r="F27" s="3">
        <v>163.5</v>
      </c>
      <c r="G27" s="3">
        <v>163.6</v>
      </c>
      <c r="H27" s="3">
        <v>226.6</v>
      </c>
      <c r="I27" s="3">
        <v>153.80000000000001</v>
      </c>
      <c r="J27" s="3">
        <v>143.4</v>
      </c>
      <c r="K27" s="3">
        <v>160.6</v>
      </c>
      <c r="L27" s="3">
        <v>209.5</v>
      </c>
      <c r="M27" s="3">
        <v>156.30000000000001</v>
      </c>
      <c r="N27" s="3">
        <v>139.5</v>
      </c>
      <c r="O27" s="3">
        <v>173.2</v>
      </c>
      <c r="P27" s="3">
        <v>242.3</v>
      </c>
      <c r="Q27" s="3">
        <v>162</v>
      </c>
      <c r="R27" s="3">
        <v>164.6</v>
      </c>
      <c r="S27" s="3">
        <v>249.9</v>
      </c>
      <c r="T27" s="3">
        <v>320.7</v>
      </c>
      <c r="U27" s="3">
        <v>249.4</v>
      </c>
      <c r="V27" s="3">
        <v>215.8</v>
      </c>
      <c r="W27" s="3">
        <v>262.2</v>
      </c>
      <c r="X27" s="3">
        <v>351.4</v>
      </c>
      <c r="Y27" s="24">
        <f t="shared" si="0"/>
        <v>9.5728094792641064E-2</v>
      </c>
    </row>
    <row r="28" spans="1:27" x14ac:dyDescent="0.2">
      <c r="A28" s="18" t="s">
        <v>40</v>
      </c>
      <c r="B28" s="3">
        <v>57.8</v>
      </c>
      <c r="C28" s="3">
        <v>87.8</v>
      </c>
      <c r="D28" s="3">
        <v>68.3</v>
      </c>
      <c r="E28" s="3">
        <v>62.6</v>
      </c>
      <c r="F28" s="3">
        <v>54.6</v>
      </c>
      <c r="G28" s="3">
        <v>86.2</v>
      </c>
      <c r="H28" s="3">
        <v>87.6</v>
      </c>
      <c r="I28" s="3">
        <v>64.7</v>
      </c>
      <c r="J28" s="3">
        <v>58.9</v>
      </c>
      <c r="K28" s="3">
        <v>93.7</v>
      </c>
      <c r="L28" s="3">
        <v>71.900000000000006</v>
      </c>
      <c r="M28" s="3">
        <v>67.7</v>
      </c>
      <c r="N28" s="3">
        <v>59.9</v>
      </c>
      <c r="O28" s="3">
        <v>94.7</v>
      </c>
      <c r="P28" s="3">
        <v>82.5</v>
      </c>
      <c r="Q28" s="3">
        <v>65</v>
      </c>
      <c r="R28" s="3">
        <v>62.3</v>
      </c>
      <c r="S28" s="3">
        <v>97.2</v>
      </c>
      <c r="T28" s="3">
        <v>81.5</v>
      </c>
      <c r="U28" s="3">
        <v>74.2</v>
      </c>
      <c r="V28" s="3">
        <v>65.099999999999994</v>
      </c>
      <c r="W28" s="3">
        <v>94.1</v>
      </c>
      <c r="X28" s="3">
        <v>86.2</v>
      </c>
      <c r="Y28" s="24">
        <f t="shared" si="0"/>
        <v>5.7668711656441753E-2</v>
      </c>
    </row>
    <row r="29" spans="1:27" hidden="1" x14ac:dyDescent="0.2">
      <c r="A29" s="19" t="s">
        <v>65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272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91</v>
      </c>
      <c r="V29" s="3">
        <v>0</v>
      </c>
      <c r="Y29" s="24" t="e">
        <f t="shared" si="0"/>
        <v>#DIV/0!</v>
      </c>
    </row>
    <row r="30" spans="1:27" x14ac:dyDescent="0.2">
      <c r="A30" s="18" t="s">
        <v>41</v>
      </c>
      <c r="B30" s="3">
        <v>6.3</v>
      </c>
      <c r="C30" s="3">
        <v>7.8</v>
      </c>
      <c r="D30" s="3">
        <v>13.5</v>
      </c>
      <c r="E30" s="3">
        <v>9.9</v>
      </c>
      <c r="F30" s="3">
        <v>15.2</v>
      </c>
      <c r="G30" s="3">
        <v>6.3</v>
      </c>
      <c r="H30" s="3">
        <v>12.6</v>
      </c>
      <c r="I30" s="3">
        <v>10.9</v>
      </c>
      <c r="J30" s="3">
        <v>0.8</v>
      </c>
      <c r="K30" s="3">
        <v>0.5</v>
      </c>
      <c r="L30" s="3">
        <v>0.9</v>
      </c>
      <c r="M30" s="3">
        <v>0</v>
      </c>
      <c r="N30" s="3">
        <v>6.4</v>
      </c>
      <c r="O30" s="3">
        <v>4.0999999999999996</v>
      </c>
      <c r="P30" s="3">
        <v>0.5</v>
      </c>
      <c r="Q30" s="3">
        <v>0</v>
      </c>
      <c r="R30" s="3">
        <v>1</v>
      </c>
      <c r="S30" s="3">
        <v>2.5</v>
      </c>
      <c r="T30" s="3">
        <v>0.1</v>
      </c>
      <c r="U30" s="3">
        <v>0</v>
      </c>
      <c r="V30" s="3">
        <v>14.8</v>
      </c>
      <c r="W30" s="3">
        <v>6.8</v>
      </c>
      <c r="X30" s="3">
        <v>6.5</v>
      </c>
      <c r="Y30" s="24">
        <f t="shared" si="0"/>
        <v>64</v>
      </c>
    </row>
    <row r="31" spans="1:27" x14ac:dyDescent="0.2">
      <c r="A31" s="18" t="s">
        <v>42</v>
      </c>
      <c r="B31" s="3">
        <v>95.4</v>
      </c>
      <c r="C31" s="3">
        <v>81.099999999999994</v>
      </c>
      <c r="D31" s="3">
        <v>64.5</v>
      </c>
      <c r="E31" s="3">
        <v>57.6</v>
      </c>
      <c r="F31" s="3">
        <v>48.3</v>
      </c>
      <c r="G31" s="3">
        <v>47.9</v>
      </c>
      <c r="H31" s="3">
        <v>43.6</v>
      </c>
      <c r="I31" s="3">
        <v>46.3</v>
      </c>
      <c r="J31" s="3">
        <v>45.5</v>
      </c>
      <c r="K31" s="3">
        <v>42.7</v>
      </c>
      <c r="L31" s="3">
        <v>36.5</v>
      </c>
      <c r="M31" s="3">
        <v>36.5</v>
      </c>
      <c r="N31" s="3">
        <v>39.4</v>
      </c>
      <c r="O31" s="3">
        <v>46.1</v>
      </c>
      <c r="P31" s="3">
        <v>35</v>
      </c>
      <c r="Q31" s="3">
        <v>40.6</v>
      </c>
      <c r="R31" s="3">
        <v>64.3</v>
      </c>
      <c r="S31" s="3">
        <v>80.599999999999994</v>
      </c>
      <c r="T31" s="3">
        <v>85.3</v>
      </c>
      <c r="U31" s="3">
        <v>108.8</v>
      </c>
      <c r="V31" s="3">
        <v>128.6</v>
      </c>
      <c r="W31" s="3">
        <v>117.7</v>
      </c>
      <c r="X31" s="3">
        <v>123.6</v>
      </c>
      <c r="Y31" s="24">
        <f t="shared" si="0"/>
        <v>0.44900351699882762</v>
      </c>
    </row>
    <row r="32" spans="1:27" x14ac:dyDescent="0.2">
      <c r="A32" s="18" t="s">
        <v>43</v>
      </c>
      <c r="B32" s="3">
        <v>101.4</v>
      </c>
      <c r="C32" s="3">
        <v>130.30000000000001</v>
      </c>
      <c r="D32" s="3">
        <v>132.19999999999999</v>
      </c>
      <c r="E32" s="3">
        <v>126.7</v>
      </c>
      <c r="F32" s="3">
        <v>112.8</v>
      </c>
      <c r="G32" s="3">
        <v>86.9</v>
      </c>
      <c r="H32" s="3">
        <v>93.5</v>
      </c>
      <c r="I32" s="3">
        <v>90.6</v>
      </c>
      <c r="J32" s="3">
        <v>97.2</v>
      </c>
      <c r="K32" s="3">
        <v>98.8</v>
      </c>
      <c r="L32" s="3">
        <v>107</v>
      </c>
      <c r="M32" s="3">
        <v>116.2</v>
      </c>
      <c r="N32" s="3">
        <v>121.9</v>
      </c>
      <c r="O32" s="3">
        <v>119</v>
      </c>
      <c r="P32" s="3">
        <v>111.4</v>
      </c>
      <c r="Q32" s="3">
        <v>117.9</v>
      </c>
      <c r="R32" s="3">
        <v>119.5</v>
      </c>
      <c r="S32" s="3">
        <v>130.9</v>
      </c>
      <c r="T32" s="3">
        <v>157.69999999999999</v>
      </c>
      <c r="U32" s="3">
        <v>180.5</v>
      </c>
      <c r="V32" s="3">
        <v>198.7</v>
      </c>
      <c r="W32" s="3">
        <v>216</v>
      </c>
      <c r="X32" s="3">
        <v>230.6</v>
      </c>
      <c r="Y32" s="24">
        <f t="shared" si="0"/>
        <v>0.46227013316423599</v>
      </c>
    </row>
    <row r="33" spans="1:27" ht="25.5" x14ac:dyDescent="0.2">
      <c r="A33" s="18" t="s">
        <v>63</v>
      </c>
      <c r="B33" s="3">
        <v>0</v>
      </c>
      <c r="C33" s="3">
        <v>0</v>
      </c>
      <c r="D33" s="3">
        <v>0</v>
      </c>
      <c r="E33" s="3">
        <v>2</v>
      </c>
      <c r="F33" s="3">
        <v>24.5</v>
      </c>
      <c r="G33" s="3">
        <v>30.7</v>
      </c>
      <c r="H33" s="3">
        <v>48.7</v>
      </c>
      <c r="I33" s="3">
        <v>39.5</v>
      </c>
      <c r="J33" s="3">
        <v>0</v>
      </c>
      <c r="K33" s="3">
        <v>0</v>
      </c>
      <c r="L33" s="3">
        <v>0</v>
      </c>
      <c r="M33" s="3">
        <v>0</v>
      </c>
      <c r="N33" s="3">
        <v>91.8</v>
      </c>
      <c r="O33" s="3">
        <v>0.4</v>
      </c>
      <c r="P33" s="3">
        <v>98.2</v>
      </c>
      <c r="Q33" s="3">
        <v>151.9</v>
      </c>
      <c r="R33" s="3">
        <v>182.3</v>
      </c>
      <c r="S33" s="3">
        <v>271.7</v>
      </c>
      <c r="T33" s="3">
        <v>507.2</v>
      </c>
      <c r="U33" s="3">
        <v>514.9</v>
      </c>
      <c r="V33" s="3">
        <v>370.1</v>
      </c>
      <c r="W33" s="3">
        <v>198.3</v>
      </c>
      <c r="X33" s="3">
        <v>53</v>
      </c>
      <c r="Y33" s="24">
        <f t="shared" si="0"/>
        <v>-0.89550473186119872</v>
      </c>
    </row>
    <row r="34" spans="1:27" x14ac:dyDescent="0.2">
      <c r="A34" s="18" t="s">
        <v>44</v>
      </c>
      <c r="B34" s="3">
        <v>45.8</v>
      </c>
      <c r="C34" s="3">
        <v>32.6</v>
      </c>
      <c r="D34" s="3">
        <v>27.6</v>
      </c>
      <c r="E34" s="3">
        <v>29.5</v>
      </c>
      <c r="F34" s="3">
        <v>35.200000000000003</v>
      </c>
      <c r="G34" s="3">
        <v>34</v>
      </c>
      <c r="H34" s="3">
        <v>23.3</v>
      </c>
      <c r="I34" s="3">
        <v>24.4</v>
      </c>
      <c r="J34" s="3">
        <v>30.8</v>
      </c>
      <c r="K34" s="3">
        <v>35.200000000000003</v>
      </c>
      <c r="L34" s="3">
        <v>30.7</v>
      </c>
      <c r="M34" s="3">
        <v>36.9</v>
      </c>
      <c r="N34" s="3">
        <v>43.8</v>
      </c>
      <c r="O34" s="3">
        <v>47.1</v>
      </c>
      <c r="P34" s="3">
        <v>55.6</v>
      </c>
      <c r="Q34" s="3">
        <v>67.7</v>
      </c>
      <c r="R34" s="3">
        <v>63.4</v>
      </c>
      <c r="S34" s="3">
        <v>866</v>
      </c>
      <c r="T34" s="3">
        <v>104.1</v>
      </c>
      <c r="U34" s="3">
        <v>97.8</v>
      </c>
      <c r="V34" s="3">
        <v>101</v>
      </c>
      <c r="W34" s="3">
        <v>55.7</v>
      </c>
      <c r="X34" s="3">
        <v>51</v>
      </c>
      <c r="Y34" s="24">
        <f t="shared" si="0"/>
        <v>-0.51008645533141206</v>
      </c>
    </row>
    <row r="35" spans="1:27" ht="25.5" x14ac:dyDescent="0.2">
      <c r="A35" s="18" t="s">
        <v>45</v>
      </c>
      <c r="B35" s="3">
        <v>1236.8</v>
      </c>
      <c r="C35" s="3">
        <v>1230.5999999999999</v>
      </c>
      <c r="D35" s="3">
        <v>1238.3</v>
      </c>
      <c r="E35" s="3">
        <v>1250.9000000000001</v>
      </c>
      <c r="F35" s="3">
        <v>1250.9000000000001</v>
      </c>
      <c r="G35" s="3">
        <v>1252.7</v>
      </c>
      <c r="H35" s="3">
        <v>1259.0999999999999</v>
      </c>
      <c r="I35" s="3">
        <v>1234.2</v>
      </c>
      <c r="J35" s="3">
        <v>447.4</v>
      </c>
      <c r="K35" s="3">
        <v>455.7</v>
      </c>
      <c r="L35" s="3">
        <v>459</v>
      </c>
      <c r="M35" s="3">
        <v>4.0999999999999996</v>
      </c>
      <c r="N35" s="3">
        <v>519.20000000000005</v>
      </c>
      <c r="O35" s="3">
        <v>542</v>
      </c>
      <c r="P35" s="3">
        <v>569.70000000000005</v>
      </c>
      <c r="Q35" s="3">
        <v>3.9</v>
      </c>
      <c r="R35" s="3">
        <v>1184</v>
      </c>
      <c r="S35" s="3">
        <v>487.1</v>
      </c>
      <c r="T35" s="3">
        <v>104.6</v>
      </c>
      <c r="U35" s="3">
        <v>4.4000000000000004</v>
      </c>
      <c r="V35" s="3">
        <v>107.1</v>
      </c>
      <c r="W35" s="3">
        <v>108.7</v>
      </c>
      <c r="X35" s="3">
        <v>111.4</v>
      </c>
      <c r="Y35" s="24">
        <f t="shared" si="0"/>
        <v>6.5009560229445623E-2</v>
      </c>
    </row>
    <row r="36" spans="1:27" ht="25.5" x14ac:dyDescent="0.2">
      <c r="A36" s="18" t="s">
        <v>46</v>
      </c>
      <c r="B36" s="3">
        <v>8393.1</v>
      </c>
      <c r="C36" s="3">
        <v>8473.1</v>
      </c>
      <c r="D36" s="3">
        <v>8557</v>
      </c>
      <c r="E36" s="3">
        <v>8643.7999999999993</v>
      </c>
      <c r="F36" s="3">
        <v>8769.4</v>
      </c>
      <c r="G36" s="3">
        <v>8877.5</v>
      </c>
      <c r="H36" s="3">
        <v>8961.2000000000007</v>
      </c>
      <c r="I36" s="3">
        <v>9044.6</v>
      </c>
      <c r="J36" s="3">
        <v>9091</v>
      </c>
      <c r="K36" s="3">
        <v>9172.1</v>
      </c>
      <c r="L36" s="3">
        <v>9234</v>
      </c>
      <c r="M36" s="3">
        <v>9368.5</v>
      </c>
      <c r="N36" s="3">
        <v>9474.5</v>
      </c>
      <c r="O36" s="3">
        <v>9575.2000000000007</v>
      </c>
      <c r="P36" s="3">
        <v>9695.9</v>
      </c>
      <c r="Q36" s="3">
        <v>9826.7999999999993</v>
      </c>
      <c r="R36" s="3">
        <v>9971.2999999999993</v>
      </c>
      <c r="S36" s="3">
        <v>10118</v>
      </c>
      <c r="T36" s="3">
        <v>10267.799999999999</v>
      </c>
      <c r="U36" s="3">
        <v>10540.7</v>
      </c>
      <c r="V36" s="3">
        <v>10719.7</v>
      </c>
      <c r="W36" s="3">
        <v>10939.6</v>
      </c>
      <c r="X36" s="3">
        <v>11114</v>
      </c>
      <c r="Y36" s="24">
        <f t="shared" si="0"/>
        <v>8.241298038528222E-2</v>
      </c>
    </row>
    <row r="37" spans="1:27" x14ac:dyDescent="0.2">
      <c r="A37" s="18" t="s">
        <v>47</v>
      </c>
      <c r="B37" s="3">
        <v>313</v>
      </c>
      <c r="C37" s="3">
        <v>279.10000000000002</v>
      </c>
      <c r="D37" s="3">
        <v>265.7</v>
      </c>
      <c r="E37" s="3">
        <v>296.60000000000002</v>
      </c>
      <c r="F37" s="3">
        <v>287.2</v>
      </c>
      <c r="G37" s="3">
        <v>300.39999999999998</v>
      </c>
      <c r="H37" s="3">
        <v>314.3</v>
      </c>
      <c r="I37" s="3">
        <v>315.3</v>
      </c>
      <c r="J37" s="3">
        <v>310</v>
      </c>
      <c r="K37" s="6">
        <v>312.3</v>
      </c>
      <c r="L37" s="3">
        <v>316.10000000000002</v>
      </c>
      <c r="M37" s="3">
        <v>430.8</v>
      </c>
      <c r="N37" s="3">
        <v>1292.3</v>
      </c>
      <c r="O37" s="3">
        <v>1297.7</v>
      </c>
      <c r="P37" s="3">
        <v>1284.9000000000001</v>
      </c>
      <c r="Q37" s="3">
        <v>1252.2</v>
      </c>
      <c r="R37" s="3">
        <v>1280.9000000000001</v>
      </c>
      <c r="S37" s="3">
        <v>529.20000000000005</v>
      </c>
      <c r="T37" s="3">
        <v>518.79999999999995</v>
      </c>
      <c r="U37" s="3">
        <v>548.79999999999995</v>
      </c>
      <c r="V37" s="3">
        <v>562.4</v>
      </c>
      <c r="W37" s="3">
        <v>605.20000000000005</v>
      </c>
      <c r="X37" s="3">
        <v>612.70000000000005</v>
      </c>
      <c r="Y37" s="24">
        <f t="shared" si="0"/>
        <v>0.18099460292983827</v>
      </c>
    </row>
    <row r="38" spans="1:27" s="4" customFormat="1" x14ac:dyDescent="0.2">
      <c r="A38" s="20" t="s">
        <v>48</v>
      </c>
      <c r="B38" s="4">
        <f t="shared" ref="B38:AA38" si="7">SUM(B26:B37)</f>
        <v>10436.4</v>
      </c>
      <c r="C38" s="4">
        <f t="shared" si="7"/>
        <v>10543.6</v>
      </c>
      <c r="D38" s="4">
        <f t="shared" si="7"/>
        <v>10703</v>
      </c>
      <c r="E38" s="4">
        <f t="shared" si="7"/>
        <v>10748.6</v>
      </c>
      <c r="F38" s="4">
        <f t="shared" si="7"/>
        <v>10761.6</v>
      </c>
      <c r="G38" s="4">
        <f t="shared" si="7"/>
        <v>10886.199999999999</v>
      </c>
      <c r="H38" s="4">
        <f t="shared" si="7"/>
        <v>11083.7</v>
      </c>
      <c r="I38" s="4">
        <f t="shared" si="7"/>
        <v>11024.3</v>
      </c>
      <c r="J38" s="4">
        <f t="shared" si="7"/>
        <v>10370.9</v>
      </c>
      <c r="K38" s="4">
        <f t="shared" si="7"/>
        <v>10439.1</v>
      </c>
      <c r="L38" s="4">
        <f t="shared" si="7"/>
        <v>10497.6</v>
      </c>
      <c r="M38" s="4">
        <f t="shared" si="7"/>
        <v>10489</v>
      </c>
      <c r="N38" s="4">
        <f t="shared" si="7"/>
        <v>11788.699999999999</v>
      </c>
      <c r="O38" s="4">
        <f t="shared" si="7"/>
        <v>11899.500000000002</v>
      </c>
      <c r="P38" s="4">
        <f t="shared" si="7"/>
        <v>12177.5</v>
      </c>
      <c r="Q38" s="4">
        <f t="shared" si="7"/>
        <v>11688</v>
      </c>
      <c r="R38" s="4">
        <f t="shared" si="7"/>
        <v>13093.599999999999</v>
      </c>
      <c r="S38" s="4">
        <f t="shared" si="7"/>
        <v>12838</v>
      </c>
      <c r="T38" s="4">
        <f t="shared" si="7"/>
        <v>12603.999999999998</v>
      </c>
      <c r="U38" s="4">
        <f t="shared" si="7"/>
        <v>12410.5</v>
      </c>
      <c r="V38" s="4">
        <f t="shared" si="7"/>
        <v>12790.300000000001</v>
      </c>
      <c r="W38" s="4">
        <f t="shared" si="7"/>
        <v>12604.600000000002</v>
      </c>
      <c r="X38" s="4">
        <f t="shared" si="7"/>
        <v>12743.2</v>
      </c>
      <c r="Y38" s="24">
        <f t="shared" si="0"/>
        <v>1.1044112980006552E-2</v>
      </c>
      <c r="Z38" s="4">
        <f t="shared" si="7"/>
        <v>0</v>
      </c>
      <c r="AA38" s="4">
        <f t="shared" si="7"/>
        <v>0</v>
      </c>
    </row>
    <row r="39" spans="1:27" x14ac:dyDescent="0.2">
      <c r="Y39" s="24"/>
    </row>
    <row r="40" spans="1:27" x14ac:dyDescent="0.2">
      <c r="A40" s="11" t="s">
        <v>49</v>
      </c>
      <c r="Y40" s="24"/>
    </row>
    <row r="41" spans="1:27" x14ac:dyDescent="0.2">
      <c r="A41" s="15" t="s">
        <v>50</v>
      </c>
      <c r="Y41" s="24"/>
    </row>
    <row r="42" spans="1:27" x14ac:dyDescent="0.2">
      <c r="A42" s="18" t="s">
        <v>51</v>
      </c>
      <c r="B42" s="3">
        <v>193.9</v>
      </c>
      <c r="C42" s="3">
        <v>200.1</v>
      </c>
      <c r="D42" s="3">
        <v>0</v>
      </c>
      <c r="E42" s="3">
        <v>0</v>
      </c>
      <c r="F42" s="3">
        <v>366.4</v>
      </c>
      <c r="G42" s="3">
        <v>207.5</v>
      </c>
      <c r="H42" s="3">
        <v>168.8</v>
      </c>
      <c r="I42" s="3">
        <v>112</v>
      </c>
      <c r="J42" s="3">
        <v>375</v>
      </c>
      <c r="K42" s="3">
        <v>75</v>
      </c>
      <c r="L42" s="3">
        <v>0</v>
      </c>
      <c r="M42" s="3">
        <v>0</v>
      </c>
      <c r="N42" s="3">
        <v>1278</v>
      </c>
      <c r="O42" s="3">
        <v>384.5</v>
      </c>
      <c r="P42" s="3">
        <v>383.2</v>
      </c>
      <c r="Q42" s="3">
        <v>0</v>
      </c>
      <c r="R42" s="3">
        <v>731.5</v>
      </c>
      <c r="S42" s="3">
        <v>425.4</v>
      </c>
      <c r="T42" s="3">
        <v>0</v>
      </c>
      <c r="U42" s="3">
        <v>0</v>
      </c>
      <c r="V42" s="3">
        <v>0</v>
      </c>
      <c r="W42" s="3">
        <v>418.1</v>
      </c>
      <c r="X42" s="3">
        <v>411.4</v>
      </c>
      <c r="Y42" s="24" t="e">
        <f t="shared" si="0"/>
        <v>#DIV/0!</v>
      </c>
    </row>
    <row r="43" spans="1:27" hidden="1" x14ac:dyDescent="0.2">
      <c r="A43" s="19" t="s">
        <v>66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101.3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Y43" s="24" t="e">
        <f t="shared" si="0"/>
        <v>#DIV/0!</v>
      </c>
    </row>
    <row r="44" spans="1:27" x14ac:dyDescent="0.2">
      <c r="A44" s="18" t="s">
        <v>52</v>
      </c>
      <c r="B44" s="3">
        <v>181</v>
      </c>
      <c r="C44" s="3">
        <v>161.4</v>
      </c>
      <c r="D44" s="3">
        <v>171.8</v>
      </c>
      <c r="E44" s="3">
        <v>239.3</v>
      </c>
      <c r="F44" s="3">
        <v>194.1</v>
      </c>
      <c r="G44" s="3">
        <v>151.6</v>
      </c>
      <c r="H44" s="3">
        <v>159</v>
      </c>
      <c r="I44" s="3">
        <v>194.9</v>
      </c>
      <c r="J44" s="3">
        <v>157.19999999999999</v>
      </c>
      <c r="K44" s="3">
        <v>144.19999999999999</v>
      </c>
      <c r="L44" s="3">
        <v>123.2</v>
      </c>
      <c r="M44" s="3">
        <v>236.7</v>
      </c>
      <c r="N44" s="3">
        <v>244.8</v>
      </c>
      <c r="O44" s="3">
        <v>189.8</v>
      </c>
      <c r="P44" s="3">
        <v>243.5</v>
      </c>
      <c r="Q44" s="3">
        <v>240.6</v>
      </c>
      <c r="R44" s="3">
        <v>300.89999999999998</v>
      </c>
      <c r="S44" s="3">
        <v>297.10000000000002</v>
      </c>
      <c r="T44" s="3">
        <v>299.7</v>
      </c>
      <c r="U44" s="3">
        <v>395.8</v>
      </c>
      <c r="V44" s="3">
        <v>327.60000000000002</v>
      </c>
      <c r="W44" s="3">
        <v>337.7</v>
      </c>
      <c r="X44" s="3">
        <v>281.8</v>
      </c>
      <c r="Y44" s="24">
        <f t="shared" si="0"/>
        <v>-5.9726393059726317E-2</v>
      </c>
    </row>
    <row r="45" spans="1:27" x14ac:dyDescent="0.2">
      <c r="A45" s="18" t="s">
        <v>53</v>
      </c>
      <c r="B45" s="3">
        <v>66.400000000000006</v>
      </c>
      <c r="C45" s="3">
        <v>66.400000000000006</v>
      </c>
      <c r="D45" s="3">
        <v>72.900000000000006</v>
      </c>
      <c r="E45" s="3">
        <v>72.900000000000006</v>
      </c>
      <c r="F45" s="3">
        <v>73</v>
      </c>
      <c r="G45" s="3">
        <v>73</v>
      </c>
      <c r="H45" s="3">
        <v>77.599999999999994</v>
      </c>
      <c r="I45" s="3">
        <v>77.599999999999994</v>
      </c>
      <c r="J45" s="3">
        <v>77.599999999999994</v>
      </c>
      <c r="K45" s="3">
        <v>77.599999999999994</v>
      </c>
      <c r="L45" s="3">
        <v>80.5</v>
      </c>
      <c r="M45" s="3">
        <v>0</v>
      </c>
      <c r="N45" s="3">
        <v>80.599999999999994</v>
      </c>
      <c r="O45" s="3">
        <v>80.599999999999994</v>
      </c>
      <c r="P45" s="3">
        <v>82.1</v>
      </c>
      <c r="Q45" s="3">
        <v>0</v>
      </c>
      <c r="R45" s="3">
        <v>82.1</v>
      </c>
      <c r="S45" s="3">
        <v>82.1</v>
      </c>
      <c r="T45" s="3">
        <v>82.9</v>
      </c>
      <c r="U45" s="3">
        <v>0</v>
      </c>
      <c r="V45" s="3">
        <v>82.9</v>
      </c>
      <c r="W45" s="3">
        <v>82.9</v>
      </c>
      <c r="X45" s="3">
        <v>83.8</v>
      </c>
      <c r="Y45" s="24">
        <f t="shared" si="0"/>
        <v>1.0856453558504118E-2</v>
      </c>
    </row>
    <row r="46" spans="1:27" x14ac:dyDescent="0.2">
      <c r="A46" s="18" t="s">
        <v>54</v>
      </c>
      <c r="B46" s="3">
        <v>81.400000000000006</v>
      </c>
      <c r="C46" s="3">
        <v>82.5</v>
      </c>
      <c r="D46" s="3">
        <v>83.1</v>
      </c>
      <c r="E46" s="3">
        <v>83.6</v>
      </c>
      <c r="F46" s="3">
        <v>83.7</v>
      </c>
      <c r="G46" s="3">
        <v>83.4</v>
      </c>
      <c r="H46" s="3">
        <v>82.7</v>
      </c>
      <c r="I46" s="3">
        <v>83</v>
      </c>
      <c r="J46" s="3">
        <v>83.2</v>
      </c>
      <c r="K46" s="3">
        <v>82.7</v>
      </c>
      <c r="L46" s="3">
        <v>82.4</v>
      </c>
      <c r="M46" s="3">
        <v>81.099999999999994</v>
      </c>
      <c r="N46" s="3">
        <v>80.7</v>
      </c>
      <c r="O46" s="3">
        <v>80.900000000000006</v>
      </c>
      <c r="P46" s="3">
        <v>80.599999999999994</v>
      </c>
      <c r="Q46" s="3">
        <v>81.099999999999994</v>
      </c>
      <c r="R46" s="3">
        <v>81.5</v>
      </c>
      <c r="S46" s="3">
        <v>81.8</v>
      </c>
      <c r="T46" s="3">
        <v>86.4</v>
      </c>
      <c r="U46" s="3">
        <v>88.8</v>
      </c>
      <c r="V46" s="3">
        <v>92.4</v>
      </c>
      <c r="W46" s="3">
        <v>96.4</v>
      </c>
      <c r="X46" s="3">
        <v>99.9</v>
      </c>
      <c r="Y46" s="24">
        <f t="shared" si="0"/>
        <v>0.15625</v>
      </c>
    </row>
    <row r="47" spans="1:27" x14ac:dyDescent="0.2">
      <c r="A47" s="18" t="s">
        <v>55</v>
      </c>
      <c r="B47" s="3">
        <v>31.4</v>
      </c>
      <c r="C47" s="3">
        <v>42.9</v>
      </c>
      <c r="D47" s="3">
        <v>62.6</v>
      </c>
      <c r="E47" s="3">
        <v>44</v>
      </c>
      <c r="F47" s="3">
        <v>26.2</v>
      </c>
      <c r="G47" s="3">
        <v>40.799999999999997</v>
      </c>
      <c r="H47" s="3">
        <v>60.7</v>
      </c>
      <c r="I47" s="3">
        <v>41.9</v>
      </c>
      <c r="J47" s="3">
        <v>34.9</v>
      </c>
      <c r="K47" s="3">
        <v>57.5</v>
      </c>
      <c r="L47" s="3">
        <v>78.400000000000006</v>
      </c>
      <c r="M47" s="3">
        <v>53.3</v>
      </c>
      <c r="N47" s="3">
        <v>37.700000000000003</v>
      </c>
      <c r="O47" s="3">
        <v>56.5</v>
      </c>
      <c r="P47" s="3">
        <v>82.8</v>
      </c>
      <c r="Q47" s="3">
        <v>50.8</v>
      </c>
      <c r="R47" s="3">
        <v>39.9</v>
      </c>
      <c r="S47" s="3">
        <v>110.4</v>
      </c>
      <c r="T47" s="3">
        <v>263.8</v>
      </c>
      <c r="U47" s="3">
        <v>46.5</v>
      </c>
      <c r="V47" s="3">
        <v>35.799999999999997</v>
      </c>
      <c r="W47" s="3">
        <v>47.6</v>
      </c>
      <c r="X47" s="3">
        <v>73.8</v>
      </c>
      <c r="Y47" s="24">
        <f t="shared" si="0"/>
        <v>-0.72024260803639117</v>
      </c>
    </row>
    <row r="48" spans="1:27" x14ac:dyDescent="0.2">
      <c r="A48" s="18" t="s">
        <v>56</v>
      </c>
      <c r="B48" s="3">
        <v>38.9</v>
      </c>
      <c r="C48" s="3">
        <v>44</v>
      </c>
      <c r="D48" s="3">
        <v>39.5</v>
      </c>
      <c r="E48" s="3">
        <v>44.5</v>
      </c>
      <c r="F48" s="3">
        <v>35.200000000000003</v>
      </c>
      <c r="G48" s="3">
        <v>35.799999999999997</v>
      </c>
      <c r="H48" s="3">
        <v>35.700000000000003</v>
      </c>
      <c r="I48" s="3">
        <v>37.9</v>
      </c>
      <c r="J48" s="3">
        <v>36.1</v>
      </c>
      <c r="K48" s="3">
        <v>40.299999999999997</v>
      </c>
      <c r="L48" s="3">
        <v>40.4</v>
      </c>
      <c r="M48" s="3">
        <v>40.200000000000003</v>
      </c>
      <c r="N48" s="3">
        <v>40.6</v>
      </c>
      <c r="O48" s="3">
        <v>40.799999999999997</v>
      </c>
      <c r="P48" s="3">
        <v>42.5</v>
      </c>
      <c r="Q48" s="3">
        <v>40.4</v>
      </c>
      <c r="R48" s="3">
        <v>42.6</v>
      </c>
      <c r="S48" s="3">
        <v>40.9</v>
      </c>
      <c r="T48" s="3">
        <v>42.7</v>
      </c>
      <c r="U48" s="3">
        <v>40.799999999999997</v>
      </c>
      <c r="V48" s="3">
        <v>48.7</v>
      </c>
      <c r="W48" s="3">
        <v>57.3</v>
      </c>
      <c r="X48" s="3">
        <v>56.4</v>
      </c>
      <c r="Y48" s="24">
        <f t="shared" si="0"/>
        <v>0.32084309133489447</v>
      </c>
    </row>
    <row r="49" spans="1:27" x14ac:dyDescent="0.2">
      <c r="A49" s="18" t="s">
        <v>57</v>
      </c>
      <c r="B49" s="3">
        <v>25.7</v>
      </c>
      <c r="C49" s="3">
        <v>37.700000000000003</v>
      </c>
      <c r="D49" s="3">
        <v>39.6</v>
      </c>
      <c r="E49" s="3">
        <v>47.8</v>
      </c>
      <c r="F49" s="3">
        <v>23.6</v>
      </c>
      <c r="G49" s="3">
        <v>33.1</v>
      </c>
      <c r="H49" s="3">
        <v>33.9</v>
      </c>
      <c r="I49" s="3">
        <v>40.6</v>
      </c>
      <c r="J49" s="3">
        <v>26.9</v>
      </c>
      <c r="K49" s="3">
        <v>38.700000000000003</v>
      </c>
      <c r="L49" s="3">
        <v>33.9</v>
      </c>
      <c r="M49" s="3">
        <v>22.5</v>
      </c>
      <c r="N49" s="3">
        <v>24.3</v>
      </c>
      <c r="O49" s="3">
        <v>36</v>
      </c>
      <c r="P49" s="3">
        <v>38.6</v>
      </c>
      <c r="Q49" s="3">
        <v>27.8</v>
      </c>
      <c r="R49" s="3">
        <v>26</v>
      </c>
      <c r="S49" s="3">
        <v>37.9</v>
      </c>
      <c r="T49" s="3">
        <v>44</v>
      </c>
      <c r="U49" s="3">
        <v>27.8</v>
      </c>
      <c r="V49" s="3">
        <v>28.5</v>
      </c>
      <c r="W49" s="3">
        <v>35.5</v>
      </c>
      <c r="X49" s="3">
        <v>46.9</v>
      </c>
      <c r="Y49" s="24">
        <f t="shared" si="0"/>
        <v>6.5909090909090876E-2</v>
      </c>
    </row>
    <row r="50" spans="1:27" ht="25.5" x14ac:dyDescent="0.2">
      <c r="A50" s="23" t="s">
        <v>73</v>
      </c>
      <c r="B50" s="3">
        <v>499.7</v>
      </c>
      <c r="C50" s="3">
        <v>499.9</v>
      </c>
      <c r="D50" s="3">
        <v>249.9</v>
      </c>
      <c r="E50" s="3">
        <v>250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999.8</v>
      </c>
      <c r="T50" s="3">
        <v>999.9</v>
      </c>
      <c r="U50" s="3">
        <v>500</v>
      </c>
      <c r="V50" s="3">
        <v>1000</v>
      </c>
      <c r="W50" s="3">
        <v>0</v>
      </c>
      <c r="X50" s="3">
        <v>0</v>
      </c>
      <c r="Y50" s="24">
        <f t="shared" si="0"/>
        <v>-1</v>
      </c>
    </row>
    <row r="51" spans="1:27" ht="25.5" hidden="1" x14ac:dyDescent="0.2">
      <c r="A51" s="18" t="s">
        <v>58</v>
      </c>
      <c r="B51" s="3">
        <v>49.9</v>
      </c>
      <c r="C51" s="3">
        <v>38.700000000000003</v>
      </c>
      <c r="D51" s="3">
        <v>39.200000000000003</v>
      </c>
      <c r="E51" s="3">
        <v>0.3</v>
      </c>
      <c r="F51" s="3">
        <v>0</v>
      </c>
      <c r="G51" s="3">
        <v>0.1</v>
      </c>
      <c r="H51" s="3">
        <v>2.2000000000000002</v>
      </c>
      <c r="I51" s="3">
        <v>4.8</v>
      </c>
      <c r="J51" s="3">
        <v>15.6</v>
      </c>
      <c r="K51" s="3">
        <v>37.200000000000003</v>
      </c>
      <c r="L51" s="3">
        <v>39.6</v>
      </c>
      <c r="M51" s="3">
        <v>28.6</v>
      </c>
      <c r="N51" s="3">
        <v>15.5</v>
      </c>
      <c r="O51" s="3">
        <v>4.7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Y51" s="24" t="e">
        <f t="shared" si="0"/>
        <v>#DIV/0!</v>
      </c>
    </row>
    <row r="52" spans="1:27" x14ac:dyDescent="0.2">
      <c r="A52" s="18" t="s">
        <v>44</v>
      </c>
      <c r="B52" s="3">
        <v>46.9</v>
      </c>
      <c r="C52" s="3">
        <v>76.7</v>
      </c>
      <c r="D52" s="3">
        <v>82.3</v>
      </c>
      <c r="E52" s="3">
        <v>87</v>
      </c>
      <c r="F52" s="3">
        <v>82</v>
      </c>
      <c r="G52" s="3">
        <v>77.400000000000006</v>
      </c>
      <c r="H52" s="3">
        <v>76</v>
      </c>
      <c r="I52" s="3">
        <v>65.2</v>
      </c>
      <c r="J52" s="3">
        <v>48.7</v>
      </c>
      <c r="K52" s="3">
        <v>41.4</v>
      </c>
      <c r="L52" s="3">
        <v>39</v>
      </c>
      <c r="M52" s="3">
        <v>33.5</v>
      </c>
      <c r="N52" s="3">
        <v>34.299999999999997</v>
      </c>
      <c r="O52" s="3">
        <v>37.5</v>
      </c>
      <c r="P52" s="3">
        <v>40.6</v>
      </c>
      <c r="Q52" s="3">
        <v>33.799999999999997</v>
      </c>
      <c r="R52" s="3">
        <v>38.299999999999997</v>
      </c>
      <c r="S52" s="3">
        <v>50</v>
      </c>
      <c r="T52" s="3">
        <v>56.6</v>
      </c>
      <c r="U52" s="3">
        <v>49.3</v>
      </c>
      <c r="V52" s="3">
        <v>50</v>
      </c>
      <c r="W52" s="3">
        <v>51.7</v>
      </c>
      <c r="X52" s="3">
        <v>53.5</v>
      </c>
      <c r="Y52" s="24">
        <f t="shared" si="0"/>
        <v>-5.4770318021201435E-2</v>
      </c>
    </row>
    <row r="53" spans="1:27" x14ac:dyDescent="0.2">
      <c r="A53" s="18" t="s">
        <v>59</v>
      </c>
      <c r="B53" s="3">
        <v>2500.1</v>
      </c>
      <c r="C53" s="3">
        <v>2500.4</v>
      </c>
      <c r="D53" s="3">
        <v>2896.8</v>
      </c>
      <c r="E53" s="3">
        <v>2896.9</v>
      </c>
      <c r="F53" s="3">
        <v>2897.3</v>
      </c>
      <c r="G53" s="3">
        <v>3193.6</v>
      </c>
      <c r="H53" s="3">
        <v>3194.7</v>
      </c>
      <c r="I53" s="3">
        <v>3195.2</v>
      </c>
      <c r="J53" s="3">
        <v>3195.6</v>
      </c>
      <c r="K53" s="3">
        <v>3493.4</v>
      </c>
      <c r="L53" s="3">
        <v>3493.9</v>
      </c>
      <c r="M53" s="3">
        <v>3494.4</v>
      </c>
      <c r="N53" s="3">
        <v>3495</v>
      </c>
      <c r="O53" s="3">
        <v>4495.2</v>
      </c>
      <c r="P53" s="3">
        <v>4495.8</v>
      </c>
      <c r="Q53" s="3">
        <v>3996.5</v>
      </c>
      <c r="R53" s="3">
        <v>4497</v>
      </c>
      <c r="S53" s="3">
        <v>3547.6</v>
      </c>
      <c r="T53" s="3">
        <v>3548.2</v>
      </c>
      <c r="U53" s="3">
        <v>3498.9</v>
      </c>
      <c r="V53" s="3">
        <v>3994.1</v>
      </c>
      <c r="W53" s="3">
        <v>4339</v>
      </c>
      <c r="X53" s="3">
        <v>4339.7</v>
      </c>
      <c r="Y53" s="24">
        <f t="shared" si="0"/>
        <v>0.22307085282678543</v>
      </c>
    </row>
    <row r="54" spans="1:27" x14ac:dyDescent="0.2">
      <c r="A54" s="18" t="s">
        <v>60</v>
      </c>
      <c r="B54" s="3">
        <v>2879</v>
      </c>
      <c r="C54" s="3">
        <v>2902.8</v>
      </c>
      <c r="D54" s="3">
        <v>6673.4</v>
      </c>
      <c r="E54" s="3">
        <v>2977.2</v>
      </c>
      <c r="F54" s="3">
        <v>3003.9</v>
      </c>
      <c r="G54" s="3">
        <v>2982.7</v>
      </c>
      <c r="H54" s="3">
        <v>3006.2</v>
      </c>
      <c r="I54" s="3">
        <v>3031.7</v>
      </c>
      <c r="J54" s="3">
        <v>2767.4</v>
      </c>
      <c r="K54" s="3">
        <v>2786.9</v>
      </c>
      <c r="L54" s="3">
        <v>2825.6</v>
      </c>
      <c r="M54" s="3">
        <v>2523.1</v>
      </c>
      <c r="N54" s="3">
        <v>2851.7</v>
      </c>
      <c r="O54" s="3">
        <v>2852.2</v>
      </c>
      <c r="P54" s="3">
        <v>2872.9</v>
      </c>
      <c r="Q54" s="3">
        <v>2512.9</v>
      </c>
      <c r="R54" s="3">
        <v>2991.1</v>
      </c>
      <c r="S54" s="3">
        <v>2908.1</v>
      </c>
      <c r="T54" s="3">
        <v>2739.1</v>
      </c>
      <c r="U54" s="3">
        <v>2717.4</v>
      </c>
      <c r="V54" s="3">
        <v>2760.3</v>
      </c>
      <c r="W54" s="3">
        <v>2759.3</v>
      </c>
      <c r="X54" s="3">
        <v>2755.3</v>
      </c>
      <c r="Y54" s="24">
        <f t="shared" si="0"/>
        <v>5.9143514293016949E-3</v>
      </c>
    </row>
    <row r="55" spans="1:27" s="4" customFormat="1" x14ac:dyDescent="0.2">
      <c r="A55" s="20" t="s">
        <v>61</v>
      </c>
      <c r="B55" s="4">
        <f t="shared" ref="B55:AA55" si="8">SUM(B42:B54)</f>
        <v>6594.3</v>
      </c>
      <c r="C55" s="4">
        <f t="shared" si="8"/>
        <v>6653.5</v>
      </c>
      <c r="D55" s="4">
        <f t="shared" si="8"/>
        <v>10411.1</v>
      </c>
      <c r="E55" s="4">
        <f t="shared" si="8"/>
        <v>6743.5</v>
      </c>
      <c r="F55" s="4">
        <f t="shared" si="8"/>
        <v>6785.4000000000005</v>
      </c>
      <c r="G55" s="4">
        <f t="shared" si="8"/>
        <v>6879</v>
      </c>
      <c r="H55" s="4">
        <f t="shared" si="8"/>
        <v>6897.5</v>
      </c>
      <c r="I55" s="4">
        <f t="shared" si="8"/>
        <v>6884.7999999999993</v>
      </c>
      <c r="J55" s="4">
        <f t="shared" si="8"/>
        <v>6818.2000000000007</v>
      </c>
      <c r="K55" s="4">
        <f t="shared" si="8"/>
        <v>6874.9</v>
      </c>
      <c r="L55" s="4">
        <f t="shared" si="8"/>
        <v>6836.9</v>
      </c>
      <c r="M55" s="4">
        <f t="shared" si="8"/>
        <v>6513.4</v>
      </c>
      <c r="N55" s="4">
        <f t="shared" si="8"/>
        <v>8183.2</v>
      </c>
      <c r="O55" s="4">
        <f t="shared" si="8"/>
        <v>8258.7000000000007</v>
      </c>
      <c r="P55" s="4">
        <f t="shared" si="8"/>
        <v>8362.6</v>
      </c>
      <c r="Q55" s="4">
        <f t="shared" si="8"/>
        <v>7085.2000000000007</v>
      </c>
      <c r="R55" s="4">
        <f t="shared" si="8"/>
        <v>8830.9</v>
      </c>
      <c r="S55" s="4">
        <f t="shared" si="8"/>
        <v>8581.1</v>
      </c>
      <c r="T55" s="4">
        <f t="shared" si="8"/>
        <v>8163.2999999999993</v>
      </c>
      <c r="U55" s="4">
        <f t="shared" si="8"/>
        <v>7365.2999999999993</v>
      </c>
      <c r="V55" s="4">
        <f t="shared" si="8"/>
        <v>8420.2999999999993</v>
      </c>
      <c r="W55" s="4">
        <f t="shared" si="8"/>
        <v>8225.5</v>
      </c>
      <c r="X55" s="4">
        <f t="shared" si="8"/>
        <v>8202.5</v>
      </c>
      <c r="Y55" s="24">
        <f t="shared" si="0"/>
        <v>4.8019795915868252E-3</v>
      </c>
      <c r="Z55" s="4">
        <f t="shared" si="8"/>
        <v>0</v>
      </c>
      <c r="AA55" s="4">
        <f t="shared" si="8"/>
        <v>0</v>
      </c>
    </row>
    <row r="56" spans="1:27" x14ac:dyDescent="0.2">
      <c r="Y56" s="24"/>
    </row>
    <row r="57" spans="1:27" s="4" customFormat="1" x14ac:dyDescent="0.2">
      <c r="A57" s="11" t="s">
        <v>62</v>
      </c>
      <c r="B57" s="4">
        <f t="shared" ref="B57:AA57" si="9">B38-B55</f>
        <v>3842.0999999999995</v>
      </c>
      <c r="C57" s="4">
        <f t="shared" si="9"/>
        <v>3890.1000000000004</v>
      </c>
      <c r="D57" s="4">
        <f t="shared" si="9"/>
        <v>291.89999999999964</v>
      </c>
      <c r="E57" s="4">
        <f t="shared" si="9"/>
        <v>4005.1000000000004</v>
      </c>
      <c r="F57" s="4">
        <f t="shared" si="9"/>
        <v>3976.2</v>
      </c>
      <c r="G57" s="4">
        <f t="shared" si="9"/>
        <v>4007.1999999999989</v>
      </c>
      <c r="H57" s="4">
        <f t="shared" si="9"/>
        <v>4186.2000000000007</v>
      </c>
      <c r="I57" s="4">
        <f t="shared" si="9"/>
        <v>4139.5</v>
      </c>
      <c r="J57" s="4">
        <f t="shared" si="9"/>
        <v>3552.6999999999989</v>
      </c>
      <c r="K57" s="4">
        <f t="shared" si="9"/>
        <v>3564.2000000000007</v>
      </c>
      <c r="L57" s="4">
        <f t="shared" si="9"/>
        <v>3660.7000000000007</v>
      </c>
      <c r="M57" s="4">
        <f t="shared" si="9"/>
        <v>3975.6000000000004</v>
      </c>
      <c r="N57" s="4">
        <f t="shared" si="9"/>
        <v>3605.4999999999991</v>
      </c>
      <c r="O57" s="4">
        <f t="shared" si="9"/>
        <v>3640.8000000000011</v>
      </c>
      <c r="P57" s="4">
        <f t="shared" si="9"/>
        <v>3814.8999999999996</v>
      </c>
      <c r="Q57" s="4">
        <f t="shared" si="9"/>
        <v>4602.7999999999993</v>
      </c>
      <c r="R57" s="4">
        <f t="shared" si="9"/>
        <v>4262.6999999999989</v>
      </c>
      <c r="S57" s="4">
        <f t="shared" si="9"/>
        <v>4256.8999999999996</v>
      </c>
      <c r="T57" s="4">
        <f t="shared" si="9"/>
        <v>4440.6999999999989</v>
      </c>
      <c r="U57" s="4">
        <f t="shared" si="9"/>
        <v>5045.2000000000007</v>
      </c>
      <c r="V57" s="4">
        <f t="shared" si="9"/>
        <v>4370.0000000000018</v>
      </c>
      <c r="W57" s="4">
        <f t="shared" si="9"/>
        <v>4379.1000000000022</v>
      </c>
      <c r="X57" s="4">
        <f t="shared" si="9"/>
        <v>4540.7000000000007</v>
      </c>
      <c r="Y57" s="24">
        <f t="shared" si="0"/>
        <v>2.2518972234107652E-2</v>
      </c>
      <c r="Z57" s="4">
        <f t="shared" si="9"/>
        <v>0</v>
      </c>
      <c r="AA57" s="4">
        <f t="shared" si="9"/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3" ma:contentTypeDescription="Create a new document." ma:contentTypeScope="" ma:versionID="7c958296e71377cd1f84353a875d72a5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bbb9d457094159866f35fe50818106a9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Props1.xml><?xml version="1.0" encoding="utf-8"?>
<ds:datastoreItem xmlns:ds="http://schemas.openxmlformats.org/officeDocument/2006/customXml" ds:itemID="{1C974B17-DE1B-4009-8DB7-E95764209D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B4B395-A628-4AF2-9AB1-05807B2F72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AF3359-AA7B-4C3F-BB32-4122371AAA35}">
  <ds:schemaRefs>
    <ds:schemaRef ds:uri="http://schemas.openxmlformats.org/package/2006/metadata/core-properties"/>
    <ds:schemaRef ds:uri="http://purl.org/dc/terms/"/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36567613-e428-4167-ab55-a4f66cede82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 Gonzalez Herrera</cp:lastModifiedBy>
  <dcterms:created xsi:type="dcterms:W3CDTF">2023-02-21T16:55:27Z</dcterms:created>
  <dcterms:modified xsi:type="dcterms:W3CDTF">2024-01-12T21:15:07Z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</Properties>
</file>