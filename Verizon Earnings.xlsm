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790" documentId="8_{CC4A5AF6-A206-489D-8934-27841DEA7972}" xr6:coauthVersionLast="47" xr6:coauthVersionMax="47" xr10:uidLastSave="{2583855E-BF1B-4C5C-9B4A-2705E08EB9B8}"/>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68" i="1" l="1"/>
  <c r="AF67" i="1"/>
  <c r="AF66" i="1"/>
  <c r="AF65" i="1"/>
  <c r="AF64" i="1"/>
  <c r="AF63" i="1"/>
  <c r="AF61" i="1"/>
  <c r="AF60" i="1"/>
  <c r="AF59" i="1"/>
  <c r="AF58" i="1"/>
  <c r="AF57" i="1"/>
  <c r="AF56" i="1"/>
  <c r="AF55" i="1"/>
  <c r="AF54" i="1"/>
  <c r="AF53" i="1"/>
  <c r="AF52" i="1"/>
  <c r="AF51" i="1"/>
  <c r="AF47" i="1"/>
  <c r="AF46" i="1"/>
  <c r="AF45" i="1"/>
  <c r="AF44" i="1"/>
  <c r="AF43" i="1"/>
  <c r="AF42" i="1"/>
  <c r="AF41" i="1"/>
  <c r="AF40" i="1"/>
  <c r="AF39" i="1"/>
  <c r="AF38" i="1"/>
  <c r="AF37" i="1"/>
  <c r="AF36" i="1"/>
  <c r="AF35" i="1"/>
  <c r="AF34" i="1"/>
  <c r="AF30" i="1"/>
  <c r="AF29" i="1"/>
  <c r="AF28" i="1"/>
  <c r="AF27" i="1"/>
  <c r="AF26" i="1"/>
  <c r="AF25" i="1"/>
  <c r="AF24" i="1"/>
  <c r="AF22" i="1"/>
  <c r="AF21" i="1"/>
  <c r="AF20" i="1"/>
  <c r="AF19" i="1"/>
  <c r="AF18" i="1"/>
  <c r="AF17" i="1"/>
  <c r="AF14" i="1"/>
  <c r="AF13" i="1"/>
  <c r="AF12" i="1"/>
  <c r="AF9" i="1"/>
  <c r="AF8" i="1"/>
  <c r="AF7" i="1"/>
  <c r="AF6" i="1"/>
  <c r="AF5" i="1"/>
  <c r="AE68" i="1"/>
  <c r="AE67" i="1"/>
  <c r="AE66" i="1"/>
  <c r="AE65" i="1"/>
  <c r="AE64" i="1"/>
  <c r="AE63" i="1"/>
  <c r="AE61" i="1"/>
  <c r="AE60" i="1"/>
  <c r="AE59" i="1"/>
  <c r="AE58" i="1"/>
  <c r="AE57" i="1"/>
  <c r="AE56" i="1"/>
  <c r="AE55" i="1"/>
  <c r="AE54" i="1"/>
  <c r="AE53" i="1"/>
  <c r="AE52" i="1"/>
  <c r="AE51" i="1"/>
  <c r="AE47" i="1"/>
  <c r="AE46" i="1"/>
  <c r="AE45" i="1"/>
  <c r="AE44" i="1"/>
  <c r="AE43" i="1"/>
  <c r="AE42" i="1"/>
  <c r="AE41" i="1"/>
  <c r="AE40" i="1"/>
  <c r="AE39" i="1"/>
  <c r="AE38" i="1"/>
  <c r="AE37" i="1"/>
  <c r="AE36" i="1"/>
  <c r="AE35" i="1"/>
  <c r="AE34" i="1"/>
  <c r="AE30" i="1"/>
  <c r="AE29" i="1"/>
  <c r="AE28" i="1"/>
  <c r="AE27" i="1"/>
  <c r="AE26" i="1"/>
  <c r="AE25" i="1"/>
  <c r="AE24" i="1"/>
  <c r="AE22" i="1"/>
  <c r="AE21" i="1"/>
  <c r="AE20" i="1"/>
  <c r="AE19" i="1"/>
  <c r="AE18" i="1"/>
  <c r="AE17" i="1"/>
  <c r="AE14" i="1"/>
  <c r="AE13" i="1"/>
  <c r="AE12" i="1"/>
  <c r="AE9" i="1"/>
  <c r="AE8" i="1"/>
  <c r="AE7" i="1"/>
  <c r="AE6" i="1"/>
  <c r="AE5" i="1"/>
  <c r="AC60" i="1"/>
  <c r="AC59" i="1"/>
  <c r="AC58" i="1"/>
  <c r="AC57" i="1"/>
  <c r="AC56" i="1"/>
  <c r="AC54" i="1"/>
  <c r="AC53" i="1"/>
  <c r="AC52" i="1"/>
  <c r="AC51" i="1"/>
  <c r="AC46" i="1"/>
  <c r="AC45" i="1"/>
  <c r="AC44" i="1"/>
  <c r="AC43" i="1"/>
  <c r="AC42" i="1"/>
  <c r="AC41" i="1"/>
  <c r="AC40" i="1"/>
  <c r="AC39" i="1"/>
  <c r="AC37" i="1"/>
  <c r="AC36" i="1"/>
  <c r="AC35" i="1"/>
  <c r="AC34" i="1"/>
  <c r="AC21" i="1"/>
  <c r="AC6" i="1"/>
  <c r="AC5" i="1"/>
  <c r="AH55" i="1"/>
  <c r="AH61" i="1" s="1"/>
  <c r="AG55" i="1"/>
  <c r="AG61" i="1" s="1"/>
  <c r="AH38" i="1"/>
  <c r="AH47" i="1" s="1"/>
  <c r="AH63" i="1" s="1"/>
  <c r="AG38" i="1"/>
  <c r="AG47" i="1" s="1"/>
  <c r="AG63" i="1" s="1"/>
  <c r="AH22" i="1"/>
  <c r="AG22" i="1"/>
  <c r="AH14" i="1"/>
  <c r="AH24" i="1" s="1"/>
  <c r="AH28" i="1" s="1"/>
  <c r="AH30" i="1" s="1"/>
  <c r="AG14" i="1"/>
  <c r="AG24" i="1" s="1"/>
  <c r="AG28" i="1" s="1"/>
  <c r="AG30" i="1" s="1"/>
  <c r="AH9" i="1"/>
  <c r="AG9" i="1"/>
  <c r="AH8" i="1"/>
  <c r="AG8" i="1"/>
  <c r="AH7" i="1"/>
  <c r="AG7" i="1"/>
  <c r="AG64" i="1" s="1"/>
  <c r="AA5" i="1"/>
  <c r="AA6" i="1"/>
  <c r="AH64" i="1" l="1"/>
  <c r="AG68" i="1"/>
  <c r="AG65" i="1"/>
  <c r="AH68" i="1"/>
  <c r="AH65" i="1"/>
  <c r="AH66" i="1"/>
  <c r="AG66" i="1"/>
  <c r="AG67" i="1"/>
  <c r="AH67" i="1"/>
  <c r="Z6" i="1"/>
  <c r="Z5" i="1"/>
  <c r="Z12" i="1"/>
  <c r="Z13" i="1"/>
  <c r="Z17" i="1"/>
  <c r="Z18" i="1"/>
  <c r="Z19" i="1"/>
  <c r="Z20" i="1"/>
  <c r="Z21" i="1"/>
  <c r="Z25" i="1"/>
  <c r="Z26" i="1"/>
  <c r="Z27" i="1"/>
  <c r="Z29" i="1"/>
  <c r="Z34" i="1"/>
  <c r="Z35" i="1"/>
  <c r="Z36" i="1"/>
  <c r="Z37" i="1"/>
  <c r="Z39" i="1"/>
  <c r="Z40" i="1"/>
  <c r="Z41" i="1"/>
  <c r="Z42" i="1"/>
  <c r="Z43" i="1"/>
  <c r="Z44" i="1"/>
  <c r="Z45" i="1"/>
  <c r="Z46" i="1"/>
  <c r="Z51" i="1"/>
  <c r="Z52" i="1"/>
  <c r="Z53" i="1"/>
  <c r="Z54" i="1"/>
  <c r="Z56" i="1"/>
  <c r="Z57" i="1"/>
  <c r="Z58" i="1"/>
  <c r="Z59" i="1"/>
  <c r="Z60" i="1"/>
  <c r="AA12" i="1"/>
  <c r="AA13" i="1"/>
  <c r="AA17" i="1"/>
  <c r="AA18" i="1"/>
  <c r="AA19" i="1"/>
  <c r="AA20" i="1"/>
  <c r="AA21" i="1"/>
  <c r="AA25" i="1"/>
  <c r="AA26" i="1"/>
  <c r="AA27" i="1"/>
  <c r="AA29" i="1"/>
  <c r="AA34" i="1"/>
  <c r="AA35" i="1"/>
  <c r="AA36" i="1"/>
  <c r="AA37" i="1"/>
  <c r="AA39" i="1"/>
  <c r="AA40" i="1"/>
  <c r="AA41" i="1"/>
  <c r="AA42" i="1"/>
  <c r="AA43" i="1"/>
  <c r="AA44" i="1"/>
  <c r="AA45" i="1"/>
  <c r="AA46" i="1"/>
  <c r="AA51" i="1"/>
  <c r="AA52" i="1"/>
  <c r="AA53" i="1"/>
  <c r="AA54" i="1"/>
  <c r="AA56" i="1"/>
  <c r="AA57" i="1"/>
  <c r="AA58" i="1"/>
  <c r="AA59" i="1"/>
  <c r="AA60" i="1"/>
  <c r="AD7" i="1"/>
  <c r="AB7" i="1"/>
  <c r="Y7" i="1"/>
  <c r="AD8" i="1"/>
  <c r="AB8" i="1"/>
  <c r="Y8" i="1"/>
  <c r="AD9" i="1"/>
  <c r="AB9" i="1"/>
  <c r="Y9" i="1"/>
  <c r="X34" i="1"/>
  <c r="X35" i="1"/>
  <c r="X36" i="1"/>
  <c r="X37" i="1"/>
  <c r="X39" i="1"/>
  <c r="X40" i="1"/>
  <c r="X41" i="1"/>
  <c r="X42" i="1"/>
  <c r="X43" i="1"/>
  <c r="X44" i="1"/>
  <c r="X45" i="1"/>
  <c r="X46" i="1"/>
  <c r="X51" i="1"/>
  <c r="X52" i="1"/>
  <c r="X53" i="1"/>
  <c r="X54" i="1"/>
  <c r="X56" i="1"/>
  <c r="X57" i="1"/>
  <c r="X58" i="1"/>
  <c r="X59" i="1"/>
  <c r="X60" i="1"/>
  <c r="X12" i="1"/>
  <c r="X13" i="1"/>
  <c r="X17" i="1"/>
  <c r="X18" i="1"/>
  <c r="X19" i="1"/>
  <c r="X20" i="1"/>
  <c r="X21" i="1"/>
  <c r="X25" i="1"/>
  <c r="X26" i="1"/>
  <c r="X27" i="1"/>
  <c r="X29" i="1"/>
  <c r="V9" i="1"/>
  <c r="U9" i="1"/>
  <c r="T9" i="1"/>
  <c r="S9" i="1"/>
  <c r="R9" i="1"/>
  <c r="Q9" i="1"/>
  <c r="P9" i="1"/>
  <c r="O9" i="1"/>
  <c r="N9" i="1"/>
  <c r="M9" i="1"/>
  <c r="L9" i="1"/>
  <c r="K9" i="1"/>
  <c r="J9" i="1"/>
  <c r="I9" i="1"/>
  <c r="H9" i="1"/>
  <c r="G9" i="1"/>
  <c r="F9" i="1"/>
  <c r="E9" i="1"/>
  <c r="D9" i="1"/>
  <c r="C9" i="1"/>
  <c r="B9" i="1"/>
  <c r="V8" i="1"/>
  <c r="U8" i="1"/>
  <c r="T8" i="1"/>
  <c r="S8" i="1"/>
  <c r="R8" i="1"/>
  <c r="Q8" i="1"/>
  <c r="P8" i="1"/>
  <c r="O8" i="1"/>
  <c r="N8" i="1"/>
  <c r="M8" i="1"/>
  <c r="L8" i="1"/>
  <c r="K8" i="1"/>
  <c r="J8" i="1"/>
  <c r="I8" i="1"/>
  <c r="H8" i="1"/>
  <c r="G8" i="1"/>
  <c r="F8" i="1"/>
  <c r="E8" i="1"/>
  <c r="D8" i="1"/>
  <c r="C8" i="1"/>
  <c r="B8" i="1"/>
  <c r="V7" i="1"/>
  <c r="U7" i="1"/>
  <c r="T7" i="1"/>
  <c r="S7" i="1"/>
  <c r="R7" i="1"/>
  <c r="Q7" i="1"/>
  <c r="P7" i="1"/>
  <c r="O7" i="1"/>
  <c r="N7" i="1"/>
  <c r="M7" i="1"/>
  <c r="L7" i="1"/>
  <c r="K7" i="1"/>
  <c r="J7" i="1"/>
  <c r="I7" i="1"/>
  <c r="H7" i="1"/>
  <c r="G7" i="1"/>
  <c r="F7" i="1"/>
  <c r="E7" i="1"/>
  <c r="D7" i="1"/>
  <c r="C7" i="1"/>
  <c r="B7" i="1"/>
  <c r="W9" i="1"/>
  <c r="W8" i="1"/>
  <c r="W7" i="1"/>
  <c r="AD55" i="1"/>
  <c r="AD61" i="1" s="1"/>
  <c r="AB55" i="1"/>
  <c r="Y55" i="1"/>
  <c r="Y61" i="1" s="1"/>
  <c r="W55" i="1"/>
  <c r="V55" i="1"/>
  <c r="V61" i="1" s="1"/>
  <c r="U55" i="1"/>
  <c r="U61" i="1" s="1"/>
  <c r="T55" i="1"/>
  <c r="T61" i="1" s="1"/>
  <c r="S55" i="1"/>
  <c r="S61" i="1" s="1"/>
  <c r="R55" i="1"/>
  <c r="R61" i="1" s="1"/>
  <c r="Q55" i="1"/>
  <c r="Q61" i="1" s="1"/>
  <c r="P55" i="1"/>
  <c r="P61" i="1" s="1"/>
  <c r="O55" i="1"/>
  <c r="O61" i="1" s="1"/>
  <c r="N55" i="1"/>
  <c r="N61" i="1" s="1"/>
  <c r="M55" i="1"/>
  <c r="M61" i="1" s="1"/>
  <c r="L55" i="1"/>
  <c r="L61" i="1" s="1"/>
  <c r="K55" i="1"/>
  <c r="K61" i="1" s="1"/>
  <c r="J55" i="1"/>
  <c r="J61" i="1" s="1"/>
  <c r="I55" i="1"/>
  <c r="I61" i="1" s="1"/>
  <c r="H55" i="1"/>
  <c r="H61" i="1" s="1"/>
  <c r="G55" i="1"/>
  <c r="G61" i="1" s="1"/>
  <c r="F55" i="1"/>
  <c r="F61" i="1" s="1"/>
  <c r="E55" i="1"/>
  <c r="E61" i="1" s="1"/>
  <c r="D55" i="1"/>
  <c r="D61" i="1" s="1"/>
  <c r="C55" i="1"/>
  <c r="C61" i="1" s="1"/>
  <c r="B55" i="1"/>
  <c r="B61" i="1" s="1"/>
  <c r="AD38" i="1"/>
  <c r="AD47" i="1" s="1"/>
  <c r="AB38" i="1"/>
  <c r="Y38" i="1"/>
  <c r="Y47" i="1" s="1"/>
  <c r="W38" i="1"/>
  <c r="V38" i="1"/>
  <c r="V47" i="1" s="1"/>
  <c r="U38" i="1"/>
  <c r="U47" i="1" s="1"/>
  <c r="T38" i="1"/>
  <c r="T47" i="1" s="1"/>
  <c r="S38" i="1"/>
  <c r="S47" i="1" s="1"/>
  <c r="R38" i="1"/>
  <c r="R47" i="1" s="1"/>
  <c r="Q38" i="1"/>
  <c r="Q47" i="1" s="1"/>
  <c r="P38" i="1"/>
  <c r="P47" i="1" s="1"/>
  <c r="O38" i="1"/>
  <c r="O47" i="1" s="1"/>
  <c r="N38" i="1"/>
  <c r="N47" i="1" s="1"/>
  <c r="M38" i="1"/>
  <c r="M47" i="1" s="1"/>
  <c r="L38" i="1"/>
  <c r="L47" i="1" s="1"/>
  <c r="K38" i="1"/>
  <c r="K47" i="1" s="1"/>
  <c r="J38" i="1"/>
  <c r="J47" i="1" s="1"/>
  <c r="I38" i="1"/>
  <c r="I47" i="1" s="1"/>
  <c r="H38" i="1"/>
  <c r="H47" i="1" s="1"/>
  <c r="G38" i="1"/>
  <c r="G47" i="1" s="1"/>
  <c r="F38" i="1"/>
  <c r="F47" i="1" s="1"/>
  <c r="E38" i="1"/>
  <c r="E47" i="1" s="1"/>
  <c r="D38" i="1"/>
  <c r="D47" i="1" s="1"/>
  <c r="C38" i="1"/>
  <c r="C47" i="1" s="1"/>
  <c r="B38" i="1"/>
  <c r="B47" i="1" s="1"/>
  <c r="AD22" i="1"/>
  <c r="AB22" i="1"/>
  <c r="Y22" i="1"/>
  <c r="W22" i="1"/>
  <c r="AD14" i="1"/>
  <c r="AB14" i="1"/>
  <c r="Y14" i="1"/>
  <c r="W14" i="1"/>
  <c r="A4" i="1" a="1"/>
  <c r="A4" i="1" s="1"/>
  <c r="AB61" i="1" l="1"/>
  <c r="AC61" i="1" s="1"/>
  <c r="AC55" i="1"/>
  <c r="AC9" i="1"/>
  <c r="AB47" i="1"/>
  <c r="AC47" i="1" s="1"/>
  <c r="AC38" i="1"/>
  <c r="AC8" i="1"/>
  <c r="Z14" i="1"/>
  <c r="AC7" i="1"/>
  <c r="Z9" i="1"/>
  <c r="Z8" i="1"/>
  <c r="Z22" i="1"/>
  <c r="AA47" i="1"/>
  <c r="AD64" i="1"/>
  <c r="W61" i="1"/>
  <c r="AA61" i="1"/>
  <c r="Z7" i="1"/>
  <c r="X8" i="1"/>
  <c r="Z61" i="1"/>
  <c r="X9" i="1"/>
  <c r="AA9" i="1"/>
  <c r="W47" i="1"/>
  <c r="X47" i="1" s="1"/>
  <c r="AA8" i="1"/>
  <c r="Z38" i="1"/>
  <c r="Z55" i="1"/>
  <c r="AA7" i="1"/>
  <c r="AB64" i="1"/>
  <c r="AC64" i="1" s="1"/>
  <c r="AA38" i="1"/>
  <c r="I64" i="1"/>
  <c r="M64" i="1"/>
  <c r="L64" i="1"/>
  <c r="P64" i="1"/>
  <c r="X61" i="1"/>
  <c r="F64" i="1"/>
  <c r="J64" i="1"/>
  <c r="V64" i="1"/>
  <c r="X55" i="1"/>
  <c r="AA55" i="1"/>
  <c r="Q64" i="1"/>
  <c r="W64" i="1"/>
  <c r="K64" i="1"/>
  <c r="B64" i="1"/>
  <c r="N64" i="1"/>
  <c r="R64" i="1"/>
  <c r="X38" i="1"/>
  <c r="H64" i="1"/>
  <c r="G64" i="1"/>
  <c r="O64" i="1"/>
  <c r="Y64" i="1"/>
  <c r="C64" i="1"/>
  <c r="S64" i="1"/>
  <c r="D64" i="1"/>
  <c r="T64" i="1"/>
  <c r="E64" i="1"/>
  <c r="U64" i="1"/>
  <c r="Y24" i="1"/>
  <c r="AB24" i="1"/>
  <c r="AD24" i="1"/>
  <c r="AD67" i="1" s="1"/>
  <c r="Y63" i="1"/>
  <c r="AB63" i="1"/>
  <c r="AD63" i="1"/>
  <c r="AD66" i="1" s="1"/>
  <c r="W24" i="1"/>
  <c r="T14" i="1"/>
  <c r="AA14" i="1" s="1"/>
  <c r="T22" i="1"/>
  <c r="AA22" i="1" s="1"/>
  <c r="V22" i="1"/>
  <c r="V14" i="1"/>
  <c r="S22" i="1"/>
  <c r="X22" i="1" s="1"/>
  <c r="S14" i="1"/>
  <c r="X14" i="1" s="1"/>
  <c r="R22" i="1"/>
  <c r="R14" i="1"/>
  <c r="P22" i="1"/>
  <c r="P14" i="1"/>
  <c r="O22" i="1"/>
  <c r="O14" i="1"/>
  <c r="N22" i="1"/>
  <c r="N14" i="1"/>
  <c r="L22" i="1"/>
  <c r="L14" i="1"/>
  <c r="K22" i="1"/>
  <c r="K14" i="1"/>
  <c r="J22" i="1"/>
  <c r="J14" i="1"/>
  <c r="I21" i="1"/>
  <c r="H22" i="1"/>
  <c r="H14" i="1"/>
  <c r="G22" i="1"/>
  <c r="G14" i="1"/>
  <c r="F22" i="1"/>
  <c r="F14" i="1"/>
  <c r="B22" i="1"/>
  <c r="C22" i="1"/>
  <c r="D22" i="1"/>
  <c r="D14" i="1"/>
  <c r="C14" i="1"/>
  <c r="AB66" i="1" l="1"/>
  <c r="AB28" i="1"/>
  <c r="Z64" i="1"/>
  <c r="AD28" i="1"/>
  <c r="AD30" i="1" s="1"/>
  <c r="AD65" i="1" s="1"/>
  <c r="AB67" i="1"/>
  <c r="W63" i="1"/>
  <c r="W66" i="1" s="1"/>
  <c r="Z47" i="1"/>
  <c r="Z24" i="1"/>
  <c r="Y66" i="1"/>
  <c r="AA64" i="1"/>
  <c r="Y67" i="1"/>
  <c r="X64" i="1"/>
  <c r="Y28" i="1"/>
  <c r="W67" i="1"/>
  <c r="W28" i="1"/>
  <c r="E29" i="1"/>
  <c r="E17" i="1"/>
  <c r="I27" i="1"/>
  <c r="E20" i="1"/>
  <c r="E18" i="1"/>
  <c r="E19" i="1"/>
  <c r="E27" i="1"/>
  <c r="I26" i="1"/>
  <c r="E26" i="1"/>
  <c r="E25" i="1"/>
  <c r="I18" i="1"/>
  <c r="E12" i="1"/>
  <c r="E13" i="1"/>
  <c r="I29" i="1"/>
  <c r="M18" i="1"/>
  <c r="I17" i="1"/>
  <c r="M13" i="1"/>
  <c r="M29" i="1"/>
  <c r="I20" i="1"/>
  <c r="I25" i="1"/>
  <c r="M27" i="1"/>
  <c r="I19" i="1"/>
  <c r="M26" i="1"/>
  <c r="I12" i="1"/>
  <c r="I13" i="1"/>
  <c r="M17" i="1"/>
  <c r="M12" i="1"/>
  <c r="M25" i="1"/>
  <c r="M19" i="1"/>
  <c r="M20" i="1"/>
  <c r="J63" i="1"/>
  <c r="J66" i="1" s="1"/>
  <c r="L24" i="1"/>
  <c r="L67" i="1" s="1"/>
  <c r="F63" i="1"/>
  <c r="F66" i="1" s="1"/>
  <c r="P63" i="1"/>
  <c r="P66" i="1" s="1"/>
  <c r="R63" i="1"/>
  <c r="R66" i="1" s="1"/>
  <c r="T24" i="1"/>
  <c r="T67" i="1" s="1"/>
  <c r="T63" i="1"/>
  <c r="T66" i="1" s="1"/>
  <c r="H63" i="1"/>
  <c r="H66" i="1" s="1"/>
  <c r="O63" i="1"/>
  <c r="O66" i="1" s="1"/>
  <c r="Q63" i="1"/>
  <c r="Q66" i="1" s="1"/>
  <c r="B63" i="1"/>
  <c r="B66" i="1" s="1"/>
  <c r="R24" i="1"/>
  <c r="R67" i="1" s="1"/>
  <c r="V63" i="1"/>
  <c r="U63" i="1"/>
  <c r="U66" i="1" s="1"/>
  <c r="D63" i="1"/>
  <c r="D66" i="1" s="1"/>
  <c r="C63" i="1"/>
  <c r="C66" i="1" s="1"/>
  <c r="K24" i="1"/>
  <c r="K67" i="1" s="1"/>
  <c r="S24" i="1"/>
  <c r="S67" i="1" s="1"/>
  <c r="I63" i="1"/>
  <c r="I66" i="1" s="1"/>
  <c r="E63" i="1"/>
  <c r="E66" i="1" s="1"/>
  <c r="K63" i="1"/>
  <c r="K66" i="1" s="1"/>
  <c r="M63" i="1"/>
  <c r="M66" i="1" s="1"/>
  <c r="S63" i="1"/>
  <c r="S66" i="1" s="1"/>
  <c r="L63" i="1"/>
  <c r="L66" i="1" s="1"/>
  <c r="N63" i="1"/>
  <c r="N66" i="1" s="1"/>
  <c r="G63" i="1"/>
  <c r="G66" i="1" s="1"/>
  <c r="F24" i="1"/>
  <c r="F67" i="1" s="1"/>
  <c r="P24" i="1"/>
  <c r="P67" i="1" s="1"/>
  <c r="N24" i="1"/>
  <c r="N67" i="1" s="1"/>
  <c r="O24" i="1"/>
  <c r="O67" i="1" s="1"/>
  <c r="V24" i="1"/>
  <c r="J24" i="1"/>
  <c r="J67" i="1" s="1"/>
  <c r="H24" i="1"/>
  <c r="H67" i="1" s="1"/>
  <c r="G24" i="1"/>
  <c r="G67" i="1" s="1"/>
  <c r="D24" i="1"/>
  <c r="D67" i="1" s="1"/>
  <c r="C24" i="1"/>
  <c r="C67" i="1" s="1"/>
  <c r="B14" i="1"/>
  <c r="AB30" i="1" l="1"/>
  <c r="AC63" i="1"/>
  <c r="Z28" i="1"/>
  <c r="AC66" i="1"/>
  <c r="AD68" i="1"/>
  <c r="Z66" i="1"/>
  <c r="AA67" i="1"/>
  <c r="Z67" i="1"/>
  <c r="Z63" i="1"/>
  <c r="AA63" i="1"/>
  <c r="Y30" i="1"/>
  <c r="X67" i="1"/>
  <c r="AA24" i="1"/>
  <c r="AA66" i="1"/>
  <c r="X63" i="1"/>
  <c r="X66" i="1"/>
  <c r="W30" i="1"/>
  <c r="X24" i="1"/>
  <c r="V66" i="1"/>
  <c r="V67" i="1"/>
  <c r="E22" i="1"/>
  <c r="E14" i="1"/>
  <c r="C28" i="1"/>
  <c r="M14" i="1"/>
  <c r="D28" i="1"/>
  <c r="I22" i="1"/>
  <c r="F28" i="1"/>
  <c r="I14" i="1"/>
  <c r="G28" i="1"/>
  <c r="H28" i="1"/>
  <c r="J28" i="1"/>
  <c r="M22" i="1"/>
  <c r="K28" i="1"/>
  <c r="L28" i="1"/>
  <c r="N28" i="1"/>
  <c r="O28" i="1"/>
  <c r="P28" i="1"/>
  <c r="R28" i="1"/>
  <c r="T28" i="1"/>
  <c r="AA28" i="1" s="1"/>
  <c r="S28" i="1"/>
  <c r="X28" i="1" s="1"/>
  <c r="V28" i="1"/>
  <c r="B24" i="1"/>
  <c r="AB65" i="1" l="1"/>
  <c r="AB68" i="1"/>
  <c r="Y68" i="1"/>
  <c r="Z30" i="1"/>
  <c r="W68" i="1"/>
  <c r="Y65" i="1"/>
  <c r="W65" i="1"/>
  <c r="E24" i="1"/>
  <c r="E67" i="1" s="1"/>
  <c r="B67" i="1"/>
  <c r="C30" i="1"/>
  <c r="I24" i="1"/>
  <c r="D30" i="1"/>
  <c r="F30" i="1"/>
  <c r="F68" i="1" s="1"/>
  <c r="M24" i="1"/>
  <c r="G30" i="1"/>
  <c r="H30" i="1"/>
  <c r="J30" i="1"/>
  <c r="K30" i="1"/>
  <c r="L30" i="1"/>
  <c r="N30" i="1"/>
  <c r="O30" i="1"/>
  <c r="P30" i="1"/>
  <c r="R30" i="1"/>
  <c r="T30" i="1"/>
  <c r="S30" i="1"/>
  <c r="V30" i="1"/>
  <c r="B28" i="1"/>
  <c r="B30" i="1" s="1"/>
  <c r="U20" i="1"/>
  <c r="AC20" i="1" s="1"/>
  <c r="U26" i="1"/>
  <c r="AC26" i="1" s="1"/>
  <c r="U25" i="1"/>
  <c r="AC25" i="1" s="1"/>
  <c r="U13" i="1"/>
  <c r="AC13" i="1" s="1"/>
  <c r="U27" i="1"/>
  <c r="AC27" i="1" s="1"/>
  <c r="U18" i="1"/>
  <c r="AC18" i="1" s="1"/>
  <c r="U29" i="1"/>
  <c r="AC29" i="1" s="1"/>
  <c r="U19" i="1"/>
  <c r="AC19" i="1" s="1"/>
  <c r="U17" i="1"/>
  <c r="AC17" i="1" s="1"/>
  <c r="U12" i="1"/>
  <c r="AC12" i="1" s="1"/>
  <c r="B65" i="1" l="1"/>
  <c r="B68" i="1"/>
  <c r="H65" i="1"/>
  <c r="H68" i="1"/>
  <c r="S65" i="1"/>
  <c r="S68" i="1"/>
  <c r="Z65" i="1"/>
  <c r="T65" i="1"/>
  <c r="AA65" i="1" s="1"/>
  <c r="T68" i="1"/>
  <c r="AA68" i="1" s="1"/>
  <c r="P65" i="1"/>
  <c r="P68" i="1"/>
  <c r="D65" i="1"/>
  <c r="D68" i="1"/>
  <c r="V65" i="1"/>
  <c r="V68" i="1"/>
  <c r="O65" i="1"/>
  <c r="O68" i="1"/>
  <c r="L65" i="1"/>
  <c r="L68" i="1"/>
  <c r="C65" i="1"/>
  <c r="C68" i="1"/>
  <c r="AA30" i="1"/>
  <c r="N65" i="1"/>
  <c r="N68" i="1"/>
  <c r="K65" i="1"/>
  <c r="K68" i="1"/>
  <c r="G65" i="1"/>
  <c r="G68" i="1"/>
  <c r="R65" i="1"/>
  <c r="R68" i="1"/>
  <c r="J65" i="1"/>
  <c r="J68" i="1"/>
  <c r="Z68" i="1"/>
  <c r="E28" i="1"/>
  <c r="X30" i="1"/>
  <c r="X68" i="1" s="1"/>
  <c r="F65" i="1"/>
  <c r="I28" i="1"/>
  <c r="I67" i="1"/>
  <c r="M28" i="1"/>
  <c r="M30" i="1" s="1"/>
  <c r="M67" i="1"/>
  <c r="E30" i="1"/>
  <c r="U22" i="1"/>
  <c r="AC22" i="1" s="1"/>
  <c r="U14" i="1"/>
  <c r="AC14" i="1" s="1"/>
  <c r="E65" i="1" l="1"/>
  <c r="E68" i="1"/>
  <c r="M65" i="1"/>
  <c r="M68" i="1"/>
  <c r="I30" i="1"/>
  <c r="U24" i="1"/>
  <c r="AC24" i="1" s="1"/>
  <c r="I65" i="1" l="1"/>
  <c r="I68" i="1"/>
  <c r="U67" i="1"/>
  <c r="AC67" i="1" s="1"/>
  <c r="U28" i="1"/>
  <c r="AC28" i="1" s="1"/>
  <c r="U30" i="1" l="1"/>
  <c r="AC30" i="1" s="1"/>
  <c r="Q18" i="1"/>
  <c r="Q29" i="1"/>
  <c r="Q27" i="1"/>
  <c r="Q25" i="1"/>
  <c r="Q19" i="1"/>
  <c r="Q26" i="1"/>
  <c r="Q17" i="1"/>
  <c r="Q13" i="1"/>
  <c r="Q12" i="1"/>
  <c r="Q20" i="1"/>
  <c r="U65" i="1" l="1"/>
  <c r="AC65" i="1" s="1"/>
  <c r="U68" i="1"/>
  <c r="AC68" i="1" s="1"/>
  <c r="Q14" i="1"/>
  <c r="Q22" i="1"/>
  <c r="Q24" i="1" l="1"/>
  <c r="Q28" i="1" s="1"/>
  <c r="Q67" i="1" l="1"/>
  <c r="Q30" i="1"/>
  <c r="Q65" i="1" l="1"/>
  <c r="Q68"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<sst xmlns="http://schemas.openxmlformats.org/spreadsheetml/2006/main" count="103" uniqueCount="91">
  <si>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</si>
  <si>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</si>
  <si>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</si>
  <si>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</si>
  <si>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</si>
  <si>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</si>
  <si>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</si>
  <si>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</si>
  <si>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</si>
  <si>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</si>
  <si>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</si>
  <si>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</si>
  <si>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</si>
  <si>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</si>
  <si>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</si>
  <si>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</si>
  <si>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</si>
  <si>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</si>
  <si>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</si>
  <si>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</si>
  <si>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</si>
  <si>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</si>
  <si>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</si>
  <si>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</si>
  <si>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Operating revenues</t>
  </si>
  <si>
    <t>Service revenues &amp; other</t>
  </si>
  <si>
    <t>Wireless equipment</t>
  </si>
  <si>
    <t>Total operating revenues</t>
  </si>
  <si>
    <t>Operating expenses</t>
  </si>
  <si>
    <t>Cost of services</t>
  </si>
  <si>
    <t>Selling, general &amp; administrative</t>
  </si>
  <si>
    <t>Depreciation &amp; amortization</t>
  </si>
  <si>
    <t>Total operating expenses</t>
  </si>
  <si>
    <t>Operating income</t>
  </si>
  <si>
    <t>Equity in losses of unconsolidated businesses</t>
  </si>
  <si>
    <t>Other expense</t>
  </si>
  <si>
    <t>Interest expense</t>
  </si>
  <si>
    <t>Income before income taxes</t>
  </si>
  <si>
    <t>Provision for income taxes</t>
  </si>
  <si>
    <t>Net income</t>
  </si>
  <si>
    <t>Assets</t>
  </si>
  <si>
    <t>Current assets</t>
  </si>
  <si>
    <t>Cash &amp; cash equivalents</t>
  </si>
  <si>
    <t>Inventories</t>
  </si>
  <si>
    <t>Prepaid expense &amp; other</t>
  </si>
  <si>
    <t>Property, plant &amp; equipment</t>
  </si>
  <si>
    <t>Investments in unconsolidated businesses</t>
  </si>
  <si>
    <t>Wireless licenses</t>
  </si>
  <si>
    <t>Goodwill</t>
  </si>
  <si>
    <t>Other intangible assets</t>
  </si>
  <si>
    <t>Other</t>
  </si>
  <si>
    <t>Total assets</t>
  </si>
  <si>
    <t>Liabilities</t>
  </si>
  <si>
    <t>Current liabilities</t>
  </si>
  <si>
    <t>Debt maturing within 1-year</t>
  </si>
  <si>
    <t>Accounts payable &amp; accrued liabilities</t>
  </si>
  <si>
    <t>Other current liabilities</t>
  </si>
  <si>
    <t>Long-term debt</t>
  </si>
  <si>
    <t>Employee benefit obligations</t>
  </si>
  <si>
    <t>Deferred income taxes</t>
  </si>
  <si>
    <t xml:space="preserve">Other </t>
  </si>
  <si>
    <t>Operating lease right-of-use assets</t>
  </si>
  <si>
    <t>Current operating lease</t>
  </si>
  <si>
    <t>Non-current operating lease</t>
  </si>
  <si>
    <t>Deposits for wireless licenses</t>
  </si>
  <si>
    <t>Accounts receivable, net</t>
  </si>
  <si>
    <t>Total equity</t>
  </si>
  <si>
    <t>Total liabilities</t>
  </si>
  <si>
    <t>D/E ratio</t>
  </si>
  <si>
    <t>Operating margin</t>
  </si>
  <si>
    <t>Price</t>
  </si>
  <si>
    <t>Shares outstanding</t>
  </si>
  <si>
    <t>Market cap</t>
  </si>
  <si>
    <t>Cash</t>
  </si>
  <si>
    <t>Debt</t>
  </si>
  <si>
    <t>Q323</t>
  </si>
  <si>
    <t>Q423</t>
  </si>
  <si>
    <t>Q124</t>
  </si>
  <si>
    <t>Total current assets</t>
  </si>
  <si>
    <t>Total current liabilities</t>
  </si>
  <si>
    <t>Enterprise value</t>
  </si>
  <si>
    <t>EPS</t>
  </si>
  <si>
    <t>% Change</t>
  </si>
  <si>
    <t>X</t>
  </si>
  <si>
    <t>Cost of wireless equipment</t>
  </si>
  <si>
    <t>YoY</t>
  </si>
  <si>
    <t>Net income ratio</t>
  </si>
  <si>
    <t>QoQ</t>
  </si>
  <si>
    <t>Goodwill impairment</t>
  </si>
  <si>
    <t>Q324</t>
  </si>
  <si>
    <t>Q424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</si>
</sst>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0.0%"/>
    <numFmt numFmtId="166" formatCode="_(* #,##0.000_);_(* \(#,##0.000\);_(* &quot;-&quot;??_);_(@_)"/>
    <numFmt numFmtId="167" formatCode="_([$$-409]* #,##0.00_);_([$$-409]* \(#,##0.00\);_([$$-409]* &quot;-&quot;??_);_(@_)"/>
  </numFmts>
  <fonts count="13"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
      <u val="singleAccounting"/>
      <sz val="10"/>
      <color theme="1"/>
      <name val="Arial"/>
      <family val="2"/>
    </font>
    <font>
      <u/>
      <sz val="11"/>
      <color theme="1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5">
    <xf numFmtId="0" fontId="0" fillId="0" borderId="0"/>
    <xf numFmtId="43" fontId="8" fillId="0" borderId="0" applyFont="0" applyFill="0" applyBorder="0" applyAlignment="0" applyProtection="0"/>
    <xf numFmtId="9" fontId="8" fillId="0" borderId="0" applyFont="0" applyFill="0" applyBorder="0" applyAlignment="0" applyProtection="0"/>
    <xf numFmtId="44" fontId="8" fillId="0" borderId="0" applyFont="0" applyFill="0" applyBorder="0" applyAlignment="0" applyProtection="0"/>
    <xf numFmtId="0" fontId="12" fillId="0" borderId="0" applyNumberFormat="0" applyFill="0" applyBorder="0" applyAlignment="0" applyProtection="0"/>
  </cellStyleXfs>
  <cellXfs count="42">
    <xf numFmtId="0" fontId="0" fillId="0" borderId="0" xfId="0"/>
    <xf numFmtId="14" fontId="6" fillId="2" borderId="0" xfId="0" applyNumberFormat="1" applyFont="1" applyFill="1" applyAlignment="1">
      <alignment horizontal="center" vertical="center"/>
    </xf>
    <xf numFmtId="0" fontId="7" fillId="0" borderId="0" xfId="0" applyFont="1"/>
    <xf numFmtId="0" fontId="6" fillId="2" borderId="0" xfId="0" applyFont="1" applyFill="1" applyAlignment="1">
      <alignment horizontal="center" vertical="center"/>
    </xf>
    <xf numFmtId="0" fontId="6" fillId="2" borderId="0" xfId="0" applyFont="1" applyFill="1" applyAlignment="1">
      <alignment vertical="center"/>
    </xf>
    <xf numFmtId="164" fontId="7" fillId="0" borderId="0" xfId="1" applyNumberFormat="1" applyFont="1"/>
    <xf numFmtId="0" fontId="9" fillId="0" borderId="0" xfId="0" applyFont="1" applyAlignment="1">
      <alignment horizontal="left"/>
    </xf>
    <xf numFmtId="0" fontId="5" fillId="0" borderId="0" xfId="0" applyFont="1"/>
    <xf numFmtId="0" fontId="5" fillId="0" borderId="0" xfId="0" applyFont="1" applyAlignment="1">
      <alignment horizontal="left" indent="1"/>
    </xf>
    <xf numFmtId="0" fontId="9" fillId="0" borderId="0" xfId="0" applyFont="1"/>
    <xf numFmtId="164" fontId="9" fillId="0" borderId="0" xfId="1" applyNumberFormat="1" applyFont="1"/>
    <xf numFmtId="0" fontId="9" fillId="0" borderId="0" xfId="0" applyFont="1" applyAlignment="1">
      <alignment horizontal="left" indent="1"/>
    </xf>
    <xf numFmtId="0" fontId="9" fillId="0" borderId="0" xfId="0" applyFont="1" applyAlignment="1">
      <alignment horizontal="left" indent="2"/>
    </xf>
    <xf numFmtId="0" fontId="5" fillId="0" borderId="0" xfId="0" applyFont="1" applyAlignment="1">
      <alignment horizontal="left" indent="2"/>
    </xf>
    <xf numFmtId="0" fontId="9" fillId="0" borderId="0" xfId="0" applyFont="1" applyAlignment="1">
      <alignment horizontal="left" indent="3"/>
    </xf>
    <xf numFmtId="164" fontId="5" fillId="0" borderId="0" xfId="1" applyNumberFormat="1" applyFont="1"/>
    <xf numFmtId="0" fontId="4" fillId="0" borderId="0" xfId="0" applyFont="1" applyAlignment="1">
      <alignment horizontal="left" indent="2"/>
    </xf>
    <xf numFmtId="164" fontId="4" fillId="0" borderId="0" xfId="1" applyNumberFormat="1" applyFont="1"/>
    <xf numFmtId="166" fontId="7" fillId="0" borderId="0" xfId="1" applyNumberFormat="1" applyFont="1"/>
    <xf numFmtId="0" fontId="3" fillId="0" borderId="0" xfId="0" applyFont="1" applyAlignment="1">
      <alignment vertical="center"/>
    </xf>
    <xf numFmtId="0" fontId="3" fillId="0" borderId="0" xfId="0" applyFont="1" applyAlignment="1">
      <alignment horizontal="center" vertical="center"/>
    </xf>
    <xf numFmtId="0" fontId="3" fillId="0" borderId="0" xfId="0" applyFont="1"/>
    <xf numFmtId="167" fontId="3" fillId="0" borderId="0" xfId="0" applyNumberFormat="1" applyFont="1" applyAlignment="1">
      <alignment vertical="center"/>
    </xf>
    <xf numFmtId="0" fontId="6" fillId="2" borderId="0" xfId="0" applyFont="1" applyFill="1" applyAlignment="1">
      <alignment horizontal="center"/>
    </xf>
    <xf numFmtId="44" fontId="3" fillId="0" borderId="0" xfId="3" applyFont="1" applyFill="1" applyAlignment="1">
      <alignment horizontal="center" vertical="center"/>
    </xf>
    <xf numFmtId="44" fontId="3" fillId="0" borderId="0" xfId="3" applyFont="1" applyFill="1" applyAlignment="1">
      <alignment vertical="center"/>
    </xf>
    <xf numFmtId="44" fontId="3" fillId="0" borderId="0" xfId="3" applyFont="1" applyFill="1"/>
    <xf numFmtId="164" fontId="3" fillId="0" borderId="0" xfId="1" applyNumberFormat="1" applyFont="1"/>
    <xf numFmtId="164" fontId="3" fillId="0" borderId="0" xfId="1" applyNumberFormat="1" applyFont="1" applyFill="1" applyAlignment="1">
      <alignment horizontal="center" vertical="center"/>
    </xf>
    <xf numFmtId="164" fontId="3" fillId="0" borderId="0" xfId="1" applyNumberFormat="1" applyFont="1" applyFill="1" applyAlignment="1">
      <alignment vertical="center"/>
    </xf>
    <xf numFmtId="164" fontId="3" fillId="0" borderId="0" xfId="1" applyNumberFormat="1" applyFont="1" applyFill="1"/>
    <xf numFmtId="166" fontId="3" fillId="0" borderId="0" xfId="1" applyNumberFormat="1" applyFont="1"/>
    <xf numFmtId="43" fontId="3" fillId="0" borderId="0" xfId="1" applyFont="1"/>
    <xf numFmtId="165" fontId="10" fillId="0" borderId="0" xfId="2" applyNumberFormat="1" applyFont="1" applyFill="1" applyAlignment="1">
      <alignment horizontal="center" vertical="center"/>
    </xf>
    <xf numFmtId="0" fontId="3" fillId="0" borderId="0" xfId="0" applyFont="1" applyAlignment="1">
      <alignment horizontal="left" indent="1"/>
    </xf>
    <xf numFmtId="165" fontId="7" fillId="0" borderId="0" xfId="1" applyNumberFormat="1" applyFont="1"/>
    <xf numFmtId="165" fontId="11" fillId="0" borderId="0" xfId="2" applyNumberFormat="1" applyFont="1" applyFill="1" applyAlignment="1">
      <alignment horizontal="center" vertical="center"/>
    </xf>
    <xf numFmtId="165" fontId="12" fillId="0" borderId="0" xfId="4" applyNumberFormat="1" applyFill="1" applyAlignment="1">
      <alignment horizontal="center" vertical="center"/>
    </xf>
    <xf numFmtId="165" fontId="11" fillId="0" borderId="0" xfId="1" applyNumberFormat="1" applyFont="1" applyAlignment="1">
      <alignment horizontal="center"/>
    </xf>
    <xf numFmtId="44" fontId="2" fillId="0" borderId="0" xfId="3" applyFont="1" applyFill="1" applyAlignment="1">
      <alignment horizontal="center" vertical="center"/>
    </xf>
    <xf numFmtId="0" fontId="1" fillId="0" borderId="0" xfId="0" applyFont="1" applyAlignment="1">
      <alignment horizontal="left" indent="1"/>
    </xf>
    <xf numFmtId="165" fontId="3" fillId="0" borderId="0" xfId="2" applyNumberFormat="1" applyFont="1"/>
  </cellXfs>
  <cellStyles count="5">
    <cellStyle name="Comma" xfId="1" builtinId="3"/>
    <cellStyle name="Currency" xfId="3" builtinId="4"/>
    <cellStyle name="Hyperlink" xfId="4" builtinId="8"/>
    <cellStyle name="Normal" xfId="0" builtinId="0"/>
    <cellStyle name="Percent" xfId="2" builtinId="5"/>
  </cellStyles>
  <dxfs count="0"/>
  <tableStyles count="0" defaultTableStyle="TableStyleMedium2" defaultPivotStyle="PivotStyleLight16"/>
  <colors>
    <mruColors>
      <color rgb="FFE87A6E"/>
      <color rgb="FFBB0909"/>
      <color rgb="FF860000"/>
      <color rgb="FFE09690"/>
      <color rgb="FFF75353"/>
      <color rgb="FFD1655D"/>
      <color rgb="FFC74339"/>
      <color rgb="FFFF2F2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https://www.bing.com/financeapi/forcetrigger?t=a25obh&amp;q=XNYS%3aVZ&amp;form=skydnc</v>
    <v>Learn more on Bing</v>
  </rv>
  <rv s="1">
    <v>en-US</v>
    <v>a25obh</v>
    <v>268435456</v>
    <v>1</v>
    <v>Powered by Refinitiv</v>
    <v>0</v>
    <v>VERIZON COMMUNICATIONS INC. (XNYS:VZ)</v>
    <v>2</v>
    <v>3</v>
    <v>Finance</v>
    <v>4</v>
    <v>43.42</v>
    <v>30.135000000000002</v>
    <v>0.39600000000000002</v>
    <v>-1.7749999999999999</v>
    <v>-4.3838000000000002E-2</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brands.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105400</v>
    <v>New York Stock Exchange</v>
    <v>XNYS</v>
    <v>XNYS</v>
    <v>1095 Avenue Of The Americas, NEW YORK, NY, 10036 US</v>
    <v>41.64</v>
    <v>Telecommunications Services</v>
    <v>Stock</v>
    <v>45404.785233240626</v>
    <v>0</v>
    <v>38.65</v>
    <v>162768390480</v>
    <v>VERIZON COMMUNICATIONS INC.</v>
    <v>VERIZON COMMUNICATIONS INC.</v>
    <v>41.37</v>
    <v>14.6859</v>
    <v>40.49</v>
    <v>38.715000000000003</v>
    <v>4204272000</v>
    <v>VZ</v>
    <v>VERIZON COMMUNICATIONS INC. (XNYS:VZ)</v>
    <v>32995826</v>
    <v>19050139</v>
    <v>1983</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M69"/>
  <sheetViews>
    <sheetView tabSelected="1" zoomScale="120" zoomScaleNormal="120" workbookViewId="0">
      <pane xSplit="1" topLeftCell="U1" activePane="topRight" state="frozen"/>
      <selection pane="topRight" activeCell="AE69" sqref="AE69"/>
    </sheetView>
  </sheetViews>
  <sheetFormatPr defaultColWidth="8.86328125" defaultRowHeight="15" x14ac:dyDescent="0.65"/>
  <cols>
    <col min="1" max="1" width="39.86328125" style="2" customWidth="1"/>
    <col min="2" max="23" width="12.73046875" style="5" customWidth="1"/>
    <col min="24" max="24" width="10.73046875" style="35" hidden="1" customWidth="1"/>
    <col min="25" max="25" width="12.73046875" style="5" customWidth="1"/>
    <col min="26" max="26" width="12.73046875" style="5" hidden="1" customWidth="1"/>
    <col min="27" max="27" width="10.59765625" style="38" hidden="1" customWidth="1"/>
    <col min="28" max="28" width="12.73046875" style="5" customWidth="1"/>
    <col min="29" max="29" width="10.73046875" style="5" hidden="1" customWidth="1"/>
    <col min="30" max="30" width="12.73046875" style="5" customWidth="1"/>
    <col min="31" max="32" width="10.59765625" style="5" customWidth="1"/>
    <col min="33" max="58" width="12.73046875" style="5" customWidth="1"/>
    <col min="59" max="16384" width="8.86328125" style="5"/>
  </cols>
  <sheetData>
    <row r="1" spans="1:39" s="23" customFormat="1" ht="15" customHeight="1" x14ac:dyDescent="0.4">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t="s">
        <v>82</v>
      </c>
      <c r="Y1" s="1">
        <v>45199</v>
      </c>
      <c r="Z1" s="1" t="s">
        <v>82</v>
      </c>
      <c r="AA1" s="1" t="s">
        <v>82</v>
      </c>
      <c r="AB1" s="1">
        <v>45291</v>
      </c>
      <c r="AC1" s="1" t="s">
        <v>82</v>
      </c>
      <c r="AD1" s="1">
        <v>45382</v>
      </c>
      <c r="AE1" s="1" t="s">
        <v>82</v>
      </c>
      <c r="AF1" s="1" t="s">
        <v>82</v>
      </c>
      <c r="AG1" s="1">
        <v>45565</v>
      </c>
      <c r="AH1" s="1">
        <v>45657</v>
      </c>
      <c r="AI1" s="3"/>
      <c r="AJ1" s="3"/>
      <c r="AK1" s="3"/>
      <c r="AL1" s="3"/>
      <c r="AM1" s="3"/>
    </row>
    <row r="2" spans="1:39" s="23"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85</v>
      </c>
      <c r="Y2" s="3" t="s">
        <v>75</v>
      </c>
      <c r="Z2" s="3" t="s">
        <v>87</v>
      </c>
      <c r="AA2" s="3" t="s">
        <v>85</v>
      </c>
      <c r="AB2" s="3" t="s">
        <v>76</v>
      </c>
      <c r="AC2" s="3" t="s">
        <v>85</v>
      </c>
      <c r="AD2" s="3" t="s">
        <v>77</v>
      </c>
      <c r="AE2" s="3" t="s">
        <v>85</v>
      </c>
      <c r="AF2" s="3" t="s">
        <v>87</v>
      </c>
      <c r="AG2" s="3" t="s">
        <v>89</v>
      </c>
      <c r="AH2" s="3" t="s">
        <v>90</v>
      </c>
      <c r="AI2" s="3"/>
      <c r="AJ2" s="3"/>
      <c r="AK2" s="3"/>
      <c r="AL2" s="3"/>
      <c r="AM2" s="3"/>
    </row>
    <row r="3" spans="1:39" s="21" customFormat="1" ht="15" customHeight="1" x14ac:dyDescent="0.35">
      <c r="A3" s="19" t="e" vm="1">
        <v>#VALUE!</v>
      </c>
      <c r="B3" s="20"/>
      <c r="C3" s="20"/>
      <c r="D3" s="20"/>
      <c r="E3" s="20"/>
      <c r="F3" s="20"/>
      <c r="G3" s="20"/>
      <c r="H3" s="20"/>
      <c r="I3" s="20"/>
      <c r="J3" s="20"/>
      <c r="K3" s="20"/>
      <c r="L3" s="20"/>
      <c r="M3" s="20"/>
      <c r="N3" s="20"/>
      <c r="O3" s="20"/>
      <c r="P3" s="20"/>
      <c r="Q3" s="20"/>
      <c r="R3" s="20"/>
      <c r="S3" s="20"/>
      <c r="T3" s="20"/>
      <c r="U3" s="20"/>
      <c r="V3" s="20"/>
      <c r="W3" s="19"/>
      <c r="X3" s="19"/>
      <c r="Y3" s="19"/>
      <c r="Z3" s="19"/>
      <c r="AA3" s="19"/>
      <c r="AB3" s="19"/>
      <c r="AC3" s="19"/>
      <c r="AD3" s="19"/>
      <c r="AE3" s="19"/>
      <c r="AF3" s="19"/>
      <c r="AG3" s="19"/>
      <c r="AH3" s="19"/>
      <c r="AI3" s="19"/>
      <c r="AJ3" s="19"/>
      <c r="AK3" s="19"/>
      <c r="AL3" s="19"/>
      <c r="AM3" s="19"/>
    </row>
    <row r="4" spans="1:39" s="21" customFormat="1" ht="15" customHeight="1" x14ac:dyDescent="0.35">
      <c r="A4" s="22" cm="1">
        <f t="array" ref="A4">_FV(A3,"Price")</f>
        <v>38.715000000000003</v>
      </c>
      <c r="B4" s="20"/>
      <c r="C4" s="20"/>
      <c r="D4" s="20"/>
      <c r="E4" s="20"/>
      <c r="F4" s="20"/>
      <c r="G4" s="20"/>
      <c r="H4" s="20"/>
      <c r="I4" s="20"/>
      <c r="J4" s="20"/>
      <c r="K4" s="20"/>
      <c r="L4" s="20"/>
      <c r="M4" s="20"/>
      <c r="N4" s="20"/>
      <c r="O4" s="20"/>
      <c r="P4" s="20"/>
      <c r="Q4" s="20"/>
      <c r="R4" s="20"/>
      <c r="S4" s="20"/>
      <c r="T4" s="20"/>
      <c r="U4" s="20"/>
      <c r="V4" s="20"/>
      <c r="W4" s="19"/>
      <c r="X4" s="19"/>
      <c r="Y4" s="19"/>
      <c r="Z4" s="19"/>
      <c r="AA4" s="19"/>
      <c r="AB4" s="19"/>
      <c r="AC4" s="19"/>
      <c r="AD4" s="19"/>
      <c r="AE4" s="19"/>
      <c r="AF4" s="19"/>
      <c r="AG4" s="19"/>
      <c r="AH4" s="19"/>
      <c r="AI4" s="19"/>
      <c r="AJ4" s="19"/>
      <c r="AK4" s="19"/>
      <c r="AL4" s="19"/>
      <c r="AM4" s="19"/>
    </row>
    <row r="5" spans="1:39" s="26" customFormat="1" ht="15" customHeight="1" x14ac:dyDescent="0.35">
      <c r="A5" s="19" t="s">
        <v>70</v>
      </c>
      <c r="B5" s="24">
        <v>47.82</v>
      </c>
      <c r="C5" s="24">
        <v>50.31</v>
      </c>
      <c r="D5" s="24">
        <v>53.39</v>
      </c>
      <c r="E5" s="24">
        <v>56.22</v>
      </c>
      <c r="F5" s="24">
        <v>59.13</v>
      </c>
      <c r="G5" s="24">
        <v>57.13</v>
      </c>
      <c r="H5" s="24">
        <v>60.36</v>
      </c>
      <c r="I5" s="24">
        <v>61.4</v>
      </c>
      <c r="J5" s="24">
        <v>53.73</v>
      </c>
      <c r="K5" s="24">
        <v>55.13</v>
      </c>
      <c r="L5" s="24">
        <v>59.49</v>
      </c>
      <c r="M5" s="24">
        <v>58.75</v>
      </c>
      <c r="N5" s="24">
        <v>58.15</v>
      </c>
      <c r="O5" s="24">
        <v>56.03</v>
      </c>
      <c r="P5" s="24">
        <v>54.01</v>
      </c>
      <c r="Q5" s="24">
        <v>51.96</v>
      </c>
      <c r="R5" s="39">
        <v>50.94</v>
      </c>
      <c r="S5" s="24">
        <v>50.75</v>
      </c>
      <c r="T5" s="24">
        <v>37.97</v>
      </c>
      <c r="U5" s="24">
        <v>39.4</v>
      </c>
      <c r="V5" s="24">
        <v>38.89</v>
      </c>
      <c r="W5" s="25">
        <v>34.5</v>
      </c>
      <c r="X5" s="33" t="s">
        <v>83</v>
      </c>
      <c r="Y5" s="25">
        <v>32.409999999999997</v>
      </c>
      <c r="Z5" s="33">
        <f>(Y5-W5)/W5</f>
        <v>-6.0579710144927634E-2</v>
      </c>
      <c r="AA5" s="36">
        <f>(Y5-T5)/T5</f>
        <v>-0.14643139320516205</v>
      </c>
      <c r="AB5" s="25">
        <v>37.700000000000003</v>
      </c>
      <c r="AC5" s="33">
        <f>(AB5-U5)/U5</f>
        <v>-4.3147208121827305E-2</v>
      </c>
      <c r="AD5" s="25">
        <v>41.96</v>
      </c>
      <c r="AE5" s="33">
        <f>(AD5-V5)/V5</f>
        <v>7.8940601697094381E-2</v>
      </c>
      <c r="AF5" s="33">
        <f>(AD5-AB5)/AB5</f>
        <v>0.11299734748010604</v>
      </c>
      <c r="AG5" s="25"/>
      <c r="AH5" s="25"/>
      <c r="AI5" s="25"/>
      <c r="AJ5" s="25"/>
      <c r="AK5" s="25"/>
      <c r="AL5" s="25"/>
      <c r="AM5" s="25"/>
    </row>
    <row r="6" spans="1:39" s="30" customFormat="1" ht="15" customHeight="1" x14ac:dyDescent="0.35">
      <c r="A6" s="19" t="s">
        <v>71</v>
      </c>
      <c r="B6" s="28">
        <v>4107</v>
      </c>
      <c r="C6" s="28">
        <v>4139</v>
      </c>
      <c r="D6" s="28">
        <v>4140</v>
      </c>
      <c r="E6" s="28">
        <v>4132</v>
      </c>
      <c r="F6" s="28">
        <v>4140</v>
      </c>
      <c r="G6" s="28">
        <v>4139</v>
      </c>
      <c r="H6" s="28">
        <v>4140</v>
      </c>
      <c r="I6" s="28">
        <v>4140</v>
      </c>
      <c r="J6" s="28">
        <v>4141</v>
      </c>
      <c r="K6" s="28">
        <v>4141</v>
      </c>
      <c r="L6" s="28">
        <v>4142</v>
      </c>
      <c r="M6" s="28">
        <v>4142</v>
      </c>
      <c r="N6" s="28">
        <v>4142</v>
      </c>
      <c r="O6" s="28">
        <v>4143</v>
      </c>
      <c r="P6" s="28">
        <v>4144</v>
      </c>
      <c r="Q6" s="28">
        <v>4150</v>
      </c>
      <c r="R6" s="28">
        <v>4202</v>
      </c>
      <c r="S6" s="28">
        <v>4202</v>
      </c>
      <c r="T6" s="28">
        <v>4204</v>
      </c>
      <c r="U6" s="28">
        <v>4204</v>
      </c>
      <c r="V6" s="28">
        <v>4211</v>
      </c>
      <c r="W6" s="29">
        <v>4213</v>
      </c>
      <c r="X6" s="33" t="s">
        <v>83</v>
      </c>
      <c r="Y6" s="29">
        <v>4216</v>
      </c>
      <c r="Z6" s="33">
        <f>(Y6-W6)/W6</f>
        <v>7.1208165202943266E-4</v>
      </c>
      <c r="AA6" s="36">
        <f>(Y6-T6)/T6</f>
        <v>2.8544243577545195E-3</v>
      </c>
      <c r="AB6" s="29">
        <v>4214</v>
      </c>
      <c r="AC6" s="33">
        <f t="shared" ref="AC6:AC68" si="0">(AB6-U6)/U6</f>
        <v>2.3786869647954329E-3</v>
      </c>
      <c r="AD6" s="29">
        <v>4219</v>
      </c>
      <c r="AE6" s="33">
        <f t="shared" ref="AE6:AF68" si="1">(AD6-V6)/V6</f>
        <v>1.89978627404417E-3</v>
      </c>
      <c r="AF6" s="33">
        <f t="shared" ref="AF6:AF9" si="2">(AD6-AB6)/AB6</f>
        <v>1.1865211200759373E-3</v>
      </c>
      <c r="AG6" s="29"/>
      <c r="AH6" s="29"/>
      <c r="AI6" s="29"/>
      <c r="AJ6" s="29"/>
      <c r="AK6" s="29"/>
      <c r="AL6" s="29"/>
      <c r="AM6" s="29"/>
    </row>
    <row r="7" spans="1:39" s="30" customFormat="1" ht="15" customHeight="1" x14ac:dyDescent="0.35">
      <c r="A7" s="19" t="s">
        <v>72</v>
      </c>
      <c r="B7" s="29">
        <f t="shared" ref="B7:V7" si="3">B5*B6</f>
        <v>196396.74</v>
      </c>
      <c r="C7" s="29">
        <f t="shared" si="3"/>
        <v>208233.09</v>
      </c>
      <c r="D7" s="29">
        <f t="shared" si="3"/>
        <v>221034.6</v>
      </c>
      <c r="E7" s="29">
        <f t="shared" si="3"/>
        <v>232301.04</v>
      </c>
      <c r="F7" s="29">
        <f t="shared" si="3"/>
        <v>244798.2</v>
      </c>
      <c r="G7" s="29">
        <f t="shared" si="3"/>
        <v>236461.07</v>
      </c>
      <c r="H7" s="29">
        <f t="shared" si="3"/>
        <v>249890.4</v>
      </c>
      <c r="I7" s="29">
        <f t="shared" si="3"/>
        <v>254196</v>
      </c>
      <c r="J7" s="29">
        <f t="shared" si="3"/>
        <v>222495.93</v>
      </c>
      <c r="K7" s="29">
        <f t="shared" si="3"/>
        <v>228293.33000000002</v>
      </c>
      <c r="L7" s="29">
        <f t="shared" si="3"/>
        <v>246407.58000000002</v>
      </c>
      <c r="M7" s="29">
        <f t="shared" si="3"/>
        <v>243342.5</v>
      </c>
      <c r="N7" s="29">
        <f t="shared" si="3"/>
        <v>240857.3</v>
      </c>
      <c r="O7" s="29">
        <f t="shared" si="3"/>
        <v>232132.29</v>
      </c>
      <c r="P7" s="29">
        <f t="shared" si="3"/>
        <v>223817.44</v>
      </c>
      <c r="Q7" s="29">
        <f t="shared" si="3"/>
        <v>215634</v>
      </c>
      <c r="R7" s="29">
        <f t="shared" si="3"/>
        <v>214049.88</v>
      </c>
      <c r="S7" s="29">
        <f t="shared" si="3"/>
        <v>213251.5</v>
      </c>
      <c r="T7" s="29">
        <f t="shared" si="3"/>
        <v>159625.88</v>
      </c>
      <c r="U7" s="29">
        <f t="shared" si="3"/>
        <v>165637.6</v>
      </c>
      <c r="V7" s="29">
        <f t="shared" si="3"/>
        <v>163765.79</v>
      </c>
      <c r="W7" s="29">
        <f>W5*W6</f>
        <v>145348.5</v>
      </c>
      <c r="X7" s="33" t="s">
        <v>83</v>
      </c>
      <c r="Y7" s="29">
        <f t="shared" ref="Y7:AD7" si="4">Y5*Y6</f>
        <v>136640.56</v>
      </c>
      <c r="Z7" s="33">
        <f>(Y7-W7)/W7</f>
        <v>-5.9910766192977583E-2</v>
      </c>
      <c r="AA7" s="36">
        <f>(Y7-T7)/T7</f>
        <v>-0.14399494618291223</v>
      </c>
      <c r="AB7" s="29">
        <f t="shared" si="4"/>
        <v>158867.80000000002</v>
      </c>
      <c r="AC7" s="33">
        <f t="shared" si="0"/>
        <v>-4.0871154858558613E-2</v>
      </c>
      <c r="AD7" s="29">
        <f t="shared" si="4"/>
        <v>177029.24</v>
      </c>
      <c r="AE7" s="33">
        <f t="shared" si="1"/>
        <v>8.0990358242707353E-2</v>
      </c>
      <c r="AF7" s="33">
        <f t="shared" si="2"/>
        <v>0.11431794233947956</v>
      </c>
      <c r="AG7" s="29">
        <f t="shared" ref="AF7:AH7" si="5">AG5*AG6</f>
        <v>0</v>
      </c>
      <c r="AH7" s="29">
        <f t="shared" si="5"/>
        <v>0</v>
      </c>
      <c r="AI7" s="29"/>
      <c r="AJ7" s="29"/>
      <c r="AK7" s="29"/>
      <c r="AL7" s="29"/>
      <c r="AM7" s="29"/>
    </row>
    <row r="8" spans="1:39" s="30" customFormat="1" ht="15" customHeight="1" x14ac:dyDescent="0.35">
      <c r="A8" s="19" t="s">
        <v>73</v>
      </c>
      <c r="B8" s="29">
        <f t="shared" ref="B8:V8" si="6">B34+B42</f>
        <v>1923</v>
      </c>
      <c r="C8" s="29">
        <f t="shared" si="6"/>
        <v>1750</v>
      </c>
      <c r="D8" s="29">
        <f t="shared" si="6"/>
        <v>2538</v>
      </c>
      <c r="E8" s="29">
        <f t="shared" si="6"/>
        <v>2745</v>
      </c>
      <c r="F8" s="29">
        <f t="shared" si="6"/>
        <v>2322</v>
      </c>
      <c r="G8" s="29">
        <f t="shared" si="6"/>
        <v>1949</v>
      </c>
      <c r="H8" s="29">
        <f t="shared" si="6"/>
        <v>3020</v>
      </c>
      <c r="I8" s="29">
        <f t="shared" si="6"/>
        <v>2594</v>
      </c>
      <c r="J8" s="29">
        <f t="shared" si="6"/>
        <v>7047</v>
      </c>
      <c r="K8" s="29">
        <f t="shared" si="6"/>
        <v>7882</v>
      </c>
      <c r="L8" s="29">
        <f t="shared" si="6"/>
        <v>8983</v>
      </c>
      <c r="M8" s="29">
        <f t="shared" si="6"/>
        <v>22171</v>
      </c>
      <c r="N8" s="29">
        <f t="shared" si="6"/>
        <v>55695</v>
      </c>
      <c r="O8" s="29">
        <f t="shared" si="6"/>
        <v>50567</v>
      </c>
      <c r="P8" s="29">
        <f t="shared" si="6"/>
        <v>9936</v>
      </c>
      <c r="Q8" s="29">
        <f t="shared" si="6"/>
        <v>2921</v>
      </c>
      <c r="R8" s="29">
        <f t="shared" si="6"/>
        <v>1661</v>
      </c>
      <c r="S8" s="29">
        <f t="shared" si="6"/>
        <v>1857</v>
      </c>
      <c r="T8" s="29">
        <f t="shared" si="6"/>
        <v>2082</v>
      </c>
      <c r="U8" s="29">
        <f t="shared" si="6"/>
        <v>2605</v>
      </c>
      <c r="V8" s="29">
        <f t="shared" si="6"/>
        <v>2234</v>
      </c>
      <c r="W8" s="29">
        <f>W34+W42</f>
        <v>4803</v>
      </c>
      <c r="X8" s="33">
        <f>(W8-S8)/S8</f>
        <v>1.5864297253634896</v>
      </c>
      <c r="Y8" s="29">
        <f t="shared" ref="Y8:AD8" si="7">Y34+Y42</f>
        <v>4210</v>
      </c>
      <c r="Z8" s="33">
        <f>(Y8-W8)/W8</f>
        <v>-0.12346450135332084</v>
      </c>
      <c r="AA8" s="36">
        <f>(Y8-T8)/T8</f>
        <v>1.0220941402497599</v>
      </c>
      <c r="AB8" s="29">
        <f t="shared" si="7"/>
        <v>2065</v>
      </c>
      <c r="AC8" s="33">
        <f>(AB8-U8)/U8</f>
        <v>-0.20729366602687141</v>
      </c>
      <c r="AD8" s="29">
        <f t="shared" si="7"/>
        <v>2365</v>
      </c>
      <c r="AE8" s="33">
        <f t="shared" si="1"/>
        <v>5.863921217547001E-2</v>
      </c>
      <c r="AF8" s="33">
        <f t="shared" si="2"/>
        <v>0.14527845036319612</v>
      </c>
      <c r="AG8" s="29">
        <f t="shared" ref="AF8:AH8" si="8">AG34+AG42</f>
        <v>0</v>
      </c>
      <c r="AH8" s="29">
        <f t="shared" si="8"/>
        <v>0</v>
      </c>
      <c r="AI8" s="29"/>
      <c r="AJ8" s="29"/>
      <c r="AK8" s="29"/>
      <c r="AL8" s="29"/>
      <c r="AM8" s="29"/>
    </row>
    <row r="9" spans="1:39" s="30" customFormat="1" ht="15" customHeight="1" x14ac:dyDescent="0.35">
      <c r="A9" s="19" t="s">
        <v>74</v>
      </c>
      <c r="B9" s="29">
        <f t="shared" ref="B9:V9" si="9">B51+B56</f>
        <v>119057</v>
      </c>
      <c r="C9" s="29">
        <f t="shared" si="9"/>
        <v>114640</v>
      </c>
      <c r="D9" s="29">
        <f t="shared" si="9"/>
        <v>112942</v>
      </c>
      <c r="E9" s="29">
        <f t="shared" si="9"/>
        <v>113063</v>
      </c>
      <c r="F9" s="29">
        <f t="shared" si="9"/>
        <v>113659</v>
      </c>
      <c r="G9" s="29">
        <f t="shared" si="9"/>
        <v>113371</v>
      </c>
      <c r="H9" s="29">
        <f t="shared" si="9"/>
        <v>109599</v>
      </c>
      <c r="I9" s="29">
        <f t="shared" si="9"/>
        <v>111489</v>
      </c>
      <c r="J9" s="29">
        <f t="shared" si="9"/>
        <v>117736</v>
      </c>
      <c r="K9" s="29">
        <f t="shared" si="9"/>
        <v>112841</v>
      </c>
      <c r="L9" s="29">
        <f t="shared" si="9"/>
        <v>115560</v>
      </c>
      <c r="M9" s="29">
        <f t="shared" si="9"/>
        <v>129062</v>
      </c>
      <c r="N9" s="29">
        <f t="shared" si="9"/>
        <v>158502</v>
      </c>
      <c r="O9" s="29">
        <f t="shared" si="9"/>
        <v>151917</v>
      </c>
      <c r="P9" s="29">
        <f t="shared" si="9"/>
        <v>150975</v>
      </c>
      <c r="Q9" s="29">
        <f t="shared" si="9"/>
        <v>150868</v>
      </c>
      <c r="R9" s="29">
        <f t="shared" si="9"/>
        <v>153382</v>
      </c>
      <c r="S9" s="29">
        <f t="shared" si="9"/>
        <v>149057</v>
      </c>
      <c r="T9" s="29">
        <f t="shared" si="9"/>
        <v>147907</v>
      </c>
      <c r="U9" s="29">
        <f t="shared" si="9"/>
        <v>150639</v>
      </c>
      <c r="V9" s="29">
        <f t="shared" si="9"/>
        <v>152853</v>
      </c>
      <c r="W9" s="29">
        <f>W51+W56</f>
        <v>152698</v>
      </c>
      <c r="X9" s="33">
        <f t="shared" ref="X9:X67" si="10">(W9-S9)/S9</f>
        <v>2.4426897093058359E-2</v>
      </c>
      <c r="Y9" s="29">
        <f t="shared" ref="Y9:AD9" si="11">Y51+Y56</f>
        <v>147391</v>
      </c>
      <c r="Z9" s="33">
        <f>(Y9-W9)/W9</f>
        <v>-3.475487563687802E-2</v>
      </c>
      <c r="AA9" s="36">
        <f>(Y9-T9)/T9</f>
        <v>-3.4886786967486326E-3</v>
      </c>
      <c r="AB9" s="29">
        <f t="shared" si="11"/>
        <v>150674</v>
      </c>
      <c r="AC9" s="33">
        <f>(AB9-U9)/U9</f>
        <v>2.323435498111379E-4</v>
      </c>
      <c r="AD9" s="29">
        <f t="shared" si="11"/>
        <v>151698</v>
      </c>
      <c r="AE9" s="33">
        <f t="shared" si="1"/>
        <v>-7.5562795627171202E-3</v>
      </c>
      <c r="AF9" s="33">
        <f t="shared" si="2"/>
        <v>6.7961293919322511E-3</v>
      </c>
      <c r="AG9" s="29">
        <f t="shared" ref="AF9:AH9" si="12">AG51+AG56</f>
        <v>0</v>
      </c>
      <c r="AH9" s="29">
        <f t="shared" si="12"/>
        <v>0</v>
      </c>
      <c r="AI9" s="29"/>
      <c r="AJ9" s="29"/>
      <c r="AK9" s="29"/>
      <c r="AL9" s="29"/>
      <c r="AM9" s="29"/>
    </row>
    <row r="10" spans="1:39" s="21" customFormat="1" ht="15" customHeight="1" x14ac:dyDescent="0.35">
      <c r="A10" s="19"/>
      <c r="B10" s="20"/>
      <c r="C10" s="20"/>
      <c r="D10" s="20"/>
      <c r="E10" s="20"/>
      <c r="F10" s="20"/>
      <c r="G10" s="20"/>
      <c r="H10" s="20"/>
      <c r="I10" s="20"/>
      <c r="J10" s="20"/>
      <c r="K10" s="20"/>
      <c r="L10" s="20"/>
      <c r="M10" s="20"/>
      <c r="N10" s="20"/>
      <c r="O10" s="20"/>
      <c r="P10" s="20"/>
      <c r="Q10" s="20"/>
      <c r="R10" s="20"/>
      <c r="S10" s="20"/>
      <c r="T10" s="20"/>
      <c r="U10" s="20"/>
      <c r="V10" s="20"/>
      <c r="W10" s="19"/>
      <c r="X10" s="33"/>
      <c r="Y10" s="19"/>
      <c r="Z10" s="33"/>
      <c r="AA10" s="36"/>
      <c r="AB10" s="19"/>
      <c r="AC10" s="33"/>
      <c r="AD10" s="19"/>
      <c r="AE10" s="33"/>
      <c r="AF10" s="33"/>
      <c r="AG10" s="19"/>
      <c r="AH10" s="19"/>
      <c r="AI10" s="19"/>
      <c r="AJ10" s="19"/>
      <c r="AK10" s="19"/>
      <c r="AL10" s="19"/>
      <c r="AM10" s="19"/>
    </row>
    <row r="11" spans="1:39" x14ac:dyDescent="0.4">
      <c r="A11" s="6" t="s">
        <v>24</v>
      </c>
      <c r="X11" s="33"/>
      <c r="Z11" s="33"/>
      <c r="AA11" s="36"/>
      <c r="AC11" s="33"/>
      <c r="AE11" s="33"/>
      <c r="AF11" s="33"/>
    </row>
    <row r="12" spans="1:39" x14ac:dyDescent="0.35">
      <c r="A12" s="8" t="s">
        <v>25</v>
      </c>
      <c r="B12" s="5">
        <v>26732</v>
      </c>
      <c r="C12" s="5">
        <v>27159</v>
      </c>
      <c r="D12" s="5">
        <v>27254</v>
      </c>
      <c r="E12" s="5">
        <f>108605-SUM(B12:D12)</f>
        <v>27460</v>
      </c>
      <c r="F12" s="5">
        <v>27197</v>
      </c>
      <c r="G12" s="5">
        <v>27351</v>
      </c>
      <c r="H12" s="5">
        <v>27753</v>
      </c>
      <c r="I12" s="5">
        <f>110305-SUM(F12:H12)</f>
        <v>28004</v>
      </c>
      <c r="J12" s="5">
        <v>27481</v>
      </c>
      <c r="K12" s="5">
        <v>26692</v>
      </c>
      <c r="L12" s="5">
        <v>27431</v>
      </c>
      <c r="M12" s="5">
        <f>109872-SUM(J12:L12)</f>
        <v>28268</v>
      </c>
      <c r="N12" s="5">
        <v>27923</v>
      </c>
      <c r="O12" s="5">
        <v>28221</v>
      </c>
      <c r="P12" s="5">
        <v>27565</v>
      </c>
      <c r="Q12" s="5">
        <f>110449-SUM(N12:P12)</f>
        <v>26740</v>
      </c>
      <c r="R12" s="5">
        <v>27218</v>
      </c>
      <c r="S12" s="5">
        <v>27115</v>
      </c>
      <c r="T12" s="5">
        <v>27666</v>
      </c>
      <c r="U12" s="5">
        <f>109625-SUM(R12:T12)</f>
        <v>27626</v>
      </c>
      <c r="V12" s="5">
        <v>27152</v>
      </c>
      <c r="W12" s="5">
        <v>27319</v>
      </c>
      <c r="X12" s="33">
        <f t="shared" si="10"/>
        <v>7.5235109717868339E-3</v>
      </c>
      <c r="Y12" s="5">
        <v>27523</v>
      </c>
      <c r="Z12" s="33">
        <f>(Y12-W12)/W12</f>
        <v>7.4673304293714996E-3</v>
      </c>
      <c r="AA12" s="36">
        <f>(Y12-T12)/T12</f>
        <v>-5.1687992481746544E-3</v>
      </c>
      <c r="AB12" s="5">
        <v>27658</v>
      </c>
      <c r="AC12" s="33">
        <f t="shared" si="0"/>
        <v>1.1583291102584522E-3</v>
      </c>
      <c r="AD12" s="5">
        <v>27620</v>
      </c>
      <c r="AE12" s="33">
        <f t="shared" si="1"/>
        <v>1.7236299351797289E-2</v>
      </c>
      <c r="AF12" s="33">
        <f t="shared" ref="AF12:AF14" si="13">(AD12-AB12)/AB12</f>
        <v>-1.3739243618482897E-3</v>
      </c>
    </row>
    <row r="13" spans="1:39" x14ac:dyDescent="0.35">
      <c r="A13" s="8" t="s">
        <v>26</v>
      </c>
      <c r="B13" s="5">
        <v>5040</v>
      </c>
      <c r="C13" s="5">
        <v>5044</v>
      </c>
      <c r="D13" s="5">
        <v>5353</v>
      </c>
      <c r="E13" s="5">
        <f>22258-SUM(B13:D13)</f>
        <v>6821</v>
      </c>
      <c r="F13" s="5">
        <v>4931</v>
      </c>
      <c r="G13" s="5">
        <v>4720</v>
      </c>
      <c r="H13" s="5">
        <v>5141</v>
      </c>
      <c r="I13" s="5">
        <f>21563-SUM(F13:H13)</f>
        <v>6771</v>
      </c>
      <c r="J13" s="5">
        <v>4129</v>
      </c>
      <c r="K13" s="5">
        <v>3755</v>
      </c>
      <c r="L13" s="5">
        <v>4112</v>
      </c>
      <c r="M13" s="5">
        <f>18420-SUM(J13:L13)</f>
        <v>6424</v>
      </c>
      <c r="N13" s="5">
        <v>4944</v>
      </c>
      <c r="O13" s="5">
        <v>5543</v>
      </c>
      <c r="P13" s="5">
        <v>5350</v>
      </c>
      <c r="Q13" s="5">
        <f>23164-SUM(N13:P13)</f>
        <v>7327</v>
      </c>
      <c r="R13" s="5">
        <v>6336</v>
      </c>
      <c r="S13" s="5">
        <v>6674</v>
      </c>
      <c r="T13" s="5">
        <v>6575</v>
      </c>
      <c r="U13" s="5">
        <f>27210-SUM(R13:T13)</f>
        <v>7625</v>
      </c>
      <c r="V13" s="5">
        <v>5760</v>
      </c>
      <c r="W13" s="5">
        <v>5277</v>
      </c>
      <c r="X13" s="33">
        <f t="shared" si="10"/>
        <v>-0.20931974827689542</v>
      </c>
      <c r="Y13" s="5">
        <v>5813</v>
      </c>
      <c r="Z13" s="33">
        <f>(Y13-W13)/W13</f>
        <v>0.10157286336933864</v>
      </c>
      <c r="AA13" s="36">
        <f>(Y13-T13)/T13</f>
        <v>-0.11589353612167301</v>
      </c>
      <c r="AB13" s="5">
        <v>7472</v>
      </c>
      <c r="AC13" s="33">
        <f t="shared" si="0"/>
        <v>-2.0065573770491802E-2</v>
      </c>
      <c r="AD13" s="5">
        <v>5361</v>
      </c>
      <c r="AE13" s="33">
        <f t="shared" si="1"/>
        <v>-6.9270833333333337E-2</v>
      </c>
      <c r="AF13" s="33">
        <f t="shared" si="13"/>
        <v>-0.28252141327623126</v>
      </c>
    </row>
    <row r="14" spans="1:39" s="10" customFormat="1" x14ac:dyDescent="0.4">
      <c r="A14" s="12" t="s">
        <v>27</v>
      </c>
      <c r="B14" s="10">
        <f t="shared" ref="B14:AD14" si="14">SUM(B12:B13)</f>
        <v>31772</v>
      </c>
      <c r="C14" s="10">
        <f t="shared" si="14"/>
        <v>32203</v>
      </c>
      <c r="D14" s="10">
        <f t="shared" si="14"/>
        <v>32607</v>
      </c>
      <c r="E14" s="10">
        <f t="shared" si="14"/>
        <v>34281</v>
      </c>
      <c r="F14" s="10">
        <f t="shared" si="14"/>
        <v>32128</v>
      </c>
      <c r="G14" s="10">
        <f t="shared" si="14"/>
        <v>32071</v>
      </c>
      <c r="H14" s="10">
        <f t="shared" si="14"/>
        <v>32894</v>
      </c>
      <c r="I14" s="10">
        <f t="shared" si="14"/>
        <v>34775</v>
      </c>
      <c r="J14" s="10">
        <f t="shared" si="14"/>
        <v>31610</v>
      </c>
      <c r="K14" s="10">
        <f t="shared" si="14"/>
        <v>30447</v>
      </c>
      <c r="L14" s="10">
        <f t="shared" si="14"/>
        <v>31543</v>
      </c>
      <c r="M14" s="10">
        <f t="shared" si="14"/>
        <v>34692</v>
      </c>
      <c r="N14" s="10">
        <f t="shared" si="14"/>
        <v>32867</v>
      </c>
      <c r="O14" s="10">
        <f t="shared" si="14"/>
        <v>33764</v>
      </c>
      <c r="P14" s="10">
        <f t="shared" si="14"/>
        <v>32915</v>
      </c>
      <c r="Q14" s="10">
        <f t="shared" si="14"/>
        <v>34067</v>
      </c>
      <c r="R14" s="10">
        <f t="shared" si="14"/>
        <v>33554</v>
      </c>
      <c r="S14" s="10">
        <f t="shared" si="14"/>
        <v>33789</v>
      </c>
      <c r="T14" s="10">
        <f t="shared" si="14"/>
        <v>34241</v>
      </c>
      <c r="U14" s="10">
        <f t="shared" si="14"/>
        <v>35251</v>
      </c>
      <c r="V14" s="10">
        <f t="shared" si="14"/>
        <v>32912</v>
      </c>
      <c r="W14" s="10">
        <f t="shared" si="14"/>
        <v>32596</v>
      </c>
      <c r="X14" s="33">
        <f t="shared" si="10"/>
        <v>-3.5307348545384594E-2</v>
      </c>
      <c r="Y14" s="10">
        <f t="shared" si="14"/>
        <v>33336</v>
      </c>
      <c r="Z14" s="33">
        <f>(Y14-W14)/W14</f>
        <v>2.2702172045649772E-2</v>
      </c>
      <c r="AA14" s="36">
        <f>(Y14-T14)/T14</f>
        <v>-2.6430302853304517E-2</v>
      </c>
      <c r="AB14" s="10">
        <f t="shared" si="14"/>
        <v>35130</v>
      </c>
      <c r="AC14" s="33">
        <f t="shared" si="0"/>
        <v>-3.4325267368301607E-3</v>
      </c>
      <c r="AD14" s="10">
        <f t="shared" si="14"/>
        <v>32981</v>
      </c>
      <c r="AE14" s="33">
        <f t="shared" si="1"/>
        <v>2.0964997569275644E-3</v>
      </c>
      <c r="AF14" s="33">
        <f t="shared" si="13"/>
        <v>-6.1172786791915741E-2</v>
      </c>
      <c r="AG14" s="10">
        <f t="shared" ref="AF14:AH14" si="15">SUM(AG12:AG13)</f>
        <v>0</v>
      </c>
      <c r="AH14" s="10">
        <f t="shared" si="15"/>
        <v>0</v>
      </c>
    </row>
    <row r="15" spans="1:39" x14ac:dyDescent="0.35">
      <c r="X15" s="33"/>
      <c r="Z15" s="33"/>
      <c r="AA15" s="36"/>
      <c r="AC15" s="33"/>
      <c r="AE15" s="33"/>
      <c r="AF15" s="33"/>
    </row>
    <row r="16" spans="1:39" x14ac:dyDescent="0.4">
      <c r="A16" s="9" t="s">
        <v>28</v>
      </c>
      <c r="X16" s="33"/>
      <c r="Z16" s="33"/>
      <c r="AA16" s="36"/>
      <c r="AC16" s="33"/>
      <c r="AE16" s="33"/>
      <c r="AF16" s="33"/>
    </row>
    <row r="17" spans="1:34" x14ac:dyDescent="0.35">
      <c r="A17" s="8" t="s">
        <v>29</v>
      </c>
      <c r="B17" s="5">
        <v>7946</v>
      </c>
      <c r="C17" s="5">
        <v>8234</v>
      </c>
      <c r="D17" s="5">
        <v>7842</v>
      </c>
      <c r="E17" s="5">
        <f>32185-SUM(B17:D17)</f>
        <v>8163</v>
      </c>
      <c r="F17" s="5">
        <v>7792</v>
      </c>
      <c r="G17" s="5">
        <v>7702</v>
      </c>
      <c r="H17" s="5">
        <v>7902</v>
      </c>
      <c r="I17" s="5">
        <f>31772-SUM(F17:H17)</f>
        <v>8376</v>
      </c>
      <c r="J17" s="15">
        <v>7754</v>
      </c>
      <c r="K17" s="5">
        <v>7639</v>
      </c>
      <c r="L17" s="5">
        <v>7955</v>
      </c>
      <c r="M17" s="5">
        <f>31401-SUM(J17:L17)</f>
        <v>8053</v>
      </c>
      <c r="N17" s="5">
        <v>8020</v>
      </c>
      <c r="O17" s="5">
        <v>8324</v>
      </c>
      <c r="P17" s="5">
        <v>7855</v>
      </c>
      <c r="Q17" s="5">
        <f>31234-SUM(N17:P17)</f>
        <v>7035</v>
      </c>
      <c r="R17" s="5">
        <v>7227</v>
      </c>
      <c r="S17" s="5">
        <v>6932</v>
      </c>
      <c r="T17" s="5">
        <v>7293</v>
      </c>
      <c r="U17" s="5">
        <f>28637-SUM(R17:T17)</f>
        <v>7185</v>
      </c>
      <c r="V17" s="5">
        <v>7078</v>
      </c>
      <c r="W17" s="5">
        <v>6986</v>
      </c>
      <c r="X17" s="33">
        <f t="shared" si="10"/>
        <v>7.7899596076168491E-3</v>
      </c>
      <c r="Y17" s="5">
        <v>7084</v>
      </c>
      <c r="Z17" s="33">
        <f t="shared" ref="Z17:Z22" si="16">(Y17-W17)/W17</f>
        <v>1.4028056112224449E-2</v>
      </c>
      <c r="AA17" s="36">
        <f t="shared" ref="AA17:AA22" si="17">(Y17-T17)/T17</f>
        <v>-2.8657616892911009E-2</v>
      </c>
      <c r="AB17" s="5">
        <v>6952</v>
      </c>
      <c r="AC17" s="33">
        <f t="shared" si="0"/>
        <v>-3.2428670842032013E-2</v>
      </c>
      <c r="AD17" s="5">
        <v>6967</v>
      </c>
      <c r="AE17" s="33">
        <f t="shared" si="1"/>
        <v>-1.5682396157106527E-2</v>
      </c>
      <c r="AF17" s="33">
        <f t="shared" ref="AF17:AF30" si="18">(AD17-AB17)/AB17</f>
        <v>2.1576524741081702E-3</v>
      </c>
    </row>
    <row r="18" spans="1:34" x14ac:dyDescent="0.35">
      <c r="A18" s="34" t="s">
        <v>84</v>
      </c>
      <c r="B18" s="5">
        <v>5309</v>
      </c>
      <c r="C18" s="5">
        <v>5397</v>
      </c>
      <c r="D18" s="5">
        <v>5489</v>
      </c>
      <c r="E18" s="5">
        <f>23323-SUM(B18:D18)</f>
        <v>7128</v>
      </c>
      <c r="F18" s="5">
        <v>5198</v>
      </c>
      <c r="G18" s="5">
        <v>5019</v>
      </c>
      <c r="H18" s="5">
        <v>5482</v>
      </c>
      <c r="I18" s="5">
        <f>22954-SUM(F18:H18)</f>
        <v>7255</v>
      </c>
      <c r="J18" s="5">
        <v>4542</v>
      </c>
      <c r="K18" s="5">
        <v>4110</v>
      </c>
      <c r="L18" s="5">
        <v>4379</v>
      </c>
      <c r="M18" s="5">
        <f>19800-SUM(J18:L18)</f>
        <v>6769</v>
      </c>
      <c r="N18" s="5">
        <v>5502</v>
      </c>
      <c r="O18" s="5">
        <v>5931</v>
      </c>
      <c r="P18" s="5">
        <v>5673</v>
      </c>
      <c r="Q18" s="5">
        <f>25067-SUM(N18:P18)</f>
        <v>7961</v>
      </c>
      <c r="R18" s="5">
        <v>7123</v>
      </c>
      <c r="S18" s="5">
        <v>7488</v>
      </c>
      <c r="T18" s="5">
        <v>7308</v>
      </c>
      <c r="U18" s="5">
        <f>30496-SUM(R18:T18)</f>
        <v>8577</v>
      </c>
      <c r="V18" s="5">
        <v>6426</v>
      </c>
      <c r="W18" s="5">
        <v>5778</v>
      </c>
      <c r="X18" s="33">
        <f t="shared" si="10"/>
        <v>-0.22836538461538461</v>
      </c>
      <c r="Y18" s="5">
        <v>6353</v>
      </c>
      <c r="Z18" s="33">
        <f t="shared" si="16"/>
        <v>9.9515403253721005E-2</v>
      </c>
      <c r="AA18" s="36">
        <f t="shared" si="17"/>
        <v>-0.13067870826491515</v>
      </c>
      <c r="AB18" s="5">
        <v>8230</v>
      </c>
      <c r="AC18" s="33">
        <f t="shared" si="0"/>
        <v>-4.0457036259764489E-2</v>
      </c>
      <c r="AD18" s="5">
        <v>5905</v>
      </c>
      <c r="AE18" s="33">
        <f t="shared" si="1"/>
        <v>-8.1076875194522252E-2</v>
      </c>
      <c r="AF18" s="33">
        <f t="shared" si="18"/>
        <v>-0.28250303766707169</v>
      </c>
    </row>
    <row r="19" spans="1:34" x14ac:dyDescent="0.35">
      <c r="A19" s="8" t="s">
        <v>30</v>
      </c>
      <c r="B19" s="5">
        <v>6844</v>
      </c>
      <c r="C19" s="5">
        <v>7605</v>
      </c>
      <c r="D19" s="5">
        <v>7224</v>
      </c>
      <c r="E19" s="5">
        <f>31083-SUM(B19:D19)</f>
        <v>9410</v>
      </c>
      <c r="F19" s="5">
        <v>7198</v>
      </c>
      <c r="G19" s="5">
        <v>7268</v>
      </c>
      <c r="H19" s="5">
        <v>7216</v>
      </c>
      <c r="I19" s="5">
        <f>29896-SUM(F19:H19)</f>
        <v>8214</v>
      </c>
      <c r="J19" s="5">
        <v>8585</v>
      </c>
      <c r="K19" s="5">
        <v>7156</v>
      </c>
      <c r="L19" s="5">
        <v>7339</v>
      </c>
      <c r="M19" s="5">
        <f>31573-SUM(J19:L19)</f>
        <v>8493</v>
      </c>
      <c r="N19" s="5">
        <v>7401</v>
      </c>
      <c r="O19" s="5">
        <v>7324</v>
      </c>
      <c r="P19" s="5">
        <v>6521</v>
      </c>
      <c r="Q19" s="5">
        <f>28658-SUM(N19:P19)</f>
        <v>7412</v>
      </c>
      <c r="R19" s="5">
        <v>7172</v>
      </c>
      <c r="S19" s="5">
        <v>7496</v>
      </c>
      <c r="T19" s="5">
        <v>7422</v>
      </c>
      <c r="U19" s="5">
        <f>30136-SUM(R19:T19)</f>
        <v>8046</v>
      </c>
      <c r="V19" s="5">
        <v>7506</v>
      </c>
      <c r="W19" s="5">
        <v>8253</v>
      </c>
      <c r="X19" s="33">
        <f t="shared" si="10"/>
        <v>0.1009871931696905</v>
      </c>
      <c r="Y19" s="5">
        <v>7995</v>
      </c>
      <c r="Z19" s="33">
        <f t="shared" si="16"/>
        <v>-3.1261359505634315E-2</v>
      </c>
      <c r="AA19" s="36">
        <f t="shared" si="17"/>
        <v>7.7202910266774449E-2</v>
      </c>
      <c r="AB19" s="5">
        <v>8991</v>
      </c>
      <c r="AC19" s="33">
        <f>(AB19-U19)/U19</f>
        <v>0.1174496644295302</v>
      </c>
      <c r="AD19" s="5">
        <v>8143</v>
      </c>
      <c r="AE19" s="33">
        <f t="shared" si="1"/>
        <v>8.4865440980548892E-2</v>
      </c>
      <c r="AF19" s="33">
        <f t="shared" si="18"/>
        <v>-9.4316538760983212E-2</v>
      </c>
    </row>
    <row r="20" spans="1:34" x14ac:dyDescent="0.35">
      <c r="A20" s="8" t="s">
        <v>31</v>
      </c>
      <c r="B20" s="5">
        <v>4324</v>
      </c>
      <c r="C20" s="5">
        <v>4350</v>
      </c>
      <c r="D20" s="5">
        <v>4377</v>
      </c>
      <c r="E20" s="5">
        <f>17403-SUM(B20:D20)</f>
        <v>4352</v>
      </c>
      <c r="F20" s="5">
        <v>4231</v>
      </c>
      <c r="G20" s="5">
        <v>4232</v>
      </c>
      <c r="H20" s="5">
        <v>4114</v>
      </c>
      <c r="I20" s="5">
        <f>16682-SUM(F20:H20)</f>
        <v>4105</v>
      </c>
      <c r="J20" s="5">
        <v>4150</v>
      </c>
      <c r="K20" s="5">
        <v>4181</v>
      </c>
      <c r="L20" s="5">
        <v>4192</v>
      </c>
      <c r="M20" s="5">
        <f>16720-SUM(J20:L20)</f>
        <v>4197</v>
      </c>
      <c r="N20" s="5">
        <v>4174</v>
      </c>
      <c r="O20" s="5">
        <v>4020</v>
      </c>
      <c r="P20" s="5">
        <v>3961</v>
      </c>
      <c r="Q20" s="5">
        <f>16206-SUM(N20:P20)</f>
        <v>4051</v>
      </c>
      <c r="R20" s="5">
        <v>4236</v>
      </c>
      <c r="S20" s="5">
        <v>4321</v>
      </c>
      <c r="T20" s="5">
        <v>4324</v>
      </c>
      <c r="U20" s="5">
        <f>17099-SUM(R20:T20)</f>
        <v>4218</v>
      </c>
      <c r="V20" s="5">
        <v>4318</v>
      </c>
      <c r="W20" s="5">
        <v>4359</v>
      </c>
      <c r="X20" s="33">
        <f t="shared" si="10"/>
        <v>8.7942605878268913E-3</v>
      </c>
      <c r="Y20" s="5">
        <v>4431</v>
      </c>
      <c r="Z20" s="33">
        <f t="shared" si="16"/>
        <v>1.6517549896765314E-2</v>
      </c>
      <c r="AA20" s="36">
        <f t="shared" si="17"/>
        <v>2.4745605920444034E-2</v>
      </c>
      <c r="AB20" s="5">
        <v>4516</v>
      </c>
      <c r="AC20" s="33">
        <f t="shared" si="0"/>
        <v>7.0649596965386433E-2</v>
      </c>
      <c r="AD20" s="5">
        <v>4445</v>
      </c>
      <c r="AE20" s="33">
        <f t="shared" si="1"/>
        <v>2.9411764705882353E-2</v>
      </c>
      <c r="AF20" s="33">
        <f t="shared" si="18"/>
        <v>-1.5721877767936227E-2</v>
      </c>
    </row>
    <row r="21" spans="1:34" x14ac:dyDescent="0.35">
      <c r="A21" s="40" t="s">
        <v>88</v>
      </c>
      <c r="B21" s="5">
        <v>0</v>
      </c>
      <c r="C21" s="5">
        <v>0</v>
      </c>
      <c r="D21" s="5">
        <v>0</v>
      </c>
      <c r="E21" s="5">
        <v>4591</v>
      </c>
      <c r="F21" s="5">
        <v>0</v>
      </c>
      <c r="G21" s="5">
        <v>0</v>
      </c>
      <c r="H21" s="5">
        <v>0</v>
      </c>
      <c r="I21" s="5">
        <f>186-SUM(F21:H21)</f>
        <v>186</v>
      </c>
      <c r="J21" s="5">
        <v>0</v>
      </c>
      <c r="K21" s="5">
        <v>0</v>
      </c>
      <c r="L21" s="5">
        <v>0</v>
      </c>
      <c r="M21" s="5">
        <v>0</v>
      </c>
      <c r="N21" s="5">
        <v>0</v>
      </c>
      <c r="O21" s="5">
        <v>0</v>
      </c>
      <c r="P21" s="5">
        <v>0</v>
      </c>
      <c r="Q21" s="5">
        <v>0</v>
      </c>
      <c r="R21" s="5">
        <v>0</v>
      </c>
      <c r="S21" s="5">
        <v>0</v>
      </c>
      <c r="T21" s="5">
        <v>0</v>
      </c>
      <c r="U21" s="5">
        <v>0</v>
      </c>
      <c r="V21" s="5">
        <v>0</v>
      </c>
      <c r="W21" s="5">
        <v>0</v>
      </c>
      <c r="X21" s="33" t="e">
        <f t="shared" si="10"/>
        <v>#DIV/0!</v>
      </c>
      <c r="Y21" s="5">
        <v>0</v>
      </c>
      <c r="Z21" s="33" t="e">
        <f t="shared" si="16"/>
        <v>#DIV/0!</v>
      </c>
      <c r="AA21" s="36" t="e">
        <f t="shared" si="17"/>
        <v>#DIV/0!</v>
      </c>
      <c r="AB21" s="5">
        <v>5841</v>
      </c>
      <c r="AC21" s="33" t="e">
        <f t="shared" si="0"/>
        <v>#DIV/0!</v>
      </c>
      <c r="AD21" s="5">
        <v>0</v>
      </c>
      <c r="AE21" s="33" t="e">
        <f t="shared" si="1"/>
        <v>#DIV/0!</v>
      </c>
      <c r="AF21" s="33">
        <f t="shared" si="18"/>
        <v>-1</v>
      </c>
    </row>
    <row r="22" spans="1:34" s="10" customFormat="1" x14ac:dyDescent="0.4">
      <c r="A22" s="12" t="s">
        <v>32</v>
      </c>
      <c r="B22" s="10">
        <f t="shared" ref="B22:AD22" si="19">SUM(B17:B21)</f>
        <v>24423</v>
      </c>
      <c r="C22" s="10">
        <f t="shared" si="19"/>
        <v>25586</v>
      </c>
      <c r="D22" s="10">
        <f t="shared" si="19"/>
        <v>24932</v>
      </c>
      <c r="E22" s="10">
        <f t="shared" si="19"/>
        <v>33644</v>
      </c>
      <c r="F22" s="10">
        <f t="shared" si="19"/>
        <v>24419</v>
      </c>
      <c r="G22" s="10">
        <f t="shared" si="19"/>
        <v>24221</v>
      </c>
      <c r="H22" s="10">
        <f t="shared" si="19"/>
        <v>24714</v>
      </c>
      <c r="I22" s="10">
        <f t="shared" si="19"/>
        <v>28136</v>
      </c>
      <c r="J22" s="10">
        <f t="shared" si="19"/>
        <v>25031</v>
      </c>
      <c r="K22" s="10">
        <f t="shared" si="19"/>
        <v>23086</v>
      </c>
      <c r="L22" s="10">
        <f t="shared" si="19"/>
        <v>23865</v>
      </c>
      <c r="M22" s="10">
        <f t="shared" si="19"/>
        <v>27512</v>
      </c>
      <c r="N22" s="10">
        <f t="shared" si="19"/>
        <v>25097</v>
      </c>
      <c r="O22" s="10">
        <f t="shared" si="19"/>
        <v>25599</v>
      </c>
      <c r="P22" s="10">
        <f t="shared" si="19"/>
        <v>24010</v>
      </c>
      <c r="Q22" s="10">
        <f t="shared" si="19"/>
        <v>26459</v>
      </c>
      <c r="R22" s="10">
        <f t="shared" si="19"/>
        <v>25758</v>
      </c>
      <c r="S22" s="10">
        <f t="shared" si="19"/>
        <v>26237</v>
      </c>
      <c r="T22" s="10">
        <f t="shared" si="19"/>
        <v>26347</v>
      </c>
      <c r="U22" s="10">
        <f t="shared" si="19"/>
        <v>28026</v>
      </c>
      <c r="V22" s="10">
        <f t="shared" si="19"/>
        <v>25328</v>
      </c>
      <c r="W22" s="10">
        <f t="shared" si="19"/>
        <v>25376</v>
      </c>
      <c r="X22" s="33">
        <f t="shared" si="10"/>
        <v>-3.2816251858063042E-2</v>
      </c>
      <c r="Y22" s="10">
        <f t="shared" si="19"/>
        <v>25863</v>
      </c>
      <c r="Z22" s="33">
        <f t="shared" si="16"/>
        <v>1.9191361916771753E-2</v>
      </c>
      <c r="AA22" s="36">
        <f t="shared" si="17"/>
        <v>-1.8370212927468023E-2</v>
      </c>
      <c r="AB22" s="10">
        <f t="shared" si="19"/>
        <v>34530</v>
      </c>
      <c r="AC22" s="33">
        <f t="shared" si="0"/>
        <v>0.23207022050952686</v>
      </c>
      <c r="AD22" s="10">
        <f t="shared" si="19"/>
        <v>25460</v>
      </c>
      <c r="AE22" s="33">
        <f t="shared" si="1"/>
        <v>5.2116234996841442E-3</v>
      </c>
      <c r="AF22" s="33">
        <f t="shared" si="18"/>
        <v>-0.26267014190558935</v>
      </c>
      <c r="AG22" s="10">
        <f t="shared" ref="AF22:AH22" si="20">SUM(AG17:AG21)</f>
        <v>0</v>
      </c>
      <c r="AH22" s="10">
        <f t="shared" si="20"/>
        <v>0</v>
      </c>
    </row>
    <row r="23" spans="1:34" x14ac:dyDescent="0.35">
      <c r="X23" s="33"/>
      <c r="Z23" s="33"/>
      <c r="AA23" s="36"/>
      <c r="AC23" s="33"/>
      <c r="AE23" s="33"/>
      <c r="AF23" s="33"/>
    </row>
    <row r="24" spans="1:34" s="10" customFormat="1" x14ac:dyDescent="0.4">
      <c r="A24" s="9" t="s">
        <v>33</v>
      </c>
      <c r="B24" s="10">
        <f t="shared" ref="B24:AD24" si="21">B14-B22</f>
        <v>7349</v>
      </c>
      <c r="C24" s="10">
        <f t="shared" si="21"/>
        <v>6617</v>
      </c>
      <c r="D24" s="10">
        <f t="shared" si="21"/>
        <v>7675</v>
      </c>
      <c r="E24" s="10">
        <f t="shared" si="21"/>
        <v>637</v>
      </c>
      <c r="F24" s="10">
        <f t="shared" si="21"/>
        <v>7709</v>
      </c>
      <c r="G24" s="10">
        <f t="shared" si="21"/>
        <v>7850</v>
      </c>
      <c r="H24" s="10">
        <f t="shared" si="21"/>
        <v>8180</v>
      </c>
      <c r="I24" s="10">
        <f t="shared" si="21"/>
        <v>6639</v>
      </c>
      <c r="J24" s="10">
        <f t="shared" si="21"/>
        <v>6579</v>
      </c>
      <c r="K24" s="10">
        <f t="shared" si="21"/>
        <v>7361</v>
      </c>
      <c r="L24" s="10">
        <f t="shared" si="21"/>
        <v>7678</v>
      </c>
      <c r="M24" s="10">
        <f t="shared" si="21"/>
        <v>7180</v>
      </c>
      <c r="N24" s="10">
        <f t="shared" si="21"/>
        <v>7770</v>
      </c>
      <c r="O24" s="10">
        <f t="shared" si="21"/>
        <v>8165</v>
      </c>
      <c r="P24" s="10">
        <f t="shared" si="21"/>
        <v>8905</v>
      </c>
      <c r="Q24" s="10">
        <f t="shared" si="21"/>
        <v>7608</v>
      </c>
      <c r="R24" s="10">
        <f t="shared" si="21"/>
        <v>7796</v>
      </c>
      <c r="S24" s="10">
        <f t="shared" si="21"/>
        <v>7552</v>
      </c>
      <c r="T24" s="10">
        <f t="shared" si="21"/>
        <v>7894</v>
      </c>
      <c r="U24" s="10">
        <f t="shared" si="21"/>
        <v>7225</v>
      </c>
      <c r="V24" s="10">
        <f t="shared" si="21"/>
        <v>7584</v>
      </c>
      <c r="W24" s="10">
        <f t="shared" si="21"/>
        <v>7220</v>
      </c>
      <c r="X24" s="33">
        <f t="shared" si="10"/>
        <v>-4.3961864406779662E-2</v>
      </c>
      <c r="Y24" s="10">
        <f t="shared" si="21"/>
        <v>7473</v>
      </c>
      <c r="Z24" s="33">
        <f t="shared" ref="Z24:Z30" si="22">(Y24-W24)/W24</f>
        <v>3.5041551246537399E-2</v>
      </c>
      <c r="AA24" s="36">
        <f t="shared" ref="AA24:AA30" si="23">(Y24-T24)/T24</f>
        <v>-5.3331644286800102E-2</v>
      </c>
      <c r="AB24" s="10">
        <f t="shared" si="21"/>
        <v>600</v>
      </c>
      <c r="AC24" s="33">
        <f t="shared" si="0"/>
        <v>-0.91695501730103801</v>
      </c>
      <c r="AD24" s="10">
        <f t="shared" si="21"/>
        <v>7521</v>
      </c>
      <c r="AE24" s="33">
        <f t="shared" si="1"/>
        <v>-8.3069620253164549E-3</v>
      </c>
      <c r="AF24" s="33">
        <f t="shared" si="18"/>
        <v>11.535</v>
      </c>
      <c r="AG24" s="10">
        <f t="shared" ref="AF24:AH24" si="24">AG14-AG22</f>
        <v>0</v>
      </c>
      <c r="AH24" s="10">
        <f t="shared" si="24"/>
        <v>0</v>
      </c>
    </row>
    <row r="25" spans="1:34" x14ac:dyDescent="0.35">
      <c r="A25" s="7" t="s">
        <v>34</v>
      </c>
      <c r="B25" s="5">
        <v>-19</v>
      </c>
      <c r="C25" s="5">
        <v>-228</v>
      </c>
      <c r="D25" s="5">
        <v>-3</v>
      </c>
      <c r="E25" s="5">
        <f>-186-SUM(B25:D25)</f>
        <v>64</v>
      </c>
      <c r="F25" s="5">
        <v>-6</v>
      </c>
      <c r="G25" s="5">
        <v>-13</v>
      </c>
      <c r="H25" s="5">
        <v>-1</v>
      </c>
      <c r="I25" s="5">
        <f>-15-SUM(F25:H25)</f>
        <v>5</v>
      </c>
      <c r="J25" s="5">
        <v>-12</v>
      </c>
      <c r="K25" s="5">
        <v>-13</v>
      </c>
      <c r="L25" s="5">
        <v>-9</v>
      </c>
      <c r="M25" s="5">
        <f>-45-SUM(J25:L25)</f>
        <v>-11</v>
      </c>
      <c r="N25" s="5">
        <v>8</v>
      </c>
      <c r="O25" s="5">
        <v>1</v>
      </c>
      <c r="P25" s="5">
        <v>1</v>
      </c>
      <c r="Q25" s="5">
        <f>145-SUM(N25:P25)</f>
        <v>135</v>
      </c>
      <c r="R25" s="5">
        <v>-3</v>
      </c>
      <c r="S25" s="5">
        <v>41</v>
      </c>
      <c r="T25" s="5">
        <v>2</v>
      </c>
      <c r="U25" s="5">
        <f>44-SUM(R25:T25)</f>
        <v>4</v>
      </c>
      <c r="V25" s="5">
        <v>9</v>
      </c>
      <c r="W25" s="5">
        <v>-33</v>
      </c>
      <c r="X25" s="33">
        <f t="shared" si="10"/>
        <v>-1.8048780487804879</v>
      </c>
      <c r="Y25" s="5">
        <v>-18</v>
      </c>
      <c r="Z25" s="33">
        <f t="shared" si="22"/>
        <v>-0.45454545454545453</v>
      </c>
      <c r="AA25" s="36">
        <f t="shared" si="23"/>
        <v>-10</v>
      </c>
      <c r="AB25" s="5">
        <v>-11</v>
      </c>
      <c r="AC25" s="33">
        <f t="shared" si="0"/>
        <v>-3.75</v>
      </c>
      <c r="AD25" s="5">
        <v>-9</v>
      </c>
      <c r="AE25" s="33">
        <f t="shared" si="1"/>
        <v>-2</v>
      </c>
      <c r="AF25" s="33">
        <f t="shared" si="18"/>
        <v>-0.18181818181818182</v>
      </c>
    </row>
    <row r="26" spans="1:34" x14ac:dyDescent="0.35">
      <c r="A26" s="7" t="s">
        <v>35</v>
      </c>
      <c r="B26" s="5">
        <v>-75</v>
      </c>
      <c r="C26" s="5">
        <v>360</v>
      </c>
      <c r="D26" s="5">
        <v>214</v>
      </c>
      <c r="E26" s="5">
        <f>2364-SUM(B26:D26)</f>
        <v>1865</v>
      </c>
      <c r="F26" s="5">
        <v>295</v>
      </c>
      <c r="G26" s="5">
        <v>-1312</v>
      </c>
      <c r="H26" s="5">
        <v>-110</v>
      </c>
      <c r="I26" s="5">
        <f>-2900-SUM(F26:H26)</f>
        <v>-1773</v>
      </c>
      <c r="J26" s="5">
        <v>143</v>
      </c>
      <c r="K26" s="5">
        <v>-72</v>
      </c>
      <c r="L26" s="5">
        <v>-774</v>
      </c>
      <c r="M26" s="5">
        <f>-539-SUM(J26:L26)</f>
        <v>164</v>
      </c>
      <c r="N26" s="5">
        <v>401</v>
      </c>
      <c r="O26" s="5">
        <v>502</v>
      </c>
      <c r="P26" s="5">
        <v>269</v>
      </c>
      <c r="Q26" s="5">
        <f>312-SUM(N26:P26)</f>
        <v>-860</v>
      </c>
      <c r="R26" s="5">
        <v>-924</v>
      </c>
      <c r="S26" s="5">
        <v>49</v>
      </c>
      <c r="T26" s="5">
        <v>-439</v>
      </c>
      <c r="U26" s="5">
        <f>1373-SUM(R26:T26)</f>
        <v>2687</v>
      </c>
      <c r="V26" s="5">
        <v>114</v>
      </c>
      <c r="W26" s="5">
        <v>210</v>
      </c>
      <c r="X26" s="33">
        <f t="shared" si="10"/>
        <v>3.2857142857142856</v>
      </c>
      <c r="Y26" s="5">
        <v>170</v>
      </c>
      <c r="Z26" s="33">
        <f t="shared" si="22"/>
        <v>-0.19047619047619047</v>
      </c>
      <c r="AA26" s="36">
        <f t="shared" si="23"/>
        <v>-1.387243735763098</v>
      </c>
      <c r="AB26" s="5">
        <v>-807</v>
      </c>
      <c r="AC26" s="33">
        <f t="shared" si="0"/>
        <v>-1.3003349460364719</v>
      </c>
      <c r="AD26" s="5">
        <v>198</v>
      </c>
      <c r="AE26" s="33">
        <f t="shared" si="1"/>
        <v>0.73684210526315785</v>
      </c>
      <c r="AF26" s="33">
        <f t="shared" si="18"/>
        <v>-1.245353159851301</v>
      </c>
    </row>
    <row r="27" spans="1:34" x14ac:dyDescent="0.35">
      <c r="A27" s="7" t="s">
        <v>36</v>
      </c>
      <c r="B27" s="5">
        <v>-1201</v>
      </c>
      <c r="C27" s="5">
        <v>-1222</v>
      </c>
      <c r="D27" s="5">
        <v>-1211</v>
      </c>
      <c r="E27" s="5">
        <f>-4833-SUM(B27:D27)</f>
        <v>-1199</v>
      </c>
      <c r="F27" s="5">
        <v>-1210</v>
      </c>
      <c r="G27" s="5">
        <v>-1215</v>
      </c>
      <c r="H27" s="5">
        <v>-1146</v>
      </c>
      <c r="I27" s="5">
        <f>-4730-SUM(F27:H27)</f>
        <v>-1159</v>
      </c>
      <c r="J27" s="5">
        <v>-1034</v>
      </c>
      <c r="K27" s="5">
        <v>-1089</v>
      </c>
      <c r="L27" s="5">
        <v>-1044</v>
      </c>
      <c r="M27" s="5">
        <f>-4247-SUM(J27:L27)</f>
        <v>-1080</v>
      </c>
      <c r="N27" s="5">
        <v>-1101</v>
      </c>
      <c r="O27" s="5">
        <v>-844</v>
      </c>
      <c r="P27" s="5">
        <v>-801</v>
      </c>
      <c r="Q27" s="5">
        <f>-3485-SUM(N27:P27)</f>
        <v>-739</v>
      </c>
      <c r="R27" s="5">
        <v>-786</v>
      </c>
      <c r="S27" s="5">
        <v>-785</v>
      </c>
      <c r="T27" s="5">
        <v>-937</v>
      </c>
      <c r="U27" s="5">
        <f>-3613-SUM(R27:T27)</f>
        <v>-1105</v>
      </c>
      <c r="V27" s="5">
        <v>-1207</v>
      </c>
      <c r="W27" s="5">
        <v>-1285</v>
      </c>
      <c r="X27" s="33">
        <f t="shared" si="10"/>
        <v>0.63694267515923564</v>
      </c>
      <c r="Y27" s="5">
        <v>-1433</v>
      </c>
      <c r="Z27" s="33">
        <f t="shared" si="22"/>
        <v>0.11517509727626458</v>
      </c>
      <c r="AA27" s="36">
        <f t="shared" si="23"/>
        <v>0.52934898612593384</v>
      </c>
      <c r="AB27" s="5">
        <v>-1599</v>
      </c>
      <c r="AC27" s="33">
        <f t="shared" si="0"/>
        <v>0.44705882352941179</v>
      </c>
      <c r="AD27" s="5">
        <v>-1635</v>
      </c>
      <c r="AE27" s="33">
        <f t="shared" si="1"/>
        <v>0.35459817729908866</v>
      </c>
      <c r="AF27" s="33">
        <f t="shared" si="18"/>
        <v>2.2514071294559099E-2</v>
      </c>
    </row>
    <row r="28" spans="1:34" x14ac:dyDescent="0.35">
      <c r="A28" s="8" t="s">
        <v>37</v>
      </c>
      <c r="B28" s="5">
        <f t="shared" ref="B28:AD28" si="25">SUM(B24:B27)</f>
        <v>6054</v>
      </c>
      <c r="C28" s="5">
        <f t="shared" si="25"/>
        <v>5527</v>
      </c>
      <c r="D28" s="5">
        <f t="shared" si="25"/>
        <v>6675</v>
      </c>
      <c r="E28" s="5">
        <f t="shared" si="25"/>
        <v>1367</v>
      </c>
      <c r="F28" s="5">
        <f t="shared" si="25"/>
        <v>6788</v>
      </c>
      <c r="G28" s="5">
        <f t="shared" si="25"/>
        <v>5310</v>
      </c>
      <c r="H28" s="5">
        <f t="shared" si="25"/>
        <v>6923</v>
      </c>
      <c r="I28" s="5">
        <f t="shared" si="25"/>
        <v>3712</v>
      </c>
      <c r="J28" s="5">
        <f t="shared" si="25"/>
        <v>5676</v>
      </c>
      <c r="K28" s="5">
        <f t="shared" si="25"/>
        <v>6187</v>
      </c>
      <c r="L28" s="5">
        <f t="shared" si="25"/>
        <v>5851</v>
      </c>
      <c r="M28" s="5">
        <f t="shared" si="25"/>
        <v>6253</v>
      </c>
      <c r="N28" s="5">
        <f t="shared" si="25"/>
        <v>7078</v>
      </c>
      <c r="O28" s="5">
        <f t="shared" si="25"/>
        <v>7824</v>
      </c>
      <c r="P28" s="5">
        <f t="shared" si="25"/>
        <v>8374</v>
      </c>
      <c r="Q28" s="5">
        <f t="shared" si="25"/>
        <v>6144</v>
      </c>
      <c r="R28" s="5">
        <f t="shared" si="25"/>
        <v>6083</v>
      </c>
      <c r="S28" s="5">
        <f t="shared" si="25"/>
        <v>6857</v>
      </c>
      <c r="T28" s="5">
        <f t="shared" si="25"/>
        <v>6520</v>
      </c>
      <c r="U28" s="5">
        <f t="shared" si="25"/>
        <v>8811</v>
      </c>
      <c r="V28" s="5">
        <f t="shared" si="25"/>
        <v>6500</v>
      </c>
      <c r="W28" s="5">
        <f t="shared" si="25"/>
        <v>6112</v>
      </c>
      <c r="X28" s="33">
        <f t="shared" si="10"/>
        <v>-0.10864809683535073</v>
      </c>
      <c r="Y28" s="5">
        <f t="shared" si="25"/>
        <v>6192</v>
      </c>
      <c r="Z28" s="33">
        <f t="shared" si="22"/>
        <v>1.3089005235602094E-2</v>
      </c>
      <c r="AA28" s="36">
        <f t="shared" si="23"/>
        <v>-5.030674846625767E-2</v>
      </c>
      <c r="AB28" s="5">
        <f t="shared" si="25"/>
        <v>-1817</v>
      </c>
      <c r="AC28" s="33">
        <f t="shared" si="0"/>
        <v>-1.2062194983543297</v>
      </c>
      <c r="AD28" s="5">
        <f t="shared" si="25"/>
        <v>6075</v>
      </c>
      <c r="AE28" s="33">
        <f t="shared" si="1"/>
        <v>-6.5384615384615388E-2</v>
      </c>
      <c r="AF28" s="33">
        <f t="shared" si="18"/>
        <v>-4.3434232250963127</v>
      </c>
      <c r="AG28" s="5">
        <f t="shared" ref="AF28:AH28" si="26">SUM(AG24:AG27)</f>
        <v>0</v>
      </c>
      <c r="AH28" s="5">
        <f t="shared" si="26"/>
        <v>0</v>
      </c>
    </row>
    <row r="29" spans="1:34" x14ac:dyDescent="0.35">
      <c r="A29" s="8" t="s">
        <v>38</v>
      </c>
      <c r="B29" s="5">
        <v>-1388</v>
      </c>
      <c r="C29" s="5">
        <v>-1281</v>
      </c>
      <c r="D29" s="5">
        <v>-1613</v>
      </c>
      <c r="E29" s="5">
        <f>-3584-SUM(B29:D29)</f>
        <v>698</v>
      </c>
      <c r="F29" s="5">
        <v>-1628</v>
      </c>
      <c r="G29" s="5">
        <v>-1236</v>
      </c>
      <c r="H29" s="5">
        <v>-1586</v>
      </c>
      <c r="I29" s="5">
        <f>-2945-SUM(F29:H29)</f>
        <v>1505</v>
      </c>
      <c r="J29" s="5">
        <v>-1389</v>
      </c>
      <c r="K29" s="5">
        <v>-1348</v>
      </c>
      <c r="L29" s="5">
        <v>-1347</v>
      </c>
      <c r="M29" s="5">
        <f>-5619-SUM(J29:L29)</f>
        <v>-1535</v>
      </c>
      <c r="N29" s="5">
        <v>-1700</v>
      </c>
      <c r="O29" s="5">
        <v>-1875</v>
      </c>
      <c r="P29" s="5">
        <v>-1820</v>
      </c>
      <c r="Q29" s="5">
        <f>-6802-SUM(N29:P29)</f>
        <v>-1407</v>
      </c>
      <c r="R29" s="5">
        <v>-1372</v>
      </c>
      <c r="S29" s="5">
        <v>-1542</v>
      </c>
      <c r="T29" s="5">
        <v>-1496</v>
      </c>
      <c r="U29" s="5">
        <f>-6523-SUM(R29:T29)</f>
        <v>-2113</v>
      </c>
      <c r="V29" s="5">
        <v>-1482</v>
      </c>
      <c r="W29" s="5">
        <v>-1346</v>
      </c>
      <c r="X29" s="33">
        <f t="shared" si="10"/>
        <v>-0.12710765239948119</v>
      </c>
      <c r="Y29" s="5">
        <v>-1308</v>
      </c>
      <c r="Z29" s="33">
        <f t="shared" si="22"/>
        <v>-2.8231797919762259E-2</v>
      </c>
      <c r="AA29" s="36">
        <f t="shared" si="23"/>
        <v>-0.12566844919786097</v>
      </c>
      <c r="AB29" s="5">
        <v>-756</v>
      </c>
      <c r="AC29" s="33">
        <f t="shared" si="0"/>
        <v>-0.64221486038807385</v>
      </c>
      <c r="AD29" s="5">
        <v>-1353</v>
      </c>
      <c r="AE29" s="33">
        <f t="shared" si="1"/>
        <v>-8.7044534412955468E-2</v>
      </c>
      <c r="AF29" s="33">
        <f t="shared" si="18"/>
        <v>0.78968253968253965</v>
      </c>
    </row>
    <row r="30" spans="1:34" s="10" customFormat="1" x14ac:dyDescent="0.4">
      <c r="A30" s="12" t="s">
        <v>39</v>
      </c>
      <c r="B30" s="10">
        <f t="shared" ref="B30:AD30" si="27">SUM(B28:B29)</f>
        <v>4666</v>
      </c>
      <c r="C30" s="10">
        <f t="shared" si="27"/>
        <v>4246</v>
      </c>
      <c r="D30" s="10">
        <f t="shared" si="27"/>
        <v>5062</v>
      </c>
      <c r="E30" s="10">
        <f t="shared" si="27"/>
        <v>2065</v>
      </c>
      <c r="F30" s="10">
        <f t="shared" si="27"/>
        <v>5160</v>
      </c>
      <c r="G30" s="10">
        <f t="shared" si="27"/>
        <v>4074</v>
      </c>
      <c r="H30" s="10">
        <f t="shared" si="27"/>
        <v>5337</v>
      </c>
      <c r="I30" s="10">
        <f t="shared" si="27"/>
        <v>5217</v>
      </c>
      <c r="J30" s="10">
        <f t="shared" si="27"/>
        <v>4287</v>
      </c>
      <c r="K30" s="10">
        <f t="shared" si="27"/>
        <v>4839</v>
      </c>
      <c r="L30" s="10">
        <f t="shared" si="27"/>
        <v>4504</v>
      </c>
      <c r="M30" s="10">
        <f t="shared" si="27"/>
        <v>4718</v>
      </c>
      <c r="N30" s="10">
        <f t="shared" si="27"/>
        <v>5378</v>
      </c>
      <c r="O30" s="10">
        <f t="shared" si="27"/>
        <v>5949</v>
      </c>
      <c r="P30" s="10">
        <f t="shared" si="27"/>
        <v>6554</v>
      </c>
      <c r="Q30" s="10">
        <f t="shared" si="27"/>
        <v>4737</v>
      </c>
      <c r="R30" s="10">
        <f t="shared" si="27"/>
        <v>4711</v>
      </c>
      <c r="S30" s="10">
        <f t="shared" si="27"/>
        <v>5315</v>
      </c>
      <c r="T30" s="10">
        <f t="shared" si="27"/>
        <v>5024</v>
      </c>
      <c r="U30" s="10">
        <f t="shared" si="27"/>
        <v>6698</v>
      </c>
      <c r="V30" s="10">
        <f t="shared" si="27"/>
        <v>5018</v>
      </c>
      <c r="W30" s="10">
        <f t="shared" si="27"/>
        <v>4766</v>
      </c>
      <c r="X30" s="33">
        <f t="shared" si="10"/>
        <v>-0.1032925682031985</v>
      </c>
      <c r="Y30" s="10">
        <f t="shared" si="27"/>
        <v>4884</v>
      </c>
      <c r="Z30" s="33">
        <f t="shared" si="22"/>
        <v>2.4758707511540076E-2</v>
      </c>
      <c r="AA30" s="36">
        <f t="shared" si="23"/>
        <v>-2.7866242038216561E-2</v>
      </c>
      <c r="AB30" s="10">
        <f t="shared" si="27"/>
        <v>-2573</v>
      </c>
      <c r="AC30" s="33">
        <f t="shared" si="0"/>
        <v>-1.3841445207524634</v>
      </c>
      <c r="AD30" s="10">
        <f t="shared" si="27"/>
        <v>4722</v>
      </c>
      <c r="AE30" s="33">
        <f t="shared" si="1"/>
        <v>-5.898764447987246E-2</v>
      </c>
      <c r="AF30" s="33">
        <f t="shared" si="18"/>
        <v>-2.8352118150019434</v>
      </c>
      <c r="AG30" s="10">
        <f t="shared" ref="AF30:AH30" si="28">SUM(AG28:AG29)</f>
        <v>0</v>
      </c>
      <c r="AH30" s="10">
        <f t="shared" si="28"/>
        <v>0</v>
      </c>
    </row>
    <row r="31" spans="1:34" ht="14.25" x14ac:dyDescent="0.35">
      <c r="X31" s="33"/>
      <c r="Z31" s="33"/>
      <c r="AA31" s="37"/>
      <c r="AC31" s="33"/>
      <c r="AE31" s="33"/>
      <c r="AF31" s="33"/>
    </row>
    <row r="32" spans="1:34" x14ac:dyDescent="0.4">
      <c r="A32" s="9" t="s">
        <v>40</v>
      </c>
      <c r="X32" s="33"/>
      <c r="Z32" s="33"/>
      <c r="AA32" s="36"/>
      <c r="AC32" s="33"/>
      <c r="AE32" s="33"/>
      <c r="AF32" s="33"/>
    </row>
    <row r="33" spans="1:34" x14ac:dyDescent="0.4">
      <c r="A33" s="11" t="s">
        <v>41</v>
      </c>
      <c r="X33" s="33"/>
      <c r="Z33" s="33"/>
      <c r="AA33" s="36"/>
      <c r="AC33" s="33"/>
      <c r="AE33" s="33"/>
      <c r="AF33" s="33"/>
    </row>
    <row r="34" spans="1:34" x14ac:dyDescent="0.35">
      <c r="A34" s="13" t="s">
        <v>42</v>
      </c>
      <c r="B34" s="5">
        <v>1923</v>
      </c>
      <c r="C34" s="5">
        <v>1750</v>
      </c>
      <c r="D34" s="5">
        <v>2538</v>
      </c>
      <c r="E34" s="5">
        <v>2745</v>
      </c>
      <c r="F34" s="5">
        <v>2322</v>
      </c>
      <c r="G34" s="5">
        <v>1949</v>
      </c>
      <c r="H34" s="5">
        <v>3020</v>
      </c>
      <c r="I34" s="5">
        <v>2594</v>
      </c>
      <c r="J34" s="5">
        <v>7047</v>
      </c>
      <c r="K34" s="5">
        <v>7882</v>
      </c>
      <c r="L34" s="5">
        <v>8983</v>
      </c>
      <c r="M34" s="5">
        <v>22171</v>
      </c>
      <c r="N34" s="5">
        <v>10205</v>
      </c>
      <c r="O34" s="5">
        <v>4657</v>
      </c>
      <c r="P34" s="5">
        <v>9936</v>
      </c>
      <c r="Q34" s="5">
        <v>2921</v>
      </c>
      <c r="R34" s="5">
        <v>1661</v>
      </c>
      <c r="S34" s="5">
        <v>1857</v>
      </c>
      <c r="T34" s="5">
        <v>2082</v>
      </c>
      <c r="U34" s="5">
        <v>2605</v>
      </c>
      <c r="V34" s="5">
        <v>2234</v>
      </c>
      <c r="W34" s="5">
        <v>4803</v>
      </c>
      <c r="X34" s="33">
        <f t="shared" si="10"/>
        <v>1.5864297253634896</v>
      </c>
      <c r="Y34" s="5">
        <v>4210</v>
      </c>
      <c r="Z34" s="33">
        <f t="shared" ref="Z34:Z47" si="29">(Y34-W34)/W34</f>
        <v>-0.12346450135332084</v>
      </c>
      <c r="AA34" s="36">
        <f t="shared" ref="AA34:AA47" si="30">(Y34-T34)/T34</f>
        <v>1.0220941402497599</v>
      </c>
      <c r="AB34" s="5">
        <v>2065</v>
      </c>
      <c r="AC34" s="33">
        <f t="shared" si="0"/>
        <v>-0.20729366602687141</v>
      </c>
      <c r="AD34" s="5">
        <v>2365</v>
      </c>
      <c r="AE34" s="33">
        <f t="shared" si="1"/>
        <v>5.863921217547001E-2</v>
      </c>
      <c r="AF34" s="33">
        <f t="shared" ref="AF34:AF47" si="31">(AD34-AB34)/AB34</f>
        <v>0.14527845036319612</v>
      </c>
    </row>
    <row r="35" spans="1:34" x14ac:dyDescent="0.35">
      <c r="A35" s="16" t="s">
        <v>65</v>
      </c>
      <c r="B35" s="5">
        <v>22595</v>
      </c>
      <c r="C35" s="5">
        <v>23099</v>
      </c>
      <c r="D35" s="5">
        <v>24012</v>
      </c>
      <c r="E35" s="5">
        <v>25102</v>
      </c>
      <c r="F35" s="5">
        <v>24469</v>
      </c>
      <c r="G35" s="5">
        <v>24926</v>
      </c>
      <c r="H35" s="5">
        <v>24713</v>
      </c>
      <c r="I35" s="5">
        <v>25429</v>
      </c>
      <c r="J35" s="5">
        <v>23797</v>
      </c>
      <c r="K35" s="5">
        <v>22672</v>
      </c>
      <c r="L35" s="5">
        <v>22617</v>
      </c>
      <c r="M35" s="5">
        <v>23917</v>
      </c>
      <c r="N35" s="5">
        <v>22507</v>
      </c>
      <c r="O35" s="5">
        <v>21257</v>
      </c>
      <c r="P35" s="5">
        <v>22195</v>
      </c>
      <c r="Q35" s="5">
        <v>23846</v>
      </c>
      <c r="R35" s="5">
        <v>23615</v>
      </c>
      <c r="S35" s="5">
        <v>23909</v>
      </c>
      <c r="T35" s="5">
        <v>23670</v>
      </c>
      <c r="U35" s="5">
        <v>24506</v>
      </c>
      <c r="V35" s="5">
        <v>22856</v>
      </c>
      <c r="W35" s="5">
        <v>23186</v>
      </c>
      <c r="X35" s="33">
        <f t="shared" si="10"/>
        <v>-3.0239658705926639E-2</v>
      </c>
      <c r="Y35" s="5">
        <v>23602</v>
      </c>
      <c r="Z35" s="33">
        <f t="shared" si="29"/>
        <v>1.7941861468127318E-2</v>
      </c>
      <c r="AA35" s="36">
        <f t="shared" si="30"/>
        <v>-2.8728348119983101E-3</v>
      </c>
      <c r="AB35" s="5">
        <v>25085</v>
      </c>
      <c r="AC35" s="33">
        <f t="shared" si="0"/>
        <v>2.3626866889741287E-2</v>
      </c>
      <c r="AD35" s="5">
        <v>25319</v>
      </c>
      <c r="AE35" s="33">
        <f t="shared" si="1"/>
        <v>0.1077616380819041</v>
      </c>
      <c r="AF35" s="33">
        <f t="shared" si="31"/>
        <v>9.3282838349611329E-3</v>
      </c>
    </row>
    <row r="36" spans="1:34" x14ac:dyDescent="0.35">
      <c r="A36" s="13" t="s">
        <v>43</v>
      </c>
      <c r="B36" s="5">
        <v>1285</v>
      </c>
      <c r="C36" s="5">
        <v>1102</v>
      </c>
      <c r="D36" s="5">
        <v>1270</v>
      </c>
      <c r="E36" s="5">
        <v>1336</v>
      </c>
      <c r="F36" s="5">
        <v>1417</v>
      </c>
      <c r="G36" s="5">
        <v>1167</v>
      </c>
      <c r="H36" s="5">
        <v>1538</v>
      </c>
      <c r="I36" s="5">
        <v>1422</v>
      </c>
      <c r="J36" s="5">
        <v>1633</v>
      </c>
      <c r="K36" s="5">
        <v>1289</v>
      </c>
      <c r="L36" s="5">
        <v>1457</v>
      </c>
      <c r="M36" s="5">
        <v>1796</v>
      </c>
      <c r="N36" s="5">
        <v>1303</v>
      </c>
      <c r="O36" s="5">
        <v>1421</v>
      </c>
      <c r="P36" s="5">
        <v>2303</v>
      </c>
      <c r="Q36" s="5">
        <v>3055</v>
      </c>
      <c r="R36" s="5">
        <v>3659</v>
      </c>
      <c r="S36" s="5">
        <v>3646</v>
      </c>
      <c r="T36" s="5">
        <v>3133</v>
      </c>
      <c r="U36" s="5">
        <v>2388</v>
      </c>
      <c r="V36" s="5">
        <v>2381</v>
      </c>
      <c r="W36" s="5">
        <v>1896</v>
      </c>
      <c r="X36" s="33">
        <f t="shared" si="10"/>
        <v>-0.47997805814591332</v>
      </c>
      <c r="Y36" s="5">
        <v>2240</v>
      </c>
      <c r="Z36" s="33">
        <f t="shared" si="29"/>
        <v>0.18143459915611815</v>
      </c>
      <c r="AA36" s="36">
        <f t="shared" si="30"/>
        <v>-0.2850303223747207</v>
      </c>
      <c r="AB36" s="5">
        <v>2057</v>
      </c>
      <c r="AC36" s="33">
        <f t="shared" si="0"/>
        <v>-0.13860971524288107</v>
      </c>
      <c r="AD36" s="5">
        <v>2076</v>
      </c>
      <c r="AE36" s="33">
        <f t="shared" si="1"/>
        <v>-0.12809743805123897</v>
      </c>
      <c r="AF36" s="33">
        <f t="shared" si="31"/>
        <v>9.2367525522605732E-3</v>
      </c>
    </row>
    <row r="37" spans="1:34" x14ac:dyDescent="0.35">
      <c r="A37" s="13" t="s">
        <v>44</v>
      </c>
      <c r="B37" s="5">
        <v>5222</v>
      </c>
      <c r="C37" s="5">
        <v>4925</v>
      </c>
      <c r="D37" s="5">
        <v>5334</v>
      </c>
      <c r="E37" s="5">
        <v>5453</v>
      </c>
      <c r="F37" s="5">
        <v>5189</v>
      </c>
      <c r="G37" s="5">
        <v>5266</v>
      </c>
      <c r="H37" s="5">
        <v>5624</v>
      </c>
      <c r="I37" s="5">
        <v>8028</v>
      </c>
      <c r="J37" s="5">
        <v>8228</v>
      </c>
      <c r="K37" s="5">
        <v>5490</v>
      </c>
      <c r="L37" s="5">
        <v>5515</v>
      </c>
      <c r="M37" s="5">
        <v>6710</v>
      </c>
      <c r="N37" s="5">
        <v>5632</v>
      </c>
      <c r="O37" s="5">
        <v>8291</v>
      </c>
      <c r="P37" s="5">
        <v>5843</v>
      </c>
      <c r="Q37" s="5">
        <v>6906</v>
      </c>
      <c r="R37" s="5">
        <v>6645</v>
      </c>
      <c r="S37" s="5">
        <v>8087</v>
      </c>
      <c r="T37" s="5">
        <v>10861</v>
      </c>
      <c r="U37" s="5">
        <v>8358</v>
      </c>
      <c r="V37" s="5">
        <v>8251</v>
      </c>
      <c r="W37" s="5">
        <v>7503</v>
      </c>
      <c r="X37" s="33">
        <f t="shared" si="10"/>
        <v>-7.2214665512551013E-2</v>
      </c>
      <c r="Y37" s="5">
        <v>8067</v>
      </c>
      <c r="Z37" s="33">
        <f t="shared" si="29"/>
        <v>7.5169932027189121E-2</v>
      </c>
      <c r="AA37" s="36">
        <f t="shared" si="30"/>
        <v>-0.25725071356228707</v>
      </c>
      <c r="AB37" s="5">
        <v>7607</v>
      </c>
      <c r="AC37" s="33">
        <f t="shared" si="0"/>
        <v>-8.9854032065087339E-2</v>
      </c>
      <c r="AD37" s="5">
        <v>8197</v>
      </c>
      <c r="AE37" s="33">
        <f t="shared" si="1"/>
        <v>-6.5446612531814326E-3</v>
      </c>
      <c r="AF37" s="33">
        <f t="shared" si="31"/>
        <v>7.7560141974497177E-2</v>
      </c>
    </row>
    <row r="38" spans="1:34" s="10" customFormat="1" x14ac:dyDescent="0.4">
      <c r="A38" s="14" t="s">
        <v>78</v>
      </c>
      <c r="B38" s="10">
        <f>SUM(B34:B37)</f>
        <v>31025</v>
      </c>
      <c r="C38" s="10">
        <f t="shared" ref="C38:AD38" si="32">SUM(C34:C37)</f>
        <v>30876</v>
      </c>
      <c r="D38" s="10">
        <f t="shared" si="32"/>
        <v>33154</v>
      </c>
      <c r="E38" s="10">
        <f t="shared" si="32"/>
        <v>34636</v>
      </c>
      <c r="F38" s="10">
        <f t="shared" si="32"/>
        <v>33397</v>
      </c>
      <c r="G38" s="10">
        <f t="shared" si="32"/>
        <v>33308</v>
      </c>
      <c r="H38" s="10">
        <f t="shared" si="32"/>
        <v>34895</v>
      </c>
      <c r="I38" s="10">
        <f t="shared" si="32"/>
        <v>37473</v>
      </c>
      <c r="J38" s="10">
        <f t="shared" si="32"/>
        <v>40705</v>
      </c>
      <c r="K38" s="10">
        <f t="shared" si="32"/>
        <v>37333</v>
      </c>
      <c r="L38" s="10">
        <f t="shared" si="32"/>
        <v>38572</v>
      </c>
      <c r="M38" s="10">
        <f t="shared" si="32"/>
        <v>54594</v>
      </c>
      <c r="N38" s="10">
        <f t="shared" si="32"/>
        <v>39647</v>
      </c>
      <c r="O38" s="10">
        <f t="shared" si="32"/>
        <v>35626</v>
      </c>
      <c r="P38" s="10">
        <f t="shared" si="32"/>
        <v>40277</v>
      </c>
      <c r="Q38" s="10">
        <f t="shared" si="32"/>
        <v>36728</v>
      </c>
      <c r="R38" s="10">
        <f t="shared" si="32"/>
        <v>35580</v>
      </c>
      <c r="S38" s="10">
        <f t="shared" si="32"/>
        <v>37499</v>
      </c>
      <c r="T38" s="10">
        <f t="shared" si="32"/>
        <v>39746</v>
      </c>
      <c r="U38" s="10">
        <f t="shared" si="32"/>
        <v>37857</v>
      </c>
      <c r="V38" s="10">
        <f t="shared" si="32"/>
        <v>35722</v>
      </c>
      <c r="W38" s="10">
        <f t="shared" si="32"/>
        <v>37388</v>
      </c>
      <c r="X38" s="33">
        <f t="shared" si="10"/>
        <v>-2.9600789354382782E-3</v>
      </c>
      <c r="Y38" s="10">
        <f t="shared" si="32"/>
        <v>38119</v>
      </c>
      <c r="Z38" s="33">
        <f t="shared" si="29"/>
        <v>1.9551727827110302E-2</v>
      </c>
      <c r="AA38" s="36">
        <f t="shared" si="30"/>
        <v>-4.0934936848991091E-2</v>
      </c>
      <c r="AB38" s="10">
        <f t="shared" si="32"/>
        <v>36814</v>
      </c>
      <c r="AC38" s="33">
        <f t="shared" si="0"/>
        <v>-2.7551047362442876E-2</v>
      </c>
      <c r="AD38" s="10">
        <f t="shared" si="32"/>
        <v>37957</v>
      </c>
      <c r="AE38" s="33">
        <f t="shared" si="1"/>
        <v>6.2566485639101957E-2</v>
      </c>
      <c r="AF38" s="33">
        <f t="shared" si="31"/>
        <v>3.1047970880643233E-2</v>
      </c>
      <c r="AG38" s="10">
        <f t="shared" ref="AF38:AH38" si="33">SUM(AG34:AG37)</f>
        <v>0</v>
      </c>
      <c r="AH38" s="10">
        <f t="shared" si="33"/>
        <v>0</v>
      </c>
    </row>
    <row r="39" spans="1:34" x14ac:dyDescent="0.35">
      <c r="A39" s="8" t="s">
        <v>45</v>
      </c>
      <c r="B39" s="5">
        <v>87922</v>
      </c>
      <c r="C39" s="5">
        <v>87781</v>
      </c>
      <c r="D39" s="5">
        <v>87464</v>
      </c>
      <c r="E39" s="5">
        <v>89286</v>
      </c>
      <c r="F39" s="5">
        <v>87849</v>
      </c>
      <c r="G39" s="5">
        <v>87818</v>
      </c>
      <c r="H39" s="5">
        <v>88849</v>
      </c>
      <c r="I39" s="5">
        <v>91915</v>
      </c>
      <c r="J39" s="5">
        <v>92177</v>
      </c>
      <c r="K39" s="5">
        <v>92754</v>
      </c>
      <c r="L39" s="5">
        <v>93182</v>
      </c>
      <c r="M39" s="5">
        <v>94833</v>
      </c>
      <c r="N39" s="5">
        <v>94876</v>
      </c>
      <c r="O39" s="5">
        <v>94202</v>
      </c>
      <c r="P39" s="5">
        <v>95756</v>
      </c>
      <c r="Q39" s="5">
        <v>99696</v>
      </c>
      <c r="R39" s="5">
        <v>99843</v>
      </c>
      <c r="S39" s="5">
        <v>101310</v>
      </c>
      <c r="T39" s="5">
        <v>103004</v>
      </c>
      <c r="U39" s="5">
        <v>107434</v>
      </c>
      <c r="V39" s="5">
        <v>106987</v>
      </c>
      <c r="W39" s="5">
        <v>107270</v>
      </c>
      <c r="X39" s="33">
        <f t="shared" si="10"/>
        <v>5.8829335702299874E-2</v>
      </c>
      <c r="Y39" s="5">
        <v>107490</v>
      </c>
      <c r="Z39" s="33">
        <f t="shared" si="29"/>
        <v>2.0508995991423509E-3</v>
      </c>
      <c r="AA39" s="36">
        <f t="shared" si="30"/>
        <v>4.3551706729835736E-2</v>
      </c>
      <c r="AB39" s="5">
        <v>108310</v>
      </c>
      <c r="AC39" s="33">
        <f t="shared" si="0"/>
        <v>8.1538432898337586E-3</v>
      </c>
      <c r="AD39" s="5">
        <v>107863</v>
      </c>
      <c r="AE39" s="33">
        <f t="shared" si="1"/>
        <v>8.1879106807369127E-3</v>
      </c>
      <c r="AF39" s="33">
        <f t="shared" si="31"/>
        <v>-4.127042747668729E-3</v>
      </c>
    </row>
    <row r="40" spans="1:34" x14ac:dyDescent="0.35">
      <c r="A40" s="8" t="s">
        <v>46</v>
      </c>
      <c r="B40" s="5">
        <v>994</v>
      </c>
      <c r="C40" s="5">
        <v>787</v>
      </c>
      <c r="D40" s="5">
        <v>732</v>
      </c>
      <c r="E40" s="5">
        <v>671</v>
      </c>
      <c r="F40" s="5">
        <v>674</v>
      </c>
      <c r="G40" s="5">
        <v>650</v>
      </c>
      <c r="H40" s="5">
        <v>628</v>
      </c>
      <c r="I40" s="5">
        <v>558</v>
      </c>
      <c r="J40" s="5">
        <v>543</v>
      </c>
      <c r="K40" s="5">
        <v>529</v>
      </c>
      <c r="L40" s="5">
        <v>535</v>
      </c>
      <c r="M40" s="5">
        <v>589</v>
      </c>
      <c r="N40" s="5">
        <v>555</v>
      </c>
      <c r="O40" s="5">
        <v>560</v>
      </c>
      <c r="P40" s="5">
        <v>1100</v>
      </c>
      <c r="Q40" s="5">
        <v>1061</v>
      </c>
      <c r="R40" s="5">
        <v>1074</v>
      </c>
      <c r="S40" s="5">
        <v>1113</v>
      </c>
      <c r="T40" s="5">
        <v>1083</v>
      </c>
      <c r="U40" s="5">
        <v>1071</v>
      </c>
      <c r="V40" s="5">
        <v>1052</v>
      </c>
      <c r="W40" s="5">
        <v>1015</v>
      </c>
      <c r="X40" s="33">
        <f t="shared" si="10"/>
        <v>-8.8050314465408799E-2</v>
      </c>
      <c r="Y40" s="5">
        <v>929</v>
      </c>
      <c r="Z40" s="33">
        <f t="shared" si="29"/>
        <v>-8.4729064039408872E-2</v>
      </c>
      <c r="AA40" s="36">
        <f t="shared" si="30"/>
        <v>-0.14219759926131118</v>
      </c>
      <c r="AB40" s="5">
        <v>953</v>
      </c>
      <c r="AC40" s="33">
        <f t="shared" si="0"/>
        <v>-0.11017740429505135</v>
      </c>
      <c r="AD40" s="5">
        <v>941</v>
      </c>
      <c r="AE40" s="33">
        <f t="shared" si="1"/>
        <v>-0.10551330798479087</v>
      </c>
      <c r="AF40" s="33">
        <f t="shared" si="31"/>
        <v>-1.2591815320041973E-2</v>
      </c>
    </row>
    <row r="41" spans="1:34" x14ac:dyDescent="0.35">
      <c r="A41" s="8" t="s">
        <v>47</v>
      </c>
      <c r="B41" s="5">
        <v>93677</v>
      </c>
      <c r="C41" s="5">
        <v>93855</v>
      </c>
      <c r="D41" s="5">
        <v>94006</v>
      </c>
      <c r="E41" s="5">
        <v>94130</v>
      </c>
      <c r="F41" s="5">
        <v>94237</v>
      </c>
      <c r="G41" s="5">
        <v>94333</v>
      </c>
      <c r="H41" s="5">
        <v>94433</v>
      </c>
      <c r="I41" s="5">
        <v>95059</v>
      </c>
      <c r="J41" s="5">
        <v>92471</v>
      </c>
      <c r="K41" s="5">
        <v>95767</v>
      </c>
      <c r="L41" s="5">
        <v>95958</v>
      </c>
      <c r="M41" s="5">
        <v>96097</v>
      </c>
      <c r="N41" s="5">
        <v>98012</v>
      </c>
      <c r="O41" s="5">
        <v>98034</v>
      </c>
      <c r="P41" s="5">
        <v>145767</v>
      </c>
      <c r="Q41" s="5">
        <v>147619</v>
      </c>
      <c r="R41" s="5">
        <v>148083</v>
      </c>
      <c r="S41" s="5">
        <v>148724</v>
      </c>
      <c r="T41" s="5">
        <v>149292</v>
      </c>
      <c r="U41" s="5">
        <v>149796</v>
      </c>
      <c r="V41" s="5">
        <v>150485</v>
      </c>
      <c r="W41" s="5">
        <v>151337</v>
      </c>
      <c r="X41" s="33">
        <f t="shared" si="10"/>
        <v>1.7569457518625105E-2</v>
      </c>
      <c r="Y41" s="5">
        <v>155465</v>
      </c>
      <c r="Z41" s="33">
        <f t="shared" si="29"/>
        <v>2.7276872146269584E-2</v>
      </c>
      <c r="AA41" s="36">
        <f t="shared" si="30"/>
        <v>4.1348498245049971E-2</v>
      </c>
      <c r="AB41" s="5">
        <v>155667</v>
      </c>
      <c r="AC41" s="33">
        <f t="shared" si="0"/>
        <v>3.9193302891933027E-2</v>
      </c>
      <c r="AD41" s="5">
        <v>156111</v>
      </c>
      <c r="AE41" s="33">
        <f t="shared" si="1"/>
        <v>3.7385785958733431E-2</v>
      </c>
      <c r="AF41" s="33">
        <f t="shared" si="31"/>
        <v>2.8522422864190869E-3</v>
      </c>
    </row>
    <row r="42" spans="1:34" hidden="1" x14ac:dyDescent="0.35">
      <c r="A42" s="8" t="s">
        <v>64</v>
      </c>
      <c r="B42" s="5">
        <v>0</v>
      </c>
      <c r="C42" s="5">
        <v>0</v>
      </c>
      <c r="D42" s="5">
        <v>0</v>
      </c>
      <c r="E42" s="5">
        <v>0</v>
      </c>
      <c r="F42" s="5">
        <v>0</v>
      </c>
      <c r="G42" s="5">
        <v>0</v>
      </c>
      <c r="H42" s="5">
        <v>0</v>
      </c>
      <c r="I42" s="5">
        <v>0</v>
      </c>
      <c r="J42" s="5">
        <v>0</v>
      </c>
      <c r="K42" s="5">
        <v>0</v>
      </c>
      <c r="L42" s="5">
        <v>0</v>
      </c>
      <c r="M42" s="5">
        <v>0</v>
      </c>
      <c r="N42" s="5">
        <v>45490</v>
      </c>
      <c r="O42" s="5">
        <v>45910</v>
      </c>
      <c r="P42" s="5">
        <v>0</v>
      </c>
      <c r="Q42" s="5">
        <v>0</v>
      </c>
      <c r="R42" s="5">
        <v>0</v>
      </c>
      <c r="S42" s="5">
        <v>0</v>
      </c>
      <c r="T42" s="5">
        <v>0</v>
      </c>
      <c r="U42" s="5">
        <v>0</v>
      </c>
      <c r="V42" s="17">
        <v>0</v>
      </c>
      <c r="W42" s="5">
        <v>0</v>
      </c>
      <c r="X42" s="33" t="e">
        <f t="shared" si="10"/>
        <v>#DIV/0!</v>
      </c>
      <c r="Z42" s="33" t="e">
        <f t="shared" si="29"/>
        <v>#DIV/0!</v>
      </c>
      <c r="AA42" s="36" t="e">
        <f t="shared" si="30"/>
        <v>#DIV/0!</v>
      </c>
      <c r="AC42" s="33" t="e">
        <f t="shared" si="0"/>
        <v>#DIV/0!</v>
      </c>
      <c r="AE42" s="33" t="e">
        <f t="shared" si="1"/>
        <v>#DIV/0!</v>
      </c>
      <c r="AF42" s="33" t="e">
        <f t="shared" si="31"/>
        <v>#DIV/0!</v>
      </c>
    </row>
    <row r="43" spans="1:34" x14ac:dyDescent="0.35">
      <c r="A43" s="8" t="s">
        <v>48</v>
      </c>
      <c r="B43" s="5">
        <v>29121</v>
      </c>
      <c r="C43" s="5">
        <v>29200</v>
      </c>
      <c r="D43" s="5">
        <v>29200</v>
      </c>
      <c r="E43" s="5">
        <v>24614</v>
      </c>
      <c r="F43" s="5">
        <v>24635</v>
      </c>
      <c r="G43" s="5">
        <v>24632</v>
      </c>
      <c r="H43" s="5">
        <v>24570</v>
      </c>
      <c r="I43" s="5">
        <v>24389</v>
      </c>
      <c r="J43" s="5">
        <v>24382</v>
      </c>
      <c r="K43" s="5">
        <v>24667</v>
      </c>
      <c r="L43" s="5">
        <v>24799</v>
      </c>
      <c r="M43" s="5">
        <v>24773</v>
      </c>
      <c r="N43" s="5">
        <v>24837</v>
      </c>
      <c r="O43" s="5">
        <v>24915</v>
      </c>
      <c r="P43" s="5">
        <v>24887</v>
      </c>
      <c r="Q43" s="5">
        <v>28603</v>
      </c>
      <c r="R43" s="5">
        <v>28629</v>
      </c>
      <c r="S43" s="5">
        <v>28638</v>
      </c>
      <c r="T43" s="5">
        <v>28548</v>
      </c>
      <c r="U43" s="5">
        <v>28671</v>
      </c>
      <c r="V43" s="5">
        <v>28674</v>
      </c>
      <c r="W43" s="5">
        <v>28647</v>
      </c>
      <c r="X43" s="33">
        <f t="shared" si="10"/>
        <v>3.1426775612822125E-4</v>
      </c>
      <c r="Y43" s="5">
        <v>28642</v>
      </c>
      <c r="Z43" s="33">
        <f t="shared" si="29"/>
        <v>-1.7453834607463259E-4</v>
      </c>
      <c r="AA43" s="36">
        <f t="shared" si="30"/>
        <v>3.2927000140114894E-3</v>
      </c>
      <c r="AB43" s="5">
        <v>22843</v>
      </c>
      <c r="AC43" s="33">
        <f t="shared" si="0"/>
        <v>-0.20327159847929965</v>
      </c>
      <c r="AD43" s="5">
        <v>22842</v>
      </c>
      <c r="AE43" s="33">
        <f t="shared" si="1"/>
        <v>-0.20338983050847459</v>
      </c>
      <c r="AF43" s="33">
        <f t="shared" si="31"/>
        <v>-4.3777087072626186E-5</v>
      </c>
    </row>
    <row r="44" spans="1:34" x14ac:dyDescent="0.35">
      <c r="A44" s="8" t="s">
        <v>49</v>
      </c>
      <c r="B44" s="5">
        <v>10014</v>
      </c>
      <c r="C44" s="5">
        <v>9861</v>
      </c>
      <c r="D44" s="5">
        <v>9731</v>
      </c>
      <c r="E44" s="5">
        <v>9775</v>
      </c>
      <c r="F44" s="5">
        <v>9608</v>
      </c>
      <c r="G44" s="5">
        <v>9474</v>
      </c>
      <c r="H44" s="5">
        <v>9264</v>
      </c>
      <c r="I44" s="5">
        <v>9498</v>
      </c>
      <c r="J44" s="5">
        <v>9371</v>
      </c>
      <c r="K44" s="5">
        <v>9600</v>
      </c>
      <c r="L44" s="5">
        <v>9599</v>
      </c>
      <c r="M44" s="5">
        <v>9413</v>
      </c>
      <c r="N44" s="5">
        <v>9304</v>
      </c>
      <c r="O44" s="5">
        <v>7002</v>
      </c>
      <c r="P44" s="5">
        <v>7022</v>
      </c>
      <c r="Q44" s="5">
        <v>11677</v>
      </c>
      <c r="R44" s="5">
        <v>11432</v>
      </c>
      <c r="S44" s="5">
        <v>11286</v>
      </c>
      <c r="T44" s="5">
        <v>11196</v>
      </c>
      <c r="U44" s="5">
        <v>11461</v>
      </c>
      <c r="V44" s="5">
        <v>11246</v>
      </c>
      <c r="W44" s="5">
        <v>11097</v>
      </c>
      <c r="X44" s="33">
        <f t="shared" si="10"/>
        <v>-1.6746411483253589E-2</v>
      </c>
      <c r="Y44" s="5">
        <v>10952</v>
      </c>
      <c r="Z44" s="33">
        <f t="shared" si="29"/>
        <v>-1.3066594575110391E-2</v>
      </c>
      <c r="AA44" s="36">
        <f t="shared" si="30"/>
        <v>-2.1793497677742052E-2</v>
      </c>
      <c r="AB44" s="5">
        <v>11057</v>
      </c>
      <c r="AC44" s="33">
        <f t="shared" si="0"/>
        <v>-3.5249978186894688E-2</v>
      </c>
      <c r="AD44" s="5">
        <v>10835</v>
      </c>
      <c r="AE44" s="33">
        <f t="shared" si="1"/>
        <v>-3.6546327583140671E-2</v>
      </c>
      <c r="AF44" s="33">
        <f t="shared" si="31"/>
        <v>-2.0077778782671609E-2</v>
      </c>
    </row>
    <row r="45" spans="1:34" x14ac:dyDescent="0.35">
      <c r="A45" s="8" t="s">
        <v>61</v>
      </c>
      <c r="B45" s="5">
        <v>0</v>
      </c>
      <c r="C45" s="5">
        <v>0</v>
      </c>
      <c r="D45" s="5">
        <v>0</v>
      </c>
      <c r="E45" s="5">
        <v>0</v>
      </c>
      <c r="F45" s="5">
        <v>23105</v>
      </c>
      <c r="G45" s="5">
        <v>22467</v>
      </c>
      <c r="H45" s="5">
        <v>22218</v>
      </c>
      <c r="I45" s="5">
        <v>22694</v>
      </c>
      <c r="J45" s="5">
        <v>22472</v>
      </c>
      <c r="K45" s="5">
        <v>22431</v>
      </c>
      <c r="L45" s="5">
        <v>22680</v>
      </c>
      <c r="M45" s="5">
        <v>22531</v>
      </c>
      <c r="N45" s="5">
        <v>22315</v>
      </c>
      <c r="O45" s="5">
        <v>28180</v>
      </c>
      <c r="P45" s="5">
        <v>27969</v>
      </c>
      <c r="Q45" s="5">
        <v>27883</v>
      </c>
      <c r="R45" s="5">
        <v>27494</v>
      </c>
      <c r="S45" s="5">
        <v>27098</v>
      </c>
      <c r="T45" s="5">
        <v>26588</v>
      </c>
      <c r="U45" s="5">
        <v>26130</v>
      </c>
      <c r="V45" s="5">
        <v>25947</v>
      </c>
      <c r="W45" s="5">
        <v>25345</v>
      </c>
      <c r="X45" s="33">
        <f t="shared" si="10"/>
        <v>-6.4691121115949518E-2</v>
      </c>
      <c r="Y45" s="5">
        <v>25086</v>
      </c>
      <c r="Z45" s="33">
        <f t="shared" si="29"/>
        <v>-1.0218978102189781E-2</v>
      </c>
      <c r="AA45" s="36">
        <f t="shared" si="30"/>
        <v>-5.6491650368587332E-2</v>
      </c>
      <c r="AB45" s="5">
        <v>24726</v>
      </c>
      <c r="AC45" s="33">
        <f t="shared" si="0"/>
        <v>-5.3731343283582089E-2</v>
      </c>
      <c r="AD45" s="5">
        <v>24351</v>
      </c>
      <c r="AE45" s="33">
        <f t="shared" si="1"/>
        <v>-6.1510001156203031E-2</v>
      </c>
      <c r="AF45" s="33">
        <f t="shared" si="31"/>
        <v>-1.5166221790827468E-2</v>
      </c>
    </row>
    <row r="46" spans="1:34" x14ac:dyDescent="0.35">
      <c r="A46" s="8" t="s">
        <v>50</v>
      </c>
      <c r="B46" s="5">
        <v>11763</v>
      </c>
      <c r="C46" s="5">
        <v>10943</v>
      </c>
      <c r="D46" s="5">
        <v>11275</v>
      </c>
      <c r="E46" s="5">
        <v>11717</v>
      </c>
      <c r="F46" s="5">
        <v>10442</v>
      </c>
      <c r="G46" s="5">
        <v>10426</v>
      </c>
      <c r="H46" s="5">
        <v>10018</v>
      </c>
      <c r="I46" s="5">
        <v>10141</v>
      </c>
      <c r="J46" s="5">
        <v>12379</v>
      </c>
      <c r="K46" s="5">
        <v>10178</v>
      </c>
      <c r="L46" s="5">
        <v>11669</v>
      </c>
      <c r="M46" s="5">
        <v>13651</v>
      </c>
      <c r="N46" s="5">
        <v>10537</v>
      </c>
      <c r="O46" s="5">
        <v>14761</v>
      </c>
      <c r="P46" s="5">
        <v>10679</v>
      </c>
      <c r="Q46" s="5">
        <v>13329</v>
      </c>
      <c r="R46" s="5">
        <v>13581</v>
      </c>
      <c r="S46" s="5">
        <v>14479</v>
      </c>
      <c r="T46" s="5">
        <v>15633</v>
      </c>
      <c r="U46" s="5">
        <v>17260</v>
      </c>
      <c r="V46" s="5">
        <v>17603</v>
      </c>
      <c r="W46" s="5">
        <v>17856</v>
      </c>
      <c r="X46" s="33">
        <f t="shared" si="10"/>
        <v>0.23323433938807928</v>
      </c>
      <c r="Y46" s="5">
        <v>18147</v>
      </c>
      <c r="Z46" s="33">
        <f t="shared" si="29"/>
        <v>1.6297043010752688E-2</v>
      </c>
      <c r="AA46" s="36">
        <f t="shared" si="30"/>
        <v>0.16081366340433698</v>
      </c>
      <c r="AB46" s="5">
        <v>19885</v>
      </c>
      <c r="AC46" s="33">
        <f t="shared" si="0"/>
        <v>0.15208574739281575</v>
      </c>
      <c r="AD46" s="5">
        <v>19258</v>
      </c>
      <c r="AE46" s="33">
        <f t="shared" si="1"/>
        <v>9.4018065102539336E-2</v>
      </c>
      <c r="AF46" s="33">
        <f t="shared" si="31"/>
        <v>-3.1531305003771687E-2</v>
      </c>
    </row>
    <row r="47" spans="1:34" s="10" customFormat="1" x14ac:dyDescent="0.4">
      <c r="A47" s="14" t="s">
        <v>51</v>
      </c>
      <c r="B47" s="10">
        <f>SUM(B38:B46)</f>
        <v>264516</v>
      </c>
      <c r="C47" s="10">
        <f t="shared" ref="C47:AD47" si="34">SUM(C38:C46)</f>
        <v>263303</v>
      </c>
      <c r="D47" s="10">
        <f t="shared" si="34"/>
        <v>265562</v>
      </c>
      <c r="E47" s="10">
        <f t="shared" si="34"/>
        <v>264829</v>
      </c>
      <c r="F47" s="10">
        <f t="shared" si="34"/>
        <v>283947</v>
      </c>
      <c r="G47" s="10">
        <f t="shared" si="34"/>
        <v>283108</v>
      </c>
      <c r="H47" s="10">
        <f t="shared" si="34"/>
        <v>284875</v>
      </c>
      <c r="I47" s="10">
        <f t="shared" si="34"/>
        <v>291727</v>
      </c>
      <c r="J47" s="10">
        <f t="shared" si="34"/>
        <v>294500</v>
      </c>
      <c r="K47" s="10">
        <f t="shared" si="34"/>
        <v>293259</v>
      </c>
      <c r="L47" s="10">
        <f t="shared" si="34"/>
        <v>296994</v>
      </c>
      <c r="M47" s="10">
        <f t="shared" si="34"/>
        <v>316481</v>
      </c>
      <c r="N47" s="10">
        <f t="shared" si="34"/>
        <v>345573</v>
      </c>
      <c r="O47" s="10">
        <f t="shared" si="34"/>
        <v>349190</v>
      </c>
      <c r="P47" s="10">
        <f t="shared" si="34"/>
        <v>353457</v>
      </c>
      <c r="Q47" s="10">
        <f t="shared" si="34"/>
        <v>366596</v>
      </c>
      <c r="R47" s="10">
        <f t="shared" si="34"/>
        <v>365716</v>
      </c>
      <c r="S47" s="10">
        <f t="shared" si="34"/>
        <v>370147</v>
      </c>
      <c r="T47" s="10">
        <f t="shared" si="34"/>
        <v>375090</v>
      </c>
      <c r="U47" s="10">
        <f t="shared" si="34"/>
        <v>379680</v>
      </c>
      <c r="V47" s="10">
        <f t="shared" si="34"/>
        <v>377716</v>
      </c>
      <c r="W47" s="10">
        <f t="shared" si="34"/>
        <v>379955</v>
      </c>
      <c r="X47" s="33">
        <f t="shared" si="10"/>
        <v>2.649758069091469E-2</v>
      </c>
      <c r="Y47" s="10">
        <f t="shared" si="34"/>
        <v>384830</v>
      </c>
      <c r="Z47" s="33">
        <f t="shared" si="29"/>
        <v>1.2830466765801213E-2</v>
      </c>
      <c r="AA47" s="36">
        <f t="shared" si="30"/>
        <v>2.5967101229038364E-2</v>
      </c>
      <c r="AB47" s="10">
        <f t="shared" si="34"/>
        <v>380255</v>
      </c>
      <c r="AC47" s="33">
        <f t="shared" si="0"/>
        <v>1.514433206911083E-3</v>
      </c>
      <c r="AD47" s="10">
        <f t="shared" si="34"/>
        <v>380158</v>
      </c>
      <c r="AE47" s="33">
        <f t="shared" si="1"/>
        <v>6.4651748933060816E-3</v>
      </c>
      <c r="AF47" s="33">
        <f t="shared" si="31"/>
        <v>-2.5509197775177184E-4</v>
      </c>
      <c r="AG47" s="10">
        <f t="shared" ref="AF47:AH47" si="35">SUM(AG38:AG46)</f>
        <v>0</v>
      </c>
      <c r="AH47" s="10">
        <f t="shared" si="35"/>
        <v>0</v>
      </c>
    </row>
    <row r="48" spans="1:34" x14ac:dyDescent="0.35">
      <c r="F48" s="18"/>
      <c r="X48" s="33"/>
      <c r="Z48" s="33"/>
      <c r="AA48" s="36"/>
      <c r="AC48" s="33"/>
      <c r="AE48" s="33"/>
      <c r="AF48" s="33"/>
    </row>
    <row r="49" spans="1:34" x14ac:dyDescent="0.4">
      <c r="A49" s="9" t="s">
        <v>52</v>
      </c>
      <c r="X49" s="33"/>
      <c r="Z49" s="33"/>
      <c r="AA49" s="36"/>
      <c r="AC49" s="33"/>
      <c r="AE49" s="33"/>
      <c r="AF49" s="33"/>
    </row>
    <row r="50" spans="1:34" x14ac:dyDescent="0.4">
      <c r="A50" s="11" t="s">
        <v>53</v>
      </c>
      <c r="X50" s="33"/>
      <c r="Z50" s="33"/>
      <c r="AA50" s="36"/>
      <c r="AC50" s="33"/>
      <c r="AE50" s="33"/>
      <c r="AF50" s="33"/>
    </row>
    <row r="51" spans="1:34" x14ac:dyDescent="0.35">
      <c r="A51" s="13" t="s">
        <v>54</v>
      </c>
      <c r="B51" s="5">
        <v>6323</v>
      </c>
      <c r="C51" s="5">
        <v>5466</v>
      </c>
      <c r="D51" s="5">
        <v>6502</v>
      </c>
      <c r="E51" s="5">
        <v>7190</v>
      </c>
      <c r="F51" s="5">
        <v>8614</v>
      </c>
      <c r="G51" s="5">
        <v>8773</v>
      </c>
      <c r="H51" s="5">
        <v>7830</v>
      </c>
      <c r="I51" s="5">
        <v>10777</v>
      </c>
      <c r="J51" s="5">
        <v>11175</v>
      </c>
      <c r="K51" s="5">
        <v>6651</v>
      </c>
      <c r="L51" s="5">
        <v>5770</v>
      </c>
      <c r="M51" s="5">
        <v>5889</v>
      </c>
      <c r="N51" s="5">
        <v>8802</v>
      </c>
      <c r="O51" s="5">
        <v>7023</v>
      </c>
      <c r="P51" s="5">
        <v>7623</v>
      </c>
      <c r="Q51" s="5">
        <v>7443</v>
      </c>
      <c r="R51" s="5">
        <v>13421</v>
      </c>
      <c r="S51" s="5">
        <v>12873</v>
      </c>
      <c r="T51" s="5">
        <v>14995</v>
      </c>
      <c r="U51" s="5">
        <v>9963</v>
      </c>
      <c r="V51" s="5">
        <v>12081</v>
      </c>
      <c r="W51" s="5">
        <v>14827</v>
      </c>
      <c r="X51" s="33">
        <f t="shared" si="10"/>
        <v>0.1517905694088402</v>
      </c>
      <c r="Y51" s="5">
        <v>12950</v>
      </c>
      <c r="Z51" s="33">
        <f t="shared" ref="Z51:Z61" si="36">(Y51-W51)/W51</f>
        <v>-0.1265933769474607</v>
      </c>
      <c r="AA51" s="36">
        <f t="shared" ref="AA51:AA61" si="37">(Y51-T51)/T51</f>
        <v>-0.13637879293097699</v>
      </c>
      <c r="AB51" s="5">
        <v>12973</v>
      </c>
      <c r="AC51" s="33">
        <f t="shared" si="0"/>
        <v>0.30211783599317477</v>
      </c>
      <c r="AD51" s="5">
        <v>15594</v>
      </c>
      <c r="AE51" s="33">
        <f t="shared" si="1"/>
        <v>0.29078718649118451</v>
      </c>
      <c r="AF51" s="33">
        <f t="shared" ref="AF51:AF61" si="38">(AD51-AB51)/AB51</f>
        <v>0.2020349957604255</v>
      </c>
    </row>
    <row r="52" spans="1:34" x14ac:dyDescent="0.35">
      <c r="A52" s="13" t="s">
        <v>55</v>
      </c>
      <c r="B52" s="5">
        <v>17052</v>
      </c>
      <c r="C52" s="5">
        <v>18560</v>
      </c>
      <c r="D52" s="5">
        <v>19342</v>
      </c>
      <c r="E52" s="5">
        <v>22501</v>
      </c>
      <c r="F52" s="5">
        <v>18664</v>
      </c>
      <c r="G52" s="5">
        <v>17633</v>
      </c>
      <c r="H52" s="5">
        <v>19566</v>
      </c>
      <c r="I52" s="5">
        <v>21806</v>
      </c>
      <c r="J52" s="5">
        <v>17419</v>
      </c>
      <c r="K52" s="5">
        <v>19297</v>
      </c>
      <c r="L52" s="5">
        <v>17391</v>
      </c>
      <c r="M52" s="5">
        <v>20658</v>
      </c>
      <c r="N52" s="5">
        <v>17219</v>
      </c>
      <c r="O52" s="5">
        <v>17328</v>
      </c>
      <c r="P52" s="5">
        <v>20153</v>
      </c>
      <c r="Q52" s="5">
        <v>24833</v>
      </c>
      <c r="R52" s="5">
        <v>18169</v>
      </c>
      <c r="S52" s="5">
        <v>20956</v>
      </c>
      <c r="T52" s="5">
        <v>22235</v>
      </c>
      <c r="U52" s="5">
        <v>23977</v>
      </c>
      <c r="V52" s="5">
        <v>19273</v>
      </c>
      <c r="W52" s="5">
        <v>20067</v>
      </c>
      <c r="X52" s="33">
        <f t="shared" si="10"/>
        <v>-4.2422217980530634E-2</v>
      </c>
      <c r="Y52" s="5">
        <v>26140</v>
      </c>
      <c r="Z52" s="33">
        <f t="shared" si="36"/>
        <v>0.30263616883440475</v>
      </c>
      <c r="AA52" s="36">
        <f t="shared" si="37"/>
        <v>0.17562401619069035</v>
      </c>
      <c r="AB52" s="5">
        <v>23453</v>
      </c>
      <c r="AC52" s="33">
        <f t="shared" si="0"/>
        <v>-2.1854277015473163E-2</v>
      </c>
      <c r="AD52" s="5">
        <v>20139</v>
      </c>
      <c r="AE52" s="33">
        <f t="shared" si="1"/>
        <v>4.4933326415192237E-2</v>
      </c>
      <c r="AF52" s="33">
        <f t="shared" si="38"/>
        <v>-0.14130388436447364</v>
      </c>
    </row>
    <row r="53" spans="1:34" x14ac:dyDescent="0.35">
      <c r="A53" s="13" t="s">
        <v>62</v>
      </c>
      <c r="B53" s="5">
        <v>0</v>
      </c>
      <c r="C53" s="5">
        <v>0</v>
      </c>
      <c r="D53" s="5">
        <v>0</v>
      </c>
      <c r="E53" s="5">
        <v>0</v>
      </c>
      <c r="F53" s="5">
        <v>2997</v>
      </c>
      <c r="G53" s="5">
        <v>3154</v>
      </c>
      <c r="H53" s="5">
        <v>2959</v>
      </c>
      <c r="I53" s="5">
        <v>3261</v>
      </c>
      <c r="J53" s="5">
        <v>3331</v>
      </c>
      <c r="K53" s="5">
        <v>3270</v>
      </c>
      <c r="L53" s="5">
        <v>3494</v>
      </c>
      <c r="M53" s="5">
        <v>3485</v>
      </c>
      <c r="N53" s="5">
        <v>3536</v>
      </c>
      <c r="O53" s="5">
        <v>3881</v>
      </c>
      <c r="P53" s="5">
        <v>3606</v>
      </c>
      <c r="Q53" s="5">
        <v>3859</v>
      </c>
      <c r="R53" s="5">
        <v>3847</v>
      </c>
      <c r="S53" s="5">
        <v>3912</v>
      </c>
      <c r="T53" s="5">
        <v>3961</v>
      </c>
      <c r="U53" s="5">
        <v>4134</v>
      </c>
      <c r="V53" s="5">
        <v>4177</v>
      </c>
      <c r="W53" s="5">
        <v>4211</v>
      </c>
      <c r="X53" s="33">
        <f t="shared" si="10"/>
        <v>7.6431492842535781E-2</v>
      </c>
      <c r="Y53" s="5">
        <v>3906</v>
      </c>
      <c r="Z53" s="33">
        <f t="shared" si="36"/>
        <v>-7.2429351697933977E-2</v>
      </c>
      <c r="AA53" s="36">
        <f t="shared" si="37"/>
        <v>-1.3885382479171926E-2</v>
      </c>
      <c r="AB53" s="5">
        <v>4266</v>
      </c>
      <c r="AC53" s="33">
        <f t="shared" si="0"/>
        <v>3.1930333817126268E-2</v>
      </c>
      <c r="AD53" s="5">
        <v>4282</v>
      </c>
      <c r="AE53" s="33">
        <f t="shared" si="1"/>
        <v>2.5137658606655493E-2</v>
      </c>
      <c r="AF53" s="33">
        <f t="shared" si="38"/>
        <v>3.7505860290670419E-3</v>
      </c>
    </row>
    <row r="54" spans="1:34" x14ac:dyDescent="0.35">
      <c r="A54" s="13" t="s">
        <v>56</v>
      </c>
      <c r="B54" s="5">
        <v>8240</v>
      </c>
      <c r="C54" s="5">
        <v>8303</v>
      </c>
      <c r="D54" s="5">
        <v>8323</v>
      </c>
      <c r="E54" s="5">
        <v>8239</v>
      </c>
      <c r="F54" s="5">
        <v>8332</v>
      </c>
      <c r="G54" s="5">
        <v>8654</v>
      </c>
      <c r="H54" s="5">
        <v>8854</v>
      </c>
      <c r="I54" s="5">
        <v>9024</v>
      </c>
      <c r="J54" s="5">
        <v>9132</v>
      </c>
      <c r="K54" s="5">
        <v>9668</v>
      </c>
      <c r="L54" s="5">
        <v>9530</v>
      </c>
      <c r="M54" s="5">
        <v>9628</v>
      </c>
      <c r="N54" s="5">
        <v>9173</v>
      </c>
      <c r="O54" s="5">
        <v>11846</v>
      </c>
      <c r="P54" s="5">
        <v>9976</v>
      </c>
      <c r="Q54" s="5">
        <v>11025</v>
      </c>
      <c r="R54" s="5">
        <v>11148</v>
      </c>
      <c r="S54" s="5">
        <v>11483</v>
      </c>
      <c r="T54" s="5">
        <v>11950</v>
      </c>
      <c r="U54" s="5">
        <v>12097</v>
      </c>
      <c r="V54" s="5">
        <v>12237</v>
      </c>
      <c r="W54" s="5">
        <v>12299</v>
      </c>
      <c r="X54" s="33">
        <f t="shared" si="10"/>
        <v>7.1061569276321512E-2</v>
      </c>
      <c r="Y54" s="5">
        <v>12681</v>
      </c>
      <c r="Z54" s="33">
        <f t="shared" si="36"/>
        <v>3.1059435726481829E-2</v>
      </c>
      <c r="AA54" s="36">
        <f t="shared" si="37"/>
        <v>6.1171548117154813E-2</v>
      </c>
      <c r="AB54" s="5">
        <v>12531</v>
      </c>
      <c r="AC54" s="33">
        <f t="shared" si="0"/>
        <v>3.5876663635612135E-2</v>
      </c>
      <c r="AD54" s="5">
        <v>13616</v>
      </c>
      <c r="AE54" s="33">
        <f t="shared" si="1"/>
        <v>0.11269101904061453</v>
      </c>
      <c r="AF54" s="33">
        <f t="shared" si="38"/>
        <v>8.6585268534035587E-2</v>
      </c>
    </row>
    <row r="55" spans="1:34" s="10" customFormat="1" x14ac:dyDescent="0.4">
      <c r="A55" s="14" t="s">
        <v>79</v>
      </c>
      <c r="B55" s="10">
        <f>SUM(B51:B54)</f>
        <v>31615</v>
      </c>
      <c r="C55" s="10">
        <f t="shared" ref="C55:AD55" si="39">SUM(C51:C54)</f>
        <v>32329</v>
      </c>
      <c r="D55" s="10">
        <f t="shared" si="39"/>
        <v>34167</v>
      </c>
      <c r="E55" s="10">
        <f t="shared" si="39"/>
        <v>37930</v>
      </c>
      <c r="F55" s="10">
        <f t="shared" si="39"/>
        <v>38607</v>
      </c>
      <c r="G55" s="10">
        <f t="shared" si="39"/>
        <v>38214</v>
      </c>
      <c r="H55" s="10">
        <f t="shared" si="39"/>
        <v>39209</v>
      </c>
      <c r="I55" s="10">
        <f t="shared" si="39"/>
        <v>44868</v>
      </c>
      <c r="J55" s="10">
        <f t="shared" si="39"/>
        <v>41057</v>
      </c>
      <c r="K55" s="10">
        <f t="shared" si="39"/>
        <v>38886</v>
      </c>
      <c r="L55" s="10">
        <f t="shared" si="39"/>
        <v>36185</v>
      </c>
      <c r="M55" s="10">
        <f t="shared" si="39"/>
        <v>39660</v>
      </c>
      <c r="N55" s="10">
        <f t="shared" si="39"/>
        <v>38730</v>
      </c>
      <c r="O55" s="10">
        <f t="shared" si="39"/>
        <v>40078</v>
      </c>
      <c r="P55" s="10">
        <f t="shared" si="39"/>
        <v>41358</v>
      </c>
      <c r="Q55" s="10">
        <f t="shared" si="39"/>
        <v>47160</v>
      </c>
      <c r="R55" s="10">
        <f t="shared" si="39"/>
        <v>46585</v>
      </c>
      <c r="S55" s="10">
        <f t="shared" si="39"/>
        <v>49224</v>
      </c>
      <c r="T55" s="10">
        <f t="shared" si="39"/>
        <v>53141</v>
      </c>
      <c r="U55" s="10">
        <f t="shared" si="39"/>
        <v>50171</v>
      </c>
      <c r="V55" s="10">
        <f t="shared" si="39"/>
        <v>47768</v>
      </c>
      <c r="W55" s="10">
        <f t="shared" si="39"/>
        <v>51404</v>
      </c>
      <c r="X55" s="33">
        <f t="shared" si="10"/>
        <v>4.4287339509182511E-2</v>
      </c>
      <c r="Y55" s="10">
        <f t="shared" si="39"/>
        <v>55677</v>
      </c>
      <c r="Z55" s="33">
        <f t="shared" si="36"/>
        <v>8.3125826783907869E-2</v>
      </c>
      <c r="AA55" s="36">
        <f t="shared" si="37"/>
        <v>4.772209781524623E-2</v>
      </c>
      <c r="AB55" s="10">
        <f t="shared" si="39"/>
        <v>53223</v>
      </c>
      <c r="AC55" s="33">
        <f t="shared" si="0"/>
        <v>6.0831954714875125E-2</v>
      </c>
      <c r="AD55" s="10">
        <f t="shared" si="39"/>
        <v>53631</v>
      </c>
      <c r="AE55" s="33">
        <f t="shared" si="1"/>
        <v>0.12273907218221404</v>
      </c>
      <c r="AF55" s="33">
        <f t="shared" si="38"/>
        <v>7.6658587452792968E-3</v>
      </c>
      <c r="AG55" s="10">
        <f t="shared" ref="AF55:AH55" si="40">SUM(AG51:AG54)</f>
        <v>0</v>
      </c>
      <c r="AH55" s="10">
        <f t="shared" si="40"/>
        <v>0</v>
      </c>
    </row>
    <row r="56" spans="1:34" x14ac:dyDescent="0.35">
      <c r="A56" s="8" t="s">
        <v>57</v>
      </c>
      <c r="B56" s="5">
        <v>112734</v>
      </c>
      <c r="C56" s="5">
        <v>109174</v>
      </c>
      <c r="D56" s="5">
        <v>106440</v>
      </c>
      <c r="E56" s="5">
        <v>105873</v>
      </c>
      <c r="F56" s="5">
        <v>105045</v>
      </c>
      <c r="G56" s="5">
        <v>104598</v>
      </c>
      <c r="H56" s="5">
        <v>101769</v>
      </c>
      <c r="I56" s="5">
        <v>100712</v>
      </c>
      <c r="J56" s="5">
        <v>106561</v>
      </c>
      <c r="K56" s="5">
        <v>106190</v>
      </c>
      <c r="L56" s="5">
        <v>109790</v>
      </c>
      <c r="M56" s="5">
        <v>123173</v>
      </c>
      <c r="N56" s="5">
        <v>149700</v>
      </c>
      <c r="O56" s="5">
        <v>144894</v>
      </c>
      <c r="P56" s="5">
        <v>143352</v>
      </c>
      <c r="Q56" s="5">
        <v>143425</v>
      </c>
      <c r="R56" s="5">
        <v>139961</v>
      </c>
      <c r="S56" s="5">
        <v>136184</v>
      </c>
      <c r="T56" s="5">
        <v>132912</v>
      </c>
      <c r="U56" s="5">
        <v>140676</v>
      </c>
      <c r="V56" s="5">
        <v>140772</v>
      </c>
      <c r="W56" s="5">
        <v>137871</v>
      </c>
      <c r="X56" s="33">
        <f t="shared" si="10"/>
        <v>1.2387652000234976E-2</v>
      </c>
      <c r="Y56" s="5">
        <v>134441</v>
      </c>
      <c r="Z56" s="33">
        <f t="shared" si="36"/>
        <v>-2.4878328292389264E-2</v>
      </c>
      <c r="AA56" s="36">
        <f t="shared" si="37"/>
        <v>1.1503852172866258E-2</v>
      </c>
      <c r="AB56" s="5">
        <v>137701</v>
      </c>
      <c r="AC56" s="33">
        <f t="shared" si="0"/>
        <v>-2.1147885922261082E-2</v>
      </c>
      <c r="AD56" s="5">
        <v>136104</v>
      </c>
      <c r="AE56" s="33">
        <f t="shared" si="1"/>
        <v>-3.316000340976899E-2</v>
      </c>
      <c r="AF56" s="33">
        <f t="shared" si="38"/>
        <v>-1.1597591883864314E-2</v>
      </c>
    </row>
    <row r="57" spans="1:34" x14ac:dyDescent="0.35">
      <c r="A57" s="8" t="s">
        <v>58</v>
      </c>
      <c r="B57" s="5">
        <v>20689</v>
      </c>
      <c r="C57" s="5">
        <v>19955</v>
      </c>
      <c r="D57" s="5">
        <v>19660</v>
      </c>
      <c r="E57" s="5">
        <v>18599</v>
      </c>
      <c r="F57" s="5">
        <v>17888</v>
      </c>
      <c r="G57" s="5">
        <v>18040</v>
      </c>
      <c r="H57" s="5">
        <v>18236</v>
      </c>
      <c r="I57" s="5">
        <v>17952</v>
      </c>
      <c r="J57" s="5">
        <v>17617</v>
      </c>
      <c r="K57" s="5">
        <v>17821</v>
      </c>
      <c r="L57" s="5">
        <v>18756</v>
      </c>
      <c r="M57" s="5">
        <v>18657</v>
      </c>
      <c r="N57" s="5">
        <v>18252</v>
      </c>
      <c r="O57" s="5">
        <v>16713</v>
      </c>
      <c r="P57" s="5">
        <v>16516</v>
      </c>
      <c r="Q57" s="5">
        <v>15410</v>
      </c>
      <c r="R57" s="5">
        <v>15104</v>
      </c>
      <c r="S57" s="5">
        <v>15125</v>
      </c>
      <c r="T57" s="5">
        <v>15912</v>
      </c>
      <c r="U57" s="5">
        <v>12974</v>
      </c>
      <c r="V57" s="5">
        <v>12750</v>
      </c>
      <c r="W57" s="5">
        <v>12357</v>
      </c>
      <c r="X57" s="33">
        <f t="shared" si="10"/>
        <v>-0.18300826446280991</v>
      </c>
      <c r="Y57" s="5">
        <v>12226</v>
      </c>
      <c r="Z57" s="33">
        <f t="shared" si="36"/>
        <v>-1.0601278627498583E-2</v>
      </c>
      <c r="AA57" s="36">
        <f t="shared" si="37"/>
        <v>-0.23164906988436401</v>
      </c>
      <c r="AB57" s="5">
        <v>13189</v>
      </c>
      <c r="AC57" s="33">
        <f t="shared" si="0"/>
        <v>1.6571604747957453E-2</v>
      </c>
      <c r="AD57" s="5">
        <v>12805</v>
      </c>
      <c r="AE57" s="33">
        <f t="shared" si="1"/>
        <v>4.3137254901960782E-3</v>
      </c>
      <c r="AF57" s="33">
        <f t="shared" si="38"/>
        <v>-2.9115171734020773E-2</v>
      </c>
    </row>
    <row r="58" spans="1:34" x14ac:dyDescent="0.35">
      <c r="A58" s="8" t="s">
        <v>59</v>
      </c>
      <c r="B58" s="5">
        <v>34414</v>
      </c>
      <c r="C58" s="5">
        <v>35069</v>
      </c>
      <c r="D58" s="5">
        <v>35712</v>
      </c>
      <c r="E58" s="5">
        <v>33795</v>
      </c>
      <c r="F58" s="5">
        <v>34344</v>
      </c>
      <c r="G58" s="5">
        <v>35225</v>
      </c>
      <c r="H58" s="5">
        <v>34592</v>
      </c>
      <c r="I58" s="5">
        <v>34703</v>
      </c>
      <c r="J58" s="5">
        <v>33709</v>
      </c>
      <c r="K58" s="5">
        <v>33798</v>
      </c>
      <c r="L58" s="5">
        <v>34567</v>
      </c>
      <c r="M58" s="5">
        <v>35711</v>
      </c>
      <c r="N58" s="5">
        <v>36747</v>
      </c>
      <c r="O58" s="5">
        <v>37534</v>
      </c>
      <c r="P58" s="5">
        <v>38481</v>
      </c>
      <c r="Q58" s="5">
        <v>40685</v>
      </c>
      <c r="R58" s="5">
        <v>41341</v>
      </c>
      <c r="S58" s="5">
        <v>42154</v>
      </c>
      <c r="T58" s="5">
        <v>42094</v>
      </c>
      <c r="U58" s="5">
        <v>43441</v>
      </c>
      <c r="V58" s="5">
        <v>43667</v>
      </c>
      <c r="W58" s="5">
        <v>44055</v>
      </c>
      <c r="X58" s="33">
        <f t="shared" si="10"/>
        <v>4.5096550742515541E-2</v>
      </c>
      <c r="Y58" s="5">
        <v>44434</v>
      </c>
      <c r="Z58" s="33">
        <f t="shared" si="36"/>
        <v>8.6028827601861303E-3</v>
      </c>
      <c r="AA58" s="36">
        <f t="shared" si="37"/>
        <v>5.5589870290302656E-2</v>
      </c>
      <c r="AB58" s="5">
        <v>45781</v>
      </c>
      <c r="AC58" s="33">
        <f t="shared" si="0"/>
        <v>5.3866163301949772E-2</v>
      </c>
      <c r="AD58" s="5">
        <v>45980</v>
      </c>
      <c r="AE58" s="33">
        <f t="shared" si="1"/>
        <v>5.2969061304875532E-2</v>
      </c>
      <c r="AF58" s="33">
        <f t="shared" si="38"/>
        <v>4.3467814158712125E-3</v>
      </c>
    </row>
    <row r="59" spans="1:34" x14ac:dyDescent="0.35">
      <c r="A59" s="8" t="s">
        <v>63</v>
      </c>
      <c r="B59" s="5">
        <v>0</v>
      </c>
      <c r="C59" s="5">
        <v>0</v>
      </c>
      <c r="D59" s="5">
        <v>0</v>
      </c>
      <c r="E59" s="5">
        <v>0</v>
      </c>
      <c r="F59" s="5">
        <v>0</v>
      </c>
      <c r="G59" s="5">
        <v>18254</v>
      </c>
      <c r="H59" s="5">
        <v>18214</v>
      </c>
      <c r="I59" s="5">
        <v>18393</v>
      </c>
      <c r="J59" s="5">
        <v>18117</v>
      </c>
      <c r="K59" s="5">
        <v>18158</v>
      </c>
      <c r="L59" s="5">
        <v>18155</v>
      </c>
      <c r="M59" s="5">
        <v>18000</v>
      </c>
      <c r="N59" s="5">
        <v>17766</v>
      </c>
      <c r="O59" s="5">
        <v>23360</v>
      </c>
      <c r="P59" s="5">
        <v>23507</v>
      </c>
      <c r="Q59" s="5">
        <v>23203</v>
      </c>
      <c r="R59" s="5">
        <v>22932</v>
      </c>
      <c r="S59" s="5">
        <v>22597</v>
      </c>
      <c r="T59" s="5">
        <v>22175</v>
      </c>
      <c r="U59" s="5">
        <v>21558</v>
      </c>
      <c r="V59" s="5">
        <v>21303</v>
      </c>
      <c r="W59" s="5">
        <v>20745</v>
      </c>
      <c r="X59" s="33">
        <f t="shared" si="10"/>
        <v>-8.1957782006461033E-2</v>
      </c>
      <c r="Y59" s="5">
        <v>20773</v>
      </c>
      <c r="Z59" s="33">
        <f t="shared" si="36"/>
        <v>1.3497228247770546E-3</v>
      </c>
      <c r="AA59" s="36">
        <f t="shared" si="37"/>
        <v>-6.3224351747463353E-2</v>
      </c>
      <c r="AB59" s="5">
        <v>20002</v>
      </c>
      <c r="AC59" s="33">
        <f t="shared" si="0"/>
        <v>-7.2177381946377211E-2</v>
      </c>
      <c r="AD59" s="5">
        <v>19654</v>
      </c>
      <c r="AE59" s="33">
        <f t="shared" si="1"/>
        <v>-7.7406937989954461E-2</v>
      </c>
      <c r="AF59" s="33">
        <f t="shared" si="38"/>
        <v>-1.7398260173982601E-2</v>
      </c>
    </row>
    <row r="60" spans="1:34" x14ac:dyDescent="0.35">
      <c r="A60" s="8" t="s">
        <v>60</v>
      </c>
      <c r="B60" s="5">
        <v>12719</v>
      </c>
      <c r="C60" s="5">
        <v>13201</v>
      </c>
      <c r="D60" s="5">
        <v>13496</v>
      </c>
      <c r="E60" s="5">
        <v>13922</v>
      </c>
      <c r="F60" s="5">
        <v>18971</v>
      </c>
      <c r="G60" s="5">
        <v>11830</v>
      </c>
      <c r="H60" s="5">
        <v>12543</v>
      </c>
      <c r="I60" s="5">
        <v>12264</v>
      </c>
      <c r="J60" s="5">
        <v>15786</v>
      </c>
      <c r="K60" s="5">
        <v>14293</v>
      </c>
      <c r="L60" s="5">
        <v>13011</v>
      </c>
      <c r="M60" s="5">
        <v>12008</v>
      </c>
      <c r="N60" s="5">
        <v>11695</v>
      </c>
      <c r="O60" s="5">
        <v>11499</v>
      </c>
      <c r="P60" s="5">
        <v>11754</v>
      </c>
      <c r="Q60" s="5">
        <v>13513</v>
      </c>
      <c r="R60" s="5">
        <v>14618</v>
      </c>
      <c r="S60" s="5">
        <v>17506</v>
      </c>
      <c r="T60" s="5">
        <v>20073</v>
      </c>
      <c r="U60" s="5">
        <v>18397</v>
      </c>
      <c r="V60" s="5">
        <v>17237</v>
      </c>
      <c r="W60" s="5">
        <v>17021</v>
      </c>
      <c r="X60" s="33">
        <f t="shared" si="10"/>
        <v>-2.770478693019536E-2</v>
      </c>
      <c r="Y60" s="5">
        <v>18191</v>
      </c>
      <c r="Z60" s="33">
        <f t="shared" si="36"/>
        <v>6.8738617002526287E-2</v>
      </c>
      <c r="AA60" s="36">
        <f t="shared" si="37"/>
        <v>-9.3757784088078513E-2</v>
      </c>
      <c r="AB60" s="5">
        <v>16560</v>
      </c>
      <c r="AC60" s="33">
        <f t="shared" si="0"/>
        <v>-9.985323694080557E-2</v>
      </c>
      <c r="AD60" s="5">
        <v>16258</v>
      </c>
      <c r="AE60" s="33">
        <f t="shared" si="1"/>
        <v>-5.679642629227824E-2</v>
      </c>
      <c r="AF60" s="33">
        <f t="shared" si="38"/>
        <v>-1.8236714975845409E-2</v>
      </c>
    </row>
    <row r="61" spans="1:34" s="10" customFormat="1" x14ac:dyDescent="0.4">
      <c r="A61" s="14" t="s">
        <v>67</v>
      </c>
      <c r="B61" s="10">
        <f>SUM(B55:B60)</f>
        <v>212171</v>
      </c>
      <c r="C61" s="10">
        <f t="shared" ref="C61:AD61" si="41">SUM(C55:C60)</f>
        <v>209728</v>
      </c>
      <c r="D61" s="10">
        <f t="shared" si="41"/>
        <v>209475</v>
      </c>
      <c r="E61" s="10">
        <f t="shared" si="41"/>
        <v>210119</v>
      </c>
      <c r="F61" s="10">
        <f t="shared" si="41"/>
        <v>214855</v>
      </c>
      <c r="G61" s="10">
        <f t="shared" si="41"/>
        <v>226161</v>
      </c>
      <c r="H61" s="10">
        <f t="shared" si="41"/>
        <v>224563</v>
      </c>
      <c r="I61" s="10">
        <f t="shared" si="41"/>
        <v>228892</v>
      </c>
      <c r="J61" s="10">
        <f t="shared" si="41"/>
        <v>232847</v>
      </c>
      <c r="K61" s="10">
        <f t="shared" si="41"/>
        <v>229146</v>
      </c>
      <c r="L61" s="10">
        <f t="shared" si="41"/>
        <v>230464</v>
      </c>
      <c r="M61" s="10">
        <f t="shared" si="41"/>
        <v>247209</v>
      </c>
      <c r="N61" s="10">
        <f t="shared" si="41"/>
        <v>272890</v>
      </c>
      <c r="O61" s="10">
        <f t="shared" si="41"/>
        <v>274078</v>
      </c>
      <c r="P61" s="10">
        <f t="shared" si="41"/>
        <v>274968</v>
      </c>
      <c r="Q61" s="10">
        <f t="shared" si="41"/>
        <v>283396</v>
      </c>
      <c r="R61" s="10">
        <f t="shared" si="41"/>
        <v>280541</v>
      </c>
      <c r="S61" s="10">
        <f t="shared" si="41"/>
        <v>282790</v>
      </c>
      <c r="T61" s="10">
        <f t="shared" si="41"/>
        <v>286307</v>
      </c>
      <c r="U61" s="10">
        <f t="shared" si="41"/>
        <v>287217</v>
      </c>
      <c r="V61" s="10">
        <f t="shared" si="41"/>
        <v>283497</v>
      </c>
      <c r="W61" s="10">
        <f t="shared" si="41"/>
        <v>283453</v>
      </c>
      <c r="X61" s="33">
        <f t="shared" si="10"/>
        <v>2.3444959156971603E-3</v>
      </c>
      <c r="Y61" s="10">
        <f t="shared" si="41"/>
        <v>285742</v>
      </c>
      <c r="Z61" s="33">
        <f t="shared" si="36"/>
        <v>8.0754128550412241E-3</v>
      </c>
      <c r="AA61" s="36">
        <f t="shared" si="37"/>
        <v>-1.9734061689026115E-3</v>
      </c>
      <c r="AB61" s="10">
        <f t="shared" si="41"/>
        <v>286456</v>
      </c>
      <c r="AC61" s="33">
        <f t="shared" si="0"/>
        <v>-2.6495646149078921E-3</v>
      </c>
      <c r="AD61" s="10">
        <f t="shared" si="41"/>
        <v>284432</v>
      </c>
      <c r="AE61" s="33">
        <f t="shared" si="1"/>
        <v>3.2980948652013954E-3</v>
      </c>
      <c r="AF61" s="33">
        <f t="shared" si="38"/>
        <v>-7.0656575529924317E-3</v>
      </c>
      <c r="AG61" s="10">
        <f t="shared" ref="AF61:AH61" si="42">SUM(AG55:AG60)</f>
        <v>0</v>
      </c>
      <c r="AH61" s="10">
        <f t="shared" si="42"/>
        <v>0</v>
      </c>
    </row>
    <row r="62" spans="1:34" x14ac:dyDescent="0.35">
      <c r="X62" s="33"/>
      <c r="Z62" s="33"/>
      <c r="AA62" s="36"/>
      <c r="AC62" s="33"/>
      <c r="AE62" s="33"/>
      <c r="AF62" s="33"/>
    </row>
    <row r="63" spans="1:34" s="10" customFormat="1" x14ac:dyDescent="0.4">
      <c r="A63" s="9" t="s">
        <v>66</v>
      </c>
      <c r="B63" s="10">
        <f t="shared" ref="B63:U63" si="43">B47-B61</f>
        <v>52345</v>
      </c>
      <c r="C63" s="10">
        <f t="shared" si="43"/>
        <v>53575</v>
      </c>
      <c r="D63" s="10">
        <f t="shared" si="43"/>
        <v>56087</v>
      </c>
      <c r="E63" s="10">
        <f t="shared" si="43"/>
        <v>54710</v>
      </c>
      <c r="F63" s="10">
        <f t="shared" si="43"/>
        <v>69092</v>
      </c>
      <c r="G63" s="10">
        <f t="shared" si="43"/>
        <v>56947</v>
      </c>
      <c r="H63" s="10">
        <f t="shared" si="43"/>
        <v>60312</v>
      </c>
      <c r="I63" s="10">
        <f t="shared" si="43"/>
        <v>62835</v>
      </c>
      <c r="J63" s="10">
        <f t="shared" si="43"/>
        <v>61653</v>
      </c>
      <c r="K63" s="10">
        <f t="shared" si="43"/>
        <v>64113</v>
      </c>
      <c r="L63" s="10">
        <f t="shared" si="43"/>
        <v>66530</v>
      </c>
      <c r="M63" s="10">
        <f t="shared" si="43"/>
        <v>69272</v>
      </c>
      <c r="N63" s="10">
        <f t="shared" si="43"/>
        <v>72683</v>
      </c>
      <c r="O63" s="10">
        <f t="shared" si="43"/>
        <v>75112</v>
      </c>
      <c r="P63" s="10">
        <f t="shared" si="43"/>
        <v>78489</v>
      </c>
      <c r="Q63" s="10">
        <f t="shared" si="43"/>
        <v>83200</v>
      </c>
      <c r="R63" s="10">
        <f t="shared" si="43"/>
        <v>85175</v>
      </c>
      <c r="S63" s="10">
        <f t="shared" si="43"/>
        <v>87357</v>
      </c>
      <c r="T63" s="10">
        <f t="shared" si="43"/>
        <v>88783</v>
      </c>
      <c r="U63" s="10">
        <f t="shared" si="43"/>
        <v>92463</v>
      </c>
      <c r="V63" s="10">
        <f>V47-V61</f>
        <v>94219</v>
      </c>
      <c r="W63" s="10">
        <f t="shared" ref="W63:AD63" si="44">W47-W61</f>
        <v>96502</v>
      </c>
      <c r="X63" s="33">
        <f t="shared" si="10"/>
        <v>0.10468537152145793</v>
      </c>
      <c r="Y63" s="10">
        <f t="shared" si="44"/>
        <v>99088</v>
      </c>
      <c r="Z63" s="33">
        <f>(Y63-W63)/W63</f>
        <v>2.6797372075190153E-2</v>
      </c>
      <c r="AA63" s="36">
        <f t="shared" ref="AA63:AA68" si="45">(Y63-T63)/T63</f>
        <v>0.11606951781309485</v>
      </c>
      <c r="AB63" s="10">
        <f t="shared" si="44"/>
        <v>93799</v>
      </c>
      <c r="AC63" s="33">
        <f t="shared" si="0"/>
        <v>1.4449022852384197E-2</v>
      </c>
      <c r="AD63" s="10">
        <f t="shared" si="44"/>
        <v>95726</v>
      </c>
      <c r="AE63" s="33">
        <f t="shared" si="1"/>
        <v>1.5994650760462328E-2</v>
      </c>
      <c r="AF63" s="33">
        <f t="shared" ref="AF63:AF68" si="46">(AD63-AB63)/AB63</f>
        <v>2.0543929039755222E-2</v>
      </c>
      <c r="AG63" s="10">
        <f t="shared" ref="AF63:AH63" si="47">AG47-AG61</f>
        <v>0</v>
      </c>
      <c r="AH63" s="10">
        <f t="shared" si="47"/>
        <v>0</v>
      </c>
    </row>
    <row r="64" spans="1:34" s="27" customFormat="1" x14ac:dyDescent="0.35">
      <c r="A64" s="21" t="s">
        <v>80</v>
      </c>
      <c r="B64" s="27">
        <f t="shared" ref="B64:V64" si="48">B7-B8+B9</f>
        <v>313530.74</v>
      </c>
      <c r="C64" s="27">
        <f t="shared" si="48"/>
        <v>321123.08999999997</v>
      </c>
      <c r="D64" s="27">
        <f t="shared" si="48"/>
        <v>331438.59999999998</v>
      </c>
      <c r="E64" s="27">
        <f t="shared" si="48"/>
        <v>342619.04000000004</v>
      </c>
      <c r="F64" s="27">
        <f t="shared" si="48"/>
        <v>356135.2</v>
      </c>
      <c r="G64" s="27">
        <f t="shared" si="48"/>
        <v>347883.07</v>
      </c>
      <c r="H64" s="27">
        <f t="shared" si="48"/>
        <v>356469.4</v>
      </c>
      <c r="I64" s="27">
        <f t="shared" si="48"/>
        <v>363091</v>
      </c>
      <c r="J64" s="27">
        <f t="shared" si="48"/>
        <v>333184.93</v>
      </c>
      <c r="K64" s="27">
        <f t="shared" si="48"/>
        <v>333252.33</v>
      </c>
      <c r="L64" s="27">
        <f t="shared" si="48"/>
        <v>352984.58</v>
      </c>
      <c r="M64" s="27">
        <f t="shared" si="48"/>
        <v>350233.5</v>
      </c>
      <c r="N64" s="27">
        <f t="shared" si="48"/>
        <v>343664.3</v>
      </c>
      <c r="O64" s="27">
        <f t="shared" si="48"/>
        <v>333482.29000000004</v>
      </c>
      <c r="P64" s="27">
        <f t="shared" si="48"/>
        <v>364856.44</v>
      </c>
      <c r="Q64" s="27">
        <f t="shared" si="48"/>
        <v>363581</v>
      </c>
      <c r="R64" s="27">
        <f t="shared" si="48"/>
        <v>365770.88</v>
      </c>
      <c r="S64" s="27">
        <f t="shared" si="48"/>
        <v>360451.5</v>
      </c>
      <c r="T64" s="27">
        <f t="shared" si="48"/>
        <v>305450.88</v>
      </c>
      <c r="U64" s="27">
        <f t="shared" si="48"/>
        <v>313671.59999999998</v>
      </c>
      <c r="V64" s="27">
        <f t="shared" si="48"/>
        <v>314384.79000000004</v>
      </c>
      <c r="W64" s="27">
        <f>W7-W8+W9</f>
        <v>293243.5</v>
      </c>
      <c r="X64" s="33">
        <f t="shared" si="10"/>
        <v>-0.1864550431888895</v>
      </c>
      <c r="Y64" s="27">
        <f t="shared" ref="Y64:AD64" si="49">Y7-Y8+Y9</f>
        <v>279821.56</v>
      </c>
      <c r="Z64" s="33">
        <f>(Y64-W64)/W64</f>
        <v>-4.5770630892074345E-2</v>
      </c>
      <c r="AA64" s="36">
        <f t="shared" si="45"/>
        <v>-8.3906518782987327E-2</v>
      </c>
      <c r="AB64" s="27">
        <f t="shared" si="49"/>
        <v>307476.80000000005</v>
      </c>
      <c r="AC64" s="33">
        <f t="shared" si="0"/>
        <v>-1.9749317439002864E-2</v>
      </c>
      <c r="AD64" s="27">
        <f t="shared" si="49"/>
        <v>326362.23999999999</v>
      </c>
      <c r="AE64" s="33">
        <f t="shared" si="1"/>
        <v>3.8098058115343149E-2</v>
      </c>
      <c r="AF64" s="33">
        <f t="shared" si="46"/>
        <v>6.1420699057619765E-2</v>
      </c>
      <c r="AG64" s="27">
        <f t="shared" ref="AF64:AH64" si="50">AG7-AG8+AG9</f>
        <v>0</v>
      </c>
      <c r="AH64" s="27">
        <f t="shared" si="50"/>
        <v>0</v>
      </c>
    </row>
    <row r="65" spans="1:34" s="27" customFormat="1" x14ac:dyDescent="0.35">
      <c r="A65" s="21" t="s">
        <v>81</v>
      </c>
      <c r="B65" s="32">
        <f t="shared" ref="B65:V65" si="51">B30/B6</f>
        <v>1.1361090820550279</v>
      </c>
      <c r="C65" s="32">
        <f t="shared" si="51"/>
        <v>1.0258516549891279</v>
      </c>
      <c r="D65" s="32">
        <f t="shared" si="51"/>
        <v>1.2227053140096618</v>
      </c>
      <c r="E65" s="32">
        <f t="shared" si="51"/>
        <v>0.49975798644724106</v>
      </c>
      <c r="F65" s="32">
        <f t="shared" si="51"/>
        <v>1.2463768115942029</v>
      </c>
      <c r="G65" s="32">
        <f t="shared" si="51"/>
        <v>0.9842957236047355</v>
      </c>
      <c r="H65" s="32">
        <f t="shared" si="51"/>
        <v>1.2891304347826087</v>
      </c>
      <c r="I65" s="32">
        <f t="shared" si="51"/>
        <v>1.260144927536232</v>
      </c>
      <c r="J65" s="32">
        <f t="shared" si="51"/>
        <v>1.0352571842550109</v>
      </c>
      <c r="K65" s="32">
        <f t="shared" si="51"/>
        <v>1.1685583192465587</v>
      </c>
      <c r="L65" s="32">
        <f t="shared" si="51"/>
        <v>1.0873973925639788</v>
      </c>
      <c r="M65" s="32">
        <f t="shared" si="51"/>
        <v>1.1390632544664414</v>
      </c>
      <c r="N65" s="32">
        <f t="shared" si="51"/>
        <v>1.2984065668759053</v>
      </c>
      <c r="O65" s="32">
        <f t="shared" si="51"/>
        <v>1.4359160028964519</v>
      </c>
      <c r="P65" s="32">
        <f t="shared" si="51"/>
        <v>1.5815637065637065</v>
      </c>
      <c r="Q65" s="32">
        <f t="shared" si="51"/>
        <v>1.1414457831325302</v>
      </c>
      <c r="R65" s="32">
        <f t="shared" si="51"/>
        <v>1.121132793907663</v>
      </c>
      <c r="S65" s="32">
        <f t="shared" si="51"/>
        <v>1.2648738695859114</v>
      </c>
      <c r="T65" s="32">
        <f t="shared" si="51"/>
        <v>1.1950523311132255</v>
      </c>
      <c r="U65" s="32">
        <f t="shared" si="51"/>
        <v>1.593244529019981</v>
      </c>
      <c r="V65" s="32">
        <f t="shared" si="51"/>
        <v>1.1916409403942056</v>
      </c>
      <c r="W65" s="32">
        <f>W30/W6</f>
        <v>1.1312603845240921</v>
      </c>
      <c r="X65" s="33" t="s">
        <v>83</v>
      </c>
      <c r="Y65" s="32">
        <f t="shared" ref="Y65:AD65" si="52">Y30/Y6</f>
        <v>1.1584440227703985</v>
      </c>
      <c r="Z65" s="33">
        <f>(Y65-W65)/W65</f>
        <v>2.4029514882855433E-2</v>
      </c>
      <c r="AA65" s="36">
        <f t="shared" si="45"/>
        <v>-3.0633226169037579E-2</v>
      </c>
      <c r="AB65" s="32">
        <f t="shared" si="52"/>
        <v>-0.61058376839107731</v>
      </c>
      <c r="AC65" s="33">
        <f t="shared" si="0"/>
        <v>-1.3832329295783947</v>
      </c>
      <c r="AD65" s="32">
        <f t="shared" si="52"/>
        <v>1.119222564588765</v>
      </c>
      <c r="AE65" s="33">
        <f t="shared" si="1"/>
        <v>-6.0771976986191814E-2</v>
      </c>
      <c r="AF65" s="33">
        <f t="shared" si="46"/>
        <v>-2.8330368780322801</v>
      </c>
      <c r="AG65" s="32" t="e">
        <f t="shared" ref="AF65:AH65" si="53">AG30/AG6</f>
        <v>#DIV/0!</v>
      </c>
      <c r="AH65" s="32" t="e">
        <f t="shared" si="53"/>
        <v>#DIV/0!</v>
      </c>
    </row>
    <row r="66" spans="1:34" s="27" customFormat="1" x14ac:dyDescent="0.35">
      <c r="A66" s="21" t="s">
        <v>68</v>
      </c>
      <c r="B66" s="31">
        <f t="shared" ref="B66:V66" si="54">B61/B63</f>
        <v>4.0533193237176421</v>
      </c>
      <c r="C66" s="31">
        <f t="shared" si="54"/>
        <v>3.9146616892207184</v>
      </c>
      <c r="D66" s="31">
        <f t="shared" si="54"/>
        <v>3.7348226861839642</v>
      </c>
      <c r="E66" s="31">
        <f t="shared" si="54"/>
        <v>3.8405958691281303</v>
      </c>
      <c r="F66" s="31">
        <f t="shared" si="54"/>
        <v>3.1096943206159904</v>
      </c>
      <c r="G66" s="31">
        <f t="shared" si="54"/>
        <v>3.9714295748678596</v>
      </c>
      <c r="H66" s="31">
        <f t="shared" si="54"/>
        <v>3.723355219525136</v>
      </c>
      <c r="I66" s="31">
        <f t="shared" si="54"/>
        <v>3.6427468767406701</v>
      </c>
      <c r="J66" s="31">
        <f t="shared" si="54"/>
        <v>3.7767343032780238</v>
      </c>
      <c r="K66" s="31">
        <f t="shared" si="54"/>
        <v>3.5740957372139817</v>
      </c>
      <c r="L66" s="31">
        <f t="shared" si="54"/>
        <v>3.4640613257177213</v>
      </c>
      <c r="M66" s="31">
        <f t="shared" si="54"/>
        <v>3.5686713246333297</v>
      </c>
      <c r="N66" s="31">
        <f t="shared" si="54"/>
        <v>3.7545230659163766</v>
      </c>
      <c r="O66" s="31">
        <f t="shared" si="54"/>
        <v>3.6489242730855258</v>
      </c>
      <c r="P66" s="31">
        <f t="shared" si="54"/>
        <v>3.5032679738562091</v>
      </c>
      <c r="Q66" s="31">
        <f t="shared" si="54"/>
        <v>3.4062019230769232</v>
      </c>
      <c r="R66" s="31">
        <f t="shared" si="54"/>
        <v>3.2937012034047548</v>
      </c>
      <c r="S66" s="31">
        <f t="shared" si="54"/>
        <v>3.2371761850796159</v>
      </c>
      <c r="T66" s="31">
        <f t="shared" si="54"/>
        <v>3.2247952873860988</v>
      </c>
      <c r="U66" s="31">
        <f t="shared" si="54"/>
        <v>3.1062911651146945</v>
      </c>
      <c r="V66" s="31">
        <f t="shared" si="54"/>
        <v>3.0089153992294548</v>
      </c>
      <c r="W66" s="31">
        <f t="shared" ref="W66:AD66" si="55">W61/W63</f>
        <v>2.937275911380075</v>
      </c>
      <c r="X66" s="33">
        <f t="shared" si="10"/>
        <v>-9.264255528685876E-2</v>
      </c>
      <c r="Y66" s="31">
        <f t="shared" si="55"/>
        <v>2.8837195220410141</v>
      </c>
      <c r="Z66" s="33">
        <f>(Y66-W66)/W66</f>
        <v>-1.8233353268436239E-2</v>
      </c>
      <c r="AA66" s="36">
        <f t="shared" si="45"/>
        <v>-0.10576664096453335</v>
      </c>
      <c r="AB66" s="31">
        <f t="shared" si="55"/>
        <v>3.0539344769133998</v>
      </c>
      <c r="AC66" s="33">
        <f t="shared" si="0"/>
        <v>-1.6855048486532173E-2</v>
      </c>
      <c r="AD66" s="31">
        <f t="shared" si="55"/>
        <v>2.9713139585901427</v>
      </c>
      <c r="AE66" s="33">
        <f t="shared" si="1"/>
        <v>-1.2496675928123934E-2</v>
      </c>
      <c r="AF66" s="33">
        <f t="shared" si="46"/>
        <v>-2.705379534100593E-2</v>
      </c>
      <c r="AG66" s="31" t="e">
        <f t="shared" ref="AF66:AH66" si="56">AG61/AG63</f>
        <v>#DIV/0!</v>
      </c>
      <c r="AH66" s="31" t="e">
        <f t="shared" si="56"/>
        <v>#DIV/0!</v>
      </c>
    </row>
    <row r="67" spans="1:34" s="27" customFormat="1" x14ac:dyDescent="0.35">
      <c r="A67" s="21" t="s">
        <v>69</v>
      </c>
      <c r="B67" s="41">
        <f t="shared" ref="B67:V67" si="57">B24/B14</f>
        <v>0.23130429308825382</v>
      </c>
      <c r="C67" s="41">
        <f t="shared" si="57"/>
        <v>0.20547775052013786</v>
      </c>
      <c r="D67" s="41">
        <f t="shared" si="57"/>
        <v>0.23537890636979789</v>
      </c>
      <c r="E67" s="41">
        <f t="shared" si="57"/>
        <v>1.8581721653394008E-2</v>
      </c>
      <c r="F67" s="41">
        <f t="shared" si="57"/>
        <v>0.2399464641434263</v>
      </c>
      <c r="G67" s="41">
        <f t="shared" si="57"/>
        <v>0.24476941785413614</v>
      </c>
      <c r="H67" s="41">
        <f t="shared" si="57"/>
        <v>0.24867757037757646</v>
      </c>
      <c r="I67" s="41">
        <f t="shared" si="57"/>
        <v>0.19091301222142343</v>
      </c>
      <c r="J67" s="41">
        <f t="shared" si="57"/>
        <v>0.20813033850047452</v>
      </c>
      <c r="K67" s="41">
        <f t="shared" si="57"/>
        <v>0.24176437744276941</v>
      </c>
      <c r="L67" s="41">
        <f t="shared" si="57"/>
        <v>0.24341375265510573</v>
      </c>
      <c r="M67" s="41">
        <f t="shared" si="57"/>
        <v>0.20696414158883891</v>
      </c>
      <c r="N67" s="41">
        <f t="shared" si="57"/>
        <v>0.23640733866796482</v>
      </c>
      <c r="O67" s="41">
        <f t="shared" si="57"/>
        <v>0.24182561307901906</v>
      </c>
      <c r="P67" s="41">
        <f t="shared" si="57"/>
        <v>0.27054534406805408</v>
      </c>
      <c r="Q67" s="41">
        <f t="shared" si="57"/>
        <v>0.22332462500366923</v>
      </c>
      <c r="R67" s="41">
        <f t="shared" si="57"/>
        <v>0.23234189664421528</v>
      </c>
      <c r="S67" s="41">
        <f t="shared" si="57"/>
        <v>0.2235046908757288</v>
      </c>
      <c r="T67" s="41">
        <f t="shared" si="57"/>
        <v>0.2305423322916971</v>
      </c>
      <c r="U67" s="41">
        <f t="shared" si="57"/>
        <v>0.20495872457518935</v>
      </c>
      <c r="V67" s="41">
        <f t="shared" si="57"/>
        <v>0.23043266893534273</v>
      </c>
      <c r="W67" s="41">
        <f t="shared" ref="W67:AD67" si="58">W24/W14</f>
        <v>0.2214995704994478</v>
      </c>
      <c r="X67" s="33">
        <f t="shared" si="10"/>
        <v>-8.9712675310062093E-3</v>
      </c>
      <c r="Y67" s="41">
        <f t="shared" si="58"/>
        <v>0.22417206623470123</v>
      </c>
      <c r="Z67" s="33">
        <f>(Y67-W67)/W67</f>
        <v>1.2065466895612336E-2</v>
      </c>
      <c r="AA67" s="36">
        <f t="shared" si="45"/>
        <v>-2.7631654428375403E-2</v>
      </c>
      <c r="AB67" s="41">
        <f t="shared" si="58"/>
        <v>1.7079419299743808E-2</v>
      </c>
      <c r="AC67" s="33">
        <f t="shared" si="0"/>
        <v>-0.91666898135151986</v>
      </c>
      <c r="AD67" s="41">
        <f t="shared" si="58"/>
        <v>0.22804038688942119</v>
      </c>
      <c r="AE67" s="33">
        <f t="shared" si="1"/>
        <v>-1.0381696557933771E-2</v>
      </c>
      <c r="AF67" s="33">
        <f t="shared" si="46"/>
        <v>12.351764652375612</v>
      </c>
      <c r="AG67" s="41" t="e">
        <f t="shared" ref="AF67:AH67" si="59">AG24/AG14</f>
        <v>#DIV/0!</v>
      </c>
      <c r="AH67" s="41" t="e">
        <f t="shared" si="59"/>
        <v>#DIV/0!</v>
      </c>
    </row>
    <row r="68" spans="1:34" s="27" customFormat="1" x14ac:dyDescent="0.35">
      <c r="A68" s="21" t="s">
        <v>86</v>
      </c>
      <c r="B68" s="41">
        <f>B30/B14</f>
        <v>0.14685886944479415</v>
      </c>
      <c r="C68" s="41">
        <f t="shared" ref="C68:AD68" si="60">C30/C14</f>
        <v>0.1318510697761078</v>
      </c>
      <c r="D68" s="41">
        <f t="shared" si="60"/>
        <v>0.1552427392891097</v>
      </c>
      <c r="E68" s="41">
        <f t="shared" si="60"/>
        <v>6.0237449315947607E-2</v>
      </c>
      <c r="F68" s="41">
        <f t="shared" si="60"/>
        <v>0.16060756972111553</v>
      </c>
      <c r="G68" s="41">
        <f t="shared" si="60"/>
        <v>0.12703065074366249</v>
      </c>
      <c r="H68" s="41">
        <f t="shared" si="60"/>
        <v>0.16224843436492978</v>
      </c>
      <c r="I68" s="41">
        <f t="shared" si="60"/>
        <v>0.15002156721782889</v>
      </c>
      <c r="J68" s="41">
        <f t="shared" si="60"/>
        <v>0.13562163872192345</v>
      </c>
      <c r="K68" s="41">
        <f t="shared" si="60"/>
        <v>0.15893191447433244</v>
      </c>
      <c r="L68" s="41">
        <f t="shared" si="60"/>
        <v>0.1427892083822084</v>
      </c>
      <c r="M68" s="41">
        <f t="shared" si="60"/>
        <v>0.13599677158999193</v>
      </c>
      <c r="N68" s="41">
        <f t="shared" si="60"/>
        <v>0.16362917211792985</v>
      </c>
      <c r="O68" s="41">
        <f t="shared" si="60"/>
        <v>0.17619357895983889</v>
      </c>
      <c r="P68" s="41">
        <f t="shared" si="60"/>
        <v>0.19911894273127753</v>
      </c>
      <c r="Q68" s="41">
        <f t="shared" si="60"/>
        <v>0.13904952006340446</v>
      </c>
      <c r="R68" s="41">
        <f t="shared" si="60"/>
        <v>0.14040054836979199</v>
      </c>
      <c r="S68" s="41">
        <f t="shared" si="60"/>
        <v>0.15729971292432449</v>
      </c>
      <c r="T68" s="41">
        <f t="shared" si="60"/>
        <v>0.14672468677900763</v>
      </c>
      <c r="U68" s="41">
        <f t="shared" si="60"/>
        <v>0.19000879407676377</v>
      </c>
      <c r="V68" s="41">
        <f t="shared" si="60"/>
        <v>0.15246718522119593</v>
      </c>
      <c r="W68" s="41">
        <f t="shared" si="60"/>
        <v>0.14621425941833355</v>
      </c>
      <c r="X68" s="41">
        <f t="shared" si="60"/>
        <v>2.925526057852367</v>
      </c>
      <c r="Y68" s="41">
        <f t="shared" si="60"/>
        <v>0.14650827933765298</v>
      </c>
      <c r="Z68" s="33">
        <f t="shared" ref="Z68" si="61">(Y68-W68)/W68</f>
        <v>2.0108840306622376E-3</v>
      </c>
      <c r="AA68" s="36">
        <f t="shared" si="45"/>
        <v>-1.4749218151720817E-3</v>
      </c>
      <c r="AB68" s="41">
        <f t="shared" si="60"/>
        <v>-7.3242243097068033E-2</v>
      </c>
      <c r="AC68" s="33">
        <f t="shared" si="0"/>
        <v>-1.3854676487630255</v>
      </c>
      <c r="AD68" s="41">
        <f t="shared" si="60"/>
        <v>0.14317334222734301</v>
      </c>
      <c r="AE68" s="33">
        <f t="shared" si="1"/>
        <v>-6.0956349265382036E-2</v>
      </c>
      <c r="AF68" s="33">
        <f t="shared" si="46"/>
        <v>-2.9547918820235366</v>
      </c>
      <c r="AG68" s="41" t="e">
        <f t="shared" ref="AF68:AH68" si="62">AG30/AG14</f>
        <v>#DIV/0!</v>
      </c>
      <c r="AH68" s="41" t="e">
        <f t="shared" si="62"/>
        <v>#DIV/0!</v>
      </c>
    </row>
    <row r="69" spans="1:34" x14ac:dyDescent="0.65">
      <c r="O69" s="18"/>
    </row>
  </sheetData>
  <pageMargins left="0.7" right="0.7" top="0.75" bottom="0.75" header="0.3" footer="0.3"/>
  <pageSetup orientation="portrait" r:id="rId1"/>
  <ignoredErrors>
    <ignoredError sqref="I21" formulaRang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F3359-AA7B-4C3F-BB32-4122371AAA35}">
  <ds:schemaRefs>
    <ds:schemaRef ds:uri="http://www.w3.org/XML/1998/namespace"/>
    <ds:schemaRef ds:uri="http://purl.org/dc/terms/"/>
    <ds:schemaRef ds:uri="http://purl.org/dc/dcmitype/"/>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36567613-e428-4167-ab55-a4f66cede826"/>
    <ds:schemaRef ds:uri="http://schemas.microsoft.com/office/2006/metadata/properties"/>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2023-02-21T16:55:27Z</dcterms:created>
  <dcterms:modified xsi:type="dcterms:W3CDTF">2024-04-22T18:51:51Z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