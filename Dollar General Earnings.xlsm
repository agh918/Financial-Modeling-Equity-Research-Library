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sjeccd-my.sharepoint.com/personal/abgo6476_stu_evc_edu/Documents/Earnings Models/"/>
    </mc:Choice>
  </mc:AlternateContent>
  <xr:revisionPtr revIDLastSave="1018" documentId="8_{E8A16225-5E4C-4DDE-B7F0-BE971EC31222}" xr6:coauthVersionLast="47" xr6:coauthVersionMax="47" xr10:uidLastSave="{15740CB5-1EF8-4428-9012-83D4A47584C6}"/>
  <bookViews>
    <workbookView xWindow="-98" yWindow="-98" windowWidth="21795" windowHeight="12975" xr2:uid="{CD218907-FF69-440B-8102-4E26B44E461B}"/>
  </bookViews>
  <sheets>
    <sheet name="Sheet1"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41" i="1" l="1"/>
  <c r="AA41" i="1"/>
  <c r="AB40" i="1"/>
  <c r="AA40" i="1"/>
  <c r="AB57" i="1"/>
  <c r="AB55" i="1"/>
  <c r="AB49" i="1"/>
  <c r="AA49" i="1"/>
  <c r="AB48" i="1"/>
  <c r="AA48" i="1"/>
  <c r="AB47" i="1"/>
  <c r="AA47" i="1"/>
  <c r="AB46" i="1"/>
  <c r="AA46" i="1"/>
  <c r="AB44" i="1"/>
  <c r="AA44" i="1"/>
  <c r="AB43" i="1"/>
  <c r="AA43" i="1"/>
  <c r="AB42" i="1"/>
  <c r="AA42" i="1"/>
  <c r="AA36" i="1"/>
  <c r="AB35" i="1"/>
  <c r="AA35" i="1"/>
  <c r="AB34" i="1"/>
  <c r="AA34" i="1"/>
  <c r="AB33" i="1"/>
  <c r="AA33" i="1"/>
  <c r="AB32" i="1"/>
  <c r="AA32" i="1"/>
  <c r="AB31" i="1"/>
  <c r="AA31" i="1"/>
  <c r="AB29" i="1"/>
  <c r="AA29" i="1"/>
  <c r="AB28" i="1"/>
  <c r="AA28" i="1"/>
  <c r="AB27" i="1"/>
  <c r="AA27" i="1"/>
  <c r="AB26" i="1"/>
  <c r="AA26" i="1"/>
  <c r="AB21" i="1"/>
  <c r="AA21" i="1"/>
  <c r="AB19" i="1"/>
  <c r="AA19" i="1"/>
  <c r="AB18" i="1"/>
  <c r="AA18" i="1"/>
  <c r="AB17" i="1"/>
  <c r="AA17" i="1"/>
  <c r="AB15" i="1"/>
  <c r="AA15" i="1"/>
  <c r="AB12" i="1"/>
  <c r="AA12" i="1"/>
  <c r="AB11" i="1"/>
  <c r="AA11" i="1"/>
  <c r="AB8" i="1"/>
  <c r="AA8" i="1"/>
  <c r="AB6" i="1"/>
  <c r="AA6" i="1"/>
  <c r="AB5" i="1"/>
  <c r="AA5" i="1"/>
  <c r="AG45" i="1"/>
  <c r="AG50" i="1" s="1"/>
  <c r="AF45" i="1"/>
  <c r="AF50" i="1" s="1"/>
  <c r="AE45" i="1"/>
  <c r="AE50" i="1" s="1"/>
  <c r="AD45" i="1"/>
  <c r="AD50" i="1" s="1"/>
  <c r="AC45" i="1"/>
  <c r="AC50" i="1" s="1"/>
  <c r="Z45" i="1"/>
  <c r="Z50" i="1" s="1"/>
  <c r="X45" i="1"/>
  <c r="X50" i="1" s="1"/>
  <c r="AG59" i="1"/>
  <c r="AG60" i="1" s="1"/>
  <c r="AF59" i="1"/>
  <c r="AF60" i="1" s="1"/>
  <c r="AE59" i="1"/>
  <c r="AE60" i="1" s="1"/>
  <c r="AD59" i="1"/>
  <c r="AD60" i="1" s="1"/>
  <c r="Z59" i="1"/>
  <c r="Z60" i="1" s="1"/>
  <c r="AA60" i="1" s="1"/>
  <c r="X59" i="1"/>
  <c r="X60" i="1" s="1"/>
  <c r="AG57" i="1"/>
  <c r="AF57" i="1"/>
  <c r="AE57" i="1"/>
  <c r="AD57" i="1"/>
  <c r="AC57" i="1"/>
  <c r="Z57" i="1"/>
  <c r="X57" i="1"/>
  <c r="AD56" i="1"/>
  <c r="AC56" i="1"/>
  <c r="AD55" i="1"/>
  <c r="AC55" i="1"/>
  <c r="Z55" i="1"/>
  <c r="X55" i="1"/>
  <c r="AG54" i="1"/>
  <c r="AF54" i="1"/>
  <c r="AD54" i="1"/>
  <c r="AC54" i="1"/>
  <c r="Y49" i="1"/>
  <c r="Y48" i="1"/>
  <c r="Y47" i="1"/>
  <c r="Y46" i="1"/>
  <c r="Y44" i="1"/>
  <c r="Y43" i="1"/>
  <c r="Y42" i="1"/>
  <c r="Y41" i="1"/>
  <c r="Y40" i="1"/>
  <c r="Y45" i="1" s="1"/>
  <c r="Y35" i="1"/>
  <c r="Y34" i="1"/>
  <c r="Y33" i="1"/>
  <c r="Y32" i="1"/>
  <c r="Y31" i="1"/>
  <c r="Y29" i="1"/>
  <c r="Y28" i="1"/>
  <c r="Y27" i="1"/>
  <c r="AC59" i="1" s="1"/>
  <c r="AC60" i="1" s="1"/>
  <c r="Y26" i="1"/>
  <c r="Y21" i="1"/>
  <c r="Y19" i="1"/>
  <c r="Y18" i="1"/>
  <c r="Y15" i="1"/>
  <c r="Y12" i="1"/>
  <c r="Y11" i="1"/>
  <c r="Y6" i="1"/>
  <c r="Y5" i="1"/>
  <c r="O6" i="1"/>
  <c r="O11" i="1"/>
  <c r="O12" i="1"/>
  <c r="O15" i="1"/>
  <c r="O18" i="1"/>
  <c r="O19" i="1"/>
  <c r="O21" i="1"/>
  <c r="O26" i="1"/>
  <c r="O27" i="1"/>
  <c r="O28" i="1"/>
  <c r="O29" i="1"/>
  <c r="O31" i="1"/>
  <c r="O32" i="1"/>
  <c r="O33" i="1"/>
  <c r="O34" i="1"/>
  <c r="O35" i="1"/>
  <c r="O40" i="1"/>
  <c r="O41" i="1"/>
  <c r="O42" i="1"/>
  <c r="O43" i="1"/>
  <c r="O44" i="1"/>
  <c r="O46" i="1"/>
  <c r="O47" i="1"/>
  <c r="O48" i="1"/>
  <c r="O49" i="1"/>
  <c r="O5" i="1"/>
  <c r="Q6" i="1"/>
  <c r="Q11" i="1"/>
  <c r="Q12" i="1"/>
  <c r="Q15" i="1"/>
  <c r="Q18" i="1"/>
  <c r="Q19" i="1"/>
  <c r="Q21" i="1"/>
  <c r="Q26" i="1"/>
  <c r="Q27" i="1"/>
  <c r="Q28" i="1"/>
  <c r="Q29" i="1"/>
  <c r="Q31" i="1"/>
  <c r="Q32" i="1"/>
  <c r="Q33" i="1"/>
  <c r="Q34" i="1"/>
  <c r="Q35" i="1"/>
  <c r="Q40" i="1"/>
  <c r="Q41" i="1"/>
  <c r="Q42" i="1"/>
  <c r="Q43" i="1"/>
  <c r="Q44" i="1"/>
  <c r="Q46" i="1"/>
  <c r="Q47" i="1"/>
  <c r="Q48" i="1"/>
  <c r="Q49" i="1"/>
  <c r="Q5" i="1"/>
  <c r="S6" i="1"/>
  <c r="S11" i="1"/>
  <c r="S12" i="1"/>
  <c r="S15" i="1"/>
  <c r="S18" i="1"/>
  <c r="S19" i="1"/>
  <c r="S21" i="1"/>
  <c r="S26" i="1"/>
  <c r="S27" i="1"/>
  <c r="S28" i="1"/>
  <c r="S29" i="1"/>
  <c r="S31" i="1"/>
  <c r="S32" i="1"/>
  <c r="S33" i="1"/>
  <c r="S34" i="1"/>
  <c r="S35" i="1"/>
  <c r="S40" i="1"/>
  <c r="S41" i="1"/>
  <c r="S42" i="1"/>
  <c r="S43" i="1"/>
  <c r="S44" i="1"/>
  <c r="S46" i="1"/>
  <c r="S47" i="1"/>
  <c r="S48" i="1"/>
  <c r="S49" i="1"/>
  <c r="S5" i="1"/>
  <c r="W11" i="1"/>
  <c r="U6" i="1"/>
  <c r="U26" i="1"/>
  <c r="U27" i="1"/>
  <c r="U28" i="1"/>
  <c r="U29" i="1"/>
  <c r="U31" i="1"/>
  <c r="U32" i="1"/>
  <c r="U33" i="1"/>
  <c r="U34" i="1"/>
  <c r="U35" i="1"/>
  <c r="U40" i="1"/>
  <c r="U41" i="1"/>
  <c r="U42" i="1"/>
  <c r="U43" i="1"/>
  <c r="U44" i="1"/>
  <c r="U46" i="1"/>
  <c r="U47" i="1"/>
  <c r="U48" i="1"/>
  <c r="U49" i="1"/>
  <c r="U5" i="1"/>
  <c r="W12" i="1"/>
  <c r="W15" i="1"/>
  <c r="W18" i="1"/>
  <c r="W19" i="1"/>
  <c r="W21" i="1"/>
  <c r="W26" i="1"/>
  <c r="W27" i="1"/>
  <c r="W28" i="1"/>
  <c r="W29" i="1"/>
  <c r="W31" i="1"/>
  <c r="W32" i="1"/>
  <c r="W33" i="1"/>
  <c r="W34" i="1"/>
  <c r="W35" i="1"/>
  <c r="W40" i="1"/>
  <c r="W41" i="1"/>
  <c r="W42" i="1"/>
  <c r="W43" i="1"/>
  <c r="W44" i="1"/>
  <c r="W46" i="1"/>
  <c r="W47" i="1"/>
  <c r="W48" i="1"/>
  <c r="W49" i="1"/>
  <c r="W5" i="1"/>
  <c r="W6" i="1"/>
  <c r="R59" i="1"/>
  <c r="R60" i="1" s="1"/>
  <c r="P59" i="1"/>
  <c r="P60" i="1" s="1"/>
  <c r="N59" i="1"/>
  <c r="N60" i="1" s="1"/>
  <c r="L59" i="1"/>
  <c r="L60" i="1" s="1"/>
  <c r="K59" i="1"/>
  <c r="K60" i="1" s="1"/>
  <c r="J59" i="1"/>
  <c r="J60" i="1" s="1"/>
  <c r="H59" i="1"/>
  <c r="H60" i="1" s="1"/>
  <c r="G59" i="1"/>
  <c r="G60" i="1" s="1"/>
  <c r="F59" i="1"/>
  <c r="F60" i="1" s="1"/>
  <c r="D59" i="1"/>
  <c r="D60" i="1" s="1"/>
  <c r="C59" i="1"/>
  <c r="C60" i="1" s="1"/>
  <c r="V59" i="1"/>
  <c r="V60" i="1" s="1"/>
  <c r="C57" i="1"/>
  <c r="D57" i="1"/>
  <c r="F57" i="1"/>
  <c r="G57" i="1"/>
  <c r="H57" i="1"/>
  <c r="J57" i="1"/>
  <c r="K57" i="1"/>
  <c r="L57" i="1"/>
  <c r="N57" i="1"/>
  <c r="P57" i="1"/>
  <c r="Q57" i="1" s="1"/>
  <c r="R57" i="1"/>
  <c r="S57" i="1" s="1"/>
  <c r="V57" i="1"/>
  <c r="B57" i="1"/>
  <c r="T21" i="1"/>
  <c r="T19" i="1"/>
  <c r="U19" i="1" s="1"/>
  <c r="T18" i="1"/>
  <c r="T15" i="1"/>
  <c r="T12" i="1"/>
  <c r="T59" i="1" s="1"/>
  <c r="T60" i="1" s="1"/>
  <c r="T11" i="1"/>
  <c r="B7" i="1"/>
  <c r="C7" i="1"/>
  <c r="D7" i="1"/>
  <c r="E7" i="1"/>
  <c r="F7" i="1"/>
  <c r="G7" i="1"/>
  <c r="H7" i="1"/>
  <c r="I7" i="1"/>
  <c r="J7" i="1"/>
  <c r="K7" i="1"/>
  <c r="L7" i="1"/>
  <c r="M7" i="1"/>
  <c r="N7" i="1"/>
  <c r="O7" i="1" s="1"/>
  <c r="B8" i="1"/>
  <c r="C8" i="1"/>
  <c r="D8" i="1"/>
  <c r="E8" i="1"/>
  <c r="F8" i="1"/>
  <c r="G8" i="1"/>
  <c r="H8" i="1"/>
  <c r="I8" i="1"/>
  <c r="J8" i="1"/>
  <c r="K8" i="1"/>
  <c r="L8" i="1"/>
  <c r="M8" i="1"/>
  <c r="N8" i="1"/>
  <c r="B9" i="1"/>
  <c r="C9" i="1"/>
  <c r="D9" i="1"/>
  <c r="E9" i="1"/>
  <c r="F9" i="1"/>
  <c r="G9" i="1"/>
  <c r="H9" i="1"/>
  <c r="I9" i="1"/>
  <c r="J9" i="1"/>
  <c r="K9" i="1"/>
  <c r="L9" i="1"/>
  <c r="M9" i="1"/>
  <c r="N9" i="1"/>
  <c r="E11" i="1"/>
  <c r="I11" i="1"/>
  <c r="M11" i="1"/>
  <c r="E12" i="1"/>
  <c r="I12" i="1"/>
  <c r="M12" i="1"/>
  <c r="B13" i="1"/>
  <c r="B17" i="1" s="1"/>
  <c r="B20" i="1" s="1"/>
  <c r="B22" i="1" s="1"/>
  <c r="B54" i="1" s="1"/>
  <c r="C13" i="1"/>
  <c r="C17" i="1" s="1"/>
  <c r="C20" i="1" s="1"/>
  <c r="C22" i="1" s="1"/>
  <c r="C54" i="1" s="1"/>
  <c r="D13" i="1"/>
  <c r="D17" i="1" s="1"/>
  <c r="D20" i="1" s="1"/>
  <c r="D22" i="1" s="1"/>
  <c r="D54" i="1" s="1"/>
  <c r="F13" i="1"/>
  <c r="F17" i="1" s="1"/>
  <c r="F20" i="1" s="1"/>
  <c r="F22" i="1" s="1"/>
  <c r="F54" i="1" s="1"/>
  <c r="G13" i="1"/>
  <c r="G55" i="1" s="1"/>
  <c r="H13" i="1"/>
  <c r="H17" i="1" s="1"/>
  <c r="H20" i="1" s="1"/>
  <c r="H22" i="1" s="1"/>
  <c r="J13" i="1"/>
  <c r="J17" i="1" s="1"/>
  <c r="J20" i="1" s="1"/>
  <c r="J22" i="1" s="1"/>
  <c r="K13" i="1"/>
  <c r="K17" i="1" s="1"/>
  <c r="K20" i="1" s="1"/>
  <c r="K22" i="1" s="1"/>
  <c r="K54" i="1" s="1"/>
  <c r="L13" i="1"/>
  <c r="L17" i="1" s="1"/>
  <c r="L20" i="1" s="1"/>
  <c r="L22" i="1" s="1"/>
  <c r="L54" i="1" s="1"/>
  <c r="N13" i="1"/>
  <c r="N17" i="1" s="1"/>
  <c r="N20" i="1" s="1"/>
  <c r="N22" i="1" s="1"/>
  <c r="N54" i="1" s="1"/>
  <c r="E15" i="1"/>
  <c r="I15" i="1"/>
  <c r="M15" i="1"/>
  <c r="E18" i="1"/>
  <c r="I18" i="1"/>
  <c r="M18" i="1"/>
  <c r="E21" i="1"/>
  <c r="I21" i="1"/>
  <c r="M21" i="1"/>
  <c r="B30" i="1"/>
  <c r="B36" i="1" s="1"/>
  <c r="C30" i="1"/>
  <c r="C36" i="1" s="1"/>
  <c r="D30" i="1"/>
  <c r="D36" i="1" s="1"/>
  <c r="E30" i="1"/>
  <c r="E36" i="1" s="1"/>
  <c r="F30" i="1"/>
  <c r="F36" i="1" s="1"/>
  <c r="G30" i="1"/>
  <c r="G36" i="1" s="1"/>
  <c r="H30" i="1"/>
  <c r="H36" i="1" s="1"/>
  <c r="I30" i="1"/>
  <c r="I36" i="1" s="1"/>
  <c r="J30" i="1"/>
  <c r="J36" i="1" s="1"/>
  <c r="K30" i="1"/>
  <c r="K36" i="1" s="1"/>
  <c r="L30" i="1"/>
  <c r="L36" i="1" s="1"/>
  <c r="M30" i="1"/>
  <c r="M36" i="1" s="1"/>
  <c r="N30" i="1"/>
  <c r="N36" i="1" s="1"/>
  <c r="O36" i="1" s="1"/>
  <c r="B45" i="1"/>
  <c r="B50" i="1" s="1"/>
  <c r="C45" i="1"/>
  <c r="C50" i="1" s="1"/>
  <c r="D45" i="1"/>
  <c r="D50" i="1" s="1"/>
  <c r="E45" i="1"/>
  <c r="E50" i="1" s="1"/>
  <c r="F45" i="1"/>
  <c r="F50" i="1" s="1"/>
  <c r="G45" i="1"/>
  <c r="G50" i="1" s="1"/>
  <c r="H45" i="1"/>
  <c r="H50" i="1" s="1"/>
  <c r="I45" i="1"/>
  <c r="I50" i="1" s="1"/>
  <c r="J45" i="1"/>
  <c r="J50" i="1" s="1"/>
  <c r="K45" i="1"/>
  <c r="K50" i="1" s="1"/>
  <c r="L45" i="1"/>
  <c r="L50" i="1" s="1"/>
  <c r="M45" i="1"/>
  <c r="M50" i="1" s="1"/>
  <c r="N45" i="1"/>
  <c r="N50" i="1" s="1"/>
  <c r="AG9" i="1"/>
  <c r="AF9" i="1"/>
  <c r="AE9" i="1"/>
  <c r="AD9" i="1"/>
  <c r="AC9" i="1"/>
  <c r="Z9" i="1"/>
  <c r="X9" i="1"/>
  <c r="V9" i="1"/>
  <c r="T9" i="1"/>
  <c r="R9" i="1"/>
  <c r="P9" i="1"/>
  <c r="AG8" i="1"/>
  <c r="AF8" i="1"/>
  <c r="AE8" i="1"/>
  <c r="AD8" i="1"/>
  <c r="AC8" i="1"/>
  <c r="Z8" i="1"/>
  <c r="X8" i="1"/>
  <c r="V8" i="1"/>
  <c r="T8" i="1"/>
  <c r="R8" i="1"/>
  <c r="P8" i="1"/>
  <c r="P7" i="1"/>
  <c r="R7" i="1"/>
  <c r="T7" i="1"/>
  <c r="V7" i="1"/>
  <c r="X7" i="1"/>
  <c r="Y7" i="1" s="1"/>
  <c r="Z7" i="1"/>
  <c r="AA7" i="1" s="1"/>
  <c r="AC7" i="1"/>
  <c r="AD7" i="1"/>
  <c r="AE7" i="1"/>
  <c r="AF7" i="1"/>
  <c r="AG7" i="1"/>
  <c r="AG30" i="1"/>
  <c r="AG36" i="1" s="1"/>
  <c r="AF30" i="1"/>
  <c r="AF36" i="1" s="1"/>
  <c r="AG13" i="1"/>
  <c r="AG17" i="1" s="1"/>
  <c r="AG20" i="1" s="1"/>
  <c r="AG22" i="1" s="1"/>
  <c r="AG56" i="1" s="1"/>
  <c r="AF13" i="1"/>
  <c r="AF17" i="1" s="1"/>
  <c r="AF20" i="1" s="1"/>
  <c r="AF22" i="1" s="1"/>
  <c r="AF56" i="1" s="1"/>
  <c r="V45" i="1"/>
  <c r="V50" i="1" s="1"/>
  <c r="T45" i="1"/>
  <c r="T50" i="1" s="1"/>
  <c r="R45" i="1"/>
  <c r="R50" i="1" s="1"/>
  <c r="P45" i="1"/>
  <c r="P50" i="1" s="1"/>
  <c r="AE30" i="1"/>
  <c r="AE36" i="1" s="1"/>
  <c r="AD30" i="1"/>
  <c r="AD36" i="1" s="1"/>
  <c r="AC30" i="1"/>
  <c r="AC36" i="1" s="1"/>
  <c r="Z30" i="1"/>
  <c r="Z36" i="1" s="1"/>
  <c r="AB36" i="1" s="1"/>
  <c r="X30" i="1"/>
  <c r="X36" i="1" s="1"/>
  <c r="V30" i="1"/>
  <c r="V36" i="1" s="1"/>
  <c r="T30" i="1"/>
  <c r="T36" i="1" s="1"/>
  <c r="R30" i="1"/>
  <c r="R36" i="1" s="1"/>
  <c r="S36" i="1" s="1"/>
  <c r="P30" i="1"/>
  <c r="P36" i="1" s="1"/>
  <c r="AE13" i="1"/>
  <c r="AE17" i="1" s="1"/>
  <c r="AE20" i="1" s="1"/>
  <c r="AE22" i="1" s="1"/>
  <c r="AE56" i="1" s="1"/>
  <c r="AD13" i="1"/>
  <c r="AD17" i="1" s="1"/>
  <c r="AD20" i="1" s="1"/>
  <c r="AD22" i="1" s="1"/>
  <c r="AC13" i="1"/>
  <c r="AC17" i="1" s="1"/>
  <c r="AC20" i="1" s="1"/>
  <c r="AC22" i="1" s="1"/>
  <c r="Z13" i="1"/>
  <c r="Z17" i="1" s="1"/>
  <c r="Z20" i="1" s="1"/>
  <c r="Z22" i="1" s="1"/>
  <c r="X13" i="1"/>
  <c r="X17" i="1" s="1"/>
  <c r="X20" i="1" s="1"/>
  <c r="X22" i="1" s="1"/>
  <c r="V13" i="1"/>
  <c r="V17" i="1" s="1"/>
  <c r="V20" i="1" s="1"/>
  <c r="R13" i="1"/>
  <c r="R17" i="1" s="1"/>
  <c r="R20" i="1" s="1"/>
  <c r="AA20" i="1" s="1"/>
  <c r="P13" i="1"/>
  <c r="P17" i="1" s="1"/>
  <c r="P20" i="1" s="1"/>
  <c r="P22" i="1" s="1"/>
  <c r="P54" i="1" s="1"/>
  <c r="A4" i="1" a="1"/>
  <c r="A4" i="1" s="1"/>
  <c r="P1" i="1"/>
  <c r="N1" i="1" s="1"/>
  <c r="M1" i="1" s="1"/>
  <c r="L1" i="1" s="1"/>
  <c r="K1" i="1" s="1"/>
  <c r="J1" i="1" s="1"/>
  <c r="H1" i="1" s="1"/>
  <c r="G1" i="1" s="1"/>
  <c r="F1" i="1" s="1"/>
  <c r="E1" i="1" s="1"/>
  <c r="D1" i="1" s="1"/>
  <c r="C1" i="1" s="1"/>
  <c r="B1" i="1" s="1"/>
  <c r="T1" i="1"/>
  <c r="X1" i="1"/>
  <c r="X54" i="1" l="1"/>
  <c r="Y22" i="1"/>
  <c r="Y56" i="1" s="1"/>
  <c r="Z56" i="1"/>
  <c r="AB22" i="1"/>
  <c r="AB7" i="1"/>
  <c r="AB30" i="1"/>
  <c r="AB20" i="1"/>
  <c r="AA59" i="1"/>
  <c r="AB59" i="1"/>
  <c r="AC52" i="1"/>
  <c r="AB60" i="1"/>
  <c r="AG53" i="1"/>
  <c r="AE52" i="1"/>
  <c r="AA30" i="1"/>
  <c r="AA57" i="1"/>
  <c r="Y8" i="1"/>
  <c r="AD52" i="1"/>
  <c r="AA13" i="1"/>
  <c r="AB13" i="1"/>
  <c r="W57" i="1"/>
  <c r="AB9" i="1"/>
  <c r="Z52" i="1"/>
  <c r="AB50" i="1"/>
  <c r="AA50" i="1"/>
  <c r="AA45" i="1"/>
  <c r="AB45" i="1"/>
  <c r="AA9" i="1"/>
  <c r="AF53" i="1"/>
  <c r="AE53" i="1"/>
  <c r="AD53" i="1"/>
  <c r="Y54" i="1"/>
  <c r="AC53" i="1"/>
  <c r="W45" i="1"/>
  <c r="W50" i="1" s="1"/>
  <c r="Z54" i="1"/>
  <c r="Z53" i="1"/>
  <c r="Y57" i="1"/>
  <c r="AE58" i="1"/>
  <c r="X56" i="1"/>
  <c r="Y50" i="1"/>
  <c r="AF52" i="1"/>
  <c r="AF58" i="1"/>
  <c r="AE54" i="1"/>
  <c r="AG58" i="1"/>
  <c r="Y36" i="1"/>
  <c r="W59" i="1"/>
  <c r="W60" i="1" s="1"/>
  <c r="X53" i="1"/>
  <c r="AG52" i="1"/>
  <c r="O8" i="1"/>
  <c r="Y59" i="1"/>
  <c r="Y60" i="1" s="1"/>
  <c r="X52" i="1"/>
  <c r="O60" i="1"/>
  <c r="Z58" i="1"/>
  <c r="Q7" i="1"/>
  <c r="Y9" i="1"/>
  <c r="Y53" i="1" s="1"/>
  <c r="AE55" i="1"/>
  <c r="AF55" i="1"/>
  <c r="S7" i="1"/>
  <c r="AC58" i="1"/>
  <c r="AD58" i="1"/>
  <c r="Q8" i="1"/>
  <c r="AG55" i="1"/>
  <c r="X58" i="1"/>
  <c r="O9" i="1"/>
  <c r="Y30" i="1"/>
  <c r="Y58" i="1" s="1"/>
  <c r="S9" i="1"/>
  <c r="U36" i="1"/>
  <c r="O57" i="1"/>
  <c r="Y13" i="1"/>
  <c r="Y55" i="1" s="1"/>
  <c r="Y17" i="1"/>
  <c r="Q54" i="1"/>
  <c r="S20" i="1"/>
  <c r="O50" i="1"/>
  <c r="Y20" i="1"/>
  <c r="O30" i="1"/>
  <c r="Q60" i="1"/>
  <c r="W20" i="1"/>
  <c r="O45" i="1"/>
  <c r="S8" i="1"/>
  <c r="O22" i="1"/>
  <c r="W8" i="1"/>
  <c r="O59" i="1"/>
  <c r="O20" i="1"/>
  <c r="S60" i="1"/>
  <c r="Q50" i="1"/>
  <c r="O17" i="1"/>
  <c r="S50" i="1"/>
  <c r="O13" i="1"/>
  <c r="Q22" i="1"/>
  <c r="Q9" i="1"/>
  <c r="Q36" i="1"/>
  <c r="U9" i="1"/>
  <c r="Q13" i="1"/>
  <c r="Q59" i="1"/>
  <c r="Q20" i="1"/>
  <c r="Q45" i="1"/>
  <c r="W7" i="1"/>
  <c r="Q17" i="1"/>
  <c r="U7" i="1"/>
  <c r="W36" i="1"/>
  <c r="Q30" i="1"/>
  <c r="S45" i="1"/>
  <c r="U50" i="1"/>
  <c r="S59" i="1"/>
  <c r="U11" i="1"/>
  <c r="S17" i="1"/>
  <c r="U8" i="1"/>
  <c r="U15" i="1"/>
  <c r="S13" i="1"/>
  <c r="U18" i="1"/>
  <c r="U21" i="1"/>
  <c r="S30" i="1"/>
  <c r="W13" i="1"/>
  <c r="W55" i="1" s="1"/>
  <c r="U45" i="1"/>
  <c r="W9" i="1"/>
  <c r="U30" i="1"/>
  <c r="U12" i="1"/>
  <c r="W30" i="1"/>
  <c r="W17" i="1"/>
  <c r="I57" i="1"/>
  <c r="T57" i="1"/>
  <c r="E57" i="1"/>
  <c r="R58" i="1"/>
  <c r="I59" i="1"/>
  <c r="I60" i="1" s="1"/>
  <c r="J58" i="1"/>
  <c r="I58" i="1"/>
  <c r="G58" i="1"/>
  <c r="M57" i="1"/>
  <c r="H58" i="1"/>
  <c r="F58" i="1"/>
  <c r="M59" i="1"/>
  <c r="M60" i="1" s="1"/>
  <c r="U60" i="1" s="1"/>
  <c r="E58" i="1"/>
  <c r="C55" i="1"/>
  <c r="C58" i="1"/>
  <c r="B58" i="1"/>
  <c r="D58" i="1"/>
  <c r="V58" i="1"/>
  <c r="T58" i="1"/>
  <c r="P58" i="1"/>
  <c r="N58" i="1"/>
  <c r="E59" i="1"/>
  <c r="E60" i="1" s="1"/>
  <c r="M58" i="1"/>
  <c r="L58" i="1"/>
  <c r="K58" i="1"/>
  <c r="G17" i="1"/>
  <c r="G20" i="1" s="1"/>
  <c r="G22" i="1" s="1"/>
  <c r="G54" i="1" s="1"/>
  <c r="B56" i="1"/>
  <c r="V55" i="1"/>
  <c r="K56" i="1"/>
  <c r="D55" i="1"/>
  <c r="N56" i="1"/>
  <c r="H54" i="1"/>
  <c r="H56" i="1"/>
  <c r="J54" i="1"/>
  <c r="O54" i="1" s="1"/>
  <c r="J56" i="1"/>
  <c r="L56" i="1"/>
  <c r="F55" i="1"/>
  <c r="P56" i="1"/>
  <c r="H55" i="1"/>
  <c r="J55" i="1"/>
  <c r="C56" i="1"/>
  <c r="K55" i="1"/>
  <c r="D56" i="1"/>
  <c r="L55" i="1"/>
  <c r="F56" i="1"/>
  <c r="N55" i="1"/>
  <c r="P55" i="1"/>
  <c r="R55" i="1"/>
  <c r="AA55" i="1" s="1"/>
  <c r="B55" i="1"/>
  <c r="T13" i="1"/>
  <c r="V22" i="1"/>
  <c r="W22" i="1" s="1"/>
  <c r="R22" i="1"/>
  <c r="S22" i="1" s="1"/>
  <c r="T52" i="1"/>
  <c r="V52" i="1"/>
  <c r="I13" i="1"/>
  <c r="V53" i="1"/>
  <c r="M52" i="1"/>
  <c r="M13" i="1"/>
  <c r="E13" i="1"/>
  <c r="R52" i="1"/>
  <c r="T53" i="1"/>
  <c r="L52" i="1"/>
  <c r="K52" i="1"/>
  <c r="J52" i="1"/>
  <c r="I52" i="1"/>
  <c r="G52" i="1"/>
  <c r="F52" i="1"/>
  <c r="R53" i="1"/>
  <c r="H52" i="1"/>
  <c r="G53" i="1"/>
  <c r="K53" i="1"/>
  <c r="L53" i="1"/>
  <c r="F53" i="1"/>
  <c r="E53" i="1"/>
  <c r="E52" i="1"/>
  <c r="D52" i="1"/>
  <c r="D53" i="1"/>
  <c r="C52" i="1"/>
  <c r="C53" i="1"/>
  <c r="B52" i="1"/>
  <c r="B53" i="1"/>
  <c r="P53" i="1"/>
  <c r="N53" i="1"/>
  <c r="M53" i="1"/>
  <c r="J53" i="1"/>
  <c r="I53" i="1"/>
  <c r="H53" i="1"/>
  <c r="P52" i="1"/>
  <c r="N52" i="1"/>
  <c r="AA22" i="1" l="1"/>
  <c r="AB54" i="1"/>
  <c r="AB56" i="1"/>
  <c r="W52" i="1"/>
  <c r="AB58" i="1"/>
  <c r="AA58" i="1"/>
  <c r="AB53" i="1"/>
  <c r="AA53" i="1"/>
  <c r="W58" i="1"/>
  <c r="AB52" i="1"/>
  <c r="AA52" i="1"/>
  <c r="O52" i="1"/>
  <c r="W53" i="1"/>
  <c r="O58" i="1"/>
  <c r="W56" i="1"/>
  <c r="W54" i="1"/>
  <c r="O55" i="1"/>
  <c r="Y52" i="1"/>
  <c r="S53" i="1"/>
  <c r="O56" i="1"/>
  <c r="O53" i="1"/>
  <c r="S58" i="1"/>
  <c r="S52" i="1"/>
  <c r="Q56" i="1"/>
  <c r="S55" i="1"/>
  <c r="Q53" i="1"/>
  <c r="Q55" i="1"/>
  <c r="Q52" i="1"/>
  <c r="Q58" i="1"/>
  <c r="U52" i="1"/>
  <c r="U13" i="1"/>
  <c r="U58" i="1"/>
  <c r="U53" i="1"/>
  <c r="U59" i="1"/>
  <c r="U57" i="1"/>
  <c r="V56" i="1"/>
  <c r="T55" i="1"/>
  <c r="G56" i="1"/>
  <c r="M17" i="1"/>
  <c r="M20" i="1" s="1"/>
  <c r="M22" i="1" s="1"/>
  <c r="M55" i="1"/>
  <c r="R54" i="1"/>
  <c r="S54" i="1" s="1"/>
  <c r="R56" i="1"/>
  <c r="S56" i="1" s="1"/>
  <c r="T17" i="1"/>
  <c r="I17" i="1"/>
  <c r="I55" i="1"/>
  <c r="E17" i="1"/>
  <c r="E20" i="1" s="1"/>
  <c r="E22" i="1" s="1"/>
  <c r="E55" i="1"/>
  <c r="V54" i="1"/>
  <c r="AA56" i="1" l="1"/>
  <c r="AA54" i="1"/>
  <c r="I20" i="1"/>
  <c r="U55" i="1"/>
  <c r="U17" i="1"/>
  <c r="T20" i="1"/>
  <c r="U20" i="1" s="1"/>
  <c r="E54" i="1"/>
  <c r="E56" i="1"/>
  <c r="M54" i="1"/>
  <c r="M56" i="1"/>
  <c r="I22" i="1" l="1"/>
  <c r="T22" i="1"/>
  <c r="U22" i="1" s="1"/>
  <c r="I54" i="1" l="1"/>
  <c r="I56" i="1"/>
  <c r="T56" i="1"/>
  <c r="U56" i="1" s="1"/>
  <c r="T54" i="1"/>
  <c r="U54" i="1"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2"/>
        </ext>
      </extLst>
    </bk>
  </futureMetadata>
  <cellMetadata count="1">
    <bk>
      <rc t="1" v="0"/>
    </bk>
  </cellMetadata>
  <valueMetadata count="1">
    <bk>
      <rc t="2" v="0"/>
    </bk>
  </valueMetadata>
</metadata>
</file>

<file path=xl/sharedStrings.xml><?xml version="1.0" encoding="utf-8"?>
<sst xmlns="http://schemas.openxmlformats.org/spreadsheetml/2006/main" count="94" uniqueCount="79">
  <si>
    <t>Quarter &amp; Year</t>
  </si>
  <si>
    <t>Reported Date</t>
  </si>
  <si>
    <t>Q119</t>
  </si>
  <si>
    <t>Q219</t>
  </si>
  <si>
    <t>Q319</t>
  </si>
  <si>
    <t>Q419</t>
  </si>
  <si>
    <t>Q120</t>
  </si>
  <si>
    <t>Q220</t>
  </si>
  <si>
    <t>Q320</t>
  </si>
  <si>
    <t>Q420</t>
  </si>
  <si>
    <t>Q121</t>
  </si>
  <si>
    <t>Q221</t>
  </si>
  <si>
    <t>Q321</t>
  </si>
  <si>
    <t>Q421</t>
  </si>
  <si>
    <t>Q122</t>
  </si>
  <si>
    <t>Q222</t>
  </si>
  <si>
    <t>Q322</t>
  </si>
  <si>
    <t>Q422</t>
  </si>
  <si>
    <t>Q123</t>
  </si>
  <si>
    <t>Q223</t>
  </si>
  <si>
    <t>Q323</t>
  </si>
  <si>
    <t>Q423</t>
  </si>
  <si>
    <t>Q124</t>
  </si>
  <si>
    <t>Q224</t>
  </si>
  <si>
    <t>Q324</t>
  </si>
  <si>
    <t>Q424</t>
  </si>
  <si>
    <t>Price</t>
  </si>
  <si>
    <t>Shares outstanding</t>
  </si>
  <si>
    <t>Market cap</t>
  </si>
  <si>
    <t>Cash</t>
  </si>
  <si>
    <t>Debt</t>
  </si>
  <si>
    <t>Net sales</t>
  </si>
  <si>
    <t>Cost of goods sold</t>
  </si>
  <si>
    <t>Gross profit</t>
  </si>
  <si>
    <t>Selling, general &amp; administrative expenses</t>
  </si>
  <si>
    <t>Income (loss) from operations</t>
  </si>
  <si>
    <t>Interest expense</t>
  </si>
  <si>
    <t>Income before income taxes</t>
  </si>
  <si>
    <t>Income tax expense</t>
  </si>
  <si>
    <t>Net income</t>
  </si>
  <si>
    <t>Assets</t>
  </si>
  <si>
    <t>Current assets</t>
  </si>
  <si>
    <t>Inventory</t>
  </si>
  <si>
    <t>Income tax receivable</t>
  </si>
  <si>
    <t>Prepaid expenses &amp; other</t>
  </si>
  <si>
    <t>Total current assets</t>
  </si>
  <si>
    <t>Property &amp; equipment, net</t>
  </si>
  <si>
    <t>Operating lease</t>
  </si>
  <si>
    <t>Goodwill</t>
  </si>
  <si>
    <t>Intangible assets</t>
  </si>
  <si>
    <t>Other</t>
  </si>
  <si>
    <t>Total assets</t>
  </si>
  <si>
    <t>Liabilities</t>
  </si>
  <si>
    <t>Current liabilities</t>
  </si>
  <si>
    <t>Current portion of long-term debt</t>
  </si>
  <si>
    <t>Current portion of operating lease</t>
  </si>
  <si>
    <t>Accounts payable</t>
  </si>
  <si>
    <t>Accrued expenses &amp; other</t>
  </si>
  <si>
    <t>Income taxes payable</t>
  </si>
  <si>
    <t>Total current liabilities</t>
  </si>
  <si>
    <t>Long-term debt</t>
  </si>
  <si>
    <t>Long-term operating lease</t>
  </si>
  <si>
    <t>Deferred income taxes</t>
  </si>
  <si>
    <t>Total liabilities</t>
  </si>
  <si>
    <t>Equity</t>
  </si>
  <si>
    <t>Enterprise value</t>
  </si>
  <si>
    <t>EPS</t>
  </si>
  <si>
    <t>Other income (expense)</t>
  </si>
  <si>
    <t>% Change</t>
  </si>
  <si>
    <t>Y/Y</t>
  </si>
  <si>
    <t>Gross profit margin</t>
  </si>
  <si>
    <t>Net profit margin</t>
  </si>
  <si>
    <t>Cost of goods ratio</t>
  </si>
  <si>
    <t>Current ratio</t>
  </si>
  <si>
    <t>Inventory turnover</t>
  </si>
  <si>
    <t>Quarterly inventory turnover</t>
  </si>
  <si>
    <t>XXXXXXXXX</t>
  </si>
  <si>
    <t>YoY</t>
  </si>
  <si>
    <t>QoQ</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</si>
</sst>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43" formatCode="_(* #,##0.00_);_(* \(#,##0.00\);_(* &quot;-&quot;??_);_(@_)"/>
    <numFmt numFmtId="164" formatCode="_(* #,##0_);_(* \(#,##0\);_(* &quot;-&quot;??_);_(@_)"/>
    <numFmt numFmtId="165" formatCode="_([$$-409]* #,##0.00_);_([$$-409]* \(#,##0.00\);_([$$-409]* &quot;-&quot;??_);_(@_)"/>
    <numFmt numFmtId="166" formatCode="_(* #,##0.0_);_(* \(#,##0.0\);_(* &quot;-&quot;??_);_(@_)"/>
    <numFmt numFmtId="167" formatCode="0.0%"/>
    <numFmt numFmtId="168" formatCode="_(* #,##0.000_);_(* \(#,##0.000\);_(* &quot;-&quot;??_);_(@_)"/>
  </numFmts>
  <fonts count="7" x14ac:knownFonts="1">
    <font>
      <sz val="11"/>
      <color theme="1"/>
      <name val="Calibri"/>
      <family val="2"/>
      <scheme val="minor"/>
    </font>
    <font>
      <sz val="10"/>
      <color theme="1"/>
      <name val="Arial"/>
      <family val="2"/>
    </font>
    <font>
      <b/>
      <sz val="10"/>
      <color theme="0"/>
      <name val="Arial"/>
      <family val="2"/>
    </font>
    <font>
      <sz val="10"/>
      <color theme="1"/>
      <name val="Arial"/>
      <family val="2"/>
    </font>
    <font>
      <sz val="11"/>
      <color theme="1"/>
      <name val="Calibri"/>
      <family val="2"/>
      <scheme val="minor"/>
    </font>
    <font>
      <b/>
      <sz val="10"/>
      <color theme="1"/>
      <name val="Arial"/>
      <family val="2"/>
    </font>
    <font>
      <u/>
      <sz val="10"/>
      <color theme="1"/>
      <name val="Arial"/>
      <family val="2"/>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4">
    <xf numFmtId="0" fontId="0" fillId="0" borderId="0"/>
    <xf numFmtId="43" fontId="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cellStyleXfs>
  <cellXfs count="25">
    <xf numFmtId="0" fontId="0" fillId="0" borderId="0" xfId="0"/>
    <xf numFmtId="14" fontId="2" fillId="2" borderId="0" xfId="0" applyNumberFormat="1" applyFont="1" applyFill="1" applyAlignment="1">
      <alignment horizontal="center" vertical="center"/>
    </xf>
    <xf numFmtId="0" fontId="3" fillId="0" borderId="0" xfId="0" applyFont="1"/>
    <xf numFmtId="0" fontId="2" fillId="2" borderId="0" xfId="0" applyFont="1" applyFill="1" applyAlignment="1">
      <alignment horizontal="center" vertical="center"/>
    </xf>
    <xf numFmtId="0" fontId="2" fillId="2" borderId="0" xfId="0" applyFont="1" applyFill="1" applyAlignment="1">
      <alignment vertical="center"/>
    </xf>
    <xf numFmtId="164" fontId="3" fillId="0" borderId="0" xfId="1" applyNumberFormat="1" applyFont="1"/>
    <xf numFmtId="0" fontId="2" fillId="2" borderId="0" xfId="0" applyFont="1" applyFill="1" applyAlignment="1">
      <alignment horizontal="center"/>
    </xf>
    <xf numFmtId="0" fontId="1" fillId="0" borderId="0" xfId="0" applyFont="1" applyAlignment="1">
      <alignment horizontal="left"/>
    </xf>
    <xf numFmtId="165" fontId="3" fillId="0" borderId="0" xfId="0" applyNumberFormat="1" applyFont="1"/>
    <xf numFmtId="0" fontId="1" fillId="0" borderId="0" xfId="0" applyFont="1"/>
    <xf numFmtId="0" fontId="5" fillId="0" borderId="0" xfId="0" applyFont="1"/>
    <xf numFmtId="0" fontId="1" fillId="0" borderId="0" xfId="0" applyFont="1" applyAlignment="1">
      <alignment horizontal="left" indent="1"/>
    </xf>
    <xf numFmtId="0" fontId="5" fillId="0" borderId="0" xfId="0" applyFont="1" applyAlignment="1">
      <alignment horizontal="left" indent="1"/>
    </xf>
    <xf numFmtId="0" fontId="5" fillId="0" borderId="0" xfId="0" applyFont="1" applyAlignment="1">
      <alignment horizontal="left" indent="2"/>
    </xf>
    <xf numFmtId="44" fontId="3" fillId="0" borderId="0" xfId="2" applyFont="1"/>
    <xf numFmtId="0" fontId="1" fillId="0" borderId="0" xfId="0" applyFont="1" applyAlignment="1">
      <alignment horizontal="left" indent="2"/>
    </xf>
    <xf numFmtId="0" fontId="5" fillId="0" borderId="0" xfId="0" applyFont="1" applyAlignment="1">
      <alignment horizontal="left" indent="3"/>
    </xf>
    <xf numFmtId="166" fontId="5" fillId="0" borderId="0" xfId="1" applyNumberFormat="1" applyFont="1"/>
    <xf numFmtId="166" fontId="3" fillId="0" borderId="0" xfId="1" applyNumberFormat="1" applyFont="1"/>
    <xf numFmtId="43" fontId="3" fillId="0" borderId="0" xfId="1" applyFont="1"/>
    <xf numFmtId="166" fontId="1" fillId="0" borderId="0" xfId="1" applyNumberFormat="1" applyFont="1"/>
    <xf numFmtId="167" fontId="6" fillId="0" borderId="0" xfId="3" applyNumberFormat="1" applyFont="1" applyAlignment="1">
      <alignment horizontal="center"/>
    </xf>
    <xf numFmtId="167" fontId="3" fillId="0" borderId="0" xfId="3" applyNumberFormat="1" applyFont="1"/>
    <xf numFmtId="168" fontId="3" fillId="0" borderId="0" xfId="1" applyNumberFormat="1" applyFont="1"/>
    <xf numFmtId="164" fontId="1" fillId="0" borderId="0" xfId="1" applyNumberFormat="1" applyFont="1" applyAlignment="1">
      <alignment horizontal="center"/>
    </xf>
  </cellXfs>
  <cellStyles count="4">
    <cellStyle name="Comma" xfId="1" builtinId="3"/>
    <cellStyle name="Currency" xfId="2" builtinId="4"/>
    <cellStyle name="Normal" xfId="0" builtinId="0"/>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ichStyles" Target="richData/richStyles.xml"/><Relationship Id="rId13" Type="http://schemas.openxmlformats.org/officeDocument/2006/relationships/calcChain" Target="calcChain.xml"/><Relationship Id="rId3" Type="http://schemas.openxmlformats.org/officeDocument/2006/relationships/styles" Target="styles.xml"/><Relationship Id="rId7" Type="http://schemas.microsoft.com/office/2017/06/relationships/rdRichValueStructure" Target="richData/rdrichvaluestructure.xml"/><Relationship Id="rId12" Type="http://schemas.microsoft.com/office/2017/10/relationships/person" Target="persons/person.xml"/><Relationship Id="rId17" Type="http://schemas.microsoft.com/office/2006/relationships/vbaProject" Target="vbaProject.bin"/><Relationship Id="rId2" Type="http://schemas.openxmlformats.org/officeDocument/2006/relationships/theme" Target="theme/theme1.xml"/><Relationship Id="rId16" Type="http://schemas.openxmlformats.org/officeDocument/2006/relationships/customXml" Target="../customXml/item3.xml"/><Relationship Id="rId1" Type="http://schemas.openxmlformats.org/officeDocument/2006/relationships/worksheet" Target="worksheets/sheet1.xml"/><Relationship Id="rId6" Type="http://schemas.microsoft.com/office/2017/06/relationships/rdRichValue" Target="richData/rdrichvalue.xml"/><Relationship Id="rId11" Type="http://schemas.microsoft.com/office/2017/06/relationships/rdRichValueTypes" Target="richData/rdRichValueTypes.xml"/><Relationship Id="rId5" Type="http://schemas.openxmlformats.org/officeDocument/2006/relationships/sheetMetadata" Target="metadata.xml"/><Relationship Id="rId15" Type="http://schemas.openxmlformats.org/officeDocument/2006/relationships/customXml" Target="../customXml/item2.xml"/><Relationship Id="rId10" Type="http://schemas.microsoft.com/office/2017/06/relationships/rdSupportingPropertyBag" Target="richData/rdsupportingpropertybag.xml"/><Relationship Id="rId4" Type="http://schemas.openxmlformats.org/officeDocument/2006/relationships/sharedStrings" Target="sharedStrings.xml"/><Relationship Id="rId9" Type="http://schemas.microsoft.com/office/2017/06/relationships/rdSupportingPropertyBagStructure" Target="richData/rdsupportingpropertybagstructure.xml"/><Relationship Id="rId14" Type="http://schemas.openxmlformats.org/officeDocument/2006/relationships/customXml" Target="../customXml/item1.xml"/></Relationships>
</file>

<file path=xl/persons/person.xml><?xml version="1.0" encoding="utf-8"?>
<personList xmlns="http://schemas.microsoft.com/office/spreadsheetml/2018/threadedcomments" xmlns:x="http://schemas.openxmlformats.org/spreadsheetml/2006/mai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3">
  <rv s="0">
    <v>https://www.bing.com/financeapi/forcetrigger?t=a1qyvh&amp;q=XNYS%3aDG&amp;form=skydnc</v>
    <v>Learn more on Bing</v>
  </rv>
  <rv s="1">
    <v>en-US</v>
    <v>a1qyvh</v>
    <v>268435456</v>
    <v>1</v>
    <v>Powered by Refinitiv</v>
    <v>0</v>
    <v>DOLLAR GENERAL CORPORATION (XNYS:DG)</v>
    <v>2</v>
    <v>3</v>
    <v>Finance</v>
    <v>4</v>
    <v>251</v>
    <v>101.09</v>
    <v>0.40229999999999999</v>
    <v>-0.73</v>
    <v>-5.4510000000000001E-3</v>
    <v>USD</v>
    <v>Dollar General Corporation is a discount retailer. The Company offers merchandise, including consumable items, seasonal items, home products and apparel. Its merchandise includes brands from manufacturers, as well as its own private brand selections with prices at discounts to brands. Its consumables category includes paper and cleaning products, packaged food, perishables, snacks, health and beauty, pet, and tobacco products. Its seasonal products include holiday items, toys, batteries, small electronics, greeting cards, stationery, prepaid phones and accessories, gardening supplies, hardware, automotive and home office supplies. Its home products include kitchen supplies, cookware, small appliances, light bulbs, storage containers, frames, candles, craft supplies and kitchen, bed and bath soft goods. The Company’s apparel products include casual everyday apparel for infants, toddlers, girls, boys, women and men, as well as socks, underwear, disposable diapers, shoes and accessories.</v>
    <v>170000</v>
    <v>New York Stock Exchange</v>
    <v>XNYS</v>
    <v>XNYS</v>
    <v>100 Mission Ridge, GOODLETTSVILLE, TN, 37072-2171 US</v>
    <v>139.79</v>
    <v>Diversified Retail</v>
    <v>Stock</v>
    <v>45267.80190521953</v>
    <v>0</v>
    <v>130.75</v>
    <v>29232075035</v>
    <v>DOLLAR GENERAL CORPORATION</v>
    <v>DOLLAR GENERAL CORPORATION</v>
    <v>139.22</v>
    <v>13.7258</v>
    <v>133.91999999999999</v>
    <v>133.19</v>
    <v>219476500</v>
    <v>DG</v>
    <v>DOLLAR GENERAL CORPORATION (XNYS:DG)</v>
    <v>5618241</v>
    <v>2526333</v>
    <v>1998</v>
  </rv>
  <rv s="2">
    <v>1</v>
  </rv>
</rvData>
</file>

<file path=xl/richData/rdrichvaluestructure.xml><?xml version="1.0" encoding="utf-8"?>
<rvStructures xmlns="http://schemas.microsoft.com/office/spreadsheetml/2017/richdata" count="3">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rvStructures>
</file>

<file path=xl/richData/rdsupportingpropertybag.xml><?xml version="1.0" encoding="utf-8"?>
<supportingPropertyBags xmlns="http://schemas.microsoft.com/office/spreadsheetml/2017/richdata2">
  <spbArrays count="1">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5">
    <spb s="0">
      <v>0</v>
      <v>Name</v>
      <v>LearnMoreOnLink</v>
    </spb>
    <spb s="1">
      <v>0</v>
      <v>0</v>
      <v>0</v>
    </spb>
    <spb s="2">
      <v>1</v>
      <v>1</v>
      <v>1</v>
      <v>1</v>
    </spb>
    <spb s="3">
      <v>1</v>
      <v>2</v>
      <v>2</v>
      <v>1</v>
      <v>3</v>
      <v>1</v>
      <v>1</v>
      <v>1</v>
      <v>4</v>
      <v>4</v>
      <v>5</v>
      <v>6</v>
      <v>1</v>
      <v>1</v>
      <v>1</v>
      <v>4</v>
      <v>7</v>
      <v>8</v>
      <v>9</v>
      <v>4</v>
    </spb>
    <spb s="4">
      <v>Real-Time Nasdaq Last Sale</v>
      <v>from previous close</v>
      <v>from previous close</v>
      <v>Source: Nasdaq Last Sale</v>
      <v>GMT</v>
    </spb>
  </spbData>
</supportingPropertyBags>
</file>

<file path=xl/richData/rdsupportingpropertybagstructure.xml><?xml version="1.0" encoding="utf-8"?>
<spbStructures xmlns="http://schemas.microsoft.com/office/spreadsheetml/2017/richdata2" count="5">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14" formatCode="0.00%"/>
    </x:dxf>
    <x:dxf>
      <x:numFmt numFmtId="3" formatCode="#,##0"/>
    </x:dxf>
    <x:dxf>
      <x:numFmt numFmtId="27" formatCode="m/d/yyyy\ h:mm"/>
    </x:dxf>
    <x:dxf>
      <x:numFmt numFmtId="4" formatCode="#,##0.00"/>
    </x:dxf>
    <x:dxf>
      <x:numFmt numFmtId="1" formatCode="0"/>
    </x:dxf>
  </dxfs>
  <richProperties>
    <rPr n="NumberFormat" t="s"/>
    <rPr n="IsTitleField" t="b"/>
  </richProperties>
  <richStyles>
    <rSty dxfid="1">
      <rpv i="0">_([$$-en-US]* #,##0.00_);_([$$-en-US]* (#,##0.00);_([$$-en-US]* "-"??_);_(@_)</rpv>
    </rSty>
    <rSty dxfid="5">
      <rpv i="0">#,##0.00</rpv>
    </rSty>
    <rSty>
      <rpv i="1">1</rpv>
    </rSty>
    <rSty dxfid="3">
      <rpv i="0">#,##0</rpv>
    </rSty>
    <rSty dxfid="2"/>
    <rSty dxfid="1">
      <rpv i="0">_([$$-en-US]* #,##0_);_([$$-en-US]* (#,##0);_([$$-en-US]* "-"_);_(@_)</rpv>
    </rSty>
    <rSty dxfid="4"/>
    <rSty dxfid="6">
      <rpv i="0">0</rpv>
    </rSty>
    <rSty dxfid="0">
      <rpv i="0">0.00</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0667A-8B3A-43F8-9127-2CCF9535A020}">
  <dimension ref="A1:AM60"/>
  <sheetViews>
    <sheetView tabSelected="1" topLeftCell="A37" zoomScale="125" zoomScaleNormal="125" workbookViewId="0">
      <pane xSplit="1" topLeftCell="T1" activePane="topRight" state="frozen"/>
      <selection pane="topRight" activeCell="Z56" sqref="Z56"/>
    </sheetView>
  </sheetViews>
  <sheetFormatPr defaultColWidth="12.73046875" defaultRowHeight="12.75" x14ac:dyDescent="0.35"/>
  <cols>
    <col min="1" max="1" width="42.73046875" style="2" customWidth="1"/>
    <col min="2" max="14" width="12.73046875" style="5" customWidth="1"/>
    <col min="15" max="15" width="10.73046875" style="5" hidden="1" customWidth="1"/>
    <col min="16" max="16" width="12.73046875" style="5" customWidth="1"/>
    <col min="17" max="17" width="10.73046875" style="5" hidden="1" customWidth="1"/>
    <col min="18" max="18" width="12.73046875" style="5" customWidth="1"/>
    <col min="19" max="19" width="10.73046875" style="5" hidden="1" customWidth="1"/>
    <col min="20" max="20" width="12.73046875" style="5" customWidth="1"/>
    <col min="21" max="21" width="10.73046875" style="5" hidden="1" customWidth="1"/>
    <col min="22" max="22" width="12.73046875" style="5" customWidth="1"/>
    <col min="23" max="23" width="10.73046875" style="5" hidden="1" customWidth="1"/>
    <col min="24" max="24" width="12.73046875" style="5" customWidth="1"/>
    <col min="25" max="25" width="10.73046875" style="5" hidden="1" customWidth="1"/>
    <col min="26" max="26" width="12.73046875" style="5"/>
    <col min="27" max="28" width="10.59765625" style="5" customWidth="1"/>
    <col min="29" max="16384" width="12.73046875" style="5"/>
  </cols>
  <sheetData>
    <row r="1" spans="1:39" s="6" customFormat="1" ht="15" customHeight="1" x14ac:dyDescent="0.4">
      <c r="A1" s="4" t="s">
        <v>1</v>
      </c>
      <c r="B1" s="1">
        <f t="shared" ref="B1:J1" si="0">C1-91</f>
        <v>43952</v>
      </c>
      <c r="C1" s="1">
        <f t="shared" si="0"/>
        <v>44043</v>
      </c>
      <c r="D1" s="1">
        <f t="shared" si="0"/>
        <v>44134</v>
      </c>
      <c r="E1" s="1">
        <f t="shared" si="0"/>
        <v>44225</v>
      </c>
      <c r="F1" s="1">
        <f t="shared" si="0"/>
        <v>44316</v>
      </c>
      <c r="G1" s="1">
        <f t="shared" si="0"/>
        <v>44407</v>
      </c>
      <c r="H1" s="1">
        <f t="shared" si="0"/>
        <v>44498</v>
      </c>
      <c r="I1" s="1">
        <v>44589</v>
      </c>
      <c r="J1" s="1">
        <f t="shared" si="0"/>
        <v>44316</v>
      </c>
      <c r="K1" s="1">
        <f t="shared" ref="K1:M1" si="1">L1-91</f>
        <v>44407</v>
      </c>
      <c r="L1" s="1">
        <f t="shared" si="1"/>
        <v>44498</v>
      </c>
      <c r="M1" s="1">
        <f t="shared" si="1"/>
        <v>44589</v>
      </c>
      <c r="N1" s="1">
        <f>P1-91</f>
        <v>44680</v>
      </c>
      <c r="O1" s="1" t="s">
        <v>68</v>
      </c>
      <c r="P1" s="1">
        <f>R1-91</f>
        <v>44771</v>
      </c>
      <c r="Q1" s="1" t="s">
        <v>68</v>
      </c>
      <c r="R1" s="1">
        <v>44862</v>
      </c>
      <c r="S1" s="1" t="s">
        <v>68</v>
      </c>
      <c r="T1" s="1">
        <f>V1-91</f>
        <v>44960</v>
      </c>
      <c r="U1" s="1" t="s">
        <v>68</v>
      </c>
      <c r="V1" s="1">
        <v>45051</v>
      </c>
      <c r="W1" s="1" t="s">
        <v>68</v>
      </c>
      <c r="X1" s="1">
        <f>V1+91</f>
        <v>45142</v>
      </c>
      <c r="Y1" s="1" t="s">
        <v>68</v>
      </c>
      <c r="Z1" s="1">
        <v>45233</v>
      </c>
      <c r="AA1" s="1" t="s">
        <v>68</v>
      </c>
      <c r="AB1" s="1" t="s">
        <v>68</v>
      </c>
      <c r="AC1" s="3"/>
      <c r="AD1" s="3"/>
      <c r="AE1" s="3"/>
      <c r="AF1" s="3"/>
      <c r="AG1" s="3"/>
      <c r="AH1" s="3"/>
      <c r="AI1" s="3"/>
      <c r="AJ1" s="3"/>
      <c r="AK1" s="3"/>
      <c r="AL1" s="3"/>
      <c r="AM1" s="3"/>
    </row>
    <row r="2" spans="1:39" s="6" customFormat="1" ht="15" customHeight="1" x14ac:dyDescent="0.4">
      <c r="A2" s="4" t="s">
        <v>0</v>
      </c>
      <c r="B2" s="3" t="s">
        <v>2</v>
      </c>
      <c r="C2" s="3" t="s">
        <v>3</v>
      </c>
      <c r="D2" s="3" t="s">
        <v>4</v>
      </c>
      <c r="E2" s="3" t="s">
        <v>5</v>
      </c>
      <c r="F2" s="3" t="s">
        <v>6</v>
      </c>
      <c r="G2" s="3" t="s">
        <v>7</v>
      </c>
      <c r="H2" s="3" t="s">
        <v>8</v>
      </c>
      <c r="I2" s="3" t="s">
        <v>9</v>
      </c>
      <c r="J2" s="3" t="s">
        <v>10</v>
      </c>
      <c r="K2" s="3" t="s">
        <v>11</v>
      </c>
      <c r="L2" s="3" t="s">
        <v>12</v>
      </c>
      <c r="M2" s="3" t="s">
        <v>13</v>
      </c>
      <c r="N2" s="3" t="s">
        <v>14</v>
      </c>
      <c r="O2" s="3" t="s">
        <v>69</v>
      </c>
      <c r="P2" s="3" t="s">
        <v>15</v>
      </c>
      <c r="Q2" s="3" t="s">
        <v>69</v>
      </c>
      <c r="R2" s="3" t="s">
        <v>16</v>
      </c>
      <c r="S2" s="3" t="s">
        <v>69</v>
      </c>
      <c r="T2" s="3" t="s">
        <v>17</v>
      </c>
      <c r="U2" s="3" t="s">
        <v>69</v>
      </c>
      <c r="V2" s="3" t="s">
        <v>18</v>
      </c>
      <c r="W2" s="3" t="s">
        <v>69</v>
      </c>
      <c r="X2" s="3" t="s">
        <v>19</v>
      </c>
      <c r="Y2" s="3" t="s">
        <v>69</v>
      </c>
      <c r="Z2" s="3" t="s">
        <v>20</v>
      </c>
      <c r="AA2" s="3" t="s">
        <v>77</v>
      </c>
      <c r="AB2" s="3" t="s">
        <v>78</v>
      </c>
      <c r="AC2" s="3" t="s">
        <v>21</v>
      </c>
      <c r="AD2" s="3" t="s">
        <v>22</v>
      </c>
      <c r="AE2" s="3" t="s">
        <v>23</v>
      </c>
      <c r="AF2" s="3" t="s">
        <v>24</v>
      </c>
      <c r="AG2" s="3" t="s">
        <v>25</v>
      </c>
      <c r="AH2" s="3"/>
      <c r="AI2" s="3"/>
      <c r="AJ2" s="3"/>
      <c r="AK2" s="3"/>
      <c r="AL2" s="3"/>
      <c r="AM2" s="3"/>
    </row>
    <row r="3" spans="1:39" x14ac:dyDescent="0.35">
      <c r="A3" s="7" t="e" vm="1">
        <v>#VALUE!</v>
      </c>
    </row>
    <row r="4" spans="1:39" x14ac:dyDescent="0.35">
      <c r="A4" s="8" cm="1">
        <f t="array" ref="A4">_FV(A3,"Price")</f>
        <v>133.19</v>
      </c>
    </row>
    <row r="5" spans="1:39" s="14" customFormat="1" x14ac:dyDescent="0.35">
      <c r="A5" s="9" t="s">
        <v>26</v>
      </c>
      <c r="B5" s="14">
        <v>120.81</v>
      </c>
      <c r="C5" s="14">
        <v>128.11000000000001</v>
      </c>
      <c r="D5" s="14">
        <v>156.87</v>
      </c>
      <c r="E5" s="14">
        <v>153.06</v>
      </c>
      <c r="F5" s="14">
        <v>170.07</v>
      </c>
      <c r="G5" s="14">
        <v>187.05</v>
      </c>
      <c r="H5" s="14">
        <v>205.65</v>
      </c>
      <c r="I5" s="14">
        <v>190.82</v>
      </c>
      <c r="J5" s="14">
        <v>211</v>
      </c>
      <c r="K5" s="14">
        <v>229.03</v>
      </c>
      <c r="L5" s="14">
        <v>218.5</v>
      </c>
      <c r="M5" s="14">
        <v>206.08</v>
      </c>
      <c r="N5" s="14">
        <v>235.39</v>
      </c>
      <c r="O5" s="21">
        <f>(N5-J5)/J5</f>
        <v>0.11559241706161132</v>
      </c>
      <c r="P5" s="14">
        <v>246.64</v>
      </c>
      <c r="Q5" s="21">
        <f>(P5-K5)/K5</f>
        <v>7.6889490459765036E-2</v>
      </c>
      <c r="R5" s="14">
        <v>260.27999999999997</v>
      </c>
      <c r="S5" s="21">
        <f>(R5-L5)/L5</f>
        <v>0.19121281464530879</v>
      </c>
      <c r="T5" s="14">
        <v>227.52</v>
      </c>
      <c r="U5" s="21">
        <f>(T5-M5)/M5</f>
        <v>0.10403726708074533</v>
      </c>
      <c r="V5" s="14">
        <v>218.98</v>
      </c>
      <c r="W5" s="21">
        <f>(V5-N5)/N5</f>
        <v>-6.9714091507710602E-2</v>
      </c>
      <c r="X5" s="14">
        <v>167.77</v>
      </c>
      <c r="Y5" s="21">
        <f>(X5-P5)/P5</f>
        <v>-0.31977781381770992</v>
      </c>
      <c r="Z5" s="14">
        <v>119.24</v>
      </c>
      <c r="AA5" s="21">
        <f>(Z5-R5)/R5</f>
        <v>-0.54187797756262479</v>
      </c>
      <c r="AB5" s="21">
        <f>(Z5-X5)/X5</f>
        <v>-0.28926506526792639</v>
      </c>
    </row>
    <row r="6" spans="1:39" s="18" customFormat="1" x14ac:dyDescent="0.35">
      <c r="A6" s="7" t="s">
        <v>27</v>
      </c>
      <c r="B6" s="18">
        <v>260.26499999999999</v>
      </c>
      <c r="C6" s="18">
        <v>259.10000000000002</v>
      </c>
      <c r="D6" s="18">
        <v>257.7</v>
      </c>
      <c r="E6" s="18">
        <v>258.10000000000002</v>
      </c>
      <c r="F6" s="18">
        <v>253.62</v>
      </c>
      <c r="G6" s="18">
        <v>252.2</v>
      </c>
      <c r="H6" s="18">
        <v>249.1</v>
      </c>
      <c r="I6" s="18">
        <v>250.1</v>
      </c>
      <c r="J6" s="18">
        <v>240.3</v>
      </c>
      <c r="K6" s="18">
        <v>236.4</v>
      </c>
      <c r="L6" s="18">
        <v>234</v>
      </c>
      <c r="M6" s="18">
        <v>235.81</v>
      </c>
      <c r="N6" s="18">
        <v>229.6</v>
      </c>
      <c r="O6" s="21">
        <f t="shared" ref="O6:O59" si="2">(N6-J6)/J6</f>
        <v>-4.4527673741156959E-2</v>
      </c>
      <c r="P6" s="18">
        <v>227.5</v>
      </c>
      <c r="Q6" s="21">
        <f>(P6-K6)/K6</f>
        <v>-3.7648054145516099E-2</v>
      </c>
      <c r="R6" s="18">
        <v>225.7</v>
      </c>
      <c r="S6" s="21">
        <f>(R6-L6)/L6</f>
        <v>-3.5470085470085518E-2</v>
      </c>
      <c r="T6" s="18">
        <v>226.3</v>
      </c>
      <c r="U6" s="21">
        <f>(T6-M6)/M6</f>
        <v>-4.0329078495398796E-2</v>
      </c>
      <c r="V6" s="18">
        <v>220.1</v>
      </c>
      <c r="W6" s="21">
        <f>(V6-N6)/N6</f>
        <v>-4.1376306620209059E-2</v>
      </c>
      <c r="X6" s="18">
        <v>219.952</v>
      </c>
      <c r="Y6" s="21">
        <f>(X6-P6)/P6</f>
        <v>-3.3178021978021985E-2</v>
      </c>
      <c r="Z6" s="18">
        <v>219.8</v>
      </c>
      <c r="AA6" s="21">
        <f t="shared" ref="AA6:AA60" si="3">(Z6-R6)/R6</f>
        <v>-2.6140894993353911E-2</v>
      </c>
      <c r="AB6" s="21">
        <f t="shared" ref="AB6:AB60" si="4">(Z6-X6)/X6</f>
        <v>-6.9105986760741804E-4</v>
      </c>
    </row>
    <row r="7" spans="1:39" s="18" customFormat="1" x14ac:dyDescent="0.35">
      <c r="A7" s="9" t="s">
        <v>28</v>
      </c>
      <c r="B7" s="18">
        <f>B5*B6</f>
        <v>31442.61465</v>
      </c>
      <c r="C7" s="18">
        <f>C5*C6</f>
        <v>33193.301000000007</v>
      </c>
      <c r="D7" s="18">
        <f t="shared" ref="D7" si="5">D5*D6</f>
        <v>40425.398999999998</v>
      </c>
      <c r="E7" s="18">
        <f t="shared" ref="E7" si="6">E5*E6</f>
        <v>39504.786000000007</v>
      </c>
      <c r="F7" s="18">
        <f t="shared" ref="F7" si="7">F5*F6</f>
        <v>43133.153399999996</v>
      </c>
      <c r="G7" s="18">
        <f t="shared" ref="G7" si="8">G5*G6</f>
        <v>47174.01</v>
      </c>
      <c r="H7" s="18">
        <f t="shared" ref="H7" si="9">H5*H6</f>
        <v>51227.415000000001</v>
      </c>
      <c r="I7" s="18">
        <f t="shared" ref="I7" si="10">I5*I6</f>
        <v>47724.081999999995</v>
      </c>
      <c r="J7" s="18">
        <f>J5*J6</f>
        <v>50703.3</v>
      </c>
      <c r="K7" s="18">
        <f t="shared" ref="K7" si="11">K5*K6</f>
        <v>54142.692000000003</v>
      </c>
      <c r="L7" s="18">
        <f t="shared" ref="L7" si="12">L5*L6</f>
        <v>51129</v>
      </c>
      <c r="M7" s="18">
        <f t="shared" ref="M7" si="13">M5*M6</f>
        <v>48595.724800000004</v>
      </c>
      <c r="N7" s="18">
        <f t="shared" ref="N7" si="14">N5*N6</f>
        <v>54045.543999999994</v>
      </c>
      <c r="O7" s="21">
        <f t="shared" si="2"/>
        <v>6.5917681886583146E-2</v>
      </c>
      <c r="P7" s="18">
        <f t="shared" ref="P7:AG7" si="15">P5*P6</f>
        <v>56110.6</v>
      </c>
      <c r="Q7" s="21">
        <f>(P7-K7)/K7</f>
        <v>3.6346696614198565E-2</v>
      </c>
      <c r="R7" s="18">
        <f t="shared" si="15"/>
        <v>58745.195999999989</v>
      </c>
      <c r="S7" s="21">
        <f>(R7-L7)/L7</f>
        <v>0.14896039429677851</v>
      </c>
      <c r="T7" s="18">
        <f t="shared" si="15"/>
        <v>51487.776000000005</v>
      </c>
      <c r="U7" s="21">
        <f>(T7-M7)/M7</f>
        <v>5.9512461474800382E-2</v>
      </c>
      <c r="V7" s="18">
        <f t="shared" si="15"/>
        <v>48197.498</v>
      </c>
      <c r="W7" s="21">
        <f>(V7-N7)/N7</f>
        <v>-0.10820588650194723</v>
      </c>
      <c r="X7" s="18">
        <f t="shared" si="15"/>
        <v>36901.347040000001</v>
      </c>
      <c r="Y7" s="21">
        <f>(X7-P7)/P7</f>
        <v>-0.3423462404608042</v>
      </c>
      <c r="Z7" s="18">
        <f t="shared" si="15"/>
        <v>26208.952000000001</v>
      </c>
      <c r="AA7" s="21">
        <f t="shared" si="3"/>
        <v>-0.5538536972453032</v>
      </c>
      <c r="AB7" s="21">
        <f t="shared" si="4"/>
        <v>-0.28975622565782627</v>
      </c>
      <c r="AC7" s="18">
        <f t="shared" si="15"/>
        <v>0</v>
      </c>
      <c r="AD7" s="18">
        <f t="shared" si="15"/>
        <v>0</v>
      </c>
      <c r="AE7" s="18">
        <f t="shared" si="15"/>
        <v>0</v>
      </c>
      <c r="AF7" s="18">
        <f t="shared" si="15"/>
        <v>0</v>
      </c>
      <c r="AG7" s="18">
        <f t="shared" si="15"/>
        <v>0</v>
      </c>
    </row>
    <row r="8" spans="1:39" s="18" customFormat="1" x14ac:dyDescent="0.35">
      <c r="A8" s="9" t="s">
        <v>29</v>
      </c>
      <c r="B8" s="18">
        <f>B26</f>
        <v>271.10000000000002</v>
      </c>
      <c r="C8" s="18">
        <f t="shared" ref="C8:N8" si="16">C26</f>
        <v>259.60000000000002</v>
      </c>
      <c r="D8" s="18">
        <f t="shared" si="16"/>
        <v>276.10000000000002</v>
      </c>
      <c r="E8" s="18">
        <f t="shared" si="16"/>
        <v>240.3</v>
      </c>
      <c r="F8" s="18">
        <f t="shared" si="16"/>
        <v>2673.9</v>
      </c>
      <c r="G8" s="18">
        <f t="shared" si="16"/>
        <v>2959.6</v>
      </c>
      <c r="H8" s="18">
        <f t="shared" si="16"/>
        <v>2199.44</v>
      </c>
      <c r="I8" s="18">
        <f t="shared" si="16"/>
        <v>1376.6</v>
      </c>
      <c r="J8" s="18">
        <f t="shared" si="16"/>
        <v>688.1</v>
      </c>
      <c r="K8" s="18">
        <f t="shared" si="16"/>
        <v>313.666</v>
      </c>
      <c r="L8" s="18">
        <f t="shared" si="16"/>
        <v>488.7</v>
      </c>
      <c r="M8" s="18">
        <f t="shared" si="16"/>
        <v>344.82</v>
      </c>
      <c r="N8" s="18">
        <f t="shared" si="16"/>
        <v>335.6</v>
      </c>
      <c r="O8" s="21">
        <f t="shared" si="2"/>
        <v>-0.51228019183258244</v>
      </c>
      <c r="P8" s="18">
        <f>P26</f>
        <v>326.3</v>
      </c>
      <c r="Q8" s="21">
        <f>(P8-K8)/K8</f>
        <v>4.0278512812992211E-2</v>
      </c>
      <c r="R8" s="18">
        <f>R26</f>
        <v>362.73</v>
      </c>
      <c r="S8" s="21">
        <f>(R8-L8)/L8</f>
        <v>-0.25776550030693673</v>
      </c>
      <c r="T8" s="18">
        <f>T26</f>
        <v>381.6</v>
      </c>
      <c r="U8" s="21">
        <f>(T8-M8)/M8</f>
        <v>0.10666434661562563</v>
      </c>
      <c r="V8" s="18">
        <f>V26</f>
        <v>313.10000000000002</v>
      </c>
      <c r="W8" s="21">
        <f>(V8-N8)/N8</f>
        <v>-6.7044100119189501E-2</v>
      </c>
      <c r="X8" s="18">
        <f t="shared" ref="X8:AG8" si="17">X26</f>
        <v>353</v>
      </c>
      <c r="Y8" s="21">
        <f>(X8-P8)/P8</f>
        <v>8.1826539993870628E-2</v>
      </c>
      <c r="Z8" s="18">
        <f t="shared" si="17"/>
        <v>365.447</v>
      </c>
      <c r="AA8" s="21">
        <f t="shared" si="3"/>
        <v>7.490419871529745E-3</v>
      </c>
      <c r="AB8" s="21">
        <f t="shared" si="4"/>
        <v>3.5260623229461767E-2</v>
      </c>
      <c r="AC8" s="18">
        <f t="shared" si="17"/>
        <v>0</v>
      </c>
      <c r="AD8" s="18">
        <f t="shared" si="17"/>
        <v>0</v>
      </c>
      <c r="AE8" s="18">
        <f t="shared" si="17"/>
        <v>0</v>
      </c>
      <c r="AF8" s="18">
        <f t="shared" si="17"/>
        <v>0</v>
      </c>
      <c r="AG8" s="18">
        <f t="shared" si="17"/>
        <v>0</v>
      </c>
    </row>
    <row r="9" spans="1:39" s="18" customFormat="1" x14ac:dyDescent="0.35">
      <c r="A9" s="9" t="s">
        <v>30</v>
      </c>
      <c r="B9" s="18">
        <f>B40+B46</f>
        <v>2732.65</v>
      </c>
      <c r="C9" s="18">
        <f t="shared" ref="C9:N9" si="18">C40+C46</f>
        <v>2574.0500000000002</v>
      </c>
      <c r="D9" s="18">
        <f t="shared" si="18"/>
        <v>2763.05</v>
      </c>
      <c r="E9" s="18">
        <f t="shared" si="18"/>
        <v>2911.9500000000003</v>
      </c>
      <c r="F9" s="18">
        <f t="shared" si="18"/>
        <v>3967.7999999999997</v>
      </c>
      <c r="G9" s="18">
        <f t="shared" si="18"/>
        <v>4089</v>
      </c>
      <c r="H9" s="18">
        <f t="shared" si="18"/>
        <v>4131.6000000000004</v>
      </c>
      <c r="I9" s="18">
        <f t="shared" si="18"/>
        <v>4130.9755999999998</v>
      </c>
      <c r="J9" s="18">
        <f t="shared" si="18"/>
        <v>4130.7</v>
      </c>
      <c r="K9" s="18">
        <f t="shared" si="18"/>
        <v>4156.8</v>
      </c>
      <c r="L9" s="18">
        <f t="shared" si="18"/>
        <v>4127.42</v>
      </c>
      <c r="M9" s="18">
        <f t="shared" si="18"/>
        <v>4172.1000000000004</v>
      </c>
      <c r="N9" s="18">
        <f t="shared" si="18"/>
        <v>4848.1000000000004</v>
      </c>
      <c r="O9" s="21">
        <f t="shared" si="2"/>
        <v>0.17367516401578439</v>
      </c>
      <c r="P9" s="18">
        <f>P40+P46</f>
        <v>5191.3</v>
      </c>
      <c r="Q9" s="21">
        <f>(P9-K9)/K9</f>
        <v>0.24886932255581215</v>
      </c>
      <c r="R9" s="18">
        <f>R40+R46</f>
        <v>5985.7</v>
      </c>
      <c r="S9" s="21">
        <f>(R9-L9)/L9</f>
        <v>0.45022798745947823</v>
      </c>
      <c r="T9" s="18">
        <f>T40+T46</f>
        <v>7009.4</v>
      </c>
      <c r="U9" s="21">
        <f>(T9-M9)/M9</f>
        <v>0.68006519498573836</v>
      </c>
      <c r="V9" s="18">
        <f>V40+V46</f>
        <v>7278.8</v>
      </c>
      <c r="W9" s="21">
        <f>(V9-N9)/N9</f>
        <v>0.50137167137641547</v>
      </c>
      <c r="X9" s="18">
        <f t="shared" ref="X9:AG9" si="19">X40+X46</f>
        <v>7295.2</v>
      </c>
      <c r="Y9" s="21">
        <f>(X9-P9)/P9</f>
        <v>0.40527420877236908</v>
      </c>
      <c r="Z9" s="18">
        <f t="shared" si="19"/>
        <v>7190.84</v>
      </c>
      <c r="AA9" s="21">
        <f t="shared" si="3"/>
        <v>0.20133651870290867</v>
      </c>
      <c r="AB9" s="21">
        <f t="shared" si="4"/>
        <v>-1.430529663340274E-2</v>
      </c>
      <c r="AC9" s="18">
        <f t="shared" si="19"/>
        <v>0</v>
      </c>
      <c r="AD9" s="18">
        <f t="shared" si="19"/>
        <v>0</v>
      </c>
      <c r="AE9" s="18">
        <f t="shared" si="19"/>
        <v>0</v>
      </c>
      <c r="AF9" s="18">
        <f t="shared" si="19"/>
        <v>0</v>
      </c>
      <c r="AG9" s="18">
        <f t="shared" si="19"/>
        <v>0</v>
      </c>
    </row>
    <row r="10" spans="1:39" x14ac:dyDescent="0.35">
      <c r="O10" s="21"/>
      <c r="Q10" s="21"/>
      <c r="S10" s="21"/>
      <c r="U10" s="21"/>
      <c r="W10" s="21"/>
      <c r="Y10" s="21"/>
      <c r="AA10" s="21"/>
      <c r="AB10" s="21"/>
    </row>
    <row r="11" spans="1:39" s="17" customFormat="1" ht="13.15" x14ac:dyDescent="0.4">
      <c r="A11" s="10" t="s">
        <v>31</v>
      </c>
      <c r="B11" s="17">
        <v>6623.2</v>
      </c>
      <c r="C11" s="17">
        <v>6981.8</v>
      </c>
      <c r="D11" s="17">
        <v>6991.4</v>
      </c>
      <c r="E11" s="17">
        <f>27753.97-D11-C11-B11</f>
        <v>7157.5700000000006</v>
      </c>
      <c r="F11" s="17">
        <v>8448.4</v>
      </c>
      <c r="G11" s="17">
        <v>8684.2000000000007</v>
      </c>
      <c r="H11" s="17">
        <v>8199.6200000000008</v>
      </c>
      <c r="I11" s="17">
        <f>33746.8-H11-G11-F11</f>
        <v>8414.58</v>
      </c>
      <c r="J11" s="17">
        <v>8400.9599999999991</v>
      </c>
      <c r="K11" s="17">
        <v>8650.2000000000007</v>
      </c>
      <c r="L11" s="17">
        <v>8517.7999999999993</v>
      </c>
      <c r="M11" s="17">
        <f>34220.44-L11-K11-J11</f>
        <v>8651.4800000000032</v>
      </c>
      <c r="N11" s="17">
        <v>8751.4</v>
      </c>
      <c r="O11" s="21">
        <f t="shared" si="2"/>
        <v>4.1714280272730803E-2</v>
      </c>
      <c r="P11" s="17">
        <v>9425.7000000000007</v>
      </c>
      <c r="Q11" s="21">
        <f>(P11-K11)/K11</f>
        <v>8.9651106332801545E-2</v>
      </c>
      <c r="R11" s="17">
        <v>9464.9</v>
      </c>
      <c r="S11" s="21">
        <f>(R11-L11)/L11</f>
        <v>0.1111906830402217</v>
      </c>
      <c r="T11" s="17">
        <f>37844.9-R11-P11-N11</f>
        <v>10202.9</v>
      </c>
      <c r="U11" s="21">
        <f>(T11-M11)/M11</f>
        <v>0.17932423122980068</v>
      </c>
      <c r="V11" s="17">
        <v>9342.83</v>
      </c>
      <c r="W11" s="21">
        <f>(V11-N11)/N11</f>
        <v>6.7581187010078425E-2</v>
      </c>
      <c r="X11" s="17">
        <v>9796.2000000000007</v>
      </c>
      <c r="Y11" s="21">
        <f>(X11-P11)/P11</f>
        <v>3.9307425443203155E-2</v>
      </c>
      <c r="Z11" s="17">
        <v>9694.1</v>
      </c>
      <c r="AA11" s="21">
        <f t="shared" si="3"/>
        <v>2.4215786748935618E-2</v>
      </c>
      <c r="AB11" s="21">
        <f t="shared" si="4"/>
        <v>-1.0422408689083559E-2</v>
      </c>
    </row>
    <row r="12" spans="1:39" s="17" customFormat="1" ht="13.15" x14ac:dyDescent="0.4">
      <c r="A12" s="10" t="s">
        <v>32</v>
      </c>
      <c r="B12" s="17">
        <v>4620.8999999999996</v>
      </c>
      <c r="C12" s="17">
        <v>4832.8</v>
      </c>
      <c r="D12" s="17">
        <v>4926.3</v>
      </c>
      <c r="E12" s="17">
        <f>19264.91-D12-C12-B12</f>
        <v>4884.9100000000017</v>
      </c>
      <c r="F12" s="17">
        <v>5852.8</v>
      </c>
      <c r="G12" s="17">
        <v>5866</v>
      </c>
      <c r="H12" s="17">
        <v>5631.4</v>
      </c>
      <c r="I12" s="17">
        <f>23027.98-H12-G12-F12</f>
        <v>5677.7800000000016</v>
      </c>
      <c r="J12" s="17">
        <v>5645.3</v>
      </c>
      <c r="K12" s="17">
        <v>5912.53</v>
      </c>
      <c r="L12" s="17">
        <v>5898.4</v>
      </c>
      <c r="M12" s="17">
        <f>23407.44-L12-K12-J12</f>
        <v>5951.2100000000019</v>
      </c>
      <c r="N12" s="17">
        <v>6012.99</v>
      </c>
      <c r="O12" s="21">
        <f t="shared" si="2"/>
        <v>6.5132056755176804E-2</v>
      </c>
      <c r="P12" s="17">
        <v>6377.5</v>
      </c>
      <c r="Q12" s="21">
        <f>(P12-K12)/K12</f>
        <v>7.864146143867351E-2</v>
      </c>
      <c r="R12" s="17">
        <v>6579.7</v>
      </c>
      <c r="S12" s="21">
        <f>(R12-L12)/L12</f>
        <v>0.11550589990505904</v>
      </c>
      <c r="T12" s="17">
        <f>26024.8-R12-P12-N12</f>
        <v>7054.6099999999988</v>
      </c>
      <c r="U12" s="21">
        <f>(T12-M12)/M12</f>
        <v>0.18540767339751019</v>
      </c>
      <c r="V12" s="17">
        <v>6387.4</v>
      </c>
      <c r="W12" s="21">
        <f>(V12-N12)/N12</f>
        <v>6.2266858917111097E-2</v>
      </c>
      <c r="X12" s="17">
        <v>6751.5</v>
      </c>
      <c r="Y12" s="21">
        <f>(X12-P12)/P12</f>
        <v>5.8643669149353192E-2</v>
      </c>
      <c r="Z12" s="17">
        <v>6881.55</v>
      </c>
      <c r="AA12" s="21">
        <f t="shared" si="3"/>
        <v>4.5875951791115151E-2</v>
      </c>
      <c r="AB12" s="21">
        <f t="shared" si="4"/>
        <v>1.9262386136414157E-2</v>
      </c>
    </row>
    <row r="13" spans="1:39" s="17" customFormat="1" ht="13.15" x14ac:dyDescent="0.4">
      <c r="A13" s="10" t="s">
        <v>33</v>
      </c>
      <c r="B13" s="17">
        <f>B11-B12</f>
        <v>2002.3000000000002</v>
      </c>
      <c r="C13" s="17">
        <f>C11-C12</f>
        <v>2149</v>
      </c>
      <c r="D13" s="17">
        <f t="shared" ref="D13" si="20">D11-D12</f>
        <v>2065.0999999999995</v>
      </c>
      <c r="E13" s="17">
        <f t="shared" ref="E13" si="21">E11-E12</f>
        <v>2272.6599999999989</v>
      </c>
      <c r="F13" s="17">
        <f t="shared" ref="F13" si="22">F11-F12</f>
        <v>2595.5999999999995</v>
      </c>
      <c r="G13" s="17">
        <f t="shared" ref="G13" si="23">G11-G12</f>
        <v>2818.2000000000007</v>
      </c>
      <c r="H13" s="17">
        <f t="shared" ref="H13" si="24">H11-H12</f>
        <v>2568.2200000000012</v>
      </c>
      <c r="I13" s="17">
        <f t="shared" ref="I13" si="25">I11-I12</f>
        <v>2736.7999999999984</v>
      </c>
      <c r="J13" s="17">
        <f t="shared" ref="J13" si="26">J11-J12</f>
        <v>2755.6599999999989</v>
      </c>
      <c r="K13" s="17">
        <f t="shared" ref="K13" si="27">K11-K12</f>
        <v>2737.670000000001</v>
      </c>
      <c r="L13" s="17">
        <f t="shared" ref="L13" si="28">L11-L12</f>
        <v>2619.3999999999996</v>
      </c>
      <c r="M13" s="17">
        <f t="shared" ref="M13" si="29">M11-M12</f>
        <v>2700.2700000000013</v>
      </c>
      <c r="N13" s="17">
        <f t="shared" ref="N13" si="30">N11-N12</f>
        <v>2738.41</v>
      </c>
      <c r="O13" s="21">
        <f t="shared" si="2"/>
        <v>-6.2598433769039345E-3</v>
      </c>
      <c r="P13" s="17">
        <f t="shared" ref="P13:AE13" si="31">P11-P12</f>
        <v>3048.2000000000007</v>
      </c>
      <c r="Q13" s="21">
        <f>(P13-K13)/K13</f>
        <v>0.11342857247221164</v>
      </c>
      <c r="R13" s="17">
        <f t="shared" si="31"/>
        <v>2885.2</v>
      </c>
      <c r="S13" s="21">
        <f>(R13-L13)/L13</f>
        <v>0.10147361991295725</v>
      </c>
      <c r="T13" s="17">
        <f t="shared" si="31"/>
        <v>3148.2900000000009</v>
      </c>
      <c r="U13" s="21">
        <f>(T13-M13)/M13</f>
        <v>0.16591674165916717</v>
      </c>
      <c r="V13" s="17">
        <f t="shared" si="31"/>
        <v>2955.4300000000003</v>
      </c>
      <c r="W13" s="21">
        <f>(V13-N13)/N13</f>
        <v>7.9250367914227765E-2</v>
      </c>
      <c r="X13" s="17">
        <f t="shared" si="31"/>
        <v>3044.7000000000007</v>
      </c>
      <c r="Y13" s="21">
        <f>(X13-P13)/P13</f>
        <v>-1.1482186208254049E-3</v>
      </c>
      <c r="Z13" s="17">
        <f t="shared" si="31"/>
        <v>2812.55</v>
      </c>
      <c r="AA13" s="21">
        <f t="shared" si="3"/>
        <v>-2.518023014002483E-2</v>
      </c>
      <c r="AB13" s="21">
        <f t="shared" si="4"/>
        <v>-7.6247249318488031E-2</v>
      </c>
      <c r="AC13" s="17">
        <f t="shared" si="31"/>
        <v>0</v>
      </c>
      <c r="AD13" s="17">
        <f t="shared" si="31"/>
        <v>0</v>
      </c>
      <c r="AE13" s="17">
        <f t="shared" si="31"/>
        <v>0</v>
      </c>
      <c r="AF13" s="17">
        <f t="shared" ref="AF13" si="32">AF11-AF12</f>
        <v>0</v>
      </c>
      <c r="AG13" s="17">
        <f t="shared" ref="AG13" si="33">AG11-AG12</f>
        <v>0</v>
      </c>
    </row>
    <row r="14" spans="1:39" s="18" customFormat="1" x14ac:dyDescent="0.35">
      <c r="A14" s="2"/>
      <c r="O14" s="21"/>
      <c r="Q14" s="21"/>
      <c r="S14" s="21"/>
      <c r="U14" s="21"/>
      <c r="W14" s="21"/>
      <c r="Y14" s="21"/>
      <c r="AA14" s="21"/>
      <c r="AB14" s="21"/>
    </row>
    <row r="15" spans="1:39" s="18" customFormat="1" x14ac:dyDescent="0.35">
      <c r="A15" s="9" t="s">
        <v>34</v>
      </c>
      <c r="B15" s="18">
        <v>1490</v>
      </c>
      <c r="C15" s="18">
        <v>1571.2</v>
      </c>
      <c r="D15" s="18">
        <v>1573.7</v>
      </c>
      <c r="E15" s="20">
        <f>6186.8-D15-C15-B15</f>
        <v>1551.9000000000005</v>
      </c>
      <c r="F15" s="18">
        <v>1728.9</v>
      </c>
      <c r="G15" s="18">
        <v>1775.6</v>
      </c>
      <c r="H15" s="18">
        <v>1795.11</v>
      </c>
      <c r="I15" s="20">
        <f>7164.1-H15-G15-F15</f>
        <v>1864.4900000000007</v>
      </c>
      <c r="J15" s="18">
        <v>1846.8</v>
      </c>
      <c r="K15" s="18">
        <v>1888.1</v>
      </c>
      <c r="L15" s="18">
        <v>1953.85</v>
      </c>
      <c r="M15" s="20">
        <f>7592.33-L15-K15-J15</f>
        <v>1903.5799999999997</v>
      </c>
      <c r="N15" s="18">
        <v>1992.2</v>
      </c>
      <c r="O15" s="21">
        <f t="shared" si="2"/>
        <v>7.8730777561186974E-2</v>
      </c>
      <c r="P15" s="18">
        <v>2134.8000000000002</v>
      </c>
      <c r="Q15" s="21">
        <f>(P15-K15)/K15</f>
        <v>0.13066045230655171</v>
      </c>
      <c r="R15" s="18">
        <v>2149.6999999999998</v>
      </c>
      <c r="S15" s="21">
        <f>(R15-L15)/L15</f>
        <v>0.10023799165749669</v>
      </c>
      <c r="T15" s="20">
        <f>8491.8-R15-P15-N15</f>
        <v>2215.0999999999995</v>
      </c>
      <c r="U15" s="21">
        <f>(T15-M15)/M15</f>
        <v>0.16364954454238845</v>
      </c>
      <c r="V15" s="18">
        <v>2214.6</v>
      </c>
      <c r="W15" s="21">
        <f>(V15-N15)/N15</f>
        <v>0.11163537797409892</v>
      </c>
      <c r="X15" s="18">
        <v>2352.4</v>
      </c>
      <c r="Y15" s="21">
        <f>(X15-P15)/P15</f>
        <v>0.1019299231778152</v>
      </c>
      <c r="Z15" s="18">
        <v>2379.1</v>
      </c>
      <c r="AA15" s="21">
        <f t="shared" si="3"/>
        <v>0.1067125645438899</v>
      </c>
      <c r="AB15" s="21">
        <f t="shared" si="4"/>
        <v>1.1350110525420769E-2</v>
      </c>
    </row>
    <row r="16" spans="1:39" s="18" customFormat="1" x14ac:dyDescent="0.35">
      <c r="A16" s="2"/>
      <c r="O16" s="21"/>
      <c r="Q16" s="21"/>
      <c r="S16" s="21"/>
      <c r="U16" s="21"/>
      <c r="W16" s="21"/>
      <c r="Y16" s="21"/>
      <c r="AA16" s="21"/>
      <c r="AB16" s="21"/>
    </row>
    <row r="17" spans="1:33" s="18" customFormat="1" x14ac:dyDescent="0.35">
      <c r="A17" s="9" t="s">
        <v>35</v>
      </c>
      <c r="B17" s="18">
        <f>B13-B15</f>
        <v>512.30000000000018</v>
      </c>
      <c r="C17" s="18">
        <f>C13-C15</f>
        <v>577.79999999999995</v>
      </c>
      <c r="D17" s="18">
        <f t="shared" ref="D17:N17" si="34">D13-D15</f>
        <v>491.39999999999941</v>
      </c>
      <c r="E17" s="18">
        <f t="shared" si="34"/>
        <v>720.7599999999984</v>
      </c>
      <c r="F17" s="18">
        <f t="shared" si="34"/>
        <v>866.69999999999936</v>
      </c>
      <c r="G17" s="18">
        <f t="shared" si="34"/>
        <v>1042.6000000000008</v>
      </c>
      <c r="H17" s="18">
        <f t="shared" si="34"/>
        <v>773.11000000000126</v>
      </c>
      <c r="I17" s="18">
        <f t="shared" si="34"/>
        <v>872.30999999999767</v>
      </c>
      <c r="J17" s="18">
        <f t="shared" si="34"/>
        <v>908.85999999999899</v>
      </c>
      <c r="K17" s="18">
        <f t="shared" si="34"/>
        <v>849.57000000000107</v>
      </c>
      <c r="L17" s="18">
        <f t="shared" si="34"/>
        <v>665.54999999999973</v>
      </c>
      <c r="M17" s="18">
        <f t="shared" si="34"/>
        <v>796.69000000000165</v>
      </c>
      <c r="N17" s="18">
        <f t="shared" si="34"/>
        <v>746.20999999999981</v>
      </c>
      <c r="O17" s="21">
        <f t="shared" si="2"/>
        <v>-0.17896045595581209</v>
      </c>
      <c r="P17" s="18">
        <f t="shared" ref="P17:AE17" si="35">P13-P15</f>
        <v>913.40000000000055</v>
      </c>
      <c r="Q17" s="21">
        <f t="shared" ref="Q17:Q22" si="36">(P17-K17)/K17</f>
        <v>7.5132125663570262E-2</v>
      </c>
      <c r="R17" s="18">
        <f t="shared" si="35"/>
        <v>735.5</v>
      </c>
      <c r="S17" s="21">
        <f t="shared" ref="S17:S22" si="37">(R17-L17)/L17</f>
        <v>0.10510104424911773</v>
      </c>
      <c r="T17" s="18">
        <f t="shared" si="35"/>
        <v>933.19000000000142</v>
      </c>
      <c r="U17" s="21">
        <f t="shared" ref="U17:U22" si="38">(T17-M17)/M17</f>
        <v>0.17133389398636797</v>
      </c>
      <c r="V17" s="18">
        <f t="shared" si="35"/>
        <v>740.83000000000038</v>
      </c>
      <c r="W17" s="21">
        <f t="shared" ref="W17:Y22" si="39">(V17-N17)/N17</f>
        <v>-7.2097666876608842E-3</v>
      </c>
      <c r="X17" s="18">
        <f t="shared" si="35"/>
        <v>692.30000000000064</v>
      </c>
      <c r="Y17" s="21">
        <f t="shared" si="39"/>
        <v>-0.24206262316619201</v>
      </c>
      <c r="Z17" s="18">
        <f t="shared" si="35"/>
        <v>433.45000000000027</v>
      </c>
      <c r="AA17" s="21">
        <f t="shared" si="3"/>
        <v>-0.41067301155676372</v>
      </c>
      <c r="AB17" s="21">
        <f t="shared" si="4"/>
        <v>-0.373898598873321</v>
      </c>
      <c r="AC17" s="18">
        <f t="shared" si="35"/>
        <v>0</v>
      </c>
      <c r="AD17" s="18">
        <f t="shared" si="35"/>
        <v>0</v>
      </c>
      <c r="AE17" s="18">
        <f t="shared" si="35"/>
        <v>0</v>
      </c>
      <c r="AF17" s="18">
        <f t="shared" ref="AF17:AG17" si="40">AF13-AF15</f>
        <v>0</v>
      </c>
      <c r="AG17" s="18">
        <f t="shared" si="40"/>
        <v>0</v>
      </c>
    </row>
    <row r="18" spans="1:33" s="18" customFormat="1" x14ac:dyDescent="0.35">
      <c r="A18" s="9" t="s">
        <v>36</v>
      </c>
      <c r="B18" s="18">
        <v>25.933</v>
      </c>
      <c r="C18" s="18">
        <v>24.8</v>
      </c>
      <c r="D18" s="18">
        <v>24.3</v>
      </c>
      <c r="E18" s="20">
        <f>100.6-D18-C18-B18</f>
        <v>25.567</v>
      </c>
      <c r="F18" s="18">
        <v>30.5</v>
      </c>
      <c r="G18" s="18">
        <v>39.299999999999997</v>
      </c>
      <c r="H18" s="18">
        <v>40.299999999999997</v>
      </c>
      <c r="I18" s="20">
        <f>150.4-H18-G18-F18</f>
        <v>40.300000000000011</v>
      </c>
      <c r="J18" s="18">
        <v>40.4</v>
      </c>
      <c r="K18" s="18">
        <v>39.43</v>
      </c>
      <c r="L18" s="18">
        <v>39.200000000000003</v>
      </c>
      <c r="M18" s="20">
        <f>157.52-L18-K18-J18</f>
        <v>38.490000000000016</v>
      </c>
      <c r="N18" s="18">
        <v>39.700000000000003</v>
      </c>
      <c r="O18" s="21">
        <f t="shared" si="2"/>
        <v>-1.7326732673267221E-2</v>
      </c>
      <c r="P18" s="18">
        <v>43.1</v>
      </c>
      <c r="Q18" s="21">
        <f t="shared" si="36"/>
        <v>9.3076337813847373E-2</v>
      </c>
      <c r="R18" s="18">
        <v>53.68</v>
      </c>
      <c r="S18" s="21">
        <f t="shared" si="37"/>
        <v>0.36938775510204069</v>
      </c>
      <c r="T18" s="20">
        <f>211.3-R18-P18-N18</f>
        <v>74.820000000000007</v>
      </c>
      <c r="U18" s="21">
        <f t="shared" si="38"/>
        <v>0.94388152766952393</v>
      </c>
      <c r="V18" s="18">
        <v>83</v>
      </c>
      <c r="W18" s="21">
        <f t="shared" si="39"/>
        <v>1.0906801007556675</v>
      </c>
      <c r="X18" s="18">
        <v>84.337000000000003</v>
      </c>
      <c r="Y18" s="21">
        <f t="shared" si="39"/>
        <v>0.95677494199535962</v>
      </c>
      <c r="Z18" s="18">
        <v>82.3</v>
      </c>
      <c r="AA18" s="21">
        <f t="shared" si="3"/>
        <v>0.53315946348733234</v>
      </c>
      <c r="AB18" s="21">
        <f t="shared" si="4"/>
        <v>-2.4153100062843189E-2</v>
      </c>
    </row>
    <row r="19" spans="1:33" s="18" customFormat="1" hidden="1" x14ac:dyDescent="0.35">
      <c r="A19" s="9" t="s">
        <v>67</v>
      </c>
      <c r="B19" s="20">
        <v>0</v>
      </c>
      <c r="C19" s="18">
        <v>0</v>
      </c>
      <c r="D19" s="18">
        <v>0</v>
      </c>
      <c r="E19" s="20">
        <v>0</v>
      </c>
      <c r="F19" s="18">
        <v>0</v>
      </c>
      <c r="G19" s="18">
        <v>0</v>
      </c>
      <c r="H19" s="18">
        <v>0</v>
      </c>
      <c r="I19" s="20">
        <v>0</v>
      </c>
      <c r="J19" s="18">
        <v>0</v>
      </c>
      <c r="K19" s="18">
        <v>0</v>
      </c>
      <c r="L19" s="18">
        <v>0</v>
      </c>
      <c r="M19" s="20">
        <v>0</v>
      </c>
      <c r="N19" s="18">
        <v>0</v>
      </c>
      <c r="O19" s="21" t="e">
        <f t="shared" si="2"/>
        <v>#DIV/0!</v>
      </c>
      <c r="P19" s="18">
        <v>0</v>
      </c>
      <c r="Q19" s="21" t="e">
        <f t="shared" si="36"/>
        <v>#DIV/0!</v>
      </c>
      <c r="R19" s="18">
        <v>0.41</v>
      </c>
      <c r="S19" s="21" t="e">
        <f t="shared" si="37"/>
        <v>#DIV/0!</v>
      </c>
      <c r="T19" s="20">
        <f>0.41-R19-P19-N19</f>
        <v>0</v>
      </c>
      <c r="U19" s="21" t="e">
        <f t="shared" si="38"/>
        <v>#DIV/0!</v>
      </c>
      <c r="V19" s="18">
        <v>0</v>
      </c>
      <c r="W19" s="21" t="e">
        <f t="shared" si="39"/>
        <v>#DIV/0!</v>
      </c>
      <c r="Y19" s="21" t="e">
        <f t="shared" si="39"/>
        <v>#DIV/0!</v>
      </c>
      <c r="AA19" s="21">
        <f t="shared" si="3"/>
        <v>-1</v>
      </c>
      <c r="AB19" s="21" t="e">
        <f t="shared" si="4"/>
        <v>#DIV/0!</v>
      </c>
    </row>
    <row r="20" spans="1:33" s="18" customFormat="1" x14ac:dyDescent="0.35">
      <c r="A20" s="11" t="s">
        <v>37</v>
      </c>
      <c r="B20" s="18">
        <f t="shared" ref="B20:N20" si="41">B17-B18</f>
        <v>486.36700000000019</v>
      </c>
      <c r="C20" s="18">
        <f t="shared" si="41"/>
        <v>553</v>
      </c>
      <c r="D20" s="18">
        <f t="shared" si="41"/>
        <v>467.0999999999994</v>
      </c>
      <c r="E20" s="18">
        <f t="shared" si="41"/>
        <v>695.19299999999839</v>
      </c>
      <c r="F20" s="18">
        <f t="shared" si="41"/>
        <v>836.19999999999936</v>
      </c>
      <c r="G20" s="18">
        <f t="shared" si="41"/>
        <v>1003.3000000000009</v>
      </c>
      <c r="H20" s="18">
        <f t="shared" si="41"/>
        <v>732.81000000000131</v>
      </c>
      <c r="I20" s="18">
        <f t="shared" si="41"/>
        <v>832.00999999999772</v>
      </c>
      <c r="J20" s="18">
        <f t="shared" si="41"/>
        <v>868.45999999999901</v>
      </c>
      <c r="K20" s="18">
        <f t="shared" si="41"/>
        <v>810.14000000000112</v>
      </c>
      <c r="L20" s="18">
        <f t="shared" si="41"/>
        <v>626.34999999999968</v>
      </c>
      <c r="M20" s="18">
        <f t="shared" si="41"/>
        <v>758.20000000000164</v>
      </c>
      <c r="N20" s="18">
        <f t="shared" si="41"/>
        <v>706.50999999999976</v>
      </c>
      <c r="O20" s="21">
        <f t="shared" si="2"/>
        <v>-0.18647951546415428</v>
      </c>
      <c r="P20" s="18">
        <f>P17-P18</f>
        <v>870.30000000000052</v>
      </c>
      <c r="Q20" s="21">
        <f t="shared" si="36"/>
        <v>7.4258770089119561E-2</v>
      </c>
      <c r="R20" s="18">
        <f>R17-R18-R19</f>
        <v>681.41000000000008</v>
      </c>
      <c r="S20" s="21">
        <f t="shared" si="37"/>
        <v>8.7906122774807097E-2</v>
      </c>
      <c r="T20" s="18">
        <f>T17-T18</f>
        <v>858.37000000000137</v>
      </c>
      <c r="U20" s="21">
        <f t="shared" si="38"/>
        <v>0.13211553679767807</v>
      </c>
      <c r="V20" s="18">
        <f>V17-V18</f>
        <v>657.83000000000038</v>
      </c>
      <c r="W20" s="21">
        <f t="shared" si="39"/>
        <v>-6.8902067911281367E-2</v>
      </c>
      <c r="X20" s="18">
        <f t="shared" ref="X20:AG20" si="42">X17-X18</f>
        <v>607.96300000000065</v>
      </c>
      <c r="Y20" s="21">
        <f t="shared" si="39"/>
        <v>-0.3014328392508327</v>
      </c>
      <c r="Z20" s="18">
        <f t="shared" si="42"/>
        <v>351.15000000000026</v>
      </c>
      <c r="AA20" s="21">
        <f t="shared" si="3"/>
        <v>-0.48467148999867887</v>
      </c>
      <c r="AB20" s="21">
        <f t="shared" si="4"/>
        <v>-0.42241550883853146</v>
      </c>
      <c r="AC20" s="18">
        <f t="shared" si="42"/>
        <v>0</v>
      </c>
      <c r="AD20" s="18">
        <f t="shared" si="42"/>
        <v>0</v>
      </c>
      <c r="AE20" s="18">
        <f t="shared" si="42"/>
        <v>0</v>
      </c>
      <c r="AF20" s="18">
        <f t="shared" si="42"/>
        <v>0</v>
      </c>
      <c r="AG20" s="18">
        <f t="shared" si="42"/>
        <v>0</v>
      </c>
    </row>
    <row r="21" spans="1:33" s="18" customFormat="1" x14ac:dyDescent="0.35">
      <c r="A21" s="11" t="s">
        <v>38</v>
      </c>
      <c r="B21" s="18">
        <v>101.3</v>
      </c>
      <c r="C21" s="18">
        <v>126.4</v>
      </c>
      <c r="D21" s="18">
        <v>101.6</v>
      </c>
      <c r="E21" s="20">
        <f>489.2-D21-C21-B21</f>
        <v>159.90000000000003</v>
      </c>
      <c r="F21" s="18">
        <v>185.845</v>
      </c>
      <c r="G21" s="18">
        <v>215.7</v>
      </c>
      <c r="H21" s="18">
        <v>158.6</v>
      </c>
      <c r="I21" s="20">
        <f>749.33-H21-G21-F21</f>
        <v>189.18500000000003</v>
      </c>
      <c r="J21" s="18">
        <v>190.7</v>
      </c>
      <c r="K21" s="18">
        <v>173.11</v>
      </c>
      <c r="L21" s="18">
        <v>139.4</v>
      </c>
      <c r="M21" s="20">
        <f>663.91-L21-K21-J21</f>
        <v>160.69999999999999</v>
      </c>
      <c r="N21" s="18">
        <v>153.82</v>
      </c>
      <c r="O21" s="21">
        <f t="shared" si="2"/>
        <v>-0.19339276350288409</v>
      </c>
      <c r="P21" s="18">
        <v>192.3</v>
      </c>
      <c r="Q21" s="21">
        <f t="shared" si="36"/>
        <v>0.11085437005372305</v>
      </c>
      <c r="R21" s="18">
        <v>155.28200000000001</v>
      </c>
      <c r="S21" s="21">
        <f t="shared" si="37"/>
        <v>0.11393113342898138</v>
      </c>
      <c r="T21" s="20">
        <f>700.6-R21-P21-N21</f>
        <v>199.19799999999998</v>
      </c>
      <c r="U21" s="21">
        <f t="shared" si="38"/>
        <v>0.2395644057249533</v>
      </c>
      <c r="V21" s="18">
        <v>143.44</v>
      </c>
      <c r="W21" s="21">
        <f t="shared" si="39"/>
        <v>-6.7481471850214511E-2</v>
      </c>
      <c r="X21" s="18">
        <v>139.142</v>
      </c>
      <c r="Y21" s="21">
        <f t="shared" si="39"/>
        <v>-0.2764326573062923</v>
      </c>
      <c r="Z21" s="18">
        <v>74.930000000000007</v>
      </c>
      <c r="AA21" s="21">
        <f t="shared" si="3"/>
        <v>-0.51745855926636697</v>
      </c>
      <c r="AB21" s="21">
        <f t="shared" si="4"/>
        <v>-0.46148538902703706</v>
      </c>
    </row>
    <row r="22" spans="1:33" s="17" customFormat="1" ht="13.15" x14ac:dyDescent="0.4">
      <c r="A22" s="13" t="s">
        <v>39</v>
      </c>
      <c r="B22" s="17">
        <f>B20-B21</f>
        <v>385.06700000000018</v>
      </c>
      <c r="C22" s="17">
        <f>C20-C21</f>
        <v>426.6</v>
      </c>
      <c r="D22" s="17">
        <f t="shared" ref="D22" si="43">D20-D21</f>
        <v>365.49999999999943</v>
      </c>
      <c r="E22" s="17">
        <f t="shared" ref="E22" si="44">E20-E21</f>
        <v>535.2929999999983</v>
      </c>
      <c r="F22" s="17">
        <f t="shared" ref="F22" si="45">F20-F21</f>
        <v>650.35499999999934</v>
      </c>
      <c r="G22" s="17">
        <f t="shared" ref="G22" si="46">G20-G21</f>
        <v>787.60000000000082</v>
      </c>
      <c r="H22" s="17">
        <f t="shared" ref="H22" si="47">H20-H21</f>
        <v>574.21000000000129</v>
      </c>
      <c r="I22" s="17">
        <f t="shared" ref="I22" si="48">I20-I21</f>
        <v>642.82499999999766</v>
      </c>
      <c r="J22" s="17">
        <f t="shared" ref="J22" si="49">J20-J21</f>
        <v>677.75999999999908</v>
      </c>
      <c r="K22" s="17">
        <f t="shared" ref="K22" si="50">K20-K21</f>
        <v>637.03000000000111</v>
      </c>
      <c r="L22" s="17">
        <f t="shared" ref="L22" si="51">L20-L21</f>
        <v>486.9499999999997</v>
      </c>
      <c r="M22" s="17">
        <f t="shared" ref="M22" si="52">M20-M21</f>
        <v>597.50000000000159</v>
      </c>
      <c r="N22" s="17">
        <f t="shared" ref="N22" si="53">N20-N21</f>
        <v>552.68999999999983</v>
      </c>
      <c r="O22" s="21">
        <f t="shared" si="2"/>
        <v>-0.18453434844192548</v>
      </c>
      <c r="P22" s="17">
        <f t="shared" ref="P22:R22" si="54">P20-P21</f>
        <v>678.00000000000045</v>
      </c>
      <c r="Q22" s="21">
        <f t="shared" si="36"/>
        <v>6.4314082539282724E-2</v>
      </c>
      <c r="R22" s="17">
        <f t="shared" si="54"/>
        <v>526.12800000000004</v>
      </c>
      <c r="S22" s="21">
        <f t="shared" si="37"/>
        <v>8.0455898962933287E-2</v>
      </c>
      <c r="T22" s="17">
        <f t="shared" ref="T22" si="55">T20-T21</f>
        <v>659.17200000000139</v>
      </c>
      <c r="U22" s="21">
        <f t="shared" si="38"/>
        <v>0.10321673640167303</v>
      </c>
      <c r="V22" s="17">
        <f t="shared" ref="V22" si="56">V20-V21</f>
        <v>514.39000000000033</v>
      </c>
      <c r="W22" s="21">
        <f t="shared" si="39"/>
        <v>-6.9297436175793869E-2</v>
      </c>
      <c r="X22" s="17">
        <f t="shared" ref="X22" si="57">X20-X21</f>
        <v>468.82100000000065</v>
      </c>
      <c r="Y22" s="21">
        <f>(X22-P22)/P22</f>
        <v>-0.30852359882005848</v>
      </c>
      <c r="Z22" s="17">
        <f t="shared" ref="Z22" si="58">Z20-Z21</f>
        <v>276.22000000000025</v>
      </c>
      <c r="AA22" s="21">
        <f t="shared" si="3"/>
        <v>-0.47499467810114604</v>
      </c>
      <c r="AB22" s="21">
        <f t="shared" si="4"/>
        <v>-0.41081990781129712</v>
      </c>
      <c r="AC22" s="17">
        <f t="shared" ref="AC22" si="59">AC20-AC21</f>
        <v>0</v>
      </c>
      <c r="AD22" s="17">
        <f t="shared" ref="AD22" si="60">AD20-AD21</f>
        <v>0</v>
      </c>
      <c r="AE22" s="17">
        <f t="shared" ref="AE22" si="61">AE20-AE21</f>
        <v>0</v>
      </c>
      <c r="AF22" s="17">
        <f t="shared" ref="AF22" si="62">AF20-AF21</f>
        <v>0</v>
      </c>
      <c r="AG22" s="17">
        <f t="shared" ref="AG22" si="63">AG20-AG21</f>
        <v>0</v>
      </c>
    </row>
    <row r="23" spans="1:33" s="18" customFormat="1" x14ac:dyDescent="0.35">
      <c r="A23" s="2"/>
      <c r="O23" s="21"/>
      <c r="Q23" s="21"/>
      <c r="S23" s="21"/>
      <c r="U23" s="21"/>
      <c r="W23" s="21"/>
      <c r="Y23" s="21"/>
      <c r="AA23" s="21"/>
      <c r="AB23" s="21"/>
    </row>
    <row r="24" spans="1:33" s="18" customFormat="1" ht="13.15" x14ac:dyDescent="0.4">
      <c r="A24" s="10" t="s">
        <v>40</v>
      </c>
      <c r="O24" s="21"/>
      <c r="Q24" s="21"/>
      <c r="S24" s="21"/>
      <c r="U24" s="21"/>
      <c r="W24" s="21"/>
      <c r="Y24" s="21"/>
      <c r="AA24" s="21"/>
      <c r="AB24" s="21"/>
    </row>
    <row r="25" spans="1:33" s="18" customFormat="1" ht="13.15" x14ac:dyDescent="0.4">
      <c r="A25" s="12" t="s">
        <v>41</v>
      </c>
      <c r="O25" s="21"/>
      <c r="Q25" s="21"/>
      <c r="S25" s="21"/>
      <c r="U25" s="21"/>
      <c r="W25" s="21"/>
      <c r="Y25" s="21"/>
      <c r="AA25" s="21"/>
      <c r="AB25" s="21"/>
    </row>
    <row r="26" spans="1:33" s="18" customFormat="1" x14ac:dyDescent="0.35">
      <c r="A26" s="15" t="s">
        <v>29</v>
      </c>
      <c r="B26" s="18">
        <v>271.10000000000002</v>
      </c>
      <c r="C26" s="18">
        <v>259.60000000000002</v>
      </c>
      <c r="D26" s="18">
        <v>276.10000000000002</v>
      </c>
      <c r="E26" s="18">
        <v>240.3</v>
      </c>
      <c r="F26" s="18">
        <v>2673.9</v>
      </c>
      <c r="G26" s="18">
        <v>2959.6</v>
      </c>
      <c r="H26" s="18">
        <v>2199.44</v>
      </c>
      <c r="I26" s="18">
        <v>1376.6</v>
      </c>
      <c r="J26" s="18">
        <v>688.1</v>
      </c>
      <c r="K26" s="18">
        <v>313.666</v>
      </c>
      <c r="L26" s="18">
        <v>488.7</v>
      </c>
      <c r="M26" s="20">
        <v>344.82</v>
      </c>
      <c r="N26" s="18">
        <v>335.6</v>
      </c>
      <c r="O26" s="21">
        <f t="shared" si="2"/>
        <v>-0.51228019183258244</v>
      </c>
      <c r="P26" s="18">
        <v>326.3</v>
      </c>
      <c r="Q26" s="21">
        <f t="shared" ref="Q26:Q36" si="64">(P26-K26)/K26</f>
        <v>4.0278512812992211E-2</v>
      </c>
      <c r="R26" s="18">
        <v>362.73</v>
      </c>
      <c r="S26" s="21">
        <f t="shared" ref="S26:S36" si="65">(R26-L26)/L26</f>
        <v>-0.25776550030693673</v>
      </c>
      <c r="T26" s="18">
        <v>381.6</v>
      </c>
      <c r="U26" s="21">
        <f t="shared" ref="U26:U36" si="66">(T26-M26)/M26</f>
        <v>0.10666434661562563</v>
      </c>
      <c r="V26" s="18">
        <v>313.10000000000002</v>
      </c>
      <c r="W26" s="21">
        <f t="shared" ref="W26:Y36" si="67">(V26-N26)/N26</f>
        <v>-6.7044100119189501E-2</v>
      </c>
      <c r="X26" s="18">
        <v>353</v>
      </c>
      <c r="Y26" s="21">
        <f t="shared" si="67"/>
        <v>8.1826539993870628E-2</v>
      </c>
      <c r="Z26" s="18">
        <v>365.447</v>
      </c>
      <c r="AA26" s="21">
        <f t="shared" si="3"/>
        <v>7.490419871529745E-3</v>
      </c>
      <c r="AB26" s="21">
        <f t="shared" si="4"/>
        <v>3.5260623229461767E-2</v>
      </c>
    </row>
    <row r="27" spans="1:33" s="18" customFormat="1" x14ac:dyDescent="0.35">
      <c r="A27" s="15" t="s">
        <v>42</v>
      </c>
      <c r="B27" s="18">
        <v>4109.8</v>
      </c>
      <c r="C27" s="18">
        <v>4419.6000000000004</v>
      </c>
      <c r="D27" s="18">
        <v>4496.3999999999996</v>
      </c>
      <c r="E27" s="18">
        <v>4676.84</v>
      </c>
      <c r="F27" s="18">
        <v>4107.33</v>
      </c>
      <c r="G27" s="18">
        <v>4391.2</v>
      </c>
      <c r="H27" s="18">
        <v>5025.8</v>
      </c>
      <c r="I27" s="18">
        <v>5247.5</v>
      </c>
      <c r="J27" s="18">
        <v>5099.5</v>
      </c>
      <c r="K27" s="18">
        <v>5279.27</v>
      </c>
      <c r="L27" s="18">
        <v>5298.9</v>
      </c>
      <c r="M27" s="18">
        <v>5614.32</v>
      </c>
      <c r="N27" s="18">
        <v>6087.4</v>
      </c>
      <c r="O27" s="21">
        <f t="shared" si="2"/>
        <v>0.19372487498774382</v>
      </c>
      <c r="P27" s="18">
        <v>6935.9</v>
      </c>
      <c r="Q27" s="21">
        <f t="shared" si="64"/>
        <v>0.31379906691644849</v>
      </c>
      <c r="R27" s="18">
        <v>7144.7</v>
      </c>
      <c r="S27" s="21">
        <f t="shared" si="65"/>
        <v>0.34833644718715212</v>
      </c>
      <c r="T27" s="18">
        <v>6760.7</v>
      </c>
      <c r="U27" s="21">
        <f t="shared" si="66"/>
        <v>0.20418857492982234</v>
      </c>
      <c r="V27" s="18">
        <v>7335.8450000000003</v>
      </c>
      <c r="W27" s="21">
        <f t="shared" si="67"/>
        <v>0.20508673653776666</v>
      </c>
      <c r="X27" s="18">
        <v>7531.5</v>
      </c>
      <c r="Y27" s="21">
        <f t="shared" si="67"/>
        <v>8.5872056978906902E-2</v>
      </c>
      <c r="Z27" s="18">
        <v>7356.1</v>
      </c>
      <c r="AA27" s="21">
        <f t="shared" si="3"/>
        <v>2.9588366201520087E-2</v>
      </c>
      <c r="AB27" s="21">
        <f t="shared" si="4"/>
        <v>-2.328885348204204E-2</v>
      </c>
    </row>
    <row r="28" spans="1:33" s="18" customFormat="1" x14ac:dyDescent="0.35">
      <c r="A28" s="15" t="s">
        <v>43</v>
      </c>
      <c r="B28" s="18">
        <v>25.2</v>
      </c>
      <c r="C28" s="18">
        <v>61.7</v>
      </c>
      <c r="D28" s="18">
        <v>103.2</v>
      </c>
      <c r="E28" s="18">
        <v>76.53</v>
      </c>
      <c r="F28" s="18">
        <v>17.2</v>
      </c>
      <c r="G28" s="18">
        <v>36.200000000000003</v>
      </c>
      <c r="H28" s="18">
        <v>111.13</v>
      </c>
      <c r="I28" s="18">
        <v>90.8</v>
      </c>
      <c r="J28" s="18">
        <v>16.63</v>
      </c>
      <c r="K28" s="18">
        <v>127</v>
      </c>
      <c r="L28" s="18">
        <v>120.4</v>
      </c>
      <c r="M28" s="18">
        <v>97.4</v>
      </c>
      <c r="N28" s="18">
        <v>33.6</v>
      </c>
      <c r="O28" s="21">
        <f t="shared" si="2"/>
        <v>1.0204449789536982</v>
      </c>
      <c r="P28" s="18">
        <v>93.3</v>
      </c>
      <c r="Q28" s="21">
        <f t="shared" si="64"/>
        <v>-0.26535433070866143</v>
      </c>
      <c r="R28" s="18">
        <v>188.1</v>
      </c>
      <c r="S28" s="21">
        <f t="shared" si="65"/>
        <v>0.56229235880398654</v>
      </c>
      <c r="T28" s="18">
        <v>135.80000000000001</v>
      </c>
      <c r="U28" s="21">
        <f t="shared" si="66"/>
        <v>0.3942505133470226</v>
      </c>
      <c r="V28" s="18">
        <v>50.9</v>
      </c>
      <c r="W28" s="21">
        <f t="shared" si="67"/>
        <v>0.51488095238095233</v>
      </c>
      <c r="X28" s="18">
        <v>151.69999999999999</v>
      </c>
      <c r="Y28" s="21">
        <f t="shared" si="67"/>
        <v>0.62593783494105026</v>
      </c>
      <c r="Z28" s="18">
        <v>197.55</v>
      </c>
      <c r="AA28" s="21">
        <f t="shared" si="3"/>
        <v>5.0239234449760861E-2</v>
      </c>
      <c r="AB28" s="21">
        <f t="shared" si="4"/>
        <v>0.30224126565589998</v>
      </c>
    </row>
    <row r="29" spans="1:33" s="18" customFormat="1" x14ac:dyDescent="0.35">
      <c r="A29" s="15" t="s">
        <v>44</v>
      </c>
      <c r="B29" s="18">
        <v>177.7</v>
      </c>
      <c r="C29" s="18">
        <v>178.3</v>
      </c>
      <c r="D29" s="18">
        <v>192.9</v>
      </c>
      <c r="E29" s="18">
        <v>184.2</v>
      </c>
      <c r="F29" s="18">
        <v>194</v>
      </c>
      <c r="G29" s="18">
        <v>210.5</v>
      </c>
      <c r="H29" s="18">
        <v>197</v>
      </c>
      <c r="I29" s="18">
        <v>199.4</v>
      </c>
      <c r="J29" s="18">
        <v>237.6</v>
      </c>
      <c r="K29" s="18">
        <v>272.8</v>
      </c>
      <c r="L29" s="18">
        <v>273.93</v>
      </c>
      <c r="M29" s="18">
        <v>247.3</v>
      </c>
      <c r="N29" s="18">
        <v>280.3</v>
      </c>
      <c r="O29" s="21">
        <f t="shared" si="2"/>
        <v>0.1797138047138048</v>
      </c>
      <c r="P29" s="18">
        <v>327.5</v>
      </c>
      <c r="Q29" s="21">
        <f t="shared" si="64"/>
        <v>0.20051319648093838</v>
      </c>
      <c r="R29" s="18">
        <v>321.5</v>
      </c>
      <c r="S29" s="21">
        <f t="shared" si="65"/>
        <v>0.17365750374183184</v>
      </c>
      <c r="T29" s="18">
        <v>302.92</v>
      </c>
      <c r="U29" s="21">
        <f t="shared" si="66"/>
        <v>0.22490901738778812</v>
      </c>
      <c r="V29" s="18">
        <v>355.7</v>
      </c>
      <c r="W29" s="21">
        <f t="shared" si="67"/>
        <v>0.26899750267570449</v>
      </c>
      <c r="X29" s="18">
        <v>377.77</v>
      </c>
      <c r="Y29" s="21">
        <f t="shared" si="67"/>
        <v>0.15349618320610681</v>
      </c>
      <c r="Z29" s="18">
        <v>352</v>
      </c>
      <c r="AA29" s="21">
        <f t="shared" si="3"/>
        <v>9.4867807153965783E-2</v>
      </c>
      <c r="AB29" s="21">
        <f t="shared" si="4"/>
        <v>-6.8216110331683261E-2</v>
      </c>
    </row>
    <row r="30" spans="1:33" s="17" customFormat="1" ht="13.15" x14ac:dyDescent="0.4">
      <c r="A30" s="16" t="s">
        <v>45</v>
      </c>
      <c r="B30" s="17">
        <f>SUM(B26:B29)</f>
        <v>4583.8</v>
      </c>
      <c r="C30" s="17">
        <f>SUM(C26:C29)</f>
        <v>4919.2000000000007</v>
      </c>
      <c r="D30" s="17">
        <f t="shared" ref="D30" si="68">SUM(D26:D29)</f>
        <v>5068.5999999999995</v>
      </c>
      <c r="E30" s="17">
        <f t="shared" ref="E30" si="69">SUM(E26:E29)</f>
        <v>5177.87</v>
      </c>
      <c r="F30" s="17">
        <f t="shared" ref="F30" si="70">SUM(F26:F29)</f>
        <v>6992.4299999999994</v>
      </c>
      <c r="G30" s="17">
        <f t="shared" ref="G30" si="71">SUM(G26:G29)</f>
        <v>7597.4999999999991</v>
      </c>
      <c r="H30" s="17">
        <f t="shared" ref="H30" si="72">SUM(H26:H29)</f>
        <v>7533.37</v>
      </c>
      <c r="I30" s="17">
        <f t="shared" ref="I30" si="73">SUM(I26:I29)</f>
        <v>6914.3</v>
      </c>
      <c r="J30" s="17">
        <f t="shared" ref="J30" si="74">SUM(J26:J29)</f>
        <v>6041.8300000000008</v>
      </c>
      <c r="K30" s="17">
        <f t="shared" ref="K30" si="75">SUM(K26:K29)</f>
        <v>5992.7360000000008</v>
      </c>
      <c r="L30" s="17">
        <f t="shared" ref="L30" si="76">SUM(L26:L29)</f>
        <v>6181.9299999999994</v>
      </c>
      <c r="M30" s="17">
        <f t="shared" ref="M30" si="77">SUM(M26:M29)</f>
        <v>6303.8399999999992</v>
      </c>
      <c r="N30" s="17">
        <f t="shared" ref="N30" si="78">SUM(N26:N29)</f>
        <v>6736.9000000000005</v>
      </c>
      <c r="O30" s="21">
        <f t="shared" si="2"/>
        <v>0.11504295883862996</v>
      </c>
      <c r="P30" s="17">
        <f t="shared" ref="P30:AE30" si="79">SUM(P26:P29)</f>
        <v>7683</v>
      </c>
      <c r="Q30" s="21">
        <f t="shared" si="64"/>
        <v>0.28205213778814869</v>
      </c>
      <c r="R30" s="17">
        <f t="shared" si="79"/>
        <v>8017.0300000000007</v>
      </c>
      <c r="S30" s="21">
        <f t="shared" si="65"/>
        <v>0.29684904228938236</v>
      </c>
      <c r="T30" s="17">
        <f t="shared" si="79"/>
        <v>7581.02</v>
      </c>
      <c r="U30" s="21">
        <f t="shared" si="66"/>
        <v>0.20260349247442849</v>
      </c>
      <c r="V30" s="17">
        <f t="shared" si="79"/>
        <v>8055.5450000000001</v>
      </c>
      <c r="W30" s="21">
        <f t="shared" si="67"/>
        <v>0.1957346850925499</v>
      </c>
      <c r="X30" s="17">
        <f t="shared" si="79"/>
        <v>8413.9699999999993</v>
      </c>
      <c r="Y30" s="21">
        <f t="shared" si="67"/>
        <v>9.5141220877261401E-2</v>
      </c>
      <c r="Z30" s="17">
        <f t="shared" si="79"/>
        <v>8271.0970000000016</v>
      </c>
      <c r="AA30" s="21">
        <f t="shared" si="3"/>
        <v>3.1690912969017319E-2</v>
      </c>
      <c r="AB30" s="21">
        <f t="shared" si="4"/>
        <v>-1.6980450370039087E-2</v>
      </c>
      <c r="AC30" s="17">
        <f t="shared" si="79"/>
        <v>0</v>
      </c>
      <c r="AD30" s="17">
        <f t="shared" si="79"/>
        <v>0</v>
      </c>
      <c r="AE30" s="17">
        <f t="shared" si="79"/>
        <v>0</v>
      </c>
      <c r="AF30" s="17">
        <f t="shared" ref="AF30" si="80">SUM(AF26:AF29)</f>
        <v>0</v>
      </c>
      <c r="AG30" s="17">
        <f t="shared" ref="AG30" si="81">SUM(AG26:AG29)</f>
        <v>0</v>
      </c>
    </row>
    <row r="31" spans="1:33" s="18" customFormat="1" x14ac:dyDescent="0.35">
      <c r="A31" s="11" t="s">
        <v>46</v>
      </c>
      <c r="B31" s="18">
        <v>3008.4</v>
      </c>
      <c r="C31" s="18">
        <v>3020.4</v>
      </c>
      <c r="D31" s="18">
        <v>3131.1</v>
      </c>
      <c r="E31" s="18">
        <v>3278.4</v>
      </c>
      <c r="F31" s="18">
        <v>3320.1410000000001</v>
      </c>
      <c r="G31" s="18">
        <v>3520.99</v>
      </c>
      <c r="H31" s="18">
        <v>3701.8</v>
      </c>
      <c r="I31" s="18">
        <v>3899.99</v>
      </c>
      <c r="J31" s="18">
        <v>3999.2</v>
      </c>
      <c r="K31" s="18">
        <v>4104.2</v>
      </c>
      <c r="L31" s="18">
        <v>4177.8999999999996</v>
      </c>
      <c r="M31" s="18">
        <v>4346.12</v>
      </c>
      <c r="N31" s="18">
        <v>4451</v>
      </c>
      <c r="O31" s="21">
        <f t="shared" si="2"/>
        <v>0.11297259451890383</v>
      </c>
      <c r="P31" s="18">
        <v>4648.2</v>
      </c>
      <c r="Q31" s="21">
        <f t="shared" si="64"/>
        <v>0.13254714682520347</v>
      </c>
      <c r="R31" s="18">
        <v>4927.5</v>
      </c>
      <c r="S31" s="21">
        <f t="shared" si="65"/>
        <v>0.17942028291725517</v>
      </c>
      <c r="T31" s="18">
        <v>5236.3</v>
      </c>
      <c r="U31" s="21">
        <f t="shared" si="66"/>
        <v>0.20482177206335772</v>
      </c>
      <c r="V31" s="18">
        <v>5420.13</v>
      </c>
      <c r="W31" s="21">
        <f t="shared" si="67"/>
        <v>0.21773309368681198</v>
      </c>
      <c r="X31" s="18">
        <v>5624.12</v>
      </c>
      <c r="Y31" s="21">
        <f t="shared" si="67"/>
        <v>0.20995654231745625</v>
      </c>
      <c r="Z31" s="18">
        <v>5848.4</v>
      </c>
      <c r="AA31" s="21">
        <f t="shared" si="3"/>
        <v>0.18688990360223229</v>
      </c>
      <c r="AB31" s="21">
        <f t="shared" si="4"/>
        <v>3.9878238728903323E-2</v>
      </c>
    </row>
    <row r="32" spans="1:33" s="18" customFormat="1" x14ac:dyDescent="0.35">
      <c r="A32" s="11" t="s">
        <v>47</v>
      </c>
      <c r="B32" s="18">
        <v>8140.3</v>
      </c>
      <c r="C32" s="18">
        <v>8405.34</v>
      </c>
      <c r="D32" s="18">
        <v>8639.4</v>
      </c>
      <c r="E32" s="18">
        <v>8796.2000000000007</v>
      </c>
      <c r="F32" s="18">
        <v>8960.7999999999993</v>
      </c>
      <c r="G32" s="18">
        <v>9154.7999999999993</v>
      </c>
      <c r="H32" s="18">
        <v>9343.4</v>
      </c>
      <c r="I32" s="18">
        <v>9473.33</v>
      </c>
      <c r="J32" s="18">
        <v>9614.9699999999993</v>
      </c>
      <c r="K32" s="18">
        <v>9805.1</v>
      </c>
      <c r="L32" s="18">
        <v>9982.7000000000007</v>
      </c>
      <c r="M32" s="18">
        <v>10092.93</v>
      </c>
      <c r="N32" s="18">
        <v>10183.200000000001</v>
      </c>
      <c r="O32" s="21">
        <f t="shared" si="2"/>
        <v>5.9098468325954362E-2</v>
      </c>
      <c r="P32" s="18">
        <v>10319.219999999999</v>
      </c>
      <c r="Q32" s="21">
        <f t="shared" si="64"/>
        <v>5.2433937440719516E-2</v>
      </c>
      <c r="R32" s="18">
        <v>10469.4</v>
      </c>
      <c r="S32" s="21">
        <f t="shared" si="65"/>
        <v>4.8754345016879086E-2</v>
      </c>
      <c r="T32" s="18">
        <v>10670</v>
      </c>
      <c r="U32" s="21">
        <f t="shared" si="66"/>
        <v>5.7175666530928052E-2</v>
      </c>
      <c r="V32" s="18">
        <v>10726.52</v>
      </c>
      <c r="W32" s="21">
        <f t="shared" si="67"/>
        <v>5.3354544740356634E-2</v>
      </c>
      <c r="X32" s="18">
        <v>10755.2</v>
      </c>
      <c r="Y32" s="21">
        <f t="shared" si="67"/>
        <v>4.2249317293361455E-2</v>
      </c>
      <c r="Z32" s="18">
        <v>10904.32</v>
      </c>
      <c r="AA32" s="21">
        <f t="shared" si="3"/>
        <v>4.1542017689647937E-2</v>
      </c>
      <c r="AB32" s="21">
        <f t="shared" si="4"/>
        <v>1.3864921154418232E-2</v>
      </c>
    </row>
    <row r="33" spans="1:33" s="18" customFormat="1" x14ac:dyDescent="0.35">
      <c r="A33" s="11" t="s">
        <v>48</v>
      </c>
      <c r="B33" s="18">
        <v>4338.6000000000004</v>
      </c>
      <c r="C33" s="18">
        <v>4338.6000000000004</v>
      </c>
      <c r="D33" s="18">
        <v>4338.6000000000004</v>
      </c>
      <c r="E33" s="18">
        <v>4338.6000000000004</v>
      </c>
      <c r="F33" s="18">
        <v>4338.6000000000004</v>
      </c>
      <c r="G33" s="18">
        <v>4338.6000000000004</v>
      </c>
      <c r="H33" s="18">
        <v>4338.6000000000004</v>
      </c>
      <c r="I33" s="18">
        <v>4338.6000000000004</v>
      </c>
      <c r="J33" s="18">
        <v>4338.6000000000004</v>
      </c>
      <c r="K33" s="18">
        <v>4338.6000000000004</v>
      </c>
      <c r="L33" s="18">
        <v>4338.6000000000004</v>
      </c>
      <c r="M33" s="18">
        <v>4338.6000000000004</v>
      </c>
      <c r="N33" s="18">
        <v>4338.6000000000004</v>
      </c>
      <c r="O33" s="21">
        <f t="shared" si="2"/>
        <v>0</v>
      </c>
      <c r="P33" s="18">
        <v>4338.6000000000004</v>
      </c>
      <c r="Q33" s="21">
        <f t="shared" si="64"/>
        <v>0</v>
      </c>
      <c r="R33" s="18">
        <v>4338.6000000000004</v>
      </c>
      <c r="S33" s="21">
        <f t="shared" si="65"/>
        <v>0</v>
      </c>
      <c r="T33" s="18">
        <v>4338.6000000000004</v>
      </c>
      <c r="U33" s="21">
        <f t="shared" si="66"/>
        <v>0</v>
      </c>
      <c r="V33" s="18">
        <v>4338.6000000000004</v>
      </c>
      <c r="W33" s="21">
        <f t="shared" si="67"/>
        <v>0</v>
      </c>
      <c r="X33" s="18">
        <v>4338.6000000000004</v>
      </c>
      <c r="Y33" s="21">
        <f t="shared" si="67"/>
        <v>0</v>
      </c>
      <c r="Z33" s="18">
        <v>4338.6000000000004</v>
      </c>
      <c r="AA33" s="21">
        <f t="shared" si="3"/>
        <v>0</v>
      </c>
      <c r="AB33" s="21">
        <f t="shared" si="4"/>
        <v>0</v>
      </c>
    </row>
    <row r="34" spans="1:33" s="18" customFormat="1" x14ac:dyDescent="0.35">
      <c r="A34" s="11" t="s">
        <v>49</v>
      </c>
      <c r="B34" s="18">
        <v>1200.2</v>
      </c>
      <c r="C34" s="18">
        <v>1200.0999999999999</v>
      </c>
      <c r="D34" s="18">
        <v>1200.0999999999999</v>
      </c>
      <c r="E34" s="18">
        <v>1200</v>
      </c>
      <c r="F34" s="18">
        <v>1199.96</v>
      </c>
      <c r="G34" s="18">
        <v>1199.93</v>
      </c>
      <c r="H34" s="18">
        <v>1199.9000000000001</v>
      </c>
      <c r="I34" s="18">
        <v>1199.9000000000001</v>
      </c>
      <c r="J34" s="18">
        <v>1199.8399999999999</v>
      </c>
      <c r="K34" s="18">
        <v>1199.8</v>
      </c>
      <c r="L34" s="18">
        <v>1199.8</v>
      </c>
      <c r="M34" s="18">
        <v>1199.8</v>
      </c>
      <c r="N34" s="18">
        <v>1199.72</v>
      </c>
      <c r="O34" s="21">
        <f t="shared" si="2"/>
        <v>-1.0001333511125723E-4</v>
      </c>
      <c r="P34" s="18">
        <v>1199.7</v>
      </c>
      <c r="Q34" s="21">
        <f t="shared" si="64"/>
        <v>-8.3347224537347103E-5</v>
      </c>
      <c r="R34" s="18">
        <v>1199.7</v>
      </c>
      <c r="S34" s="21">
        <f t="shared" si="65"/>
        <v>-8.3347224537347103E-5</v>
      </c>
      <c r="T34" s="18">
        <v>1199.7</v>
      </c>
      <c r="U34" s="21">
        <f t="shared" si="66"/>
        <v>-8.3347224537347103E-5</v>
      </c>
      <c r="V34" s="18">
        <v>1199.7</v>
      </c>
      <c r="W34" s="21">
        <f t="shared" si="67"/>
        <v>-1.667055646315958E-5</v>
      </c>
      <c r="X34" s="18">
        <v>1199.7</v>
      </c>
      <c r="Y34" s="21">
        <f t="shared" si="67"/>
        <v>0</v>
      </c>
      <c r="Z34" s="18">
        <v>1199.7</v>
      </c>
      <c r="AA34" s="21">
        <f t="shared" si="3"/>
        <v>0</v>
      </c>
      <c r="AB34" s="21">
        <f t="shared" si="4"/>
        <v>0</v>
      </c>
    </row>
    <row r="35" spans="1:33" s="18" customFormat="1" x14ac:dyDescent="0.35">
      <c r="A35" s="11" t="s">
        <v>50</v>
      </c>
      <c r="B35" s="18">
        <v>33</v>
      </c>
      <c r="C35" s="18">
        <v>33.93</v>
      </c>
      <c r="D35" s="18">
        <v>35.14</v>
      </c>
      <c r="E35" s="18">
        <v>34.1</v>
      </c>
      <c r="F35" s="18">
        <v>36.33</v>
      </c>
      <c r="G35" s="18">
        <v>35.700000000000003</v>
      </c>
      <c r="H35" s="18">
        <v>36.4</v>
      </c>
      <c r="I35" s="18">
        <v>36.6</v>
      </c>
      <c r="J35" s="18">
        <v>42.4</v>
      </c>
      <c r="K35" s="18">
        <v>47.4</v>
      </c>
      <c r="L35" s="18">
        <v>44.6</v>
      </c>
      <c r="M35" s="18">
        <v>46.13</v>
      </c>
      <c r="N35" s="18">
        <v>46.948999999999998</v>
      </c>
      <c r="O35" s="21">
        <f t="shared" si="2"/>
        <v>0.1072877358490566</v>
      </c>
      <c r="P35" s="18">
        <v>50.66</v>
      </c>
      <c r="Q35" s="21">
        <f t="shared" si="64"/>
        <v>6.8776371308016837E-2</v>
      </c>
      <c r="R35" s="18">
        <v>55</v>
      </c>
      <c r="S35" s="21">
        <f t="shared" si="65"/>
        <v>0.2331838565022421</v>
      </c>
      <c r="T35" s="18">
        <v>57.74</v>
      </c>
      <c r="U35" s="21">
        <f t="shared" si="66"/>
        <v>0.251680034684587</v>
      </c>
      <c r="V35" s="18">
        <v>63.5</v>
      </c>
      <c r="W35" s="21">
        <f t="shared" si="67"/>
        <v>0.35253147031885668</v>
      </c>
      <c r="X35" s="18">
        <v>63.988</v>
      </c>
      <c r="Y35" s="21">
        <f t="shared" si="67"/>
        <v>0.26308724832214775</v>
      </c>
      <c r="Z35" s="18">
        <v>62.55</v>
      </c>
      <c r="AA35" s="21">
        <f t="shared" si="3"/>
        <v>0.13727272727272721</v>
      </c>
      <c r="AB35" s="21">
        <f t="shared" si="4"/>
        <v>-2.2472963680690166E-2</v>
      </c>
    </row>
    <row r="36" spans="1:33" s="17" customFormat="1" ht="13.15" x14ac:dyDescent="0.4">
      <c r="A36" s="16" t="s">
        <v>51</v>
      </c>
      <c r="B36" s="17">
        <f>SUM(B30:B35)</f>
        <v>21304.3</v>
      </c>
      <c r="C36" s="17">
        <f>SUM(C30:C35)</f>
        <v>21917.57</v>
      </c>
      <c r="D36" s="17">
        <f t="shared" ref="D36" si="82">SUM(D30:D35)</f>
        <v>22412.939999999995</v>
      </c>
      <c r="E36" s="17">
        <f t="shared" ref="E36" si="83">SUM(E30:E35)</f>
        <v>22825.17</v>
      </c>
      <c r="F36" s="17">
        <f t="shared" ref="F36" si="84">SUM(F30:F35)</f>
        <v>24848.260999999999</v>
      </c>
      <c r="G36" s="17">
        <f t="shared" ref="G36" si="85">SUM(G30:G35)</f>
        <v>25847.52</v>
      </c>
      <c r="H36" s="17">
        <f t="shared" ref="H36" si="86">SUM(H30:H35)</f>
        <v>26153.47</v>
      </c>
      <c r="I36" s="17">
        <f t="shared" ref="I36" si="87">SUM(I30:I35)</f>
        <v>25862.720000000001</v>
      </c>
      <c r="J36" s="17">
        <f t="shared" ref="J36" si="88">SUM(J30:J35)</f>
        <v>25236.84</v>
      </c>
      <c r="K36" s="17">
        <f t="shared" ref="K36" si="89">SUM(K30:K35)</f>
        <v>25487.835999999999</v>
      </c>
      <c r="L36" s="17">
        <f t="shared" ref="L36" si="90">SUM(L30:L35)</f>
        <v>25925.529999999995</v>
      </c>
      <c r="M36" s="17">
        <f t="shared" ref="M36" si="91">SUM(M30:M35)</f>
        <v>26327.42</v>
      </c>
      <c r="N36" s="17">
        <f t="shared" ref="N36" si="92">SUM(N30:N35)</f>
        <v>26956.369000000006</v>
      </c>
      <c r="O36" s="21">
        <f t="shared" si="2"/>
        <v>6.8135669917470096E-2</v>
      </c>
      <c r="P36" s="17">
        <f t="shared" ref="P36:AE36" si="93">SUM(P30:P35)</f>
        <v>28239.379999999997</v>
      </c>
      <c r="Q36" s="21">
        <f t="shared" si="64"/>
        <v>0.1079551830135755</v>
      </c>
      <c r="R36" s="17">
        <f t="shared" si="93"/>
        <v>29007.23</v>
      </c>
      <c r="S36" s="21">
        <f t="shared" si="65"/>
        <v>0.11886738670337713</v>
      </c>
      <c r="T36" s="17">
        <f t="shared" si="93"/>
        <v>29083.360000000001</v>
      </c>
      <c r="U36" s="21">
        <f t="shared" si="66"/>
        <v>0.10467945586768482</v>
      </c>
      <c r="V36" s="17">
        <f t="shared" si="93"/>
        <v>29803.994999999999</v>
      </c>
      <c r="W36" s="21">
        <f t="shared" si="67"/>
        <v>0.10563833727012686</v>
      </c>
      <c r="X36" s="17">
        <f t="shared" si="93"/>
        <v>30395.578000000001</v>
      </c>
      <c r="Y36" s="21">
        <f t="shared" si="67"/>
        <v>7.63542967303108E-2</v>
      </c>
      <c r="Z36" s="17">
        <f t="shared" si="93"/>
        <v>30624.667000000001</v>
      </c>
      <c r="AA36" s="21">
        <f t="shared" si="3"/>
        <v>5.5759788163158006E-2</v>
      </c>
      <c r="AB36" s="21">
        <f t="shared" si="4"/>
        <v>7.5369186925808721E-3</v>
      </c>
      <c r="AC36" s="17">
        <f t="shared" si="93"/>
        <v>0</v>
      </c>
      <c r="AD36" s="17">
        <f t="shared" si="93"/>
        <v>0</v>
      </c>
      <c r="AE36" s="17">
        <f t="shared" si="93"/>
        <v>0</v>
      </c>
      <c r="AF36" s="17">
        <f t="shared" ref="AF36" si="94">SUM(AF30:AF35)</f>
        <v>0</v>
      </c>
      <c r="AG36" s="17">
        <f t="shared" ref="AG36" si="95">SUM(AG30:AG35)</f>
        <v>0</v>
      </c>
    </row>
    <row r="37" spans="1:33" s="18" customFormat="1" x14ac:dyDescent="0.35">
      <c r="A37" s="2"/>
      <c r="O37" s="21"/>
      <c r="Q37" s="21"/>
      <c r="S37" s="21"/>
      <c r="U37" s="21"/>
      <c r="W37" s="21"/>
      <c r="Y37" s="21"/>
      <c r="AA37" s="21"/>
      <c r="AB37" s="21"/>
    </row>
    <row r="38" spans="1:33" s="18" customFormat="1" ht="13.15" x14ac:dyDescent="0.4">
      <c r="A38" s="10" t="s">
        <v>52</v>
      </c>
      <c r="O38" s="21"/>
      <c r="Q38" s="21"/>
      <c r="S38" s="21"/>
      <c r="U38" s="21"/>
      <c r="W38" s="21"/>
      <c r="Y38" s="21"/>
      <c r="AA38" s="21"/>
      <c r="AB38" s="21"/>
    </row>
    <row r="39" spans="1:33" s="18" customFormat="1" ht="13.15" x14ac:dyDescent="0.4">
      <c r="A39" s="12" t="s">
        <v>53</v>
      </c>
      <c r="O39" s="21"/>
      <c r="Q39" s="21"/>
      <c r="S39" s="21"/>
      <c r="U39" s="21"/>
      <c r="W39" s="21"/>
      <c r="Y39" s="21"/>
      <c r="AA39" s="21"/>
      <c r="AB39" s="21"/>
    </row>
    <row r="40" spans="1:33" s="18" customFormat="1" x14ac:dyDescent="0.35">
      <c r="A40" s="15" t="s">
        <v>54</v>
      </c>
      <c r="B40" s="18">
        <v>0.55000000000000004</v>
      </c>
      <c r="C40" s="18">
        <v>0.55000000000000004</v>
      </c>
      <c r="D40" s="18">
        <v>0.55000000000000004</v>
      </c>
      <c r="E40" s="18">
        <v>0.55000000000000004</v>
      </c>
      <c r="F40" s="18">
        <v>0.6</v>
      </c>
      <c r="G40" s="18">
        <v>0</v>
      </c>
      <c r="H40" s="18">
        <v>0</v>
      </c>
      <c r="I40" s="18">
        <v>0</v>
      </c>
      <c r="J40" s="18">
        <v>0</v>
      </c>
      <c r="K40" s="18">
        <v>0</v>
      </c>
      <c r="L40" s="18">
        <v>0</v>
      </c>
      <c r="M40" s="18">
        <v>0</v>
      </c>
      <c r="N40" s="18">
        <v>900.6</v>
      </c>
      <c r="O40" s="21" t="e">
        <f t="shared" si="2"/>
        <v>#DIV/0!</v>
      </c>
      <c r="P40" s="18">
        <v>900.6</v>
      </c>
      <c r="Q40" s="21" t="e">
        <f t="shared" ref="Q40:Q50" si="96">(P40-K40)/K40</f>
        <v>#DIV/0!</v>
      </c>
      <c r="R40" s="18">
        <v>0</v>
      </c>
      <c r="S40" s="21" t="e">
        <f t="shared" ref="S40:S50" si="97">(R40-L40)/L40</f>
        <v>#DIV/0!</v>
      </c>
      <c r="T40" s="18">
        <v>0</v>
      </c>
      <c r="U40" s="21" t="e">
        <f t="shared" ref="U40:U50" si="98">(T40-M40)/M40</f>
        <v>#DIV/0!</v>
      </c>
      <c r="V40" s="18">
        <v>250</v>
      </c>
      <c r="W40" s="21">
        <f t="shared" ref="W40:Y49" si="99">(V40-N40)/N40</f>
        <v>-0.72240728403286703</v>
      </c>
      <c r="X40" s="18">
        <v>0</v>
      </c>
      <c r="Y40" s="21">
        <f t="shared" si="99"/>
        <v>-1</v>
      </c>
      <c r="Z40" s="18">
        <v>750</v>
      </c>
      <c r="AA40" s="21" t="e">
        <f>(Z40-R40)/R40</f>
        <v>#DIV/0!</v>
      </c>
      <c r="AB40" s="21" t="e">
        <f t="shared" ref="AB40:AB41" si="100">(Z40-X40)/X40</f>
        <v>#DIV/0!</v>
      </c>
    </row>
    <row r="41" spans="1:33" s="18" customFormat="1" x14ac:dyDescent="0.35">
      <c r="A41" s="15" t="s">
        <v>55</v>
      </c>
      <c r="B41" s="18">
        <v>894.5</v>
      </c>
      <c r="C41" s="18">
        <v>915.1</v>
      </c>
      <c r="D41" s="18">
        <v>940.5</v>
      </c>
      <c r="E41" s="18">
        <v>964.8</v>
      </c>
      <c r="F41" s="18">
        <v>991.1</v>
      </c>
      <c r="G41" s="18">
        <v>1015.7</v>
      </c>
      <c r="H41" s="18">
        <v>1044.4000000000001</v>
      </c>
      <c r="I41" s="18">
        <v>1074.0999999999999</v>
      </c>
      <c r="J41" s="18">
        <v>1101.4000000000001</v>
      </c>
      <c r="K41" s="18">
        <v>1127.8</v>
      </c>
      <c r="L41" s="18">
        <v>1157.2449999999999</v>
      </c>
      <c r="M41" s="18">
        <v>1183.5999999999999</v>
      </c>
      <c r="N41" s="18">
        <v>1205</v>
      </c>
      <c r="O41" s="21">
        <f t="shared" si="2"/>
        <v>9.40621027782821E-2</v>
      </c>
      <c r="P41" s="18">
        <v>1231.0999999999999</v>
      </c>
      <c r="Q41" s="21">
        <f t="shared" si="96"/>
        <v>9.1594254300407837E-2</v>
      </c>
      <c r="R41" s="18">
        <v>1257.0999999999999</v>
      </c>
      <c r="S41" s="21">
        <f t="shared" si="97"/>
        <v>8.628682776767238E-2</v>
      </c>
      <c r="T41" s="18">
        <v>1288.9000000000001</v>
      </c>
      <c r="U41" s="21">
        <f t="shared" si="98"/>
        <v>8.8965866846907896E-2</v>
      </c>
      <c r="V41" s="18">
        <v>1311.8</v>
      </c>
      <c r="W41" s="21">
        <f t="shared" si="99"/>
        <v>8.8630705394190837E-2</v>
      </c>
      <c r="X41" s="18">
        <v>1331.4</v>
      </c>
      <c r="Y41" s="21">
        <f t="shared" si="99"/>
        <v>8.147185443911964E-2</v>
      </c>
      <c r="Z41" s="18">
        <v>1355.3</v>
      </c>
      <c r="AA41" s="21">
        <f t="shared" ref="AA40:AA41" si="101">(Z41-R41)/R41</f>
        <v>7.8116299419298429E-2</v>
      </c>
      <c r="AB41" s="21">
        <f t="shared" si="100"/>
        <v>1.7951028992038352E-2</v>
      </c>
    </row>
    <row r="42" spans="1:33" s="18" customFormat="1" x14ac:dyDescent="0.35">
      <c r="A42" s="15" t="s">
        <v>56</v>
      </c>
      <c r="B42" s="18">
        <v>2452.9</v>
      </c>
      <c r="C42" s="18">
        <v>2727.1</v>
      </c>
      <c r="D42" s="18">
        <v>2844.2</v>
      </c>
      <c r="E42" s="18">
        <v>2860.7</v>
      </c>
      <c r="F42" s="18">
        <v>2954.4</v>
      </c>
      <c r="G42" s="18">
        <v>3400.6</v>
      </c>
      <c r="H42" s="18">
        <v>3770.5</v>
      </c>
      <c r="I42" s="18">
        <v>3614.1</v>
      </c>
      <c r="J42" s="18">
        <v>3294.4</v>
      </c>
      <c r="K42" s="18">
        <v>3369.98</v>
      </c>
      <c r="L42" s="18">
        <v>3532.6</v>
      </c>
      <c r="M42" s="18">
        <v>3738.6</v>
      </c>
      <c r="N42" s="18">
        <v>3906.85</v>
      </c>
      <c r="O42" s="21">
        <f t="shared" si="2"/>
        <v>0.18590638659543463</v>
      </c>
      <c r="P42" s="18">
        <v>4358.3999999999996</v>
      </c>
      <c r="Q42" s="21">
        <f t="shared" si="96"/>
        <v>0.29330144392548313</v>
      </c>
      <c r="R42" s="18">
        <v>4127.1000000000004</v>
      </c>
      <c r="S42" s="21">
        <f t="shared" si="97"/>
        <v>0.16828964502066479</v>
      </c>
      <c r="T42" s="18">
        <v>3552.99</v>
      </c>
      <c r="U42" s="21">
        <f t="shared" si="98"/>
        <v>-4.9646926657037432E-2</v>
      </c>
      <c r="V42" s="18">
        <v>3679.2</v>
      </c>
      <c r="W42" s="21">
        <f t="shared" si="99"/>
        <v>-5.8269449812508825E-2</v>
      </c>
      <c r="X42" s="18">
        <v>3681.63</v>
      </c>
      <c r="Y42" s="21">
        <f t="shared" si="99"/>
        <v>-0.15527946035242282</v>
      </c>
      <c r="Z42" s="18">
        <v>3651.8</v>
      </c>
      <c r="AA42" s="21">
        <f t="shared" si="3"/>
        <v>-0.11516561265779848</v>
      </c>
      <c r="AB42" s="21">
        <f t="shared" si="4"/>
        <v>-8.1023894307684172E-3</v>
      </c>
    </row>
    <row r="43" spans="1:33" s="18" customFormat="1" x14ac:dyDescent="0.35">
      <c r="A43" s="15" t="s">
        <v>57</v>
      </c>
      <c r="B43" s="18">
        <v>560</v>
      </c>
      <c r="C43" s="18">
        <v>666.3</v>
      </c>
      <c r="D43" s="18">
        <v>717.5</v>
      </c>
      <c r="E43" s="18">
        <v>709.2</v>
      </c>
      <c r="F43" s="18">
        <v>791.4</v>
      </c>
      <c r="G43" s="18">
        <v>978.6</v>
      </c>
      <c r="H43" s="18">
        <v>1060.5999999999999</v>
      </c>
      <c r="I43" s="18">
        <v>1006.55</v>
      </c>
      <c r="J43" s="18">
        <v>861.7</v>
      </c>
      <c r="K43" s="18">
        <v>973</v>
      </c>
      <c r="L43" s="18">
        <v>1039.2</v>
      </c>
      <c r="M43" s="18">
        <v>1049.1300000000001</v>
      </c>
      <c r="N43" s="18">
        <v>930.3</v>
      </c>
      <c r="O43" s="21">
        <f t="shared" si="2"/>
        <v>7.9610073111291521E-2</v>
      </c>
      <c r="P43" s="18">
        <v>1069.92</v>
      </c>
      <c r="Q43" s="21">
        <f t="shared" si="96"/>
        <v>9.96094552929086E-2</v>
      </c>
      <c r="R43" s="18">
        <v>1110.5</v>
      </c>
      <c r="S43" s="21">
        <f t="shared" si="97"/>
        <v>6.8610469591993795E-2</v>
      </c>
      <c r="T43" s="18">
        <v>1036.9190000000001</v>
      </c>
      <c r="U43" s="21">
        <f t="shared" si="98"/>
        <v>-1.1639167691325204E-2</v>
      </c>
      <c r="V43" s="18">
        <v>848.8</v>
      </c>
      <c r="W43" s="21">
        <f t="shared" si="99"/>
        <v>-8.7606148554229823E-2</v>
      </c>
      <c r="X43" s="18">
        <v>1013.6</v>
      </c>
      <c r="Y43" s="21">
        <f t="shared" si="99"/>
        <v>-5.2639449678480679E-2</v>
      </c>
      <c r="Z43" s="18">
        <v>1020.8</v>
      </c>
      <c r="AA43" s="21">
        <f t="shared" si="3"/>
        <v>-8.0774425934263885E-2</v>
      </c>
      <c r="AB43" s="21">
        <f t="shared" si="4"/>
        <v>7.103393843725268E-3</v>
      </c>
    </row>
    <row r="44" spans="1:33" s="18" customFormat="1" x14ac:dyDescent="0.35">
      <c r="A44" s="15" t="s">
        <v>58</v>
      </c>
      <c r="B44" s="18">
        <v>48.8</v>
      </c>
      <c r="C44" s="18">
        <v>3.3</v>
      </c>
      <c r="D44" s="18">
        <v>3.3</v>
      </c>
      <c r="E44" s="18">
        <v>8.4</v>
      </c>
      <c r="F44" s="18">
        <v>105.9</v>
      </c>
      <c r="G44" s="18">
        <v>16.239999999999998</v>
      </c>
      <c r="H44" s="18">
        <v>10.7</v>
      </c>
      <c r="I44" s="18">
        <v>16.100000000000001</v>
      </c>
      <c r="J44" s="18">
        <v>57.953000000000003</v>
      </c>
      <c r="K44" s="18">
        <v>8.23</v>
      </c>
      <c r="L44" s="18">
        <v>11.4</v>
      </c>
      <c r="M44" s="18">
        <v>8.1</v>
      </c>
      <c r="N44" s="18">
        <v>9.1</v>
      </c>
      <c r="O44" s="21">
        <f t="shared" si="2"/>
        <v>-0.84297620485565883</v>
      </c>
      <c r="P44" s="18">
        <v>6.77</v>
      </c>
      <c r="Q44" s="21">
        <f t="shared" si="96"/>
        <v>-0.17739975698663435</v>
      </c>
      <c r="R44" s="18">
        <v>8</v>
      </c>
      <c r="S44" s="21">
        <f t="shared" si="97"/>
        <v>-0.29824561403508776</v>
      </c>
      <c r="T44" s="18">
        <v>8.9190000000000005</v>
      </c>
      <c r="U44" s="21">
        <f t="shared" si="98"/>
        <v>0.10111111111111122</v>
      </c>
      <c r="V44" s="18">
        <v>10.99</v>
      </c>
      <c r="W44" s="21">
        <f t="shared" si="99"/>
        <v>0.20769230769230776</v>
      </c>
      <c r="X44" s="18">
        <v>7.26</v>
      </c>
      <c r="Y44" s="21">
        <f t="shared" si="99"/>
        <v>7.2378138847858237E-2</v>
      </c>
      <c r="Z44" s="18">
        <v>9.1999999999999993</v>
      </c>
      <c r="AA44" s="21">
        <f t="shared" si="3"/>
        <v>0.14999999999999991</v>
      </c>
      <c r="AB44" s="21">
        <f t="shared" si="4"/>
        <v>0.26721763085399441</v>
      </c>
    </row>
    <row r="45" spans="1:33" s="17" customFormat="1" ht="13.15" x14ac:dyDescent="0.4">
      <c r="A45" s="16" t="s">
        <v>59</v>
      </c>
      <c r="B45" s="17">
        <f>SUM(B40:B44)</f>
        <v>3956.75</v>
      </c>
      <c r="C45" s="17">
        <f>SUM(C40:C44)</f>
        <v>4312.3500000000004</v>
      </c>
      <c r="D45" s="17">
        <f t="shared" ref="D45" si="102">SUM(D40:D44)</f>
        <v>4506.05</v>
      </c>
      <c r="E45" s="17">
        <f t="shared" ref="E45" si="103">SUM(E40:E44)</f>
        <v>4543.6499999999996</v>
      </c>
      <c r="F45" s="17">
        <f t="shared" ref="F45" si="104">SUM(F40:F44)</f>
        <v>4843.3999999999996</v>
      </c>
      <c r="G45" s="17">
        <f t="shared" ref="G45" si="105">SUM(G40:G44)</f>
        <v>5411.14</v>
      </c>
      <c r="H45" s="17">
        <f t="shared" ref="H45" si="106">SUM(H40:H44)</f>
        <v>5886.2</v>
      </c>
      <c r="I45" s="17">
        <f t="shared" ref="I45" si="107">SUM(I40:I44)</f>
        <v>5710.85</v>
      </c>
      <c r="J45" s="17">
        <f t="shared" ref="J45" si="108">SUM(J40:J44)</f>
        <v>5315.4530000000004</v>
      </c>
      <c r="K45" s="17">
        <f t="shared" ref="K45" si="109">SUM(K40:K44)</f>
        <v>5479.0099999999993</v>
      </c>
      <c r="L45" s="17">
        <f t="shared" ref="L45" si="110">SUM(L40:L44)</f>
        <v>5740.4449999999988</v>
      </c>
      <c r="M45" s="17">
        <f t="shared" ref="M45" si="111">SUM(M40:M44)</f>
        <v>5979.43</v>
      </c>
      <c r="N45" s="17">
        <f t="shared" ref="N45" si="112">SUM(N40:N44)</f>
        <v>6951.85</v>
      </c>
      <c r="O45" s="21">
        <f t="shared" si="2"/>
        <v>0.30785654581086502</v>
      </c>
      <c r="P45" s="17">
        <f t="shared" ref="P45:AG45" si="113">SUM(P40:P44)</f>
        <v>7566.79</v>
      </c>
      <c r="Q45" s="21">
        <f t="shared" si="96"/>
        <v>0.3810505912564498</v>
      </c>
      <c r="R45" s="17">
        <f t="shared" si="113"/>
        <v>6502.7000000000007</v>
      </c>
      <c r="S45" s="21">
        <f t="shared" si="97"/>
        <v>0.13278674388483855</v>
      </c>
      <c r="T45" s="17">
        <f t="shared" si="113"/>
        <v>5887.7279999999992</v>
      </c>
      <c r="U45" s="21">
        <f t="shared" si="98"/>
        <v>-1.5336244424635982E-2</v>
      </c>
      <c r="V45" s="17">
        <f t="shared" si="113"/>
        <v>6100.79</v>
      </c>
      <c r="W45" s="17">
        <f t="shared" si="113"/>
        <v>-0.57195986931310705</v>
      </c>
      <c r="X45" s="17">
        <f t="shared" si="113"/>
        <v>6033.8900000000012</v>
      </c>
      <c r="Y45" s="17">
        <f t="shared" si="113"/>
        <v>-1.0540689167439259</v>
      </c>
      <c r="Z45" s="17">
        <f t="shared" si="113"/>
        <v>6787.1</v>
      </c>
      <c r="AA45" s="21">
        <f t="shared" si="3"/>
        <v>4.3735679025635445E-2</v>
      </c>
      <c r="AB45" s="21">
        <f t="shared" si="4"/>
        <v>0.12482991900747262</v>
      </c>
      <c r="AC45" s="17">
        <f t="shared" si="113"/>
        <v>0</v>
      </c>
      <c r="AD45" s="17">
        <f t="shared" si="113"/>
        <v>0</v>
      </c>
      <c r="AE45" s="17">
        <f t="shared" si="113"/>
        <v>0</v>
      </c>
      <c r="AF45" s="17">
        <f t="shared" si="113"/>
        <v>0</v>
      </c>
      <c r="AG45" s="17">
        <f t="shared" si="113"/>
        <v>0</v>
      </c>
    </row>
    <row r="46" spans="1:33" s="18" customFormat="1" x14ac:dyDescent="0.35">
      <c r="A46" s="11" t="s">
        <v>60</v>
      </c>
      <c r="B46" s="18">
        <v>2732.1</v>
      </c>
      <c r="C46" s="18">
        <v>2573.5</v>
      </c>
      <c r="D46" s="18">
        <v>2762.5</v>
      </c>
      <c r="E46" s="18">
        <v>2911.4</v>
      </c>
      <c r="F46" s="18">
        <v>3967.2</v>
      </c>
      <c r="G46" s="18">
        <v>4089</v>
      </c>
      <c r="H46" s="18">
        <v>4131.6000000000004</v>
      </c>
      <c r="I46" s="18">
        <v>4130.9755999999998</v>
      </c>
      <c r="J46" s="18">
        <v>4130.7</v>
      </c>
      <c r="K46" s="18">
        <v>4156.8</v>
      </c>
      <c r="L46" s="18">
        <v>4127.42</v>
      </c>
      <c r="M46" s="18">
        <v>4172.1000000000004</v>
      </c>
      <c r="N46" s="18">
        <v>3947.5</v>
      </c>
      <c r="O46" s="21">
        <f t="shared" si="2"/>
        <v>-4.4350836419977203E-2</v>
      </c>
      <c r="P46" s="18">
        <v>4290.7</v>
      </c>
      <c r="Q46" s="21">
        <f t="shared" si="96"/>
        <v>3.2212278675904454E-2</v>
      </c>
      <c r="R46" s="18">
        <v>5985.7</v>
      </c>
      <c r="S46" s="21">
        <f t="shared" si="97"/>
        <v>0.45022798745947823</v>
      </c>
      <c r="T46" s="18">
        <v>7009.4</v>
      </c>
      <c r="U46" s="21">
        <f t="shared" si="98"/>
        <v>0.68006519498573836</v>
      </c>
      <c r="V46" s="18">
        <v>7028.8</v>
      </c>
      <c r="W46" s="21">
        <f t="shared" si="99"/>
        <v>0.78056998100063335</v>
      </c>
      <c r="X46" s="18">
        <v>7295.2</v>
      </c>
      <c r="Y46" s="21">
        <f t="shared" si="99"/>
        <v>0.70023539282634539</v>
      </c>
      <c r="Z46" s="18">
        <v>6440.84</v>
      </c>
      <c r="AA46" s="21">
        <f t="shared" si="3"/>
        <v>7.6037890305227521E-2</v>
      </c>
      <c r="AB46" s="21">
        <f t="shared" si="4"/>
        <v>-0.11711262199802605</v>
      </c>
    </row>
    <row r="47" spans="1:33" s="18" customFormat="1" x14ac:dyDescent="0.35">
      <c r="A47" s="11" t="s">
        <v>61</v>
      </c>
      <c r="B47" s="18">
        <v>7238.9</v>
      </c>
      <c r="C47" s="18">
        <v>7480.9</v>
      </c>
      <c r="D47" s="18">
        <v>7688.92</v>
      </c>
      <c r="E47" s="18">
        <v>7819.7</v>
      </c>
      <c r="F47" s="18">
        <v>7956.8</v>
      </c>
      <c r="G47" s="18">
        <v>8124.9</v>
      </c>
      <c r="H47" s="18">
        <v>8285</v>
      </c>
      <c r="I47" s="18">
        <v>8385.4</v>
      </c>
      <c r="J47" s="18">
        <v>8499.44</v>
      </c>
      <c r="K47" s="18">
        <v>8661.7000000000007</v>
      </c>
      <c r="L47" s="18">
        <v>8808.5</v>
      </c>
      <c r="M47" s="18">
        <v>8890.7000000000007</v>
      </c>
      <c r="N47" s="18">
        <v>8959.2000000000007</v>
      </c>
      <c r="O47" s="21">
        <f t="shared" si="2"/>
        <v>5.4092975537211888E-2</v>
      </c>
      <c r="P47" s="18">
        <v>9070.2999999999993</v>
      </c>
      <c r="Q47" s="21">
        <f t="shared" si="96"/>
        <v>4.7173187711419068E-2</v>
      </c>
      <c r="R47" s="18">
        <v>9195</v>
      </c>
      <c r="S47" s="21">
        <f t="shared" si="97"/>
        <v>4.3878072316512459E-2</v>
      </c>
      <c r="T47" s="18">
        <v>9362.7999999999993</v>
      </c>
      <c r="U47" s="21">
        <f t="shared" si="98"/>
        <v>5.3100430787226933E-2</v>
      </c>
      <c r="V47" s="18">
        <v>9399.7999999999993</v>
      </c>
      <c r="W47" s="21">
        <f t="shared" si="99"/>
        <v>4.9178498080185568E-2</v>
      </c>
      <c r="X47" s="18">
        <v>9409.2000000000007</v>
      </c>
      <c r="Y47" s="21">
        <f t="shared" si="99"/>
        <v>3.7363703515870643E-2</v>
      </c>
      <c r="Z47" s="18">
        <v>9540.6</v>
      </c>
      <c r="AA47" s="21">
        <f t="shared" si="3"/>
        <v>3.7585644371941312E-2</v>
      </c>
      <c r="AB47" s="21">
        <f t="shared" si="4"/>
        <v>1.3965055477617611E-2</v>
      </c>
    </row>
    <row r="48" spans="1:33" s="18" customFormat="1" x14ac:dyDescent="0.35">
      <c r="A48" s="11" t="s">
        <v>62</v>
      </c>
      <c r="B48" s="18">
        <v>629.9</v>
      </c>
      <c r="C48" s="18">
        <v>627.79999999999995</v>
      </c>
      <c r="D48" s="18">
        <v>634</v>
      </c>
      <c r="E48" s="18">
        <v>675.2</v>
      </c>
      <c r="F48" s="18">
        <v>700.1</v>
      </c>
      <c r="G48" s="18">
        <v>689.9</v>
      </c>
      <c r="H48" s="18">
        <v>686.7</v>
      </c>
      <c r="I48" s="18">
        <v>710.5</v>
      </c>
      <c r="J48" s="18">
        <v>769.43</v>
      </c>
      <c r="K48" s="18">
        <v>781.5</v>
      </c>
      <c r="L48" s="18">
        <v>781.23</v>
      </c>
      <c r="M48" s="18">
        <v>825.3</v>
      </c>
      <c r="N48" s="18">
        <v>907</v>
      </c>
      <c r="O48" s="21">
        <f t="shared" si="2"/>
        <v>0.17879469217472682</v>
      </c>
      <c r="P48" s="18">
        <v>906.846</v>
      </c>
      <c r="Q48" s="21">
        <f t="shared" si="96"/>
        <v>0.16039155470249519</v>
      </c>
      <c r="R48" s="18">
        <v>992.5</v>
      </c>
      <c r="S48" s="21">
        <f t="shared" si="97"/>
        <v>0.27043252307259064</v>
      </c>
      <c r="T48" s="18">
        <v>1060.9000000000001</v>
      </c>
      <c r="U48" s="21">
        <f t="shared" si="98"/>
        <v>0.28547194959408717</v>
      </c>
      <c r="V48" s="18">
        <v>1111.434</v>
      </c>
      <c r="W48" s="21">
        <f t="shared" si="99"/>
        <v>0.2253958103638368</v>
      </c>
      <c r="X48" s="18">
        <v>1119.1099999999999</v>
      </c>
      <c r="Y48" s="21">
        <f t="shared" si="99"/>
        <v>0.23406840852801897</v>
      </c>
      <c r="Z48" s="18">
        <v>1152.0999999999999</v>
      </c>
      <c r="AA48" s="21">
        <f t="shared" si="3"/>
        <v>0.16080604534005027</v>
      </c>
      <c r="AB48" s="21">
        <f t="shared" si="4"/>
        <v>2.9478782246606688E-2</v>
      </c>
    </row>
    <row r="49" spans="1:33" s="18" customFormat="1" x14ac:dyDescent="0.35">
      <c r="A49" s="11" t="s">
        <v>50</v>
      </c>
      <c r="B49" s="18">
        <v>173.99</v>
      </c>
      <c r="C49" s="18">
        <v>173.98</v>
      </c>
      <c r="D49" s="18">
        <v>173</v>
      </c>
      <c r="E49" s="18">
        <v>172.7</v>
      </c>
      <c r="F49" s="18">
        <v>171.55</v>
      </c>
      <c r="G49" s="18">
        <v>176.4</v>
      </c>
      <c r="H49" s="18">
        <v>178.41</v>
      </c>
      <c r="I49" s="18">
        <v>263.7</v>
      </c>
      <c r="J49" s="18">
        <v>271.8</v>
      </c>
      <c r="K49" s="18">
        <v>271.60000000000002</v>
      </c>
      <c r="L49" s="18">
        <v>277.83</v>
      </c>
      <c r="M49" s="18">
        <v>197.99</v>
      </c>
      <c r="N49" s="18">
        <v>229.2</v>
      </c>
      <c r="O49" s="21">
        <f t="shared" si="2"/>
        <v>-0.15673289183222966</v>
      </c>
      <c r="P49" s="18">
        <v>216.1</v>
      </c>
      <c r="Q49" s="21">
        <f t="shared" si="96"/>
        <v>-0.20434462444771731</v>
      </c>
      <c r="R49" s="18">
        <v>237.5</v>
      </c>
      <c r="S49" s="21">
        <f t="shared" si="97"/>
        <v>-0.14516070978656007</v>
      </c>
      <c r="T49" s="18">
        <v>220.8</v>
      </c>
      <c r="U49" s="21">
        <f t="shared" si="98"/>
        <v>0.11520783877973635</v>
      </c>
      <c r="V49" s="18">
        <v>227.99</v>
      </c>
      <c r="W49" s="21">
        <f t="shared" si="99"/>
        <v>-5.2792321116927558E-3</v>
      </c>
      <c r="X49" s="18">
        <v>240.4</v>
      </c>
      <c r="Y49" s="21">
        <f t="shared" si="99"/>
        <v>0.11244794076816295</v>
      </c>
      <c r="Z49" s="18">
        <v>252.1</v>
      </c>
      <c r="AA49" s="21">
        <f t="shared" si="3"/>
        <v>6.1473684210526292E-2</v>
      </c>
      <c r="AB49" s="21">
        <f t="shared" si="4"/>
        <v>4.8668885191347704E-2</v>
      </c>
    </row>
    <row r="50" spans="1:33" s="17" customFormat="1" ht="13.15" x14ac:dyDescent="0.4">
      <c r="A50" s="16" t="s">
        <v>63</v>
      </c>
      <c r="B50" s="17">
        <f>SUM(B45:B49)</f>
        <v>14731.64</v>
      </c>
      <c r="C50" s="17">
        <f>SUM(C45:C49)</f>
        <v>15168.529999999999</v>
      </c>
      <c r="D50" s="17">
        <f t="shared" ref="D50" si="114">SUM(D45:D49)</f>
        <v>15764.470000000001</v>
      </c>
      <c r="E50" s="17">
        <f t="shared" ref="E50" si="115">SUM(E45:E49)</f>
        <v>16122.650000000001</v>
      </c>
      <c r="F50" s="17">
        <f t="shared" ref="F50" si="116">SUM(F45:F49)</f>
        <v>17639.049999999996</v>
      </c>
      <c r="G50" s="17">
        <f t="shared" ref="G50" si="117">SUM(G45:G49)</f>
        <v>18491.340000000004</v>
      </c>
      <c r="H50" s="17">
        <f t="shared" ref="H50" si="118">SUM(H45:H49)</f>
        <v>19167.91</v>
      </c>
      <c r="I50" s="17">
        <f t="shared" ref="I50" si="119">SUM(I45:I49)</f>
        <v>19201.425599999999</v>
      </c>
      <c r="J50" s="17">
        <f t="shared" ref="J50" si="120">SUM(J45:J49)</f>
        <v>18986.823</v>
      </c>
      <c r="K50" s="17">
        <f t="shared" ref="K50" si="121">SUM(K45:K49)</f>
        <v>19350.61</v>
      </c>
      <c r="L50" s="17">
        <f t="shared" ref="L50" si="122">SUM(L45:L49)</f>
        <v>19735.424999999999</v>
      </c>
      <c r="M50" s="17">
        <f>SUM(M45:M49)</f>
        <v>20065.520000000004</v>
      </c>
      <c r="N50" s="17">
        <f t="shared" ref="N50" si="123">SUM(N45:N49)</f>
        <v>20994.750000000004</v>
      </c>
      <c r="O50" s="21">
        <f t="shared" si="2"/>
        <v>0.10575371140290313</v>
      </c>
      <c r="P50" s="17">
        <f t="shared" ref="P50:AG50" si="124">SUM(P45:P49)</f>
        <v>22050.736000000001</v>
      </c>
      <c r="Q50" s="21">
        <f t="shared" si="96"/>
        <v>0.13953699650812043</v>
      </c>
      <c r="R50" s="17">
        <f t="shared" si="124"/>
        <v>22913.4</v>
      </c>
      <c r="S50" s="21">
        <f t="shared" si="97"/>
        <v>0.16102896187946306</v>
      </c>
      <c r="T50" s="17">
        <f>SUM(T45:T49)</f>
        <v>23541.628000000001</v>
      </c>
      <c r="U50" s="21">
        <f t="shared" si="98"/>
        <v>0.17323787272893978</v>
      </c>
      <c r="V50" s="17">
        <f t="shared" si="124"/>
        <v>23868.814000000002</v>
      </c>
      <c r="W50" s="17">
        <f t="shared" si="124"/>
        <v>0.47790518801985599</v>
      </c>
      <c r="X50" s="17">
        <f t="shared" si="124"/>
        <v>24097.800000000003</v>
      </c>
      <c r="Y50" s="17">
        <f t="shared" si="124"/>
        <v>3.0046528894472069E-2</v>
      </c>
      <c r="Z50" s="17">
        <f t="shared" si="124"/>
        <v>24172.739999999998</v>
      </c>
      <c r="AA50" s="21">
        <f t="shared" si="3"/>
        <v>5.496085260153432E-2</v>
      </c>
      <c r="AB50" s="21">
        <f t="shared" si="4"/>
        <v>3.1098274531282956E-3</v>
      </c>
      <c r="AC50" s="17">
        <f t="shared" si="124"/>
        <v>0</v>
      </c>
      <c r="AD50" s="17">
        <f t="shared" si="124"/>
        <v>0</v>
      </c>
      <c r="AE50" s="17">
        <f t="shared" si="124"/>
        <v>0</v>
      </c>
      <c r="AF50" s="17">
        <f t="shared" si="124"/>
        <v>0</v>
      </c>
      <c r="AG50" s="17">
        <f t="shared" si="124"/>
        <v>0</v>
      </c>
    </row>
    <row r="51" spans="1:33" s="18" customFormat="1" x14ac:dyDescent="0.35">
      <c r="A51" s="2"/>
      <c r="O51" s="21"/>
      <c r="Q51" s="21"/>
      <c r="S51" s="21"/>
      <c r="U51" s="21"/>
      <c r="W51" s="21"/>
      <c r="Y51" s="21"/>
      <c r="AA51" s="21"/>
      <c r="AB51" s="21"/>
    </row>
    <row r="52" spans="1:33" s="17" customFormat="1" ht="13.15" x14ac:dyDescent="0.4">
      <c r="A52" s="10" t="s">
        <v>64</v>
      </c>
      <c r="B52" s="17">
        <f t="shared" ref="B52:V52" si="125">B36-B50</f>
        <v>6572.66</v>
      </c>
      <c r="C52" s="17">
        <f t="shared" si="125"/>
        <v>6749.0400000000009</v>
      </c>
      <c r="D52" s="17">
        <f t="shared" si="125"/>
        <v>6648.4699999999939</v>
      </c>
      <c r="E52" s="17">
        <f t="shared" si="125"/>
        <v>6702.5199999999968</v>
      </c>
      <c r="F52" s="17">
        <f t="shared" si="125"/>
        <v>7209.211000000003</v>
      </c>
      <c r="G52" s="17">
        <f t="shared" si="125"/>
        <v>7356.1799999999967</v>
      </c>
      <c r="H52" s="17">
        <f t="shared" si="125"/>
        <v>6985.5600000000013</v>
      </c>
      <c r="I52" s="17">
        <f t="shared" si="125"/>
        <v>6661.2944000000025</v>
      </c>
      <c r="J52" s="17">
        <f t="shared" si="125"/>
        <v>6250.0169999999998</v>
      </c>
      <c r="K52" s="17">
        <f t="shared" si="125"/>
        <v>6137.2259999999987</v>
      </c>
      <c r="L52" s="17">
        <f t="shared" si="125"/>
        <v>6190.1049999999959</v>
      </c>
      <c r="M52" s="17">
        <f t="shared" si="125"/>
        <v>6261.8999999999942</v>
      </c>
      <c r="N52" s="17">
        <f t="shared" si="125"/>
        <v>5961.6190000000024</v>
      </c>
      <c r="O52" s="21">
        <f t="shared" si="2"/>
        <v>-4.6143554489531377E-2</v>
      </c>
      <c r="P52" s="17">
        <f t="shared" si="125"/>
        <v>6188.6439999999966</v>
      </c>
      <c r="Q52" s="21">
        <f t="shared" ref="Q52:Q60" si="126">(P52-K52)/K52</f>
        <v>8.3780522340219932E-3</v>
      </c>
      <c r="R52" s="17">
        <f t="shared" si="125"/>
        <v>6093.8299999999981</v>
      </c>
      <c r="S52" s="21">
        <f t="shared" ref="S52:S60" si="127">(R52-L52)/L52</f>
        <v>-1.5553047969299048E-2</v>
      </c>
      <c r="T52" s="17">
        <f t="shared" si="125"/>
        <v>5541.732</v>
      </c>
      <c r="U52" s="21">
        <f t="shared" ref="U52:U60" si="128">(T52-M52)/M52</f>
        <v>-0.11500790494897634</v>
      </c>
      <c r="V52" s="17">
        <f t="shared" si="125"/>
        <v>5935.1809999999969</v>
      </c>
      <c r="W52" s="17">
        <f t="shared" ref="W52:AG52" si="129">W36-W50</f>
        <v>-0.37226685074972909</v>
      </c>
      <c r="X52" s="17">
        <f t="shared" si="129"/>
        <v>6297.7779999999984</v>
      </c>
      <c r="Y52" s="17">
        <f t="shared" si="129"/>
        <v>4.6307767835838731E-2</v>
      </c>
      <c r="Z52" s="17">
        <f t="shared" si="129"/>
        <v>6451.9270000000033</v>
      </c>
      <c r="AA52" s="21">
        <f t="shared" si="3"/>
        <v>5.8763864433370366E-2</v>
      </c>
      <c r="AB52" s="21">
        <f t="shared" si="4"/>
        <v>2.4476728141259493E-2</v>
      </c>
      <c r="AC52" s="17">
        <f t="shared" si="129"/>
        <v>0</v>
      </c>
      <c r="AD52" s="17">
        <f t="shared" si="129"/>
        <v>0</v>
      </c>
      <c r="AE52" s="17">
        <f t="shared" si="129"/>
        <v>0</v>
      </c>
      <c r="AF52" s="17">
        <f t="shared" si="129"/>
        <v>0</v>
      </c>
      <c r="AG52" s="17">
        <f t="shared" si="129"/>
        <v>0</v>
      </c>
    </row>
    <row r="53" spans="1:33" s="18" customFormat="1" x14ac:dyDescent="0.35">
      <c r="A53" s="9" t="s">
        <v>65</v>
      </c>
      <c r="B53" s="18">
        <f t="shared" ref="B53:N53" si="130">B7-B8+B9</f>
        <v>33904.164649999999</v>
      </c>
      <c r="C53" s="18">
        <f t="shared" si="130"/>
        <v>35507.751000000011</v>
      </c>
      <c r="D53" s="18">
        <f t="shared" si="130"/>
        <v>42912.349000000002</v>
      </c>
      <c r="E53" s="18">
        <f t="shared" si="130"/>
        <v>42176.436000000002</v>
      </c>
      <c r="F53" s="18">
        <f t="shared" si="130"/>
        <v>44427.053399999997</v>
      </c>
      <c r="G53" s="18">
        <f t="shared" si="130"/>
        <v>48303.41</v>
      </c>
      <c r="H53" s="18">
        <f t="shared" si="130"/>
        <v>53159.574999999997</v>
      </c>
      <c r="I53" s="18">
        <f t="shared" si="130"/>
        <v>50478.457599999994</v>
      </c>
      <c r="J53" s="18">
        <f t="shared" si="130"/>
        <v>54145.9</v>
      </c>
      <c r="K53" s="18">
        <f t="shared" si="130"/>
        <v>57985.826000000008</v>
      </c>
      <c r="L53" s="18">
        <f t="shared" si="130"/>
        <v>54767.72</v>
      </c>
      <c r="M53" s="18">
        <f t="shared" si="130"/>
        <v>52423.004800000002</v>
      </c>
      <c r="N53" s="18">
        <f t="shared" si="130"/>
        <v>58558.043999999994</v>
      </c>
      <c r="O53" s="21">
        <f t="shared" si="2"/>
        <v>8.1486206711865405E-2</v>
      </c>
      <c r="P53" s="18">
        <f>P7-P8+P9</f>
        <v>60975.6</v>
      </c>
      <c r="Q53" s="21">
        <f t="shared" si="126"/>
        <v>5.1560427888015077E-2</v>
      </c>
      <c r="R53" s="18">
        <f>R7-R8+R9</f>
        <v>64368.165999999983</v>
      </c>
      <c r="S53" s="21">
        <f t="shared" si="127"/>
        <v>0.17529387748841802</v>
      </c>
      <c r="T53" s="18">
        <f>T7-T8+T9</f>
        <v>58115.576000000008</v>
      </c>
      <c r="U53" s="21">
        <f t="shared" si="128"/>
        <v>0.10858918182423617</v>
      </c>
      <c r="V53" s="18">
        <f>V7-V8+V9</f>
        <v>55163.198000000004</v>
      </c>
      <c r="W53" s="18">
        <f t="shared" ref="W53:AG53" si="131">W7-W8+W9</f>
        <v>0.46020988499365773</v>
      </c>
      <c r="X53" s="18">
        <f t="shared" si="131"/>
        <v>43843.547039999998</v>
      </c>
      <c r="Y53" s="18">
        <f t="shared" si="131"/>
        <v>-1.8898571682305743E-2</v>
      </c>
      <c r="Z53" s="18">
        <f t="shared" si="131"/>
        <v>33034.345000000001</v>
      </c>
      <c r="AA53" s="21">
        <f t="shared" si="3"/>
        <v>-0.48679064430700092</v>
      </c>
      <c r="AB53" s="21">
        <f t="shared" si="4"/>
        <v>-0.246540318239726</v>
      </c>
      <c r="AC53" s="18">
        <f t="shared" si="131"/>
        <v>0</v>
      </c>
      <c r="AD53" s="18">
        <f t="shared" si="131"/>
        <v>0</v>
      </c>
      <c r="AE53" s="18">
        <f t="shared" si="131"/>
        <v>0</v>
      </c>
      <c r="AF53" s="18">
        <f t="shared" si="131"/>
        <v>0</v>
      </c>
      <c r="AG53" s="18">
        <f t="shared" si="131"/>
        <v>0</v>
      </c>
    </row>
    <row r="54" spans="1:33" x14ac:dyDescent="0.35">
      <c r="A54" s="9" t="s">
        <v>66</v>
      </c>
      <c r="B54" s="19">
        <f t="shared" ref="B54:N54" si="132">B22/B6</f>
        <v>1.4795189518375509</v>
      </c>
      <c r="C54" s="19">
        <f t="shared" si="132"/>
        <v>1.6464685449633345</v>
      </c>
      <c r="D54" s="19">
        <f t="shared" si="132"/>
        <v>1.4183158711680226</v>
      </c>
      <c r="E54" s="19">
        <f t="shared" si="132"/>
        <v>2.0739752034095242</v>
      </c>
      <c r="F54" s="19">
        <f t="shared" si="132"/>
        <v>2.5642890939200353</v>
      </c>
      <c r="G54" s="19">
        <f t="shared" si="132"/>
        <v>3.122918318794611</v>
      </c>
      <c r="H54" s="19">
        <f t="shared" si="132"/>
        <v>2.305138498594947</v>
      </c>
      <c r="I54" s="19">
        <f t="shared" si="132"/>
        <v>2.5702718912434932</v>
      </c>
      <c r="J54" s="19">
        <f t="shared" si="132"/>
        <v>2.8204744069912571</v>
      </c>
      <c r="K54" s="19">
        <f t="shared" si="132"/>
        <v>2.6947123519458591</v>
      </c>
      <c r="L54" s="19">
        <f t="shared" si="132"/>
        <v>2.0809829059829048</v>
      </c>
      <c r="M54" s="19">
        <f t="shared" si="132"/>
        <v>2.5338196005258538</v>
      </c>
      <c r="N54" s="19">
        <f t="shared" si="132"/>
        <v>2.4071864111498251</v>
      </c>
      <c r="O54" s="21">
        <f t="shared" si="2"/>
        <v>-0.14653137600433225</v>
      </c>
      <c r="P54" s="19">
        <f>P22/P6</f>
        <v>2.9802197802197821</v>
      </c>
      <c r="Q54" s="21">
        <f t="shared" si="126"/>
        <v>0.10595098510895133</v>
      </c>
      <c r="R54" s="19">
        <f>R22/R6</f>
        <v>2.3310943730615863</v>
      </c>
      <c r="S54" s="21">
        <f t="shared" si="127"/>
        <v>0.12018910215917754</v>
      </c>
      <c r="T54" s="19">
        <f>T22/T6</f>
        <v>2.9128236853734042</v>
      </c>
      <c r="U54" s="21">
        <f t="shared" si="128"/>
        <v>0.14957816443163285</v>
      </c>
      <c r="V54" s="19">
        <f>V22/V6</f>
        <v>2.3370740572467077</v>
      </c>
      <c r="W54" s="19">
        <f t="shared" ref="W54:AG54" si="133">W22/W6</f>
        <v>1.6748096153644498</v>
      </c>
      <c r="X54" s="19">
        <f t="shared" si="133"/>
        <v>2.1314695933658281</v>
      </c>
      <c r="Y54" s="19">
        <f t="shared" si="133"/>
        <v>9.2990353380449502</v>
      </c>
      <c r="Z54" s="19">
        <f t="shared" si="133"/>
        <v>1.2566878980891731</v>
      </c>
      <c r="AA54" s="21">
        <f t="shared" si="3"/>
        <v>-0.46090217855973004</v>
      </c>
      <c r="AB54" s="21">
        <f t="shared" si="4"/>
        <v>-0.41041246752916477</v>
      </c>
      <c r="AC54" s="19" t="e">
        <f t="shared" si="133"/>
        <v>#DIV/0!</v>
      </c>
      <c r="AD54" s="19" t="e">
        <f t="shared" si="133"/>
        <v>#DIV/0!</v>
      </c>
      <c r="AE54" s="19" t="e">
        <f t="shared" si="133"/>
        <v>#DIV/0!</v>
      </c>
      <c r="AF54" s="19" t="e">
        <f t="shared" si="133"/>
        <v>#DIV/0!</v>
      </c>
      <c r="AG54" s="19" t="e">
        <f t="shared" si="133"/>
        <v>#DIV/0!</v>
      </c>
    </row>
    <row r="55" spans="1:33" x14ac:dyDescent="0.35">
      <c r="A55" s="9" t="s">
        <v>70</v>
      </c>
      <c r="B55" s="22">
        <f>B13/B11</f>
        <v>0.30231610097837908</v>
      </c>
      <c r="C55" s="22">
        <f t="shared" ref="C55:V55" si="134">C13/C11</f>
        <v>0.30780028072989774</v>
      </c>
      <c r="D55" s="22">
        <f t="shared" si="134"/>
        <v>0.29537717767542976</v>
      </c>
      <c r="E55" s="22">
        <f t="shared" si="134"/>
        <v>0.31751837564983632</v>
      </c>
      <c r="F55" s="22">
        <f t="shared" si="134"/>
        <v>0.30722977131764589</v>
      </c>
      <c r="G55" s="22">
        <f t="shared" si="134"/>
        <v>0.32452039335805261</v>
      </c>
      <c r="H55" s="22">
        <f t="shared" si="134"/>
        <v>0.31321207568155607</v>
      </c>
      <c r="I55" s="22">
        <f t="shared" si="134"/>
        <v>0.3252449914315389</v>
      </c>
      <c r="J55" s="22">
        <f t="shared" si="134"/>
        <v>0.32801727421627996</v>
      </c>
      <c r="K55" s="22">
        <f t="shared" si="134"/>
        <v>0.31648632401562976</v>
      </c>
      <c r="L55" s="22">
        <f t="shared" si="134"/>
        <v>0.30752072131301506</v>
      </c>
      <c r="M55" s="22">
        <f t="shared" si="134"/>
        <v>0.31211653959784919</v>
      </c>
      <c r="N55" s="22">
        <f t="shared" si="134"/>
        <v>0.31291107708480931</v>
      </c>
      <c r="O55" s="21">
        <f t="shared" si="2"/>
        <v>-4.6053053661772404E-2</v>
      </c>
      <c r="P55" s="22">
        <f t="shared" si="134"/>
        <v>0.32339242708764343</v>
      </c>
      <c r="Q55" s="21">
        <f t="shared" si="126"/>
        <v>2.1821173769494728E-2</v>
      </c>
      <c r="R55" s="22">
        <f t="shared" si="134"/>
        <v>0.30483153546260394</v>
      </c>
      <c r="S55" s="21">
        <f t="shared" si="127"/>
        <v>-8.7447305629654824E-3</v>
      </c>
      <c r="T55" s="22">
        <f t="shared" si="134"/>
        <v>0.30856815219202394</v>
      </c>
      <c r="U55" s="21">
        <f t="shared" si="128"/>
        <v>-1.136879003719962E-2</v>
      </c>
      <c r="V55" s="22">
        <f t="shared" si="134"/>
        <v>0.31633134713999939</v>
      </c>
      <c r="W55" s="22">
        <f t="shared" ref="W55:AG55" si="135">W13/W11</f>
        <v>1.1726690728650431</v>
      </c>
      <c r="X55" s="22">
        <f t="shared" si="135"/>
        <v>0.3108041893795554</v>
      </c>
      <c r="Y55" s="22">
        <f t="shared" si="135"/>
        <v>-2.9211239552804372E-2</v>
      </c>
      <c r="Z55" s="22">
        <f t="shared" si="135"/>
        <v>0.29013007912028965</v>
      </c>
      <c r="AA55" s="21">
        <f t="shared" si="3"/>
        <v>-4.8228134664623085E-2</v>
      </c>
      <c r="AB55" s="21">
        <f t="shared" si="4"/>
        <v>-6.6518119657706515E-2</v>
      </c>
      <c r="AC55" s="22" t="e">
        <f t="shared" si="135"/>
        <v>#DIV/0!</v>
      </c>
      <c r="AD55" s="22" t="e">
        <f t="shared" si="135"/>
        <v>#DIV/0!</v>
      </c>
      <c r="AE55" s="22" t="e">
        <f t="shared" si="135"/>
        <v>#DIV/0!</v>
      </c>
      <c r="AF55" s="22" t="e">
        <f t="shared" si="135"/>
        <v>#DIV/0!</v>
      </c>
      <c r="AG55" s="22" t="e">
        <f t="shared" si="135"/>
        <v>#DIV/0!</v>
      </c>
    </row>
    <row r="56" spans="1:33" x14ac:dyDescent="0.35">
      <c r="A56" s="9" t="s">
        <v>71</v>
      </c>
      <c r="B56" s="22">
        <f>B22/B11</f>
        <v>5.8139117043121177E-2</v>
      </c>
      <c r="C56" s="22">
        <f t="shared" ref="C56:V56" si="136">C22/C11</f>
        <v>6.1101721619066719E-2</v>
      </c>
      <c r="D56" s="22">
        <f t="shared" si="136"/>
        <v>5.2278513602425761E-2</v>
      </c>
      <c r="E56" s="22">
        <f t="shared" si="136"/>
        <v>7.4786973791384256E-2</v>
      </c>
      <c r="F56" s="22">
        <f t="shared" si="136"/>
        <v>7.6979664788598953E-2</v>
      </c>
      <c r="G56" s="22">
        <f t="shared" si="136"/>
        <v>9.0693443264779808E-2</v>
      </c>
      <c r="H56" s="22">
        <f t="shared" si="136"/>
        <v>7.0028854995719467E-2</v>
      </c>
      <c r="I56" s="22">
        <f t="shared" si="136"/>
        <v>7.6394187232161043E-2</v>
      </c>
      <c r="J56" s="22">
        <f t="shared" si="136"/>
        <v>8.0676494114958183E-2</v>
      </c>
      <c r="K56" s="22">
        <f t="shared" si="136"/>
        <v>7.3643383968000867E-2</v>
      </c>
      <c r="L56" s="22">
        <f t="shared" si="136"/>
        <v>5.716851769236185E-2</v>
      </c>
      <c r="M56" s="22">
        <f t="shared" si="136"/>
        <v>6.9063327893031171E-2</v>
      </c>
      <c r="N56" s="22">
        <f t="shared" si="136"/>
        <v>6.3154466713897184E-2</v>
      </c>
      <c r="O56" s="21">
        <f t="shared" si="2"/>
        <v>-0.21718875607179181</v>
      </c>
      <c r="P56" s="22">
        <f t="shared" si="136"/>
        <v>7.1930997167319183E-2</v>
      </c>
      <c r="Q56" s="21">
        <f t="shared" si="126"/>
        <v>-2.3252418729505168E-2</v>
      </c>
      <c r="R56" s="22">
        <f t="shared" si="136"/>
        <v>5.5587275090069631E-2</v>
      </c>
      <c r="S56" s="21">
        <f t="shared" si="127"/>
        <v>-2.7659324854306756E-2</v>
      </c>
      <c r="T56" s="22">
        <f t="shared" si="136"/>
        <v>6.4606337413872658E-2</v>
      </c>
      <c r="U56" s="21">
        <f t="shared" si="128"/>
        <v>-6.4534835130761845E-2</v>
      </c>
      <c r="V56" s="22">
        <f t="shared" si="136"/>
        <v>5.5057193591235239E-2</v>
      </c>
      <c r="W56" s="22">
        <f t="shared" ref="W56:AG56" si="137">W22/W11</f>
        <v>-1.0253953687652675</v>
      </c>
      <c r="X56" s="22">
        <f t="shared" si="137"/>
        <v>4.7857434515424409E-2</v>
      </c>
      <c r="Y56" s="22">
        <f t="shared" si="137"/>
        <v>-7.848990243989812</v>
      </c>
      <c r="Z56" s="22">
        <f t="shared" si="137"/>
        <v>2.8493619830618648E-2</v>
      </c>
      <c r="AA56" s="21">
        <f t="shared" si="3"/>
        <v>-0.48740750856289267</v>
      </c>
      <c r="AB56" s="21">
        <f t="shared" si="4"/>
        <v>-0.40461455740099944</v>
      </c>
      <c r="AC56" s="22" t="e">
        <f t="shared" si="137"/>
        <v>#DIV/0!</v>
      </c>
      <c r="AD56" s="22" t="e">
        <f t="shared" si="137"/>
        <v>#DIV/0!</v>
      </c>
      <c r="AE56" s="22" t="e">
        <f t="shared" si="137"/>
        <v>#DIV/0!</v>
      </c>
      <c r="AF56" s="22" t="e">
        <f t="shared" si="137"/>
        <v>#DIV/0!</v>
      </c>
      <c r="AG56" s="22" t="e">
        <f t="shared" si="137"/>
        <v>#DIV/0!</v>
      </c>
    </row>
    <row r="57" spans="1:33" x14ac:dyDescent="0.35">
      <c r="A57" s="9" t="s">
        <v>72</v>
      </c>
      <c r="B57" s="23">
        <f>B12/B11</f>
        <v>0.69768389902162098</v>
      </c>
      <c r="C57" s="23">
        <f t="shared" ref="C57:V57" si="138">C12/C11</f>
        <v>0.69219971927010226</v>
      </c>
      <c r="D57" s="23">
        <f t="shared" si="138"/>
        <v>0.7046228223245703</v>
      </c>
      <c r="E57" s="23">
        <f t="shared" si="138"/>
        <v>0.68248162435016368</v>
      </c>
      <c r="F57" s="23">
        <f t="shared" si="138"/>
        <v>0.69277022868235416</v>
      </c>
      <c r="G57" s="23">
        <f t="shared" si="138"/>
        <v>0.67547960664194739</v>
      </c>
      <c r="H57" s="23">
        <f t="shared" si="138"/>
        <v>0.68678792431844393</v>
      </c>
      <c r="I57" s="23">
        <f t="shared" si="138"/>
        <v>0.67475500856846116</v>
      </c>
      <c r="J57" s="23">
        <f t="shared" si="138"/>
        <v>0.67198272578372009</v>
      </c>
      <c r="K57" s="23">
        <f t="shared" si="138"/>
        <v>0.68351367598437018</v>
      </c>
      <c r="L57" s="23">
        <f t="shared" si="138"/>
        <v>0.69247927868698489</v>
      </c>
      <c r="M57" s="23">
        <f t="shared" si="138"/>
        <v>0.68788346040215076</v>
      </c>
      <c r="N57" s="23">
        <f t="shared" si="138"/>
        <v>0.68708892291519075</v>
      </c>
      <c r="O57" s="21">
        <f t="shared" si="2"/>
        <v>2.2480037881706851E-2</v>
      </c>
      <c r="P57" s="23">
        <f t="shared" si="138"/>
        <v>0.67660757291235663</v>
      </c>
      <c r="Q57" s="21">
        <f t="shared" si="126"/>
        <v>-1.0103825738479415E-2</v>
      </c>
      <c r="R57" s="23">
        <f t="shared" si="138"/>
        <v>0.69516846453739611</v>
      </c>
      <c r="S57" s="21">
        <f t="shared" si="127"/>
        <v>3.8834170684647917E-3</v>
      </c>
      <c r="T57" s="23">
        <f t="shared" si="138"/>
        <v>0.69143184780797606</v>
      </c>
      <c r="U57" s="21">
        <f t="shared" si="128"/>
        <v>5.1584136123157317E-3</v>
      </c>
      <c r="V57" s="23">
        <f t="shared" si="138"/>
        <v>0.68366865286000067</v>
      </c>
      <c r="W57" s="23">
        <f t="shared" ref="W57:AG57" si="139">W12/W11</f>
        <v>0.92136379474697894</v>
      </c>
      <c r="X57" s="23">
        <f t="shared" si="139"/>
        <v>0.68919581062044466</v>
      </c>
      <c r="Y57" s="23">
        <f t="shared" si="139"/>
        <v>1.491923434010954</v>
      </c>
      <c r="Z57" s="23">
        <f t="shared" si="139"/>
        <v>0.70986992087971035</v>
      </c>
      <c r="AA57" s="21">
        <f t="shared" si="3"/>
        <v>2.1148048411685941E-2</v>
      </c>
      <c r="AB57" s="21">
        <f t="shared" si="4"/>
        <v>2.9997440409067398E-2</v>
      </c>
      <c r="AC57" s="23" t="e">
        <f t="shared" si="139"/>
        <v>#DIV/0!</v>
      </c>
      <c r="AD57" s="23" t="e">
        <f t="shared" si="139"/>
        <v>#DIV/0!</v>
      </c>
      <c r="AE57" s="23" t="e">
        <f t="shared" si="139"/>
        <v>#DIV/0!</v>
      </c>
      <c r="AF57" s="23" t="e">
        <f t="shared" si="139"/>
        <v>#DIV/0!</v>
      </c>
      <c r="AG57" s="23" t="e">
        <f t="shared" si="139"/>
        <v>#DIV/0!</v>
      </c>
    </row>
    <row r="58" spans="1:33" x14ac:dyDescent="0.35">
      <c r="A58" s="9" t="s">
        <v>73</v>
      </c>
      <c r="B58" s="23">
        <f>B30/B45</f>
        <v>1.1584760219877426</v>
      </c>
      <c r="C58" s="23">
        <f t="shared" ref="C58:V58" si="140">C30/C45</f>
        <v>1.1407237353183299</v>
      </c>
      <c r="D58" s="23">
        <f t="shared" si="140"/>
        <v>1.1248432662753407</v>
      </c>
      <c r="E58" s="23">
        <f t="shared" si="140"/>
        <v>1.1395838147744655</v>
      </c>
      <c r="F58" s="23">
        <f t="shared" si="140"/>
        <v>1.4437027707808565</v>
      </c>
      <c r="G58" s="23">
        <f t="shared" si="140"/>
        <v>1.404047945534582</v>
      </c>
      <c r="H58" s="23">
        <f t="shared" si="140"/>
        <v>1.2798358873296865</v>
      </c>
      <c r="I58" s="23">
        <f t="shared" si="140"/>
        <v>1.2107304516840751</v>
      </c>
      <c r="J58" s="23">
        <f t="shared" si="140"/>
        <v>1.1366538279992318</v>
      </c>
      <c r="K58" s="23">
        <f t="shared" si="140"/>
        <v>1.0937625592944713</v>
      </c>
      <c r="L58" s="23">
        <f t="shared" si="140"/>
        <v>1.076907800701862</v>
      </c>
      <c r="M58" s="23">
        <f t="shared" si="140"/>
        <v>1.0542543352794496</v>
      </c>
      <c r="N58" s="23">
        <f t="shared" si="140"/>
        <v>0.96908017290361559</v>
      </c>
      <c r="O58" s="21">
        <f t="shared" si="2"/>
        <v>-0.14742716820879737</v>
      </c>
      <c r="P58" s="23">
        <f t="shared" si="140"/>
        <v>1.0153578994527401</v>
      </c>
      <c r="Q58" s="21">
        <f t="shared" si="126"/>
        <v>-7.1683437301333391E-2</v>
      </c>
      <c r="R58" s="23">
        <f t="shared" si="140"/>
        <v>1.2328771125840035</v>
      </c>
      <c r="S58" s="21">
        <f t="shared" si="127"/>
        <v>0.14483070118025917</v>
      </c>
      <c r="T58" s="23">
        <f t="shared" si="140"/>
        <v>1.2875968455064504</v>
      </c>
      <c r="U58" s="21">
        <f t="shared" si="128"/>
        <v>0.22133417185820636</v>
      </c>
      <c r="V58" s="23">
        <f t="shared" si="140"/>
        <v>1.3204101436043529</v>
      </c>
      <c r="W58" s="23">
        <f t="shared" ref="W58:AG58" si="141">W30/W45</f>
        <v>-0.34221751488896712</v>
      </c>
      <c r="X58" s="23">
        <f t="shared" si="141"/>
        <v>1.3944520035996675</v>
      </c>
      <c r="Y58" s="23">
        <f t="shared" si="141"/>
        <v>-9.0260911185160095E-2</v>
      </c>
      <c r="Z58" s="23">
        <f t="shared" si="141"/>
        <v>1.218649644177926</v>
      </c>
      <c r="AA58" s="21">
        <f t="shared" si="3"/>
        <v>-1.154005396065625E-2</v>
      </c>
      <c r="AB58" s="21">
        <f t="shared" si="4"/>
        <v>-0.12607272173435988</v>
      </c>
      <c r="AC58" s="23" t="e">
        <f t="shared" si="141"/>
        <v>#DIV/0!</v>
      </c>
      <c r="AD58" s="23" t="e">
        <f t="shared" si="141"/>
        <v>#DIV/0!</v>
      </c>
      <c r="AE58" s="23" t="e">
        <f t="shared" si="141"/>
        <v>#DIV/0!</v>
      </c>
      <c r="AF58" s="23" t="e">
        <f t="shared" si="141"/>
        <v>#DIV/0!</v>
      </c>
      <c r="AG58" s="23" t="e">
        <f t="shared" si="141"/>
        <v>#DIV/0!</v>
      </c>
    </row>
    <row r="59" spans="1:33" x14ac:dyDescent="0.35">
      <c r="A59" s="9" t="s">
        <v>74</v>
      </c>
      <c r="B59" s="24" t="s">
        <v>76</v>
      </c>
      <c r="C59" s="23">
        <f t="shared" ref="C59:N59" si="142">C12/((C27+B27)/2)</f>
        <v>1.1332098389101224</v>
      </c>
      <c r="D59" s="23">
        <f t="shared" si="142"/>
        <v>1.1050471063257066</v>
      </c>
      <c r="E59" s="23">
        <f t="shared" si="142"/>
        <v>1.0650348186682135</v>
      </c>
      <c r="F59" s="23">
        <f t="shared" si="142"/>
        <v>1.3325789459903441</v>
      </c>
      <c r="G59" s="23">
        <f t="shared" si="142"/>
        <v>1.3804740349213336</v>
      </c>
      <c r="H59" s="23">
        <f t="shared" si="142"/>
        <v>1.1960072209833279</v>
      </c>
      <c r="I59" s="23">
        <f t="shared" si="142"/>
        <v>1.105346870041759</v>
      </c>
      <c r="J59" s="23">
        <f t="shared" si="142"/>
        <v>1.091195515608389</v>
      </c>
      <c r="K59" s="23">
        <f t="shared" si="142"/>
        <v>1.139350809392635</v>
      </c>
      <c r="L59" s="23">
        <f t="shared" si="142"/>
        <v>1.1152023459634322</v>
      </c>
      <c r="M59" s="23">
        <f t="shared" si="142"/>
        <v>1.090642358533962</v>
      </c>
      <c r="N59" s="23">
        <f t="shared" si="142"/>
        <v>1.027710456240621</v>
      </c>
      <c r="O59" s="21">
        <f t="shared" si="2"/>
        <v>-5.8179362414601164E-2</v>
      </c>
      <c r="P59" s="23">
        <f>P12/((P27+N27)/2)</f>
        <v>0.97939846275521569</v>
      </c>
      <c r="Q59" s="21">
        <f t="shared" si="126"/>
        <v>-0.14038902269502637</v>
      </c>
      <c r="R59" s="23">
        <f>R12/((R27+P27)/2)</f>
        <v>0.93457665156314373</v>
      </c>
      <c r="S59" s="21">
        <f t="shared" si="127"/>
        <v>-0.16196674536605682</v>
      </c>
      <c r="T59" s="23">
        <f>T12/((T27+R27)/2)</f>
        <v>1.0146576150272555</v>
      </c>
      <c r="U59" s="21">
        <f t="shared" si="128"/>
        <v>-6.966971611926473E-2</v>
      </c>
      <c r="V59" s="23">
        <f>V12/((V27+T27)/2)</f>
        <v>0.90623624441308126</v>
      </c>
      <c r="W59" s="23">
        <f t="shared" ref="W59:AG59" si="143">W12/((W27+U27)/2)</f>
        <v>0.30427859766978438</v>
      </c>
      <c r="X59" s="23">
        <f t="shared" si="143"/>
        <v>0.90823210196575099</v>
      </c>
      <c r="Y59" s="23">
        <f t="shared" si="143"/>
        <v>0.4031063535874374</v>
      </c>
      <c r="Z59" s="23">
        <f t="shared" si="143"/>
        <v>0.9244673419490046</v>
      </c>
      <c r="AA59" s="21">
        <f t="shared" si="3"/>
        <v>-1.0816993552354024E-2</v>
      </c>
      <c r="AB59" s="21">
        <f t="shared" si="4"/>
        <v>1.787565089156673E-2</v>
      </c>
      <c r="AC59" s="23">
        <f>AC12/((AC27+Y27)/2)</f>
        <v>0</v>
      </c>
      <c r="AD59" s="23">
        <f>AD12/((AD27+Z27)/2)</f>
        <v>0</v>
      </c>
      <c r="AE59" s="23" t="e">
        <f t="shared" si="143"/>
        <v>#DIV/0!</v>
      </c>
      <c r="AF59" s="23" t="e">
        <f t="shared" si="143"/>
        <v>#DIV/0!</v>
      </c>
      <c r="AG59" s="23" t="e">
        <f t="shared" si="143"/>
        <v>#DIV/0!</v>
      </c>
    </row>
    <row r="60" spans="1:33" x14ac:dyDescent="0.35">
      <c r="A60" s="9" t="s">
        <v>75</v>
      </c>
      <c r="B60" s="24" t="s">
        <v>76</v>
      </c>
      <c r="C60" s="5">
        <f t="shared" ref="C60:T60" si="144">91/C59</f>
        <v>80.302867902665142</v>
      </c>
      <c r="D60" s="5">
        <f t="shared" si="144"/>
        <v>82.349430607149387</v>
      </c>
      <c r="E60" s="5">
        <f t="shared" si="144"/>
        <v>85.443215944613087</v>
      </c>
      <c r="F60" s="5">
        <f t="shared" si="144"/>
        <v>68.288637062602504</v>
      </c>
      <c r="G60" s="5">
        <f t="shared" si="144"/>
        <v>65.919385441527439</v>
      </c>
      <c r="H60" s="5">
        <f t="shared" si="144"/>
        <v>76.086497141030662</v>
      </c>
      <c r="I60" s="5">
        <f t="shared" si="144"/>
        <v>82.327097915030151</v>
      </c>
      <c r="J60" s="5">
        <f t="shared" si="144"/>
        <v>83.394770871344292</v>
      </c>
      <c r="K60" s="5">
        <f t="shared" si="144"/>
        <v>79.870044634023003</v>
      </c>
      <c r="L60" s="5">
        <f t="shared" si="144"/>
        <v>81.59954140105792</v>
      </c>
      <c r="M60" s="5">
        <f t="shared" si="144"/>
        <v>83.437067419902817</v>
      </c>
      <c r="N60" s="5">
        <f t="shared" si="144"/>
        <v>88.546340506137554</v>
      </c>
      <c r="O60" s="21">
        <f>(N60-J60)/J60</f>
        <v>6.1773293228909384E-2</v>
      </c>
      <c r="P60" s="5">
        <f t="shared" si="144"/>
        <v>92.914174833398661</v>
      </c>
      <c r="Q60" s="21">
        <f t="shared" si="126"/>
        <v>0.16331692637891837</v>
      </c>
      <c r="R60" s="5">
        <f t="shared" si="144"/>
        <v>97.370290438773793</v>
      </c>
      <c r="S60" s="21">
        <f t="shared" si="127"/>
        <v>0.19327006949957454</v>
      </c>
      <c r="T60" s="5">
        <f t="shared" si="144"/>
        <v>89.685425558606369</v>
      </c>
      <c r="U60" s="21">
        <f t="shared" si="128"/>
        <v>7.4887077553412285E-2</v>
      </c>
      <c r="V60" s="5">
        <f>91/V59</f>
        <v>100.41531726524096</v>
      </c>
      <c r="W60" s="5">
        <f t="shared" ref="W60:AG60" si="145">91/W59</f>
        <v>299.0680274488347</v>
      </c>
      <c r="X60" s="5">
        <f t="shared" si="145"/>
        <v>100.1946526697771</v>
      </c>
      <c r="Y60" s="5">
        <f t="shared" si="145"/>
        <v>225.74687595506052</v>
      </c>
      <c r="Z60" s="5">
        <f t="shared" si="145"/>
        <v>98.435061868329072</v>
      </c>
      <c r="AA60" s="21">
        <f t="shared" si="3"/>
        <v>1.0935280410042575E-2</v>
      </c>
      <c r="AB60" s="21">
        <f t="shared" si="4"/>
        <v>-1.756172365053563E-2</v>
      </c>
      <c r="AC60" s="5" t="e">
        <f t="shared" si="145"/>
        <v>#DIV/0!</v>
      </c>
      <c r="AD60" s="5" t="e">
        <f t="shared" si="145"/>
        <v>#DIV/0!</v>
      </c>
      <c r="AE60" s="5" t="e">
        <f t="shared" si="145"/>
        <v>#DIV/0!</v>
      </c>
      <c r="AF60" s="5" t="e">
        <f t="shared" si="145"/>
        <v>#DIV/0!</v>
      </c>
      <c r="AG60" s="5" t="e">
        <f t="shared" si="145"/>
        <v>#DIV/0!</v>
      </c>
    </row>
  </sheetData>
  <pageMargins left="0.7" right="0.7" top="0.75" bottom="0.75" header="0.3" footer="0.3"/>
  <pageSetup orientation="portrait" r:id="rId1"/>
  <ignoredErrors>
    <ignoredError sqref="X20 X17 X22 X7 X8:X15" formula="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36567613-e428-4167-ab55-a4f66cede82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600919C5D1CD245AE9967B74E8175F3" ma:contentTypeVersion="3" ma:contentTypeDescription="Create a new document." ma:contentTypeScope="" ma:versionID="7c958296e71377cd1f84353a875d72a5">
  <xsd:schema xmlns:xsd="http://www.w3.org/2001/XMLSchema" xmlns:xs="http://www.w3.org/2001/XMLSchema" xmlns:p="http://schemas.microsoft.com/office/2006/metadata/properties" xmlns:ns3="36567613-e428-4167-ab55-a4f66cede826" targetNamespace="http://schemas.microsoft.com/office/2006/metadata/properties" ma:root="true" ma:fieldsID="bbb9d457094159866f35fe50818106a9" ns3:_="">
    <xsd:import namespace="36567613-e428-4167-ab55-a4f66cede826"/>
    <xsd:element name="properties">
      <xsd:complexType>
        <xsd:sequence>
          <xsd:element name="documentManagement">
            <xsd:complexType>
              <xsd:all>
                <xsd:element ref="ns3:MediaServiceMetadata" minOccurs="0"/>
                <xsd:element ref="ns3:MediaServiceFastMetadata"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6567613-e428-4167-ab55-a4f66cede82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_activity" ma:index="10"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2AF3359-AA7B-4C3F-BB32-4122371AAA35}">
  <ds:schemaRefs>
    <ds:schemaRef ds:uri="36567613-e428-4167-ab55-a4f66cede826"/>
    <ds:schemaRef ds:uri="http://purl.org/dc/terms/"/>
    <ds:schemaRef ds:uri="http://purl.org/dc/dcmitype/"/>
    <ds:schemaRef ds:uri="http://schemas.microsoft.com/office/2006/documentManagement/types"/>
    <ds:schemaRef ds:uri="http://purl.org/dc/elements/1.1/"/>
    <ds:schemaRef ds:uri="http://schemas.microsoft.com/office/2006/metadata/properties"/>
    <ds:schemaRef ds:uri="http://schemas.microsoft.com/office/infopath/2007/PartnerControls"/>
    <ds:schemaRef ds:uri="http://schemas.openxmlformats.org/package/2006/metadata/core-properties"/>
    <ds:schemaRef ds:uri="http://www.w3.org/XML/1998/namespace"/>
  </ds:schemaRefs>
</ds:datastoreItem>
</file>

<file path=customXml/itemProps2.xml><?xml version="1.0" encoding="utf-8"?>
<ds:datastoreItem xmlns:ds="http://schemas.openxmlformats.org/officeDocument/2006/customXml" ds:itemID="{1C974B17-DE1B-4009-8DB7-E95764209DA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6567613-e428-4167-ab55-a4f66cede82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9B4B395-A628-4AF2-9AB1-05807B2F72E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Abraham</dc:creator>
  <cp:lastModifiedBy>Gonzalez Herrera, Abraham</cp:lastModifiedBy>
  <dcterms:created xsi:type="dcterms:W3CDTF">2023-02-21T16:55:27Z</dcterms:created>
  <dcterms:modified xsi:type="dcterms:W3CDTF">2023-12-07T19:15:43Z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0x0101004600919C5D1CD245AE9967B74E8175F3</vt:lpwstr>
  </property>
</Properties>
</file>