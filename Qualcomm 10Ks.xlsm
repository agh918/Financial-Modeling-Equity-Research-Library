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805" documentId="8_{320224BC-DA86-464B-80B2-A14AFA99D117}" xr6:coauthVersionLast="47" xr6:coauthVersionMax="47" xr10:uidLastSave="{ACC0AC72-A41F-4EB6-8003-B90C313AD204}"/>
  <bookViews>
    <workbookView xWindow="-120" yWindow="-120" windowWidth="27930" windowHeight="16440"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64" i="1" l="1"/>
  <c r="N63" i="1"/>
  <c r="N62" i="1"/>
  <c r="N61" i="1"/>
  <c r="N60" i="1"/>
  <c r="N59" i="1"/>
  <c r="N58" i="1"/>
  <c r="N56" i="1"/>
  <c r="N55" i="1"/>
  <c r="N54" i="1"/>
  <c r="N53" i="1"/>
  <c r="N52" i="1"/>
  <c r="N51" i="1"/>
  <c r="N50" i="1"/>
  <c r="N49" i="1"/>
  <c r="N48" i="1"/>
  <c r="N47" i="1"/>
  <c r="N46" i="1"/>
  <c r="N45" i="1"/>
  <c r="N44" i="1"/>
  <c r="N40" i="1"/>
  <c r="N39" i="1"/>
  <c r="N38" i="1"/>
  <c r="N37" i="1"/>
  <c r="N36" i="1"/>
  <c r="N35" i="1"/>
  <c r="N34" i="1"/>
  <c r="N33" i="1"/>
  <c r="N32" i="1"/>
  <c r="N31" i="1"/>
  <c r="N30" i="1"/>
  <c r="N29" i="1"/>
  <c r="N28" i="1"/>
  <c r="N27" i="1"/>
  <c r="N23" i="1"/>
  <c r="N22" i="1"/>
  <c r="N21" i="1"/>
  <c r="N20" i="1"/>
  <c r="N19" i="1"/>
  <c r="N18" i="1"/>
  <c r="N16" i="1"/>
  <c r="N15" i="1"/>
  <c r="N14" i="1"/>
  <c r="N13" i="1"/>
  <c r="N12" i="1"/>
  <c r="N9" i="1"/>
  <c r="N8" i="1"/>
  <c r="L64" i="1"/>
  <c r="L63" i="1"/>
  <c r="L62" i="1"/>
  <c r="L61" i="1"/>
  <c r="J64" i="1"/>
  <c r="J63" i="1"/>
  <c r="J62" i="1"/>
  <c r="J61" i="1"/>
  <c r="H64" i="1"/>
  <c r="H63" i="1"/>
  <c r="H62" i="1"/>
  <c r="H61" i="1"/>
  <c r="F64" i="1"/>
  <c r="F63" i="1"/>
  <c r="F62" i="1"/>
  <c r="F61" i="1"/>
  <c r="D64" i="1"/>
  <c r="D63" i="1"/>
  <c r="D62" i="1"/>
  <c r="D61" i="1"/>
  <c r="R64" i="1"/>
  <c r="Q64" i="1"/>
  <c r="P64" i="1"/>
  <c r="O64" i="1"/>
  <c r="M64" i="1"/>
  <c r="K64" i="1"/>
  <c r="I64" i="1"/>
  <c r="G64" i="1"/>
  <c r="E64" i="1"/>
  <c r="C64" i="1"/>
  <c r="R63" i="1"/>
  <c r="Q63" i="1"/>
  <c r="P63" i="1"/>
  <c r="O63" i="1"/>
  <c r="M63" i="1"/>
  <c r="K63" i="1"/>
  <c r="I63" i="1"/>
  <c r="G63" i="1"/>
  <c r="E63" i="1"/>
  <c r="C63" i="1"/>
  <c r="R62" i="1"/>
  <c r="Q62" i="1"/>
  <c r="P62" i="1"/>
  <c r="O62" i="1"/>
  <c r="M62" i="1"/>
  <c r="K62" i="1"/>
  <c r="I62" i="1"/>
  <c r="G62" i="1"/>
  <c r="E62" i="1"/>
  <c r="C62" i="1"/>
  <c r="R61" i="1"/>
  <c r="Q61" i="1"/>
  <c r="P61" i="1"/>
  <c r="O61" i="1"/>
  <c r="M61" i="1"/>
  <c r="K61" i="1"/>
  <c r="I61" i="1"/>
  <c r="G61" i="1"/>
  <c r="E61" i="1"/>
  <c r="C61" i="1"/>
  <c r="B64" i="1"/>
  <c r="B63" i="1"/>
  <c r="L58" i="1"/>
  <c r="J58" i="1"/>
  <c r="D58" i="1"/>
  <c r="H58" i="1"/>
  <c r="F58" i="1"/>
  <c r="R58" i="1"/>
  <c r="Q58" i="1"/>
  <c r="P58" i="1"/>
  <c r="O58" i="1"/>
  <c r="M58" i="1"/>
  <c r="K58" i="1"/>
  <c r="I58" i="1"/>
  <c r="G58" i="1"/>
  <c r="E58" i="1"/>
  <c r="C58" i="1"/>
  <c r="B58" i="1"/>
  <c r="N7" i="1"/>
  <c r="R9" i="1"/>
  <c r="R18" i="1" s="1"/>
  <c r="R21" i="1" s="1"/>
  <c r="R23" i="1" s="1"/>
  <c r="Q9" i="1"/>
  <c r="P9" i="1"/>
  <c r="O9" i="1"/>
  <c r="M9" i="1"/>
  <c r="R16" i="1"/>
  <c r="Q16" i="1"/>
  <c r="P16" i="1"/>
  <c r="O16" i="1"/>
  <c r="M16" i="1"/>
  <c r="R60" i="1"/>
  <c r="Q60" i="1"/>
  <c r="P60" i="1"/>
  <c r="O60" i="1"/>
  <c r="M60" i="1"/>
  <c r="R59" i="1"/>
  <c r="Q59" i="1"/>
  <c r="P59" i="1"/>
  <c r="O59" i="1"/>
  <c r="M59" i="1"/>
  <c r="R50" i="1"/>
  <c r="R56" i="1" s="1"/>
  <c r="Q50" i="1"/>
  <c r="Q56" i="1" s="1"/>
  <c r="P50" i="1"/>
  <c r="P56" i="1" s="1"/>
  <c r="O50" i="1"/>
  <c r="O56" i="1" s="1"/>
  <c r="M50" i="1"/>
  <c r="M56" i="1" s="1"/>
  <c r="R33" i="1"/>
  <c r="R40" i="1" s="1"/>
  <c r="Q33" i="1"/>
  <c r="Q40" i="1" s="1"/>
  <c r="P33" i="1"/>
  <c r="P40" i="1" s="1"/>
  <c r="O33" i="1"/>
  <c r="O40" i="1" s="1"/>
  <c r="M33" i="1"/>
  <c r="M40" i="1" s="1"/>
  <c r="D8" i="1"/>
  <c r="D12" i="1"/>
  <c r="D13" i="1"/>
  <c r="D14" i="1"/>
  <c r="D15" i="1"/>
  <c r="D19" i="1"/>
  <c r="D20" i="1"/>
  <c r="D22" i="1"/>
  <c r="D27" i="1"/>
  <c r="D28" i="1"/>
  <c r="D29" i="1"/>
  <c r="D30" i="1"/>
  <c r="D31" i="1"/>
  <c r="D32" i="1"/>
  <c r="D34" i="1"/>
  <c r="D35" i="1"/>
  <c r="D36" i="1"/>
  <c r="D37" i="1"/>
  <c r="D38" i="1"/>
  <c r="D39" i="1"/>
  <c r="D44" i="1"/>
  <c r="D45" i="1"/>
  <c r="D46" i="1"/>
  <c r="D47" i="1"/>
  <c r="D48" i="1"/>
  <c r="D49" i="1"/>
  <c r="D51" i="1"/>
  <c r="D52" i="1"/>
  <c r="D53" i="1"/>
  <c r="D54" i="1"/>
  <c r="D55" i="1"/>
  <c r="D7" i="1"/>
  <c r="F8" i="1"/>
  <c r="F12" i="1"/>
  <c r="F13" i="1"/>
  <c r="F14" i="1"/>
  <c r="F15" i="1"/>
  <c r="F19" i="1"/>
  <c r="F20" i="1"/>
  <c r="F22" i="1"/>
  <c r="F27" i="1"/>
  <c r="F28" i="1"/>
  <c r="F29" i="1"/>
  <c r="F30" i="1"/>
  <c r="F31" i="1"/>
  <c r="F32" i="1"/>
  <c r="F34" i="1"/>
  <c r="F35" i="1"/>
  <c r="F36" i="1"/>
  <c r="F37" i="1"/>
  <c r="F38" i="1"/>
  <c r="F39" i="1"/>
  <c r="F44" i="1"/>
  <c r="F45" i="1"/>
  <c r="F46" i="1"/>
  <c r="F47" i="1"/>
  <c r="F48" i="1"/>
  <c r="F49" i="1"/>
  <c r="F51" i="1"/>
  <c r="F52" i="1"/>
  <c r="F53" i="1"/>
  <c r="F54" i="1"/>
  <c r="F55" i="1"/>
  <c r="F7" i="1"/>
  <c r="H8" i="1"/>
  <c r="H12" i="1"/>
  <c r="H13" i="1"/>
  <c r="H14" i="1"/>
  <c r="H15" i="1"/>
  <c r="H19" i="1"/>
  <c r="H20" i="1"/>
  <c r="H22" i="1"/>
  <c r="H27" i="1"/>
  <c r="H28" i="1"/>
  <c r="H29" i="1"/>
  <c r="H30" i="1"/>
  <c r="H31" i="1"/>
  <c r="H32" i="1"/>
  <c r="H34" i="1"/>
  <c r="H35" i="1"/>
  <c r="H36" i="1"/>
  <c r="H37" i="1"/>
  <c r="H38" i="1"/>
  <c r="H39" i="1"/>
  <c r="H44" i="1"/>
  <c r="H45" i="1"/>
  <c r="H46" i="1"/>
  <c r="H47" i="1"/>
  <c r="H48" i="1"/>
  <c r="H49" i="1"/>
  <c r="H51" i="1"/>
  <c r="H52" i="1"/>
  <c r="H53" i="1"/>
  <c r="H54" i="1"/>
  <c r="H55" i="1"/>
  <c r="H7" i="1"/>
  <c r="J8" i="1"/>
  <c r="J12" i="1"/>
  <c r="J13" i="1"/>
  <c r="J14" i="1"/>
  <c r="J15" i="1"/>
  <c r="J19" i="1"/>
  <c r="J20" i="1"/>
  <c r="J22" i="1"/>
  <c r="J27" i="1"/>
  <c r="J28" i="1"/>
  <c r="J29" i="1"/>
  <c r="J30" i="1"/>
  <c r="J31" i="1"/>
  <c r="J32" i="1"/>
  <c r="J34" i="1"/>
  <c r="J35" i="1"/>
  <c r="J36" i="1"/>
  <c r="J37" i="1"/>
  <c r="J38" i="1"/>
  <c r="J39" i="1"/>
  <c r="J44" i="1"/>
  <c r="J45" i="1"/>
  <c r="J46" i="1"/>
  <c r="J47" i="1"/>
  <c r="J48" i="1"/>
  <c r="J49" i="1"/>
  <c r="J51" i="1"/>
  <c r="J52" i="1"/>
  <c r="J53" i="1"/>
  <c r="J54" i="1"/>
  <c r="J55" i="1"/>
  <c r="J7" i="1"/>
  <c r="L7" i="1"/>
  <c r="L8" i="1"/>
  <c r="L12" i="1"/>
  <c r="L13" i="1"/>
  <c r="L14" i="1"/>
  <c r="L15" i="1"/>
  <c r="L19" i="1"/>
  <c r="L20" i="1"/>
  <c r="L22" i="1"/>
  <c r="L27" i="1"/>
  <c r="L28" i="1"/>
  <c r="L29" i="1"/>
  <c r="L30" i="1"/>
  <c r="L31" i="1"/>
  <c r="L32" i="1"/>
  <c r="L34" i="1"/>
  <c r="L35" i="1"/>
  <c r="L36" i="1"/>
  <c r="L37" i="1"/>
  <c r="L38" i="1"/>
  <c r="L39" i="1"/>
  <c r="L44" i="1"/>
  <c r="L45" i="1"/>
  <c r="L46" i="1"/>
  <c r="L47" i="1"/>
  <c r="L48" i="1"/>
  <c r="L49" i="1"/>
  <c r="L51" i="1"/>
  <c r="L52" i="1"/>
  <c r="L53" i="1"/>
  <c r="L54" i="1"/>
  <c r="L55" i="1"/>
  <c r="K60" i="1"/>
  <c r="I60" i="1"/>
  <c r="J60" i="1" s="1"/>
  <c r="G60" i="1"/>
  <c r="E60" i="1"/>
  <c r="C60" i="1"/>
  <c r="B60" i="1"/>
  <c r="K59" i="1"/>
  <c r="I59" i="1"/>
  <c r="G59" i="1"/>
  <c r="E59" i="1"/>
  <c r="C59" i="1"/>
  <c r="B59" i="1"/>
  <c r="E16" i="1"/>
  <c r="C16" i="1"/>
  <c r="B16" i="1"/>
  <c r="E9" i="1"/>
  <c r="C9" i="1"/>
  <c r="B9" i="1"/>
  <c r="B61" i="1" s="1"/>
  <c r="I50" i="1"/>
  <c r="I56" i="1" s="1"/>
  <c r="G50" i="1"/>
  <c r="G56" i="1" s="1"/>
  <c r="E50" i="1"/>
  <c r="E56" i="1" s="1"/>
  <c r="C50" i="1"/>
  <c r="C56" i="1" s="1"/>
  <c r="D56" i="1" s="1"/>
  <c r="B50" i="1"/>
  <c r="B56" i="1" s="1"/>
  <c r="K50" i="1"/>
  <c r="K56" i="1" s="1"/>
  <c r="I33" i="1"/>
  <c r="I40" i="1" s="1"/>
  <c r="G33" i="1"/>
  <c r="G40" i="1" s="1"/>
  <c r="E33" i="1"/>
  <c r="E40" i="1" s="1"/>
  <c r="C33" i="1"/>
  <c r="C40" i="1" s="1"/>
  <c r="B33" i="1"/>
  <c r="B40" i="1" s="1"/>
  <c r="K33" i="1"/>
  <c r="K40" i="1" s="1"/>
  <c r="I16" i="1"/>
  <c r="G16" i="1"/>
  <c r="K16" i="1"/>
  <c r="G9" i="1"/>
  <c r="I9" i="1"/>
  <c r="K9" i="1"/>
  <c r="A4" i="1" a="1"/>
  <c r="A4" i="1" s="1"/>
  <c r="O18" i="1" l="1"/>
  <c r="O21" i="1" s="1"/>
  <c r="O23" i="1" s="1"/>
  <c r="P18" i="1"/>
  <c r="P21" i="1" s="1"/>
  <c r="P23" i="1" s="1"/>
  <c r="Q18" i="1"/>
  <c r="Q21" i="1" s="1"/>
  <c r="Q23" i="1" s="1"/>
  <c r="D60" i="1"/>
  <c r="F56" i="1"/>
  <c r="D9" i="1"/>
  <c r="M18" i="1"/>
  <c r="M21" i="1" s="1"/>
  <c r="M23" i="1" s="1"/>
  <c r="F16" i="1"/>
  <c r="D16" i="1"/>
  <c r="D40" i="1"/>
  <c r="J16" i="1"/>
  <c r="H9" i="1"/>
  <c r="D50" i="1"/>
  <c r="F59" i="1"/>
  <c r="D59" i="1"/>
  <c r="F40" i="1"/>
  <c r="F60" i="1"/>
  <c r="H59" i="1"/>
  <c r="D33" i="1"/>
  <c r="F9" i="1"/>
  <c r="H60" i="1"/>
  <c r="H56" i="1"/>
  <c r="F50" i="1"/>
  <c r="H16" i="1"/>
  <c r="H40" i="1"/>
  <c r="F33" i="1"/>
  <c r="H50" i="1"/>
  <c r="J9" i="1"/>
  <c r="J56" i="1"/>
  <c r="J40" i="1"/>
  <c r="J59" i="1"/>
  <c r="H33" i="1"/>
  <c r="J50" i="1"/>
  <c r="J33" i="1"/>
  <c r="L56" i="1"/>
  <c r="L9" i="1"/>
  <c r="L59" i="1"/>
  <c r="L16" i="1"/>
  <c r="L40" i="1"/>
  <c r="L60" i="1"/>
  <c r="L33" i="1"/>
  <c r="L50" i="1"/>
  <c r="K18" i="1"/>
  <c r="B18" i="1"/>
  <c r="C18" i="1"/>
  <c r="I18" i="1"/>
  <c r="E18" i="1"/>
  <c r="G18" i="1"/>
  <c r="H18" i="1" l="1"/>
  <c r="D18" i="1"/>
  <c r="F18" i="1"/>
  <c r="J18" i="1"/>
  <c r="L18" i="1"/>
  <c r="K21" i="1"/>
  <c r="C21" i="1"/>
  <c r="G21" i="1"/>
  <c r="E21" i="1"/>
  <c r="I21" i="1"/>
  <c r="B21" i="1"/>
  <c r="J21" i="1" l="1"/>
  <c r="F21" i="1"/>
  <c r="D21" i="1"/>
  <c r="H21" i="1"/>
  <c r="L21" i="1"/>
  <c r="K23" i="1"/>
  <c r="C23" i="1"/>
  <c r="E23" i="1"/>
  <c r="F23" i="1" s="1"/>
  <c r="B23" i="1"/>
  <c r="B62" i="1" s="1"/>
  <c r="G23" i="1"/>
  <c r="I23" i="1"/>
  <c r="J23" i="1" s="1"/>
  <c r="H23" i="1" l="1"/>
  <c r="D23" i="1"/>
  <c r="L2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6"/>
        </ext>
      </extLst>
    </bk>
  </futureMetadata>
  <cellMetadata count="1">
    <bk>
      <rc t="1" v="0"/>
    </bk>
  </cellMetadata>
  <valueMetadata count="1">
    <bk>
      <rc t="2" v="0"/>
    </bk>
  </valueMetadata>
</metadata>
</file>

<file path=xl/sharedStrings.xml><?xml version="1.0" encoding="utf-8"?>
<sst xmlns="http://schemas.openxmlformats.org/spreadsheetml/2006/main" count="76" uniqueCount="55">
  <si>
    <t>Reported Date</t>
  </si>
  <si>
    <t>Cash</t>
  </si>
  <si>
    <t>Debt</t>
  </si>
  <si>
    <t>Revenues</t>
  </si>
  <si>
    <t>Equipment and services</t>
  </si>
  <si>
    <t>Licensing</t>
  </si>
  <si>
    <t>Total revenues</t>
  </si>
  <si>
    <t>Cost of revenues</t>
  </si>
  <si>
    <t>Interest expense</t>
  </si>
  <si>
    <t>Net income</t>
  </si>
  <si>
    <t>Cost &amp; expenses</t>
  </si>
  <si>
    <t>Research &amp; development</t>
  </si>
  <si>
    <t>Selling, general &amp; administrative</t>
  </si>
  <si>
    <t>Other</t>
  </si>
  <si>
    <t>Total costs &amp; expenses</t>
  </si>
  <si>
    <t>Income from operations</t>
  </si>
  <si>
    <t>Investment &amp; other income (expense)</t>
  </si>
  <si>
    <t>Income before income taxes</t>
  </si>
  <si>
    <t>Income taxes</t>
  </si>
  <si>
    <t>Year</t>
  </si>
  <si>
    <t>Sep. 25</t>
  </si>
  <si>
    <t>Sep. 26</t>
  </si>
  <si>
    <t>Sep. 27</t>
  </si>
  <si>
    <t>Assets</t>
  </si>
  <si>
    <t>Current assets</t>
  </si>
  <si>
    <t>Marketable securities</t>
  </si>
  <si>
    <t>Accounts receivable</t>
  </si>
  <si>
    <t>Inventories</t>
  </si>
  <si>
    <t>Total current assets</t>
  </si>
  <si>
    <t>Deferred tax assets</t>
  </si>
  <si>
    <t>Property, plant &amp; equipment, net</t>
  </si>
  <si>
    <t>Held for sale</t>
  </si>
  <si>
    <t>Goodwill</t>
  </si>
  <si>
    <t>Other intangible assets</t>
  </si>
  <si>
    <t>Total assets</t>
  </si>
  <si>
    <t>Liabilities</t>
  </si>
  <si>
    <t>Current liabilities</t>
  </si>
  <si>
    <t>Trade accounts payable</t>
  </si>
  <si>
    <t>Payroll &amp; other benefits</t>
  </si>
  <si>
    <t>Unearned revenues</t>
  </si>
  <si>
    <t>Short-term debt</t>
  </si>
  <si>
    <t>Total curret liabilities</t>
  </si>
  <si>
    <t>Income taxes payable</t>
  </si>
  <si>
    <t>Long-term debt</t>
  </si>
  <si>
    <t>Total liabilities</t>
  </si>
  <si>
    <t>Sep. 29</t>
  </si>
  <si>
    <t>Sep. 30</t>
  </si>
  <si>
    <t>% Change</t>
  </si>
  <si>
    <t>YoY</t>
  </si>
  <si>
    <t>Sep. 24</t>
  </si>
  <si>
    <t>Gross profit margin</t>
  </si>
  <si>
    <t>Profit margin</t>
  </si>
  <si>
    <t>ROE</t>
  </si>
  <si>
    <t>Current ratio</t>
  </si>
  <si>
    <t>Equity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</si>
</sst>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_([$$-409]* #,##0.00_);_([$$-409]* \(#,##0.00\);_([$$-409]* &quot;-&quot;??_);_(@_)"/>
    <numFmt numFmtId="166" formatCode="0.0%"/>
    <numFmt numFmtId="167" formatCode="0.000"/>
  </numFmts>
  <fonts count="10" x14ac:knownFonts="1">
    <font>
      <sz val="11"/>
      <color theme="1"/>
      <name val="Calibri"/>
      <family val="2"/>
      <scheme val="minor"/>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
      <sz val="10"/>
      <color theme="0"/>
      <name val="Arial"/>
      <family val="2"/>
    </font>
    <font>
      <u/>
      <sz val="10"/>
      <color theme="0"/>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3">
    <xf numFmtId="0" fontId="0" fillId="0" borderId="0"/>
    <xf numFmtId="43" fontId="5" fillId="0" borderId="0" applyFont="0" applyFill="0" applyBorder="0" applyAlignment="0" applyProtection="0"/>
    <xf numFmtId="9" fontId="5" fillId="0" borderId="0" applyFont="0" applyFill="0" applyBorder="0" applyAlignment="0" applyProtection="0"/>
  </cellStyleXfs>
  <cellXfs count="28">
    <xf numFmtId="0" fontId="0" fillId="0" borderId="0" xfId="0"/>
    <xf numFmtId="14" fontId="3" fillId="2" borderId="0" xfId="0" applyNumberFormat="1" applyFont="1" applyFill="1" applyAlignment="1">
      <alignment horizontal="center" vertical="center"/>
    </xf>
    <xf numFmtId="0" fontId="4" fillId="0" borderId="0" xfId="0" applyFont="1"/>
    <xf numFmtId="0" fontId="3" fillId="2" borderId="0" xfId="0" applyFont="1" applyFill="1" applyAlignment="1">
      <alignment horizontal="center" vertical="center"/>
    </xf>
    <xf numFmtId="0" fontId="3" fillId="2" borderId="0" xfId="0" applyFont="1" applyFill="1" applyAlignment="1">
      <alignment vertical="center"/>
    </xf>
    <xf numFmtId="164" fontId="4" fillId="0" borderId="0" xfId="1" applyNumberFormat="1" applyFont="1"/>
    <xf numFmtId="0" fontId="3" fillId="2" borderId="0" xfId="0" applyFont="1" applyFill="1" applyAlignment="1">
      <alignment horizontal="center"/>
    </xf>
    <xf numFmtId="0" fontId="2" fillId="0" borderId="0" xfId="0" applyFont="1" applyAlignment="1">
      <alignment horizontal="left"/>
    </xf>
    <xf numFmtId="165" fontId="4" fillId="0" borderId="0" xfId="0" applyNumberFormat="1" applyFont="1"/>
    <xf numFmtId="0" fontId="2" fillId="0" borderId="0" xfId="0" applyFont="1"/>
    <xf numFmtId="0" fontId="6" fillId="0" borderId="0" xfId="0" applyFont="1" applyAlignment="1">
      <alignment horizontal="left"/>
    </xf>
    <xf numFmtId="0" fontId="1" fillId="0" borderId="0" xfId="0" applyFont="1"/>
    <xf numFmtId="0" fontId="6" fillId="0" borderId="0" xfId="0" applyFont="1"/>
    <xf numFmtId="164" fontId="1" fillId="0" borderId="0" xfId="1" applyNumberFormat="1" applyFont="1"/>
    <xf numFmtId="164" fontId="6" fillId="0" borderId="0" xfId="1" applyNumberFormat="1" applyFont="1"/>
    <xf numFmtId="0" fontId="6" fillId="0" borderId="0" xfId="0" applyFont="1" applyAlignment="1">
      <alignment horizontal="left" indent="1"/>
    </xf>
    <xf numFmtId="0" fontId="1" fillId="0" borderId="0" xfId="0" applyFont="1" applyAlignment="1">
      <alignment horizontal="left" indent="1"/>
    </xf>
    <xf numFmtId="0" fontId="6" fillId="0" borderId="0" xfId="0" applyFont="1" applyAlignment="1">
      <alignment horizontal="left" indent="2"/>
    </xf>
    <xf numFmtId="0" fontId="1" fillId="0" borderId="0" xfId="0" applyFont="1" applyAlignment="1">
      <alignment horizontal="left" indent="2"/>
    </xf>
    <xf numFmtId="0" fontId="6" fillId="0" borderId="0" xfId="0" applyFont="1" applyAlignment="1">
      <alignment horizontal="left" indent="3"/>
    </xf>
    <xf numFmtId="166" fontId="4" fillId="0" borderId="0" xfId="2" applyNumberFormat="1" applyFont="1"/>
    <xf numFmtId="166" fontId="7" fillId="0" borderId="0" xfId="2" applyNumberFormat="1" applyFont="1" applyAlignment="1">
      <alignment horizontal="center"/>
    </xf>
    <xf numFmtId="164" fontId="7" fillId="0" borderId="0" xfId="1" applyNumberFormat="1" applyFont="1" applyAlignment="1">
      <alignment horizontal="center"/>
    </xf>
    <xf numFmtId="164" fontId="8" fillId="0" borderId="0" xfId="1" applyNumberFormat="1" applyFont="1"/>
    <xf numFmtId="164" fontId="9" fillId="0" borderId="0" xfId="1" applyNumberFormat="1" applyFont="1" applyAlignment="1">
      <alignment horizontal="center"/>
    </xf>
    <xf numFmtId="0" fontId="4" fillId="0" borderId="0" xfId="1" applyNumberFormat="1" applyFont="1"/>
    <xf numFmtId="9" fontId="7" fillId="0" borderId="0" xfId="2" applyFont="1" applyAlignment="1">
      <alignment horizontal="center"/>
    </xf>
    <xf numFmtId="167" fontId="4" fillId="0" borderId="0" xfId="1" applyNumberFormat="1" applyFont="1"/>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7">
  <rv s="0">
    <v>http://en.wikipedia.org/wiki/Public_domain</v>
    <v>Public domain</v>
  </rv>
  <rv s="0">
    <v>http://en.wikipedia.org/wiki/Qualcomm</v>
    <v>Wikipedia</v>
  </rv>
  <rv s="1">
    <v>0</v>
    <v>1</v>
  </rv>
  <rv s="2">
    <v>6</v>
    <v>https://www.bing.com/th?id=AMMS_2b1c176dae370ecc0d55a1517537f595&amp;qlt=95</v>
    <v>2</v>
    <v>0</v>
    <v>https://www.bing.com/images/search?form=xlimg&amp;q=qualcomm</v>
    <v>Image of QUALCOMM INCORPORATED</v>
  </rv>
  <rv s="0">
    <v>https://www.bing.com/financeapi/forcetrigger?t=a21k2w&amp;q=XNAS%3aQCOM&amp;form=skydnc</v>
    <v>Learn more on Bing</v>
  </rv>
  <rv s="3">
    <v>en-US</v>
    <v>a21k2w</v>
    <v>268435456</v>
    <v>1</v>
    <v>Powered by Refinitiv</v>
    <v>0</v>
    <v>QUALCOMM INCORPORATED (XNAS:QCOM)</v>
    <v>3</v>
    <v>4</v>
    <v>Finance</v>
    <v>5</v>
    <v>157.97999999999999</v>
    <v>101.47</v>
    <v>1.4114</v>
    <v>0.57999999999999996</v>
    <v>-4.235E-3</v>
    <v>4.1099999999999999E-3</v>
    <v>-0.6</v>
    <v>USD</v>
    <v>Qualcomm Incorporated is engaged in the development and commercialization of foundational technologies for the wireless industry, including third generation (3G), fourth generation (4G) and fifth generation (5G) wireless connectivity, and high-performance and low-power computing, including on-device artificial intelligence. Its segments include Qualcomm CDMA Technologies (QCT), Qualcomm Technology Licensing (QTL) and Qualcomm Strategic Initiatives. QCT develops and supplies integrated circuits and system software based on 3G/4G/5G and other technologies, including radio frequency front-end, digital cockpit and advanced driver assistance and automated driving, Internet of things including consumer electronic devices, industrial devices and edge networking products. QTL grants licenses or otherwise provides rights to use portions of its intellectual property portfolio that includes certain patent rights essential to and/or useful in the manufacture and sale of certain wireless products.</v>
    <v>50000</v>
    <v>Nasdaq Stock Market</v>
    <v>XNAS</v>
    <v>XNAS</v>
    <v>5775 Morehouse Dr, SAN DIEGO, CA, 92121 US</v>
    <v>142.13999999999999</v>
    <v>3</v>
    <v>Semiconductors &amp; Semiconductor Equipment</v>
    <v>Stock</v>
    <v>45324.981309409377</v>
    <v>4</v>
    <v>139.26</v>
    <v>158126000000</v>
    <v>QUALCOMM INCORPORATED</v>
    <v>QUALCOMM INCORPORATED</v>
    <v>140.65</v>
    <v>20.158300000000001</v>
    <v>141.11000000000001</v>
    <v>141.69</v>
    <v>141.09</v>
    <v>1116000000</v>
    <v>QCOM</v>
    <v>QUALCOMM INCORPORATED (XNAS:QCOM)</v>
    <v>10442665</v>
    <v>9007357</v>
    <v>1991</v>
  </rv>
  <rv s="4">
    <v>5</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7">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 Last Sale</v>
      <v>GMT</v>
      <v>Real-Time Nasdaq Last Sale</v>
      <v>from close</v>
      <v>from close</v>
    </spb>
    <spb s="6">
      <v>Powered by Refinitiv</v>
    </spb>
  </spbData>
</supportingPropertyBags>
</file>

<file path=xl/richData/rdsupportingpropertybagstructure.xml><?xml version="1.0" encoding="utf-8"?>
<spbStructures xmlns="http://schemas.microsoft.com/office/spreadsheetml/2017/richdata2" count="7">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O69"/>
  <sheetViews>
    <sheetView tabSelected="1" zoomScale="125" zoomScaleNormal="125" workbookViewId="0">
      <pane xSplit="1" topLeftCell="B1" activePane="topRight" state="frozen"/>
      <selection pane="topRight" activeCell="O1" sqref="O1"/>
    </sheetView>
  </sheetViews>
  <sheetFormatPr defaultColWidth="12.7109375" defaultRowHeight="12.75" x14ac:dyDescent="0.2"/>
  <cols>
    <col min="1" max="1" width="42.7109375" style="2" customWidth="1"/>
    <col min="2" max="3" width="12.7109375" style="5" customWidth="1"/>
    <col min="4" max="4" width="10.7109375" style="5" hidden="1" customWidth="1"/>
    <col min="5" max="5" width="12.7109375" style="5" customWidth="1"/>
    <col min="6" max="6" width="10.7109375" style="5" hidden="1" customWidth="1"/>
    <col min="7" max="7" width="12.7109375" style="5" customWidth="1"/>
    <col min="8" max="8" width="10.7109375" style="5" hidden="1" customWidth="1"/>
    <col min="9" max="9" width="12.7109375" style="5" customWidth="1"/>
    <col min="10" max="10" width="10.7109375" style="5" hidden="1" customWidth="1"/>
    <col min="11" max="11" width="12.7109375" style="5" customWidth="1"/>
    <col min="12" max="12" width="10.7109375" style="5" hidden="1" customWidth="1"/>
    <col min="13" max="13" width="12.7109375" style="5" customWidth="1"/>
    <col min="14" max="14" width="10.5703125" style="5" hidden="1" customWidth="1"/>
    <col min="15" max="28" width="12.7109375" style="5" customWidth="1"/>
    <col min="29" max="16384" width="12.7109375" style="5"/>
  </cols>
  <sheetData>
    <row r="1" spans="1:41" s="6" customFormat="1" ht="15" customHeight="1" x14ac:dyDescent="0.2">
      <c r="A1" s="4" t="s">
        <v>0</v>
      </c>
      <c r="B1" s="1" t="s">
        <v>22</v>
      </c>
      <c r="C1" s="1" t="s">
        <v>46</v>
      </c>
      <c r="D1" s="1" t="s">
        <v>47</v>
      </c>
      <c r="E1" s="1" t="s">
        <v>45</v>
      </c>
      <c r="F1" s="1" t="s">
        <v>47</v>
      </c>
      <c r="G1" s="1" t="s">
        <v>22</v>
      </c>
      <c r="H1" s="1" t="s">
        <v>47</v>
      </c>
      <c r="I1" s="1" t="s">
        <v>21</v>
      </c>
      <c r="J1" s="1" t="s">
        <v>47</v>
      </c>
      <c r="K1" s="1" t="s">
        <v>20</v>
      </c>
      <c r="L1" s="1" t="s">
        <v>47</v>
      </c>
      <c r="M1" s="1" t="s">
        <v>49</v>
      </c>
      <c r="N1" s="1" t="s">
        <v>47</v>
      </c>
      <c r="O1" s="1" t="s">
        <v>49</v>
      </c>
      <c r="P1" s="1"/>
      <c r="Q1" s="1"/>
      <c r="R1" s="1"/>
      <c r="S1" s="1"/>
      <c r="T1" s="1"/>
      <c r="U1" s="1"/>
      <c r="V1" s="1"/>
      <c r="W1" s="1"/>
      <c r="X1" s="1"/>
      <c r="Y1" s="1"/>
      <c r="Z1" s="1"/>
      <c r="AA1" s="1"/>
      <c r="AB1" s="1"/>
      <c r="AC1" s="1"/>
      <c r="AD1" s="1"/>
      <c r="AE1" s="1"/>
      <c r="AF1" s="1"/>
      <c r="AG1" s="1"/>
      <c r="AH1" s="3"/>
      <c r="AI1" s="3"/>
      <c r="AJ1" s="3"/>
      <c r="AK1" s="3"/>
      <c r="AL1" s="3"/>
      <c r="AM1" s="3"/>
      <c r="AN1" s="3"/>
      <c r="AO1" s="3"/>
    </row>
    <row r="2" spans="1:41" s="6" customFormat="1" ht="15" customHeight="1" x14ac:dyDescent="0.2">
      <c r="A2" s="4" t="s">
        <v>19</v>
      </c>
      <c r="B2" s="3">
        <v>2017</v>
      </c>
      <c r="C2" s="3">
        <v>2018</v>
      </c>
      <c r="D2" s="3" t="s">
        <v>48</v>
      </c>
      <c r="E2" s="3">
        <v>2019</v>
      </c>
      <c r="F2" s="3" t="s">
        <v>48</v>
      </c>
      <c r="G2" s="3">
        <v>2020</v>
      </c>
      <c r="H2" s="3" t="s">
        <v>48</v>
      </c>
      <c r="I2" s="3">
        <v>2021</v>
      </c>
      <c r="J2" s="3" t="s">
        <v>48</v>
      </c>
      <c r="K2" s="3">
        <v>2022</v>
      </c>
      <c r="L2" s="3" t="s">
        <v>48</v>
      </c>
      <c r="M2" s="3">
        <v>2023</v>
      </c>
      <c r="N2" s="3" t="s">
        <v>48</v>
      </c>
      <c r="O2" s="3">
        <v>2024</v>
      </c>
      <c r="P2" s="3"/>
      <c r="Q2" s="3"/>
      <c r="R2" s="3"/>
      <c r="S2" s="3"/>
      <c r="T2" s="3"/>
      <c r="U2" s="3"/>
      <c r="V2" s="3"/>
      <c r="W2" s="3"/>
      <c r="X2" s="3"/>
      <c r="Y2" s="3"/>
      <c r="Z2" s="3"/>
      <c r="AA2" s="3"/>
      <c r="AB2" s="3"/>
      <c r="AC2" s="3"/>
      <c r="AD2" s="3"/>
      <c r="AE2" s="3"/>
      <c r="AF2" s="3"/>
      <c r="AG2" s="3"/>
      <c r="AH2" s="3"/>
      <c r="AI2" s="3"/>
      <c r="AJ2" s="3"/>
      <c r="AK2" s="3"/>
      <c r="AL2" s="3"/>
      <c r="AM2" s="3"/>
      <c r="AN2" s="3"/>
      <c r="AO2" s="3"/>
    </row>
    <row r="3" spans="1:41" x14ac:dyDescent="0.2">
      <c r="A3" s="7" t="e" vm="1">
        <v>#VALUE!</v>
      </c>
    </row>
    <row r="4" spans="1:41" x14ac:dyDescent="0.2">
      <c r="A4" s="8" cm="1">
        <f t="array" ref="A4">_FV(A3,"Price")</f>
        <v>141.69</v>
      </c>
    </row>
    <row r="5" spans="1:41" x14ac:dyDescent="0.2">
      <c r="A5" s="9"/>
    </row>
    <row r="6" spans="1:41" x14ac:dyDescent="0.2">
      <c r="A6" s="10" t="s">
        <v>3</v>
      </c>
    </row>
    <row r="7" spans="1:41" x14ac:dyDescent="0.2">
      <c r="A7" s="16" t="s">
        <v>4</v>
      </c>
      <c r="B7" s="5">
        <v>16647</v>
      </c>
      <c r="C7" s="5">
        <v>17400</v>
      </c>
      <c r="D7" s="21">
        <f>(C7-B7)/B7</f>
        <v>4.5233375382951885E-2</v>
      </c>
      <c r="E7" s="5">
        <v>14611</v>
      </c>
      <c r="F7" s="21">
        <f>(E7-C7)/C7</f>
        <v>-0.16028735632183908</v>
      </c>
      <c r="G7" s="5">
        <v>16298</v>
      </c>
      <c r="H7" s="21">
        <f>(G7-E7)/E7</f>
        <v>0.1154609540756964</v>
      </c>
      <c r="I7" s="5">
        <v>26741</v>
      </c>
      <c r="J7" s="21">
        <f>(I7-G7)/G7</f>
        <v>0.64075346668302857</v>
      </c>
      <c r="K7" s="5">
        <v>37171</v>
      </c>
      <c r="L7" s="21">
        <f>(K7-I7)/I7</f>
        <v>0.39003776971691412</v>
      </c>
      <c r="M7" s="5">
        <v>30028</v>
      </c>
      <c r="N7" s="26">
        <f>(M7-K7)/K7</f>
        <v>-0.1921659358101746</v>
      </c>
    </row>
    <row r="8" spans="1:41" ht="15" customHeight="1" x14ac:dyDescent="0.2">
      <c r="A8" s="16" t="s">
        <v>5</v>
      </c>
      <c r="B8" s="5">
        <v>5644</v>
      </c>
      <c r="C8" s="5">
        <v>5211</v>
      </c>
      <c r="D8" s="21">
        <f>(C8-B8)/B8</f>
        <v>-7.6718639262934082E-2</v>
      </c>
      <c r="E8" s="5">
        <v>9662</v>
      </c>
      <c r="F8" s="21">
        <f>(E8-C8)/C8</f>
        <v>0.85415467280752255</v>
      </c>
      <c r="G8" s="5">
        <v>7233</v>
      </c>
      <c r="H8" s="21">
        <f>(G8-E8)/E8</f>
        <v>-0.25139722624715377</v>
      </c>
      <c r="I8" s="5">
        <v>6825</v>
      </c>
      <c r="J8" s="21">
        <f>(I8-G8)/G8</f>
        <v>-5.640812940688511E-2</v>
      </c>
      <c r="K8" s="5">
        <v>7029</v>
      </c>
      <c r="L8" s="21">
        <f>(K8-I8)/I8</f>
        <v>2.989010989010989E-2</v>
      </c>
      <c r="M8" s="5">
        <v>5792</v>
      </c>
      <c r="N8" s="26">
        <f t="shared" ref="N8:N64" si="0">(M8-K8)/K8</f>
        <v>-0.17598520415421823</v>
      </c>
    </row>
    <row r="9" spans="1:41" s="14" customFormat="1" x14ac:dyDescent="0.2">
      <c r="A9" s="17" t="s">
        <v>6</v>
      </c>
      <c r="B9" s="14">
        <f t="shared" ref="B9" si="1">SUM(B7:B8)</f>
        <v>22291</v>
      </c>
      <c r="C9" s="14">
        <f t="shared" ref="C9" si="2">SUM(C7:C8)</f>
        <v>22611</v>
      </c>
      <c r="D9" s="21">
        <f>(C9-B9)/B9</f>
        <v>1.4355569512359247E-2</v>
      </c>
      <c r="E9" s="14">
        <f t="shared" ref="E9" si="3">SUM(E7:E8)</f>
        <v>24273</v>
      </c>
      <c r="F9" s="21">
        <f>(E9-C9)/C9</f>
        <v>7.3504046702932202E-2</v>
      </c>
      <c r="G9" s="14">
        <f t="shared" ref="G9:I9" si="4">SUM(G7:G8)</f>
        <v>23531</v>
      </c>
      <c r="H9" s="21">
        <f>(G9-E9)/E9</f>
        <v>-3.0568944918221892E-2</v>
      </c>
      <c r="I9" s="14">
        <f t="shared" si="4"/>
        <v>33566</v>
      </c>
      <c r="J9" s="21">
        <f>(I9-G9)/G9</f>
        <v>0.42645871403680252</v>
      </c>
      <c r="K9" s="14">
        <f>SUM(K7:K8)</f>
        <v>44200</v>
      </c>
      <c r="L9" s="21">
        <f>(K9-I9)/I9</f>
        <v>0.31680867544539115</v>
      </c>
      <c r="M9" s="14">
        <f t="shared" ref="M9:R9" si="5">SUM(M7:M8)</f>
        <v>35820</v>
      </c>
      <c r="N9" s="26">
        <f t="shared" si="0"/>
        <v>-0.18959276018099547</v>
      </c>
      <c r="O9" s="14">
        <f t="shared" si="5"/>
        <v>0</v>
      </c>
      <c r="P9" s="14">
        <f t="shared" si="5"/>
        <v>0</v>
      </c>
      <c r="Q9" s="14">
        <f t="shared" si="5"/>
        <v>0</v>
      </c>
      <c r="R9" s="14">
        <f t="shared" si="5"/>
        <v>0</v>
      </c>
    </row>
    <row r="10" spans="1:41" x14ac:dyDescent="0.2">
      <c r="D10" s="21"/>
      <c r="F10" s="21"/>
      <c r="H10" s="21"/>
      <c r="J10" s="21"/>
      <c r="L10" s="21"/>
      <c r="N10" s="26"/>
    </row>
    <row r="11" spans="1:41" x14ac:dyDescent="0.2">
      <c r="A11" s="12" t="s">
        <v>10</v>
      </c>
      <c r="D11" s="21"/>
      <c r="F11" s="21"/>
      <c r="H11" s="21"/>
      <c r="J11" s="21"/>
      <c r="L11" s="21"/>
      <c r="N11" s="26"/>
    </row>
    <row r="12" spans="1:41" x14ac:dyDescent="0.2">
      <c r="A12" s="16" t="s">
        <v>7</v>
      </c>
      <c r="B12" s="5">
        <v>9792</v>
      </c>
      <c r="C12" s="5">
        <v>10244</v>
      </c>
      <c r="D12" s="21">
        <f>(C12-B12)/B12</f>
        <v>4.6160130718954251E-2</v>
      </c>
      <c r="E12" s="5">
        <v>8599</v>
      </c>
      <c r="F12" s="21">
        <f>(E12-C12)/C12</f>
        <v>-0.16058180398281921</v>
      </c>
      <c r="G12" s="5">
        <v>9255</v>
      </c>
      <c r="H12" s="21">
        <f>(G12-E12)/E12</f>
        <v>7.6287940458192816E-2</v>
      </c>
      <c r="I12" s="5">
        <v>14262</v>
      </c>
      <c r="J12" s="21">
        <f>(I12-G12)/G12</f>
        <v>0.5410048622366288</v>
      </c>
      <c r="K12" s="5">
        <v>18635</v>
      </c>
      <c r="L12" s="21">
        <f>(K12-I12)/I12</f>
        <v>0.30661898751928202</v>
      </c>
      <c r="M12" s="5">
        <v>15869</v>
      </c>
      <c r="N12" s="26">
        <f t="shared" si="0"/>
        <v>-0.14843037295411859</v>
      </c>
    </row>
    <row r="13" spans="1:41" x14ac:dyDescent="0.2">
      <c r="A13" s="16" t="s">
        <v>11</v>
      </c>
      <c r="B13" s="5">
        <v>5485</v>
      </c>
      <c r="C13" s="5">
        <v>5625</v>
      </c>
      <c r="D13" s="21">
        <f>(C13-B13)/B13</f>
        <v>2.5524156791248861E-2</v>
      </c>
      <c r="E13" s="5">
        <v>5398</v>
      </c>
      <c r="F13" s="21">
        <f>(E13-C13)/C13</f>
        <v>-4.0355555555555554E-2</v>
      </c>
      <c r="G13" s="5">
        <v>5975</v>
      </c>
      <c r="H13" s="21">
        <f>(G13-E13)/E13</f>
        <v>0.10689144127454613</v>
      </c>
      <c r="I13" s="5">
        <v>7176</v>
      </c>
      <c r="J13" s="21">
        <f>(I13-G13)/G13</f>
        <v>0.2010041841004184</v>
      </c>
      <c r="K13" s="5">
        <v>8194</v>
      </c>
      <c r="L13" s="21">
        <f>(K13-I13)/I13</f>
        <v>0.14186176142697882</v>
      </c>
      <c r="M13" s="5">
        <v>8818</v>
      </c>
      <c r="N13" s="26">
        <f t="shared" si="0"/>
        <v>7.6153282889919446E-2</v>
      </c>
    </row>
    <row r="14" spans="1:41" x14ac:dyDescent="0.2">
      <c r="A14" s="16" t="s">
        <v>12</v>
      </c>
      <c r="B14" s="5">
        <v>2658</v>
      </c>
      <c r="C14" s="5">
        <v>2986</v>
      </c>
      <c r="D14" s="21">
        <f>(C14-B14)/B14</f>
        <v>0.12340105342362678</v>
      </c>
      <c r="E14" s="5">
        <v>2195</v>
      </c>
      <c r="F14" s="21">
        <f>(E14-C14)/C14</f>
        <v>-0.26490288010716678</v>
      </c>
      <c r="G14" s="5">
        <v>2074</v>
      </c>
      <c r="H14" s="21">
        <f>(G14-E14)/E14</f>
        <v>-5.5125284738041E-2</v>
      </c>
      <c r="I14" s="5">
        <v>2339</v>
      </c>
      <c r="J14" s="21">
        <f>(I14-G14)/G14</f>
        <v>0.12777242044358728</v>
      </c>
      <c r="K14" s="5">
        <v>2570</v>
      </c>
      <c r="L14" s="21">
        <f>(K14-I14)/I14</f>
        <v>9.8760153911928175E-2</v>
      </c>
      <c r="M14" s="5">
        <v>2483</v>
      </c>
      <c r="N14" s="26">
        <f t="shared" si="0"/>
        <v>-3.3852140077821009E-2</v>
      </c>
    </row>
    <row r="15" spans="1:41" x14ac:dyDescent="0.2">
      <c r="A15" s="16" t="s">
        <v>13</v>
      </c>
      <c r="B15" s="5">
        <v>1742</v>
      </c>
      <c r="C15" s="5">
        <v>3135</v>
      </c>
      <c r="D15" s="21">
        <f>(C15-B15)/B15</f>
        <v>0.79965556831228468</v>
      </c>
      <c r="E15" s="5">
        <v>414</v>
      </c>
      <c r="F15" s="21">
        <f>(E15-C15)/C15</f>
        <v>-0.86794258373205746</v>
      </c>
      <c r="G15" s="5">
        <v>-28</v>
      </c>
      <c r="H15" s="21">
        <f>(G15-E15)/E15</f>
        <v>-1.067632850241546</v>
      </c>
      <c r="I15" s="5">
        <v>0</v>
      </c>
      <c r="J15" s="21">
        <f>(I15-G15)/G15</f>
        <v>-1</v>
      </c>
      <c r="K15" s="5">
        <v>-1059</v>
      </c>
      <c r="L15" s="21" t="e">
        <f>(K15-I15)/I15</f>
        <v>#DIV/0!</v>
      </c>
      <c r="M15" s="5">
        <v>862</v>
      </c>
      <c r="N15" s="26">
        <f t="shared" si="0"/>
        <v>-1.8139754485363551</v>
      </c>
    </row>
    <row r="16" spans="1:41" s="14" customFormat="1" x14ac:dyDescent="0.2">
      <c r="A16" s="17" t="s">
        <v>14</v>
      </c>
      <c r="B16" s="14">
        <f t="shared" ref="B16" si="6">SUM(B12:B15)</f>
        <v>19677</v>
      </c>
      <c r="C16" s="14">
        <f t="shared" ref="C16" si="7">SUM(C12:C15)</f>
        <v>21990</v>
      </c>
      <c r="D16" s="21">
        <f>(C16-B16)/B16</f>
        <v>0.1175484067693246</v>
      </c>
      <c r="E16" s="14">
        <f t="shared" ref="E16" si="8">SUM(E12:E15)</f>
        <v>16606</v>
      </c>
      <c r="F16" s="21">
        <f>(E16-C16)/C16</f>
        <v>-0.24483856298317416</v>
      </c>
      <c r="G16" s="14">
        <f t="shared" ref="G16:I16" si="9">SUM(G12:G15)</f>
        <v>17276</v>
      </c>
      <c r="H16" s="21">
        <f>(G16-E16)/E16</f>
        <v>4.0346862579790435E-2</v>
      </c>
      <c r="I16" s="14">
        <f t="shared" si="9"/>
        <v>23777</v>
      </c>
      <c r="J16" s="21">
        <f>(I16-G16)/G16</f>
        <v>0.37630238481129891</v>
      </c>
      <c r="K16" s="14">
        <f>SUM(K12:K15)</f>
        <v>28340</v>
      </c>
      <c r="L16" s="21">
        <f>(K16-I16)/I16</f>
        <v>0.19190814652815746</v>
      </c>
      <c r="M16" s="14">
        <f t="shared" ref="M16:R16" si="10">SUM(M12:M15)</f>
        <v>28032</v>
      </c>
      <c r="N16" s="26">
        <f t="shared" si="0"/>
        <v>-1.0868031051517291E-2</v>
      </c>
      <c r="O16" s="14">
        <f t="shared" si="10"/>
        <v>0</v>
      </c>
      <c r="P16" s="14">
        <f t="shared" si="10"/>
        <v>0</v>
      </c>
      <c r="Q16" s="14">
        <f t="shared" si="10"/>
        <v>0</v>
      </c>
      <c r="R16" s="14">
        <f t="shared" si="10"/>
        <v>0</v>
      </c>
    </row>
    <row r="17" spans="1:18" x14ac:dyDescent="0.2">
      <c r="D17" s="21"/>
      <c r="F17" s="21"/>
      <c r="H17" s="21"/>
      <c r="J17" s="21"/>
      <c r="L17" s="21"/>
      <c r="N17" s="26"/>
    </row>
    <row r="18" spans="1:18" x14ac:dyDescent="0.2">
      <c r="A18" s="11" t="s">
        <v>15</v>
      </c>
      <c r="B18" s="5">
        <f t="shared" ref="B18:I18" si="11">B9-B16</f>
        <v>2614</v>
      </c>
      <c r="C18" s="5">
        <f t="shared" si="11"/>
        <v>621</v>
      </c>
      <c r="D18" s="21">
        <f t="shared" ref="D18:D23" si="12">(C18-B18)/B18</f>
        <v>-0.76243305279265494</v>
      </c>
      <c r="E18" s="5">
        <f t="shared" si="11"/>
        <v>7667</v>
      </c>
      <c r="F18" s="21">
        <f t="shared" ref="F18:F23" si="13">(E18-C18)/C18</f>
        <v>11.34621578099839</v>
      </c>
      <c r="G18" s="5">
        <f t="shared" si="11"/>
        <v>6255</v>
      </c>
      <c r="H18" s="21">
        <f t="shared" ref="H18:H23" si="14">(G18-E18)/E18</f>
        <v>-0.1841659058301813</v>
      </c>
      <c r="I18" s="5">
        <f t="shared" si="11"/>
        <v>9789</v>
      </c>
      <c r="J18" s="21">
        <f t="shared" ref="J18:J23" si="15">(I18-G18)/G18</f>
        <v>0.56498800959232609</v>
      </c>
      <c r="K18" s="5">
        <f>K9-K16</f>
        <v>15860</v>
      </c>
      <c r="L18" s="21">
        <f t="shared" ref="L18:L23" si="16">(K18-I18)/I18</f>
        <v>0.6201859229747676</v>
      </c>
      <c r="M18" s="5">
        <f t="shared" ref="M18:R18" si="17">M9-M16</f>
        <v>7788</v>
      </c>
      <c r="N18" s="26">
        <f t="shared" si="0"/>
        <v>-0.50895334174022699</v>
      </c>
      <c r="O18" s="5">
        <f t="shared" si="17"/>
        <v>0</v>
      </c>
      <c r="P18" s="5">
        <f t="shared" si="17"/>
        <v>0</v>
      </c>
      <c r="Q18" s="5">
        <f t="shared" si="17"/>
        <v>0</v>
      </c>
      <c r="R18" s="5">
        <f t="shared" si="17"/>
        <v>0</v>
      </c>
    </row>
    <row r="19" spans="1:18" x14ac:dyDescent="0.2">
      <c r="A19" s="11" t="s">
        <v>8</v>
      </c>
      <c r="B19" s="5">
        <v>-494</v>
      </c>
      <c r="C19" s="5">
        <v>-768</v>
      </c>
      <c r="D19" s="21">
        <f t="shared" si="12"/>
        <v>0.55465587044534415</v>
      </c>
      <c r="E19" s="5">
        <v>-627</v>
      </c>
      <c r="F19" s="21">
        <f t="shared" si="13"/>
        <v>-0.18359375</v>
      </c>
      <c r="G19" s="5">
        <v>-602</v>
      </c>
      <c r="H19" s="21">
        <f t="shared" si="14"/>
        <v>-3.9872408293460927E-2</v>
      </c>
      <c r="I19" s="5">
        <v>-559</v>
      </c>
      <c r="J19" s="21">
        <f t="shared" si="15"/>
        <v>-7.1428571428571425E-2</v>
      </c>
      <c r="K19" s="5">
        <v>-490</v>
      </c>
      <c r="L19" s="21">
        <f t="shared" si="16"/>
        <v>-0.12343470483005367</v>
      </c>
      <c r="M19" s="5">
        <v>-694</v>
      </c>
      <c r="N19" s="26">
        <f t="shared" si="0"/>
        <v>0.41632653061224489</v>
      </c>
    </row>
    <row r="20" spans="1:18" x14ac:dyDescent="0.2">
      <c r="A20" s="11" t="s">
        <v>16</v>
      </c>
      <c r="B20" s="5">
        <v>900</v>
      </c>
      <c r="C20" s="5">
        <v>539</v>
      </c>
      <c r="D20" s="21">
        <f t="shared" si="12"/>
        <v>-0.40111111111111108</v>
      </c>
      <c r="E20" s="5">
        <v>441</v>
      </c>
      <c r="F20" s="21">
        <f t="shared" si="13"/>
        <v>-0.18181818181818182</v>
      </c>
      <c r="G20" s="5">
        <v>66</v>
      </c>
      <c r="H20" s="21">
        <f t="shared" si="14"/>
        <v>-0.85034013605442171</v>
      </c>
      <c r="I20" s="5">
        <v>1044</v>
      </c>
      <c r="J20" s="21">
        <f t="shared" si="15"/>
        <v>14.818181818181818</v>
      </c>
      <c r="K20" s="5">
        <v>-372</v>
      </c>
      <c r="L20" s="21">
        <f t="shared" si="16"/>
        <v>-1.3563218390804597</v>
      </c>
      <c r="M20" s="5">
        <v>349</v>
      </c>
      <c r="N20" s="26">
        <f t="shared" si="0"/>
        <v>-1.9381720430107527</v>
      </c>
    </row>
    <row r="21" spans="1:18" x14ac:dyDescent="0.2">
      <c r="A21" s="16" t="s">
        <v>17</v>
      </c>
      <c r="B21" s="5">
        <f t="shared" ref="B21" si="18">SUM(B18:B20)</f>
        <v>3020</v>
      </c>
      <c r="C21" s="5">
        <f t="shared" ref="C21" si="19">SUM(C18:C20)</f>
        <v>392</v>
      </c>
      <c r="D21" s="21">
        <f t="shared" si="12"/>
        <v>-0.87019867549668872</v>
      </c>
      <c r="E21" s="5">
        <f>SUM(E18:E20)</f>
        <v>7481</v>
      </c>
      <c r="F21" s="21">
        <f t="shared" si="13"/>
        <v>18.084183673469386</v>
      </c>
      <c r="G21" s="5">
        <f t="shared" ref="G21:I21" si="20">SUM(G18:G20)</f>
        <v>5719</v>
      </c>
      <c r="H21" s="21">
        <f t="shared" si="14"/>
        <v>-0.23553000935703783</v>
      </c>
      <c r="I21" s="5">
        <f t="shared" si="20"/>
        <v>10274</v>
      </c>
      <c r="J21" s="21">
        <f t="shared" si="15"/>
        <v>0.79646791397097394</v>
      </c>
      <c r="K21" s="5">
        <f>SUM(K18:K20)</f>
        <v>14998</v>
      </c>
      <c r="L21" s="21">
        <f t="shared" si="16"/>
        <v>0.4598014405294919</v>
      </c>
      <c r="M21" s="5">
        <f t="shared" ref="M21:R21" si="21">SUM(M18:M20)</f>
        <v>7443</v>
      </c>
      <c r="N21" s="26">
        <f t="shared" si="0"/>
        <v>-0.50373383117749038</v>
      </c>
      <c r="O21" s="5">
        <f t="shared" si="21"/>
        <v>0</v>
      </c>
      <c r="P21" s="5">
        <f t="shared" si="21"/>
        <v>0</v>
      </c>
      <c r="Q21" s="5">
        <f t="shared" si="21"/>
        <v>0</v>
      </c>
      <c r="R21" s="5">
        <f t="shared" si="21"/>
        <v>0</v>
      </c>
    </row>
    <row r="22" spans="1:18" x14ac:dyDescent="0.2">
      <c r="A22" s="16" t="s">
        <v>18</v>
      </c>
      <c r="B22" s="5">
        <v>-555</v>
      </c>
      <c r="C22" s="5">
        <v>-5356</v>
      </c>
      <c r="D22" s="21">
        <f t="shared" si="12"/>
        <v>8.6504504504504496</v>
      </c>
      <c r="E22" s="5">
        <v>-3095</v>
      </c>
      <c r="F22" s="21">
        <f t="shared" si="13"/>
        <v>-0.42214339058999251</v>
      </c>
      <c r="G22" s="5">
        <v>-521</v>
      </c>
      <c r="H22" s="21">
        <f t="shared" si="14"/>
        <v>-0.83166397415185789</v>
      </c>
      <c r="I22" s="5">
        <v>-1231</v>
      </c>
      <c r="J22" s="21">
        <f t="shared" si="15"/>
        <v>1.362763915547025</v>
      </c>
      <c r="K22" s="5">
        <v>-2012</v>
      </c>
      <c r="L22" s="21">
        <f t="shared" si="16"/>
        <v>0.63444354183590579</v>
      </c>
      <c r="M22" s="5">
        <v>-104</v>
      </c>
      <c r="N22" s="26">
        <f t="shared" si="0"/>
        <v>-0.94831013916500995</v>
      </c>
    </row>
    <row r="23" spans="1:18" s="14" customFormat="1" x14ac:dyDescent="0.2">
      <c r="A23" s="17" t="s">
        <v>9</v>
      </c>
      <c r="B23" s="14">
        <f t="shared" ref="B23" si="22">B21+B22</f>
        <v>2465</v>
      </c>
      <c r="C23" s="14">
        <f t="shared" ref="C23" si="23">C21+C22</f>
        <v>-4964</v>
      </c>
      <c r="D23" s="21">
        <f t="shared" si="12"/>
        <v>-3.0137931034482759</v>
      </c>
      <c r="E23" s="14">
        <f t="shared" ref="E23" si="24">E21+E22</f>
        <v>4386</v>
      </c>
      <c r="F23" s="21">
        <f t="shared" si="13"/>
        <v>-1.8835616438356164</v>
      </c>
      <c r="G23" s="14">
        <f t="shared" ref="G23:I23" si="25">G21+G22</f>
        <v>5198</v>
      </c>
      <c r="H23" s="21">
        <f t="shared" si="14"/>
        <v>0.18513451892384861</v>
      </c>
      <c r="I23" s="14">
        <f t="shared" si="25"/>
        <v>9043</v>
      </c>
      <c r="J23" s="21">
        <f t="shared" si="15"/>
        <v>0.73970757983839941</v>
      </c>
      <c r="K23" s="14">
        <f>K21+K22</f>
        <v>12986</v>
      </c>
      <c r="L23" s="21">
        <f t="shared" si="16"/>
        <v>0.43602786685834349</v>
      </c>
      <c r="M23" s="14">
        <f t="shared" ref="M23:R23" si="26">M21+M22</f>
        <v>7339</v>
      </c>
      <c r="N23" s="26">
        <f t="shared" si="0"/>
        <v>-0.43485291852764518</v>
      </c>
      <c r="O23" s="14">
        <f t="shared" si="26"/>
        <v>0</v>
      </c>
      <c r="P23" s="14">
        <f t="shared" si="26"/>
        <v>0</v>
      </c>
      <c r="Q23" s="14">
        <f t="shared" si="26"/>
        <v>0</v>
      </c>
      <c r="R23" s="14">
        <f t="shared" si="26"/>
        <v>0</v>
      </c>
    </row>
    <row r="24" spans="1:18" x14ac:dyDescent="0.2">
      <c r="B24" s="23">
        <v>2465</v>
      </c>
      <c r="C24" s="23">
        <v>-4964</v>
      </c>
      <c r="D24" s="24">
        <v>4386</v>
      </c>
      <c r="E24" s="23">
        <v>5198</v>
      </c>
      <c r="F24" s="24">
        <v>9043</v>
      </c>
      <c r="G24" s="23">
        <v>12986</v>
      </c>
      <c r="H24" s="22"/>
      <c r="J24" s="22"/>
      <c r="L24" s="22"/>
      <c r="N24" s="26"/>
    </row>
    <row r="25" spans="1:18" x14ac:dyDescent="0.2">
      <c r="A25" s="12" t="s">
        <v>23</v>
      </c>
      <c r="D25" s="21"/>
      <c r="F25" s="21"/>
      <c r="H25" s="21"/>
      <c r="J25" s="21"/>
      <c r="L25" s="21"/>
      <c r="N25" s="26"/>
    </row>
    <row r="26" spans="1:18" x14ac:dyDescent="0.2">
      <c r="A26" s="15" t="s">
        <v>24</v>
      </c>
      <c r="D26" s="21"/>
      <c r="F26" s="21"/>
      <c r="H26" s="21"/>
      <c r="J26" s="21"/>
      <c r="L26" s="21"/>
      <c r="N26" s="26"/>
    </row>
    <row r="27" spans="1:18" x14ac:dyDescent="0.2">
      <c r="A27" s="18" t="s">
        <v>1</v>
      </c>
      <c r="B27" s="5">
        <v>35029</v>
      </c>
      <c r="C27" s="5">
        <v>11777</v>
      </c>
      <c r="D27" s="21">
        <f t="shared" ref="D27:D40" si="27">(C27-B27)/B27</f>
        <v>-0.66379285734676985</v>
      </c>
      <c r="E27" s="5">
        <v>11839</v>
      </c>
      <c r="F27" s="21">
        <f t="shared" ref="F27:F40" si="28">(E27-C27)/C27</f>
        <v>5.2644985989640826E-3</v>
      </c>
      <c r="G27" s="5">
        <v>6707</v>
      </c>
      <c r="H27" s="21">
        <f t="shared" ref="H27:H40" si="29">(G27-E27)/E27</f>
        <v>-0.43348255764845006</v>
      </c>
      <c r="I27" s="5">
        <v>7116</v>
      </c>
      <c r="J27" s="21">
        <f t="shared" ref="J27:J40" si="30">(I27-G27)/G27</f>
        <v>6.0981064559415536E-2</v>
      </c>
      <c r="K27" s="5">
        <v>2773</v>
      </c>
      <c r="L27" s="21">
        <f t="shared" ref="L27:L40" si="31">(K27-I27)/I27</f>
        <v>-0.61031478358628444</v>
      </c>
      <c r="M27" s="5">
        <v>8450</v>
      </c>
      <c r="N27" s="26">
        <f t="shared" si="0"/>
        <v>2.0472412549585286</v>
      </c>
    </row>
    <row r="28" spans="1:18" x14ac:dyDescent="0.2">
      <c r="A28" s="18" t="s">
        <v>25</v>
      </c>
      <c r="B28" s="5">
        <v>2279</v>
      </c>
      <c r="C28" s="5">
        <v>311</v>
      </c>
      <c r="D28" s="21">
        <f t="shared" si="27"/>
        <v>-0.86353663887670029</v>
      </c>
      <c r="E28" s="5">
        <v>421</v>
      </c>
      <c r="F28" s="21">
        <f t="shared" si="28"/>
        <v>0.3536977491961415</v>
      </c>
      <c r="G28" s="5">
        <v>4507</v>
      </c>
      <c r="H28" s="21">
        <f t="shared" si="29"/>
        <v>9.7054631828978621</v>
      </c>
      <c r="I28" s="5">
        <v>5298</v>
      </c>
      <c r="J28" s="21">
        <f t="shared" si="30"/>
        <v>0.17550477035722209</v>
      </c>
      <c r="K28" s="5">
        <v>3609</v>
      </c>
      <c r="L28" s="21">
        <f t="shared" si="31"/>
        <v>-0.31879954699886748</v>
      </c>
      <c r="M28" s="5">
        <v>2874</v>
      </c>
      <c r="N28" s="26">
        <f t="shared" si="0"/>
        <v>-0.20365752285951788</v>
      </c>
    </row>
    <row r="29" spans="1:18" x14ac:dyDescent="0.2">
      <c r="A29" s="18" t="s">
        <v>26</v>
      </c>
      <c r="B29" s="5">
        <v>3632</v>
      </c>
      <c r="C29" s="5">
        <v>2904</v>
      </c>
      <c r="D29" s="21">
        <f t="shared" si="27"/>
        <v>-0.20044052863436124</v>
      </c>
      <c r="E29" s="5">
        <v>2471</v>
      </c>
      <c r="F29" s="21">
        <f t="shared" si="28"/>
        <v>-0.14910468319559228</v>
      </c>
      <c r="G29" s="5">
        <v>4003</v>
      </c>
      <c r="H29" s="21">
        <f t="shared" si="29"/>
        <v>0.61999190611088628</v>
      </c>
      <c r="I29" s="5">
        <v>3579</v>
      </c>
      <c r="J29" s="21">
        <f t="shared" si="30"/>
        <v>-0.10592055958031477</v>
      </c>
      <c r="K29" s="5">
        <v>5643</v>
      </c>
      <c r="L29" s="21">
        <f t="shared" si="31"/>
        <v>0.57669740150880133</v>
      </c>
      <c r="M29" s="5">
        <v>3183</v>
      </c>
      <c r="N29" s="26">
        <f t="shared" si="0"/>
        <v>-0.43593833067517279</v>
      </c>
    </row>
    <row r="30" spans="1:18" x14ac:dyDescent="0.2">
      <c r="A30" s="18" t="s">
        <v>27</v>
      </c>
      <c r="B30" s="5">
        <v>2035</v>
      </c>
      <c r="C30" s="5">
        <v>1693</v>
      </c>
      <c r="D30" s="21">
        <f t="shared" si="27"/>
        <v>-0.16805896805896806</v>
      </c>
      <c r="E30" s="5">
        <v>1400</v>
      </c>
      <c r="F30" s="21">
        <f t="shared" si="28"/>
        <v>-0.17306556408741877</v>
      </c>
      <c r="G30" s="5">
        <v>2598</v>
      </c>
      <c r="H30" s="21">
        <f t="shared" si="29"/>
        <v>0.85571428571428576</v>
      </c>
      <c r="I30" s="5">
        <v>3228</v>
      </c>
      <c r="J30" s="21">
        <f t="shared" si="30"/>
        <v>0.24249422632794457</v>
      </c>
      <c r="K30" s="5">
        <v>6341</v>
      </c>
      <c r="L30" s="21">
        <f t="shared" si="31"/>
        <v>0.96437422552664187</v>
      </c>
      <c r="M30" s="5">
        <v>6422</v>
      </c>
      <c r="N30" s="26">
        <f t="shared" si="0"/>
        <v>1.2774010408452925E-2</v>
      </c>
    </row>
    <row r="31" spans="1:18" x14ac:dyDescent="0.2">
      <c r="A31" s="18" t="s">
        <v>31</v>
      </c>
      <c r="B31" s="5">
        <v>0</v>
      </c>
      <c r="C31" s="5">
        <v>0</v>
      </c>
      <c r="D31" s="21" t="e">
        <f t="shared" si="27"/>
        <v>#DIV/0!</v>
      </c>
      <c r="E31" s="5">
        <v>0</v>
      </c>
      <c r="F31" s="21" t="e">
        <f t="shared" si="28"/>
        <v>#DIV/0!</v>
      </c>
      <c r="G31" s="5">
        <v>0</v>
      </c>
      <c r="H31" s="21" t="e">
        <f t="shared" si="29"/>
        <v>#DIV/0!</v>
      </c>
      <c r="I31" s="5">
        <v>0</v>
      </c>
      <c r="J31" s="21" t="e">
        <f t="shared" si="30"/>
        <v>#DIV/0!</v>
      </c>
      <c r="K31" s="5">
        <v>733</v>
      </c>
      <c r="L31" s="21" t="e">
        <f t="shared" si="31"/>
        <v>#DIV/0!</v>
      </c>
      <c r="M31" s="5">
        <v>341</v>
      </c>
      <c r="N31" s="26">
        <f t="shared" si="0"/>
        <v>-0.53478854024556621</v>
      </c>
    </row>
    <row r="32" spans="1:18" x14ac:dyDescent="0.2">
      <c r="A32" s="18" t="s">
        <v>13</v>
      </c>
      <c r="B32" s="5">
        <v>618</v>
      </c>
      <c r="C32" s="5">
        <v>699</v>
      </c>
      <c r="D32" s="21">
        <f t="shared" si="27"/>
        <v>0.13106796116504854</v>
      </c>
      <c r="E32" s="5">
        <v>634</v>
      </c>
      <c r="F32" s="21">
        <f t="shared" si="28"/>
        <v>-9.2989985693848351E-2</v>
      </c>
      <c r="G32" s="5">
        <v>704</v>
      </c>
      <c r="H32" s="21">
        <f t="shared" si="29"/>
        <v>0.11041009463722397</v>
      </c>
      <c r="I32" s="5">
        <v>854</v>
      </c>
      <c r="J32" s="21">
        <f t="shared" si="30"/>
        <v>0.21306818181818182</v>
      </c>
      <c r="K32" s="5">
        <v>1625</v>
      </c>
      <c r="L32" s="21">
        <f t="shared" si="31"/>
        <v>0.90281030444964872</v>
      </c>
      <c r="M32" s="5">
        <v>1194</v>
      </c>
      <c r="N32" s="26">
        <f t="shared" si="0"/>
        <v>-0.26523076923076921</v>
      </c>
    </row>
    <row r="33" spans="1:18" s="14" customFormat="1" x14ac:dyDescent="0.2">
      <c r="A33" s="19" t="s">
        <v>28</v>
      </c>
      <c r="B33" s="14">
        <f t="shared" ref="B33:I33" si="32">SUM(B27:B32)</f>
        <v>43593</v>
      </c>
      <c r="C33" s="14">
        <f t="shared" si="32"/>
        <v>17384</v>
      </c>
      <c r="D33" s="21">
        <f t="shared" si="27"/>
        <v>-0.60122037941871398</v>
      </c>
      <c r="E33" s="14">
        <f t="shared" si="32"/>
        <v>16765</v>
      </c>
      <c r="F33" s="21">
        <f t="shared" si="28"/>
        <v>-3.5607455131155083E-2</v>
      </c>
      <c r="G33" s="14">
        <f t="shared" si="32"/>
        <v>18519</v>
      </c>
      <c r="H33" s="21">
        <f t="shared" si="29"/>
        <v>0.10462272591708917</v>
      </c>
      <c r="I33" s="14">
        <f t="shared" si="32"/>
        <v>20075</v>
      </c>
      <c r="J33" s="21">
        <f t="shared" si="30"/>
        <v>8.4021815432798741E-2</v>
      </c>
      <c r="K33" s="14">
        <f>SUM(K27:K32)</f>
        <v>20724</v>
      </c>
      <c r="L33" s="21">
        <f t="shared" si="31"/>
        <v>3.2328767123287673E-2</v>
      </c>
      <c r="M33" s="14">
        <f t="shared" ref="M33:R33" si="33">SUM(M27:M32)</f>
        <v>22464</v>
      </c>
      <c r="N33" s="26">
        <f t="shared" si="0"/>
        <v>8.3960625361899244E-2</v>
      </c>
      <c r="O33" s="14">
        <f t="shared" si="33"/>
        <v>0</v>
      </c>
      <c r="P33" s="14">
        <f t="shared" si="33"/>
        <v>0</v>
      </c>
      <c r="Q33" s="14">
        <f t="shared" si="33"/>
        <v>0</v>
      </c>
      <c r="R33" s="14">
        <f t="shared" si="33"/>
        <v>0</v>
      </c>
    </row>
    <row r="34" spans="1:18" x14ac:dyDescent="0.2">
      <c r="A34" s="16" t="s">
        <v>29</v>
      </c>
      <c r="B34" s="5">
        <v>1270</v>
      </c>
      <c r="C34" s="5">
        <v>936</v>
      </c>
      <c r="D34" s="21">
        <f t="shared" si="27"/>
        <v>-0.26299212598425198</v>
      </c>
      <c r="E34" s="5">
        <v>1196</v>
      </c>
      <c r="F34" s="21">
        <f t="shared" si="28"/>
        <v>0.27777777777777779</v>
      </c>
      <c r="G34" s="5">
        <v>1351</v>
      </c>
      <c r="H34" s="21">
        <f t="shared" si="29"/>
        <v>0.12959866220735786</v>
      </c>
      <c r="I34" s="5">
        <v>1591</v>
      </c>
      <c r="J34" s="21">
        <f t="shared" si="30"/>
        <v>0.17764618800888232</v>
      </c>
      <c r="K34" s="5">
        <v>1803</v>
      </c>
      <c r="L34" s="21">
        <f t="shared" si="31"/>
        <v>0.13324952859836581</v>
      </c>
      <c r="M34" s="5">
        <v>3310</v>
      </c>
      <c r="N34" s="26">
        <f t="shared" si="0"/>
        <v>0.83582917359955633</v>
      </c>
    </row>
    <row r="35" spans="1:18" x14ac:dyDescent="0.2">
      <c r="A35" s="16" t="s">
        <v>30</v>
      </c>
      <c r="B35" s="5">
        <v>2900</v>
      </c>
      <c r="C35" s="5">
        <v>2975</v>
      </c>
      <c r="D35" s="21">
        <f t="shared" si="27"/>
        <v>2.5862068965517241E-2</v>
      </c>
      <c r="E35" s="5">
        <v>3081</v>
      </c>
      <c r="F35" s="21">
        <f t="shared" si="28"/>
        <v>3.5630252100840337E-2</v>
      </c>
      <c r="G35" s="5">
        <v>3711</v>
      </c>
      <c r="H35" s="21">
        <f t="shared" si="29"/>
        <v>0.20447906523855891</v>
      </c>
      <c r="I35" s="5">
        <v>4559</v>
      </c>
      <c r="J35" s="21">
        <f t="shared" si="30"/>
        <v>0.22850983562382107</v>
      </c>
      <c r="K35" s="5">
        <v>5168</v>
      </c>
      <c r="L35" s="21">
        <f t="shared" si="31"/>
        <v>0.13358192586093443</v>
      </c>
      <c r="M35" s="5">
        <v>5042</v>
      </c>
      <c r="N35" s="26">
        <f t="shared" si="0"/>
        <v>-2.4380804953560372E-2</v>
      </c>
    </row>
    <row r="36" spans="1:18" x14ac:dyDescent="0.2">
      <c r="A36" s="16" t="s">
        <v>32</v>
      </c>
      <c r="B36" s="5">
        <v>3216</v>
      </c>
      <c r="C36" s="5">
        <v>6498</v>
      </c>
      <c r="D36" s="21">
        <f t="shared" si="27"/>
        <v>1.0205223880597014</v>
      </c>
      <c r="E36" s="5">
        <v>6282</v>
      </c>
      <c r="F36" s="21">
        <f t="shared" si="28"/>
        <v>-3.3240997229916899E-2</v>
      </c>
      <c r="G36" s="5">
        <v>6323</v>
      </c>
      <c r="H36" s="21">
        <f t="shared" si="29"/>
        <v>6.5265838904807385E-3</v>
      </c>
      <c r="I36" s="5">
        <v>7246</v>
      </c>
      <c r="J36" s="21">
        <f t="shared" si="30"/>
        <v>0.14597501186145817</v>
      </c>
      <c r="K36" s="5">
        <v>10508</v>
      </c>
      <c r="L36" s="21">
        <f t="shared" si="31"/>
        <v>0.45017940932928513</v>
      </c>
      <c r="M36" s="5">
        <v>10642</v>
      </c>
      <c r="N36" s="26">
        <f t="shared" si="0"/>
        <v>1.2752188808526837E-2</v>
      </c>
    </row>
    <row r="37" spans="1:18" x14ac:dyDescent="0.2">
      <c r="A37" s="16" t="s">
        <v>33</v>
      </c>
      <c r="B37" s="5">
        <v>6623</v>
      </c>
      <c r="C37" s="5">
        <v>2955</v>
      </c>
      <c r="D37" s="21">
        <f t="shared" si="27"/>
        <v>-0.55382757058734711</v>
      </c>
      <c r="E37" s="5">
        <v>2172</v>
      </c>
      <c r="F37" s="21">
        <f t="shared" si="28"/>
        <v>-0.26497461928934007</v>
      </c>
      <c r="G37" s="5">
        <v>1653</v>
      </c>
      <c r="H37" s="21">
        <f t="shared" si="29"/>
        <v>-0.23895027624309392</v>
      </c>
      <c r="I37" s="5">
        <v>1458</v>
      </c>
      <c r="J37" s="21">
        <f t="shared" si="30"/>
        <v>-0.11796733212341198</v>
      </c>
      <c r="K37" s="5">
        <v>1882</v>
      </c>
      <c r="L37" s="21">
        <f t="shared" si="31"/>
        <v>0.29080932784636487</v>
      </c>
      <c r="M37" s="5">
        <v>1408</v>
      </c>
      <c r="N37" s="26">
        <f t="shared" si="0"/>
        <v>-0.25185972369819343</v>
      </c>
    </row>
    <row r="38" spans="1:18" x14ac:dyDescent="0.2">
      <c r="A38" s="16" t="s">
        <v>31</v>
      </c>
      <c r="B38" s="5">
        <v>3737</v>
      </c>
      <c r="C38" s="5">
        <v>0</v>
      </c>
      <c r="D38" s="21">
        <f t="shared" si="27"/>
        <v>-1</v>
      </c>
      <c r="E38" s="5">
        <v>0</v>
      </c>
      <c r="F38" s="21" t="e">
        <f t="shared" si="28"/>
        <v>#DIV/0!</v>
      </c>
      <c r="G38" s="5">
        <v>0</v>
      </c>
      <c r="H38" s="21" t="e">
        <f t="shared" si="29"/>
        <v>#DIV/0!</v>
      </c>
      <c r="I38" s="5">
        <v>0</v>
      </c>
      <c r="J38" s="21" t="e">
        <f t="shared" si="30"/>
        <v>#DIV/0!</v>
      </c>
      <c r="K38" s="5">
        <v>1200</v>
      </c>
      <c r="L38" s="21" t="e">
        <f t="shared" si="31"/>
        <v>#DIV/0!</v>
      </c>
      <c r="M38" s="5">
        <v>88</v>
      </c>
      <c r="N38" s="26">
        <f t="shared" si="0"/>
        <v>-0.92666666666666664</v>
      </c>
    </row>
    <row r="39" spans="1:18" x14ac:dyDescent="0.2">
      <c r="A39" s="16" t="s">
        <v>13</v>
      </c>
      <c r="B39" s="5">
        <v>4147</v>
      </c>
      <c r="C39" s="5">
        <v>1970</v>
      </c>
      <c r="D39" s="21">
        <f t="shared" si="27"/>
        <v>-0.52495780081986976</v>
      </c>
      <c r="E39" s="5">
        <v>3461</v>
      </c>
      <c r="F39" s="21">
        <f t="shared" si="28"/>
        <v>0.75685279187817256</v>
      </c>
      <c r="G39" s="5">
        <v>4037</v>
      </c>
      <c r="H39" s="21">
        <f t="shared" si="29"/>
        <v>0.16642588847154002</v>
      </c>
      <c r="I39" s="5">
        <v>6311</v>
      </c>
      <c r="J39" s="21">
        <f t="shared" si="30"/>
        <v>0.56328957146395842</v>
      </c>
      <c r="K39" s="5">
        <v>7729</v>
      </c>
      <c r="L39" s="21">
        <f t="shared" si="31"/>
        <v>0.22468705434954842</v>
      </c>
      <c r="M39" s="5">
        <v>8086</v>
      </c>
      <c r="N39" s="26">
        <f t="shared" si="0"/>
        <v>4.6189675249061972E-2</v>
      </c>
    </row>
    <row r="40" spans="1:18" s="14" customFormat="1" x14ac:dyDescent="0.2">
      <c r="A40" s="19" t="s">
        <v>34</v>
      </c>
      <c r="B40" s="14">
        <f t="shared" ref="B40:I40" si="34">SUM(B33:B39)</f>
        <v>65486</v>
      </c>
      <c r="C40" s="14">
        <f t="shared" si="34"/>
        <v>32718</v>
      </c>
      <c r="D40" s="21">
        <f t="shared" si="27"/>
        <v>-0.5003817609870812</v>
      </c>
      <c r="E40" s="14">
        <f t="shared" si="34"/>
        <v>32957</v>
      </c>
      <c r="F40" s="21">
        <f t="shared" si="28"/>
        <v>7.304847484565071E-3</v>
      </c>
      <c r="G40" s="14">
        <f t="shared" si="34"/>
        <v>35594</v>
      </c>
      <c r="H40" s="21">
        <f t="shared" si="29"/>
        <v>8.0013350729738753E-2</v>
      </c>
      <c r="I40" s="14">
        <f t="shared" si="34"/>
        <v>41240</v>
      </c>
      <c r="J40" s="21">
        <f t="shared" si="30"/>
        <v>0.15862223970332079</v>
      </c>
      <c r="K40" s="14">
        <f>SUM(K33:K39)</f>
        <v>49014</v>
      </c>
      <c r="L40" s="21">
        <f t="shared" si="31"/>
        <v>0.18850630455868089</v>
      </c>
      <c r="M40" s="14">
        <f t="shared" ref="M40:R40" si="35">SUM(M33:M39)</f>
        <v>51040</v>
      </c>
      <c r="N40" s="26">
        <f t="shared" si="0"/>
        <v>4.133512873872771E-2</v>
      </c>
      <c r="O40" s="14">
        <f t="shared" si="35"/>
        <v>0</v>
      </c>
      <c r="P40" s="14">
        <f t="shared" si="35"/>
        <v>0</v>
      </c>
      <c r="Q40" s="14">
        <f t="shared" si="35"/>
        <v>0</v>
      </c>
      <c r="R40" s="14">
        <f t="shared" si="35"/>
        <v>0</v>
      </c>
    </row>
    <row r="41" spans="1:18" x14ac:dyDescent="0.2">
      <c r="D41" s="21"/>
      <c r="F41" s="21"/>
      <c r="H41" s="21"/>
      <c r="J41" s="21"/>
      <c r="L41" s="21"/>
      <c r="N41" s="26"/>
    </row>
    <row r="42" spans="1:18" x14ac:dyDescent="0.2">
      <c r="A42" s="12" t="s">
        <v>35</v>
      </c>
      <c r="D42" s="21"/>
      <c r="F42" s="21"/>
      <c r="H42" s="21"/>
      <c r="J42" s="21"/>
      <c r="L42" s="21"/>
      <c r="N42" s="26"/>
    </row>
    <row r="43" spans="1:18" x14ac:dyDescent="0.2">
      <c r="A43" s="15" t="s">
        <v>36</v>
      </c>
      <c r="D43" s="21"/>
      <c r="F43" s="21"/>
      <c r="H43" s="21"/>
      <c r="J43" s="21"/>
      <c r="L43" s="21"/>
      <c r="N43" s="26"/>
    </row>
    <row r="44" spans="1:18" x14ac:dyDescent="0.2">
      <c r="A44" s="18" t="s">
        <v>37</v>
      </c>
      <c r="B44" s="5">
        <v>1971</v>
      </c>
      <c r="C44" s="5">
        <v>1825</v>
      </c>
      <c r="D44" s="21">
        <f t="shared" ref="D44:D58" si="36">(C44-B44)/B44</f>
        <v>-7.407407407407407E-2</v>
      </c>
      <c r="E44" s="5">
        <v>1368</v>
      </c>
      <c r="F44" s="21">
        <f t="shared" ref="F44:F58" si="37">(E44-C44)/C44</f>
        <v>-0.25041095890410958</v>
      </c>
      <c r="G44" s="5">
        <v>2248</v>
      </c>
      <c r="H44" s="21">
        <f t="shared" ref="H44:H58" si="38">(G44-E44)/E44</f>
        <v>0.64327485380116955</v>
      </c>
      <c r="I44" s="5">
        <v>2750</v>
      </c>
      <c r="J44" s="21">
        <f t="shared" ref="J44:J56" si="39">(I44-G44)/G44</f>
        <v>0.22330960854092527</v>
      </c>
      <c r="K44" s="5">
        <v>3796</v>
      </c>
      <c r="L44" s="21">
        <f t="shared" ref="L44:L56" si="40">(K44-I44)/I44</f>
        <v>0.38036363636363635</v>
      </c>
      <c r="M44" s="5">
        <v>1912</v>
      </c>
      <c r="N44" s="26">
        <f t="shared" si="0"/>
        <v>-0.49631190727081137</v>
      </c>
    </row>
    <row r="45" spans="1:18" x14ac:dyDescent="0.2">
      <c r="A45" s="18" t="s">
        <v>38</v>
      </c>
      <c r="B45" s="5">
        <v>1183</v>
      </c>
      <c r="C45" s="5">
        <v>1081</v>
      </c>
      <c r="D45" s="21">
        <f t="shared" si="36"/>
        <v>-8.6221470836855454E-2</v>
      </c>
      <c r="E45" s="5">
        <v>1048</v>
      </c>
      <c r="F45" s="21">
        <f t="shared" si="37"/>
        <v>-3.0527289546716005E-2</v>
      </c>
      <c r="G45" s="5">
        <v>1053</v>
      </c>
      <c r="H45" s="21">
        <f t="shared" si="38"/>
        <v>4.7709923664122139E-3</v>
      </c>
      <c r="I45" s="5">
        <v>1531</v>
      </c>
      <c r="J45" s="21">
        <f t="shared" si="39"/>
        <v>0.4539411206077873</v>
      </c>
      <c r="K45" s="5">
        <v>1486</v>
      </c>
      <c r="L45" s="21">
        <f t="shared" si="40"/>
        <v>-2.9392553886348791E-2</v>
      </c>
      <c r="M45" s="5">
        <v>1685</v>
      </c>
      <c r="N45" s="26">
        <f t="shared" si="0"/>
        <v>0.13391655450874831</v>
      </c>
    </row>
    <row r="46" spans="1:18" x14ac:dyDescent="0.2">
      <c r="A46" s="18" t="s">
        <v>39</v>
      </c>
      <c r="B46" s="5">
        <v>502</v>
      </c>
      <c r="C46" s="5">
        <v>500</v>
      </c>
      <c r="D46" s="21">
        <f t="shared" si="36"/>
        <v>-3.9840637450199202E-3</v>
      </c>
      <c r="E46" s="5">
        <v>565</v>
      </c>
      <c r="F46" s="21">
        <f t="shared" si="37"/>
        <v>0.13</v>
      </c>
      <c r="G46" s="5">
        <v>568</v>
      </c>
      <c r="H46" s="21">
        <f t="shared" si="38"/>
        <v>5.3097345132743362E-3</v>
      </c>
      <c r="I46" s="5">
        <v>612</v>
      </c>
      <c r="J46" s="21">
        <f t="shared" si="39"/>
        <v>7.746478873239436E-2</v>
      </c>
      <c r="K46" s="5">
        <v>369</v>
      </c>
      <c r="L46" s="21">
        <f t="shared" si="40"/>
        <v>-0.39705882352941174</v>
      </c>
      <c r="M46" s="5">
        <v>293</v>
      </c>
      <c r="N46" s="26">
        <f t="shared" si="0"/>
        <v>-0.20596205962059622</v>
      </c>
    </row>
    <row r="47" spans="1:18" x14ac:dyDescent="0.2">
      <c r="A47" s="18" t="s">
        <v>40</v>
      </c>
      <c r="B47" s="5">
        <v>2495</v>
      </c>
      <c r="C47" s="5">
        <v>1005</v>
      </c>
      <c r="D47" s="21">
        <f t="shared" si="36"/>
        <v>-0.59719438877755515</v>
      </c>
      <c r="E47" s="5">
        <v>2496</v>
      </c>
      <c r="F47" s="21">
        <f t="shared" si="37"/>
        <v>1.4835820895522389</v>
      </c>
      <c r="G47" s="5">
        <v>500</v>
      </c>
      <c r="H47" s="21">
        <f t="shared" si="38"/>
        <v>-0.79967948717948723</v>
      </c>
      <c r="I47" s="5">
        <v>2044</v>
      </c>
      <c r="J47" s="21">
        <f t="shared" si="39"/>
        <v>3.0880000000000001</v>
      </c>
      <c r="K47" s="5">
        <v>1945</v>
      </c>
      <c r="L47" s="21">
        <f t="shared" si="40"/>
        <v>-4.8434442270058706E-2</v>
      </c>
      <c r="M47" s="5">
        <v>914</v>
      </c>
      <c r="N47" s="26">
        <f t="shared" si="0"/>
        <v>-0.53007712082262215</v>
      </c>
    </row>
    <row r="48" spans="1:18" x14ac:dyDescent="0.2">
      <c r="A48" s="18" t="s">
        <v>31</v>
      </c>
      <c r="B48" s="5">
        <v>0</v>
      </c>
      <c r="C48" s="5">
        <v>0</v>
      </c>
      <c r="D48" s="21" t="e">
        <f t="shared" si="36"/>
        <v>#DIV/0!</v>
      </c>
      <c r="E48" s="5">
        <v>0</v>
      </c>
      <c r="F48" s="21" t="e">
        <f t="shared" si="37"/>
        <v>#DIV/0!</v>
      </c>
      <c r="G48" s="5">
        <v>0</v>
      </c>
      <c r="H48" s="21" t="e">
        <f t="shared" si="38"/>
        <v>#DIV/0!</v>
      </c>
      <c r="I48" s="13">
        <v>0</v>
      </c>
      <c r="J48" s="21" t="e">
        <f t="shared" si="39"/>
        <v>#DIV/0!</v>
      </c>
      <c r="K48" s="5">
        <v>581</v>
      </c>
      <c r="L48" s="21" t="e">
        <f t="shared" si="40"/>
        <v>#DIV/0!</v>
      </c>
      <c r="M48" s="5">
        <v>333</v>
      </c>
      <c r="N48" s="26">
        <f t="shared" si="0"/>
        <v>-0.42685025817555938</v>
      </c>
    </row>
    <row r="49" spans="1:18" x14ac:dyDescent="0.2">
      <c r="A49" s="18" t="s">
        <v>13</v>
      </c>
      <c r="B49" s="5">
        <v>4756</v>
      </c>
      <c r="C49" s="5">
        <v>6978</v>
      </c>
      <c r="D49" s="21">
        <f t="shared" si="36"/>
        <v>0.46719932716568546</v>
      </c>
      <c r="E49" s="5">
        <v>3458</v>
      </c>
      <c r="F49" s="21">
        <f t="shared" si="37"/>
        <v>-0.50444253367727143</v>
      </c>
      <c r="G49" s="5">
        <v>4303</v>
      </c>
      <c r="H49" s="21">
        <f t="shared" si="38"/>
        <v>0.24436090225563908</v>
      </c>
      <c r="I49" s="5">
        <v>5014</v>
      </c>
      <c r="J49" s="21">
        <f t="shared" si="39"/>
        <v>0.1652335579828027</v>
      </c>
      <c r="K49" s="5">
        <v>3689</v>
      </c>
      <c r="L49" s="21">
        <f t="shared" si="40"/>
        <v>-0.26426007179896288</v>
      </c>
      <c r="M49" s="5">
        <v>4491</v>
      </c>
      <c r="N49" s="26">
        <f t="shared" si="0"/>
        <v>0.21740309026836541</v>
      </c>
    </row>
    <row r="50" spans="1:18" s="14" customFormat="1" x14ac:dyDescent="0.2">
      <c r="A50" s="19" t="s">
        <v>41</v>
      </c>
      <c r="B50" s="14">
        <f t="shared" ref="B50:I50" si="41">SUM(B44:B49)</f>
        <v>10907</v>
      </c>
      <c r="C50" s="14">
        <f t="shared" si="41"/>
        <v>11389</v>
      </c>
      <c r="D50" s="21">
        <f t="shared" si="36"/>
        <v>4.4191803428990553E-2</v>
      </c>
      <c r="E50" s="14">
        <f t="shared" si="41"/>
        <v>8935</v>
      </c>
      <c r="F50" s="21">
        <f t="shared" si="37"/>
        <v>-0.21547106857494072</v>
      </c>
      <c r="G50" s="14">
        <f t="shared" si="41"/>
        <v>8672</v>
      </c>
      <c r="H50" s="21">
        <f t="shared" si="38"/>
        <v>-2.9434806939003917E-2</v>
      </c>
      <c r="I50" s="14">
        <f t="shared" si="41"/>
        <v>11951</v>
      </c>
      <c r="J50" s="21">
        <f t="shared" si="39"/>
        <v>0.37811346863468637</v>
      </c>
      <c r="K50" s="14">
        <f>SUM(K44:K49)</f>
        <v>11866</v>
      </c>
      <c r="L50" s="21">
        <f t="shared" si="40"/>
        <v>-7.1123755334281651E-3</v>
      </c>
      <c r="M50" s="14">
        <f t="shared" ref="M50:R50" si="42">SUM(M44:M49)</f>
        <v>9628</v>
      </c>
      <c r="N50" s="26">
        <f t="shared" si="0"/>
        <v>-0.18860610146637452</v>
      </c>
      <c r="O50" s="14">
        <f t="shared" si="42"/>
        <v>0</v>
      </c>
      <c r="P50" s="14">
        <f t="shared" si="42"/>
        <v>0</v>
      </c>
      <c r="Q50" s="14">
        <f t="shared" si="42"/>
        <v>0</v>
      </c>
      <c r="R50" s="14">
        <f t="shared" si="42"/>
        <v>0</v>
      </c>
    </row>
    <row r="51" spans="1:18" x14ac:dyDescent="0.2">
      <c r="A51" s="16" t="s">
        <v>39</v>
      </c>
      <c r="B51" s="5">
        <v>2003</v>
      </c>
      <c r="C51" s="5">
        <v>1620</v>
      </c>
      <c r="D51" s="21">
        <f t="shared" si="36"/>
        <v>-0.19121318022965553</v>
      </c>
      <c r="E51" s="5">
        <v>1160</v>
      </c>
      <c r="F51" s="21">
        <f t="shared" si="37"/>
        <v>-0.2839506172839506</v>
      </c>
      <c r="G51" s="5">
        <v>761</v>
      </c>
      <c r="H51" s="21">
        <f t="shared" si="38"/>
        <v>-0.3439655172413793</v>
      </c>
      <c r="I51" s="5">
        <v>364</v>
      </c>
      <c r="J51" s="21">
        <f t="shared" si="39"/>
        <v>-0.52168199737187915</v>
      </c>
      <c r="K51" s="5">
        <v>144</v>
      </c>
      <c r="L51" s="21">
        <f t="shared" si="40"/>
        <v>-0.60439560439560436</v>
      </c>
      <c r="M51" s="5">
        <v>99</v>
      </c>
      <c r="N51" s="26">
        <f t="shared" si="0"/>
        <v>-0.3125</v>
      </c>
    </row>
    <row r="52" spans="1:18" x14ac:dyDescent="0.2">
      <c r="A52" s="16" t="s">
        <v>42</v>
      </c>
      <c r="B52" s="5">
        <v>0</v>
      </c>
      <c r="C52" s="5">
        <v>2312</v>
      </c>
      <c r="D52" s="21" t="e">
        <f t="shared" si="36"/>
        <v>#DIV/0!</v>
      </c>
      <c r="E52" s="5">
        <v>2088</v>
      </c>
      <c r="F52" s="21">
        <f t="shared" si="37"/>
        <v>-9.6885813148788927E-2</v>
      </c>
      <c r="G52" s="5">
        <v>1872</v>
      </c>
      <c r="H52" s="21">
        <f t="shared" si="38"/>
        <v>-0.10344827586206896</v>
      </c>
      <c r="I52" s="5">
        <v>1713</v>
      </c>
      <c r="J52" s="21">
        <f t="shared" si="39"/>
        <v>-8.4935897435897439E-2</v>
      </c>
      <c r="K52" s="5">
        <v>1472</v>
      </c>
      <c r="L52" s="21">
        <f t="shared" si="40"/>
        <v>-0.14068884997081144</v>
      </c>
      <c r="M52" s="5">
        <v>1080</v>
      </c>
      <c r="N52" s="26">
        <f t="shared" si="0"/>
        <v>-0.26630434782608697</v>
      </c>
    </row>
    <row r="53" spans="1:18" x14ac:dyDescent="0.2">
      <c r="A53" s="16" t="s">
        <v>43</v>
      </c>
      <c r="B53" s="5">
        <v>19398</v>
      </c>
      <c r="C53" s="5">
        <v>15365</v>
      </c>
      <c r="D53" s="21">
        <f t="shared" si="36"/>
        <v>-0.20790803175585112</v>
      </c>
      <c r="E53" s="5">
        <v>13437</v>
      </c>
      <c r="F53" s="21">
        <f t="shared" si="37"/>
        <v>-0.12547998698340385</v>
      </c>
      <c r="G53" s="5">
        <v>15226</v>
      </c>
      <c r="H53" s="21">
        <f t="shared" si="38"/>
        <v>0.13313983776140509</v>
      </c>
      <c r="I53" s="5">
        <v>13701</v>
      </c>
      <c r="J53" s="21">
        <f t="shared" si="39"/>
        <v>-0.10015762511493498</v>
      </c>
      <c r="K53" s="5">
        <v>13537</v>
      </c>
      <c r="L53" s="21">
        <f t="shared" si="40"/>
        <v>-1.1969929202248011E-2</v>
      </c>
      <c r="M53" s="5">
        <v>14484</v>
      </c>
      <c r="N53" s="26">
        <f t="shared" si="0"/>
        <v>6.99564157494275E-2</v>
      </c>
    </row>
    <row r="54" spans="1:18" x14ac:dyDescent="0.2">
      <c r="A54" s="16" t="s">
        <v>31</v>
      </c>
      <c r="B54" s="5">
        <v>0</v>
      </c>
      <c r="C54" s="5">
        <v>0</v>
      </c>
      <c r="D54" s="21" t="e">
        <f t="shared" si="36"/>
        <v>#DIV/0!</v>
      </c>
      <c r="E54" s="5">
        <v>0</v>
      </c>
      <c r="F54" s="21" t="e">
        <f t="shared" si="37"/>
        <v>#DIV/0!</v>
      </c>
      <c r="G54" s="5">
        <v>0</v>
      </c>
      <c r="H54" s="21" t="e">
        <f t="shared" si="38"/>
        <v>#DIV/0!</v>
      </c>
      <c r="I54" s="5">
        <v>0</v>
      </c>
      <c r="J54" s="21" t="e">
        <f t="shared" si="39"/>
        <v>#DIV/0!</v>
      </c>
      <c r="K54" s="5">
        <v>119</v>
      </c>
      <c r="L54" s="21" t="e">
        <f t="shared" si="40"/>
        <v>#DIV/0!</v>
      </c>
      <c r="M54" s="5">
        <v>38</v>
      </c>
      <c r="N54" s="26">
        <f t="shared" si="0"/>
        <v>-0.68067226890756305</v>
      </c>
    </row>
    <row r="55" spans="1:18" x14ac:dyDescent="0.2">
      <c r="A55" s="16" t="s">
        <v>13</v>
      </c>
      <c r="B55" s="5">
        <v>2432</v>
      </c>
      <c r="C55" s="5">
        <v>1225</v>
      </c>
      <c r="D55" s="21">
        <f t="shared" si="36"/>
        <v>-0.49629934210526316</v>
      </c>
      <c r="E55" s="5">
        <v>2428</v>
      </c>
      <c r="F55" s="21">
        <f t="shared" si="37"/>
        <v>0.98204081632653062</v>
      </c>
      <c r="G55" s="5">
        <v>2986</v>
      </c>
      <c r="H55" s="21">
        <f t="shared" si="38"/>
        <v>0.2298187808896211</v>
      </c>
      <c r="I55" s="5">
        <v>3561</v>
      </c>
      <c r="J55" s="21">
        <f t="shared" si="39"/>
        <v>0.19256530475552577</v>
      </c>
      <c r="K55" s="5">
        <v>3863</v>
      </c>
      <c r="L55" s="21">
        <f t="shared" si="40"/>
        <v>8.480763830384723E-2</v>
      </c>
      <c r="M55" s="5">
        <v>4130</v>
      </c>
      <c r="N55" s="26">
        <f t="shared" si="0"/>
        <v>6.9117266373285011E-2</v>
      </c>
    </row>
    <row r="56" spans="1:18" s="14" customFormat="1" x14ac:dyDescent="0.2">
      <c r="A56" s="19" t="s">
        <v>44</v>
      </c>
      <c r="B56" s="14">
        <f t="shared" ref="B56:I56" si="43">SUM(B50:B55)</f>
        <v>34740</v>
      </c>
      <c r="C56" s="14">
        <f t="shared" si="43"/>
        <v>31911</v>
      </c>
      <c r="D56" s="21">
        <f t="shared" si="36"/>
        <v>-8.1433506044905013E-2</v>
      </c>
      <c r="E56" s="14">
        <f t="shared" si="43"/>
        <v>28048</v>
      </c>
      <c r="F56" s="21">
        <f t="shared" si="37"/>
        <v>-0.1210554354297891</v>
      </c>
      <c r="G56" s="14">
        <f t="shared" si="43"/>
        <v>29517</v>
      </c>
      <c r="H56" s="21">
        <f t="shared" si="38"/>
        <v>5.2374500855675986E-2</v>
      </c>
      <c r="I56" s="14">
        <f t="shared" si="43"/>
        <v>31290</v>
      </c>
      <c r="J56" s="21">
        <f t="shared" si="39"/>
        <v>6.006707998780364E-2</v>
      </c>
      <c r="K56" s="14">
        <f>SUM(K50:K55)</f>
        <v>31001</v>
      </c>
      <c r="L56" s="21">
        <f t="shared" si="40"/>
        <v>-9.2361776925535318E-3</v>
      </c>
      <c r="M56" s="14">
        <f t="shared" ref="M56:R56" si="44">SUM(M50:M55)</f>
        <v>29459</v>
      </c>
      <c r="N56" s="26">
        <f t="shared" si="0"/>
        <v>-4.9740330957065898E-2</v>
      </c>
      <c r="O56" s="14">
        <f t="shared" si="44"/>
        <v>0</v>
      </c>
      <c r="P56" s="14">
        <f t="shared" si="44"/>
        <v>0</v>
      </c>
      <c r="Q56" s="14">
        <f t="shared" si="44"/>
        <v>0</v>
      </c>
      <c r="R56" s="14">
        <f t="shared" si="44"/>
        <v>0</v>
      </c>
    </row>
    <row r="57" spans="1:18" x14ac:dyDescent="0.2">
      <c r="D57" s="21"/>
      <c r="F57" s="21"/>
      <c r="H57" s="21"/>
      <c r="J57" s="21"/>
      <c r="L57" s="21"/>
      <c r="N57" s="26"/>
    </row>
    <row r="58" spans="1:18" x14ac:dyDescent="0.2">
      <c r="A58" s="11" t="s">
        <v>54</v>
      </c>
      <c r="B58" s="13">
        <f>B40-B56</f>
        <v>30746</v>
      </c>
      <c r="C58" s="13">
        <f t="shared" ref="C58:R58" si="45">C40-C56</f>
        <v>807</v>
      </c>
      <c r="D58" s="21">
        <f t="shared" si="36"/>
        <v>-0.97375268327587328</v>
      </c>
      <c r="E58" s="13">
        <f t="shared" si="45"/>
        <v>4909</v>
      </c>
      <c r="F58" s="21">
        <f t="shared" si="37"/>
        <v>5.0830235439900866</v>
      </c>
      <c r="G58" s="13">
        <f t="shared" si="45"/>
        <v>6077</v>
      </c>
      <c r="H58" s="21">
        <f t="shared" si="38"/>
        <v>0.23793033204318598</v>
      </c>
      <c r="I58" s="13">
        <f t="shared" si="45"/>
        <v>9950</v>
      </c>
      <c r="J58" s="21">
        <f>(I58-G58)/G58</f>
        <v>0.63732104656903077</v>
      </c>
      <c r="K58" s="13">
        <f t="shared" si="45"/>
        <v>18013</v>
      </c>
      <c r="L58" s="21">
        <f>(K58-I58)/I58</f>
        <v>0.81035175879396981</v>
      </c>
      <c r="M58" s="13">
        <f t="shared" si="45"/>
        <v>21581</v>
      </c>
      <c r="N58" s="26">
        <f t="shared" si="0"/>
        <v>0.19807916504746573</v>
      </c>
      <c r="O58" s="13">
        <f t="shared" si="45"/>
        <v>0</v>
      </c>
      <c r="P58" s="13">
        <f t="shared" si="45"/>
        <v>0</v>
      </c>
      <c r="Q58" s="13">
        <f t="shared" si="45"/>
        <v>0</v>
      </c>
      <c r="R58" s="13">
        <f t="shared" si="45"/>
        <v>0</v>
      </c>
    </row>
    <row r="59" spans="1:18" x14ac:dyDescent="0.2">
      <c r="A59" s="11" t="s">
        <v>1</v>
      </c>
      <c r="B59" s="5">
        <f>B27+B28</f>
        <v>37308</v>
      </c>
      <c r="C59" s="5">
        <f t="shared" ref="C59:K59" si="46">C27+C28</f>
        <v>12088</v>
      </c>
      <c r="D59" s="21">
        <f>(C59-B59)/B59</f>
        <v>-0.67599442478824912</v>
      </c>
      <c r="E59" s="5">
        <f t="shared" si="46"/>
        <v>12260</v>
      </c>
      <c r="F59" s="21">
        <f>(E59-C59)/C59</f>
        <v>1.4228987425545996E-2</v>
      </c>
      <c r="G59" s="5">
        <f t="shared" si="46"/>
        <v>11214</v>
      </c>
      <c r="H59" s="21">
        <f>(G59-E59)/E59</f>
        <v>-8.5318107667210444E-2</v>
      </c>
      <c r="I59" s="5">
        <f t="shared" si="46"/>
        <v>12414</v>
      </c>
      <c r="J59" s="21">
        <f>(I59-G59)/G59</f>
        <v>0.10700909577314072</v>
      </c>
      <c r="K59" s="5">
        <f t="shared" si="46"/>
        <v>6382</v>
      </c>
      <c r="L59" s="21">
        <f>(K59-I59)/I59</f>
        <v>-0.48590301272756564</v>
      </c>
      <c r="M59" s="5">
        <f t="shared" ref="M59:R59" si="47">M27+M28</f>
        <v>11324</v>
      </c>
      <c r="N59" s="26">
        <f t="shared" si="0"/>
        <v>0.77436540269507992</v>
      </c>
      <c r="O59" s="5">
        <f t="shared" si="47"/>
        <v>0</v>
      </c>
      <c r="P59" s="5">
        <f t="shared" si="47"/>
        <v>0</v>
      </c>
      <c r="Q59" s="5">
        <f t="shared" si="47"/>
        <v>0</v>
      </c>
      <c r="R59" s="5">
        <f t="shared" si="47"/>
        <v>0</v>
      </c>
    </row>
    <row r="60" spans="1:18" x14ac:dyDescent="0.2">
      <c r="A60" s="11" t="s">
        <v>2</v>
      </c>
      <c r="B60" s="5">
        <f>B47+B53</f>
        <v>21893</v>
      </c>
      <c r="C60" s="5">
        <f t="shared" ref="C60:K60" si="48">C47+C53</f>
        <v>16370</v>
      </c>
      <c r="D60" s="21">
        <f>(C60-B60)/B60</f>
        <v>-0.25227241584067966</v>
      </c>
      <c r="E60" s="5">
        <f t="shared" si="48"/>
        <v>15933</v>
      </c>
      <c r="F60" s="21">
        <f>(E60-C60)/C60</f>
        <v>-2.6695174098961515E-2</v>
      </c>
      <c r="G60" s="5">
        <f t="shared" si="48"/>
        <v>15726</v>
      </c>
      <c r="H60" s="21">
        <f>(G60-E60)/E60</f>
        <v>-1.2991903596309546E-2</v>
      </c>
      <c r="I60" s="5">
        <f t="shared" si="48"/>
        <v>15745</v>
      </c>
      <c r="J60" s="21">
        <f>(I60-G60)/G60</f>
        <v>1.2081902581711815E-3</v>
      </c>
      <c r="K60" s="5">
        <f t="shared" si="48"/>
        <v>15482</v>
      </c>
      <c r="L60" s="21">
        <f>(K60-I60)/I60</f>
        <v>-1.6703715465227056E-2</v>
      </c>
      <c r="M60" s="5">
        <f t="shared" ref="M60:R60" si="49">M47+M53</f>
        <v>15398</v>
      </c>
      <c r="N60" s="26">
        <f t="shared" si="0"/>
        <v>-5.425655600051673E-3</v>
      </c>
      <c r="O60" s="5">
        <f t="shared" si="49"/>
        <v>0</v>
      </c>
      <c r="P60" s="5">
        <f t="shared" si="49"/>
        <v>0</v>
      </c>
      <c r="Q60" s="5">
        <f t="shared" si="49"/>
        <v>0</v>
      </c>
      <c r="R60" s="5">
        <f t="shared" si="49"/>
        <v>0</v>
      </c>
    </row>
    <row r="61" spans="1:18" x14ac:dyDescent="0.2">
      <c r="A61" s="11" t="s">
        <v>50</v>
      </c>
      <c r="B61" s="20">
        <f>(B9-B12)/B9</f>
        <v>0.56071957292180696</v>
      </c>
      <c r="C61" s="20">
        <f t="shared" ref="C61:R61" si="50">(C9-C12)/C9</f>
        <v>0.5469461766396887</v>
      </c>
      <c r="D61" s="21">
        <f t="shared" ref="D61:D64" si="51">(C61-B61)/B61</f>
        <v>-2.4563787224953861E-2</v>
      </c>
      <c r="E61" s="20">
        <f t="shared" si="50"/>
        <v>0.64573806286820745</v>
      </c>
      <c r="F61" s="21">
        <f t="shared" ref="F61:F64" si="52">(E61-C61)/C61</f>
        <v>0.18062451196838664</v>
      </c>
      <c r="G61" s="20">
        <f t="shared" si="50"/>
        <v>0.606689048489227</v>
      </c>
      <c r="H61" s="21">
        <f t="shared" ref="H61:H64" si="53">(G61-E61)/E61</f>
        <v>-6.047191055384666E-2</v>
      </c>
      <c r="I61" s="20">
        <f t="shared" si="50"/>
        <v>0.57510576178275641</v>
      </c>
      <c r="J61" s="21">
        <f t="shared" ref="J61:J64" si="54">(I61-G61)/G61</f>
        <v>-5.2058442104928514E-2</v>
      </c>
      <c r="K61" s="20">
        <f t="shared" si="50"/>
        <v>0.5783936651583711</v>
      </c>
      <c r="L61" s="21">
        <f t="shared" ref="L61:L64" si="55">(K61-I61)/I61</f>
        <v>5.7170412715438551E-3</v>
      </c>
      <c r="M61" s="20">
        <f t="shared" si="50"/>
        <v>0.55697934115019543</v>
      </c>
      <c r="N61" s="26">
        <f t="shared" si="0"/>
        <v>-3.702378725450281E-2</v>
      </c>
      <c r="O61" s="20" t="e">
        <f t="shared" si="50"/>
        <v>#DIV/0!</v>
      </c>
      <c r="P61" s="20" t="e">
        <f t="shared" si="50"/>
        <v>#DIV/0!</v>
      </c>
      <c r="Q61" s="20" t="e">
        <f t="shared" si="50"/>
        <v>#DIV/0!</v>
      </c>
      <c r="R61" s="20" t="e">
        <f t="shared" si="50"/>
        <v>#DIV/0!</v>
      </c>
    </row>
    <row r="62" spans="1:18" x14ac:dyDescent="0.2">
      <c r="A62" s="11" t="s">
        <v>51</v>
      </c>
      <c r="B62" s="20">
        <f>B23/B9</f>
        <v>0.11058274639989234</v>
      </c>
      <c r="C62" s="20">
        <f t="shared" ref="C62:R62" si="56">C23/C9</f>
        <v>-0.21953916235460616</v>
      </c>
      <c r="D62" s="21">
        <f t="shared" si="51"/>
        <v>-2.9852930904854058</v>
      </c>
      <c r="E62" s="20">
        <f t="shared" si="56"/>
        <v>0.18069459893709058</v>
      </c>
      <c r="F62" s="21">
        <f t="shared" si="52"/>
        <v>-1.8230631701383069</v>
      </c>
      <c r="G62" s="20">
        <f t="shared" si="56"/>
        <v>0.22090008924397603</v>
      </c>
      <c r="H62" s="21">
        <f t="shared" si="53"/>
        <v>0.22250521345623128</v>
      </c>
      <c r="I62" s="20">
        <f t="shared" si="56"/>
        <v>0.2694095215396532</v>
      </c>
      <c r="J62" s="21">
        <f t="shared" si="54"/>
        <v>0.21959897101761822</v>
      </c>
      <c r="K62" s="20">
        <f t="shared" si="56"/>
        <v>0.29380090497737554</v>
      </c>
      <c r="L62" s="21">
        <f t="shared" si="55"/>
        <v>9.0536456537718496E-2</v>
      </c>
      <c r="M62" s="20">
        <f t="shared" si="56"/>
        <v>0.2048855388051368</v>
      </c>
      <c r="N62" s="26">
        <f t="shared" si="0"/>
        <v>-0.30263816300731194</v>
      </c>
      <c r="O62" s="20" t="e">
        <f t="shared" si="56"/>
        <v>#DIV/0!</v>
      </c>
      <c r="P62" s="20" t="e">
        <f t="shared" si="56"/>
        <v>#DIV/0!</v>
      </c>
      <c r="Q62" s="20" t="e">
        <f t="shared" si="56"/>
        <v>#DIV/0!</v>
      </c>
      <c r="R62" s="20" t="e">
        <f t="shared" si="56"/>
        <v>#DIV/0!</v>
      </c>
    </row>
    <row r="63" spans="1:18" x14ac:dyDescent="0.2">
      <c r="A63" s="11" t="s">
        <v>52</v>
      </c>
      <c r="B63" s="20">
        <f>B23/B58</f>
        <v>8.017303063813179E-2</v>
      </c>
      <c r="C63" s="20">
        <f t="shared" ref="C63:R63" si="57">C23/C58</f>
        <v>-6.1511771995043372</v>
      </c>
      <c r="D63" s="21">
        <f t="shared" si="51"/>
        <v>-77.723770456779036</v>
      </c>
      <c r="E63" s="20">
        <f t="shared" si="57"/>
        <v>0.89346099001833368</v>
      </c>
      <c r="F63" s="21">
        <f t="shared" si="52"/>
        <v>-1.1452504067173237</v>
      </c>
      <c r="G63" s="20">
        <f t="shared" si="57"/>
        <v>0.8553562613131479</v>
      </c>
      <c r="H63" s="21">
        <f t="shared" si="53"/>
        <v>-4.2648452625115588E-2</v>
      </c>
      <c r="I63" s="20">
        <f t="shared" si="57"/>
        <v>0.90884422110552765</v>
      </c>
      <c r="J63" s="21">
        <f t="shared" si="54"/>
        <v>6.253296107316117E-2</v>
      </c>
      <c r="K63" s="20">
        <f t="shared" si="57"/>
        <v>0.72092377727197021</v>
      </c>
      <c r="L63" s="21">
        <f t="shared" si="55"/>
        <v>-0.20676859627821481</v>
      </c>
      <c r="M63" s="20">
        <f t="shared" si="57"/>
        <v>0.34006765210138545</v>
      </c>
      <c r="N63" s="26">
        <f t="shared" si="0"/>
        <v>-0.52828903301230123</v>
      </c>
      <c r="O63" s="20" t="e">
        <f t="shared" si="57"/>
        <v>#DIV/0!</v>
      </c>
      <c r="P63" s="20" t="e">
        <f t="shared" si="57"/>
        <v>#DIV/0!</v>
      </c>
      <c r="Q63" s="20" t="e">
        <f t="shared" si="57"/>
        <v>#DIV/0!</v>
      </c>
      <c r="R63" s="20" t="e">
        <f t="shared" si="57"/>
        <v>#DIV/0!</v>
      </c>
    </row>
    <row r="64" spans="1:18" x14ac:dyDescent="0.2">
      <c r="A64" s="11" t="s">
        <v>53</v>
      </c>
      <c r="B64" s="27">
        <f>B33/B50</f>
        <v>3.996791051618227</v>
      </c>
      <c r="C64" s="27">
        <f t="shared" ref="C64:R64" si="58">C33/C50</f>
        <v>1.5263851084379665</v>
      </c>
      <c r="D64" s="21">
        <f t="shared" si="51"/>
        <v>-0.61809734641495429</v>
      </c>
      <c r="E64" s="27">
        <f t="shared" si="58"/>
        <v>1.8763290430889759</v>
      </c>
      <c r="F64" s="21">
        <f t="shared" si="52"/>
        <v>0.22926320016914092</v>
      </c>
      <c r="G64" s="27">
        <f t="shared" si="58"/>
        <v>2.1354935424354244</v>
      </c>
      <c r="H64" s="21">
        <f t="shared" si="53"/>
        <v>0.13812316144709325</v>
      </c>
      <c r="I64" s="27">
        <f t="shared" si="58"/>
        <v>1.6797757509831812</v>
      </c>
      <c r="J64" s="21">
        <f t="shared" si="54"/>
        <v>-0.21340162468134635</v>
      </c>
      <c r="K64" s="27">
        <f t="shared" si="58"/>
        <v>1.7465026125063206</v>
      </c>
      <c r="L64" s="21">
        <f t="shared" si="55"/>
        <v>3.972367233190726E-2</v>
      </c>
      <c r="M64" s="27">
        <f t="shared" si="58"/>
        <v>2.3331948483589531</v>
      </c>
      <c r="N64" s="26">
        <f t="shared" si="0"/>
        <v>0.33592405281930793</v>
      </c>
      <c r="O64" s="27" t="e">
        <f t="shared" si="58"/>
        <v>#DIV/0!</v>
      </c>
      <c r="P64" s="27" t="e">
        <f t="shared" si="58"/>
        <v>#DIV/0!</v>
      </c>
      <c r="Q64" s="27" t="e">
        <f t="shared" si="58"/>
        <v>#DIV/0!</v>
      </c>
      <c r="R64" s="27" t="e">
        <f t="shared" si="58"/>
        <v>#DIV/0!</v>
      </c>
    </row>
    <row r="65" spans="2:2" x14ac:dyDescent="0.2">
      <c r="B65" s="25"/>
    </row>
    <row r="66" spans="2:2" x14ac:dyDescent="0.2">
      <c r="B66" s="25"/>
    </row>
    <row r="67" spans="2:2" x14ac:dyDescent="0.2">
      <c r="B67" s="25"/>
    </row>
    <row r="68" spans="2:2" x14ac:dyDescent="0.2">
      <c r="B68" s="25"/>
    </row>
    <row r="69" spans="2:2" x14ac:dyDescent="0.2">
      <c r="B69" s="2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4" ma:contentTypeDescription="Create a new document." ma:contentTypeScope="" ma:versionID="120c46befeed181212ee4011ffacfb7d">
  <xsd:schema xmlns:xsd="http://www.w3.org/2001/XMLSchema" xmlns:xs="http://www.w3.org/2001/XMLSchema" xmlns:p="http://schemas.microsoft.com/office/2006/metadata/properties" xmlns:ns3="36567613-e428-4167-ab55-a4f66cede826" targetNamespace="http://schemas.microsoft.com/office/2006/metadata/properties" ma:root="true" ma:fieldsID="f5f46ca8589c002687fe72246ecbcd08"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E13D9A-DD22-4523-8FC5-AAF3D3956D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2AF3359-AA7B-4C3F-BB32-4122371AAA35}">
  <ds:schemaRefs>
    <ds:schemaRef ds:uri="http://www.w3.org/XML/1998/namespace"/>
    <ds:schemaRef ds:uri="http://schemas.openxmlformats.org/package/2006/metadata/core-properties"/>
    <ds:schemaRef ds:uri="http://schemas.microsoft.com/office/2006/metadata/properties"/>
    <ds:schemaRef ds:uri="http://schemas.microsoft.com/office/2006/documentManagement/types"/>
    <ds:schemaRef ds:uri="http://purl.org/dc/terms/"/>
    <ds:schemaRef ds:uri="http://purl.org/dc/elements/1.1/"/>
    <ds:schemaRef ds:uri="http://schemas.microsoft.com/office/infopath/2007/PartnerControls"/>
    <ds:schemaRef ds:uri="36567613-e428-4167-ab55-a4f66cede826"/>
    <ds:schemaRef ds:uri="http://purl.org/dc/dcmitype/"/>
  </ds:schemaRefs>
</ds:datastoreItem>
</file>

<file path=customXml/itemProps3.xml><?xml version="1.0" encoding="utf-8"?>
<ds:datastoreItem xmlns:ds="http://schemas.openxmlformats.org/officeDocument/2006/customXml" ds:itemID="{C9B4B395-A628-4AF2-9AB1-05807B2F72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Abraham Gonzalez Herrera</cp:lastModifiedBy>
  <dcterms:created xsi:type="dcterms:W3CDTF">2023-02-21T16:55:27Z</dcterms:created>
  <dcterms:modified xsi:type="dcterms:W3CDTF">2024-02-03T20:14:42Z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