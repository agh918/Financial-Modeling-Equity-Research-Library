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1307" documentId="8_{DDFFFE85-5986-48B1-B3E7-581790268C51}" xr6:coauthVersionLast="47" xr6:coauthVersionMax="47" xr10:uidLastSave="{3B841210-AC2F-4563-A648-2E006E3DBC49}"/>
  <bookViews>
    <workbookView xWindow="14100" yWindow="0" windowWidth="13620" windowHeight="16200"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44" i="1" l="1"/>
  <c r="X27" i="1"/>
  <c r="W27" i="1"/>
  <c r="X53" i="1"/>
  <c r="X60" i="1" s="1"/>
  <c r="W53" i="1"/>
  <c r="W60" i="1" s="1"/>
  <c r="V53" i="1"/>
  <c r="V60" i="1" s="1"/>
  <c r="U53" i="1"/>
  <c r="T53" i="1"/>
  <c r="S53" i="1"/>
  <c r="S60" i="1" s="1"/>
  <c r="R53" i="1"/>
  <c r="R60" i="1" s="1"/>
  <c r="Q53" i="1"/>
  <c r="Q60" i="1" s="1"/>
  <c r="P53" i="1"/>
  <c r="P60" i="1" s="1"/>
  <c r="O53" i="1"/>
  <c r="O60" i="1" s="1"/>
  <c r="N53" i="1"/>
  <c r="N60" i="1" s="1"/>
  <c r="M53" i="1"/>
  <c r="M60" i="1" s="1"/>
  <c r="L53" i="1"/>
  <c r="L60" i="1" s="1"/>
  <c r="K53" i="1"/>
  <c r="K60" i="1" s="1"/>
  <c r="J53" i="1"/>
  <c r="J60" i="1" s="1"/>
  <c r="I53" i="1"/>
  <c r="I60" i="1" s="1"/>
  <c r="H53" i="1"/>
  <c r="G53" i="1"/>
  <c r="F53" i="1"/>
  <c r="E53" i="1"/>
  <c r="D53" i="1"/>
  <c r="C53" i="1"/>
  <c r="B53" i="1"/>
  <c r="B60" i="1" s="1"/>
  <c r="U60" i="1"/>
  <c r="U43" i="1"/>
  <c r="U41" i="1"/>
  <c r="U40" i="1"/>
  <c r="U36" i="1"/>
  <c r="U35" i="1"/>
  <c r="U34" i="1"/>
  <c r="U33" i="1"/>
  <c r="U29" i="1"/>
  <c r="U26" i="1"/>
  <c r="U25" i="1"/>
  <c r="U24" i="1"/>
  <c r="U23" i="1"/>
  <c r="U22" i="1"/>
  <c r="U21" i="1"/>
  <c r="U20" i="1"/>
  <c r="U19" i="1"/>
  <c r="U18" i="1"/>
  <c r="U17" i="1"/>
  <c r="U16" i="1"/>
  <c r="S7" i="1"/>
  <c r="Q43" i="1"/>
  <c r="Q41" i="1"/>
  <c r="Q40" i="1"/>
  <c r="Q36" i="1"/>
  <c r="Q34" i="1"/>
  <c r="Q33" i="1"/>
  <c r="Q29" i="1"/>
  <c r="Q26" i="1"/>
  <c r="Q22" i="1"/>
  <c r="Q21" i="1"/>
  <c r="Q20" i="1"/>
  <c r="Q19" i="1"/>
  <c r="Q18" i="1"/>
  <c r="Q17" i="1"/>
  <c r="Q16" i="1"/>
  <c r="M43" i="1"/>
  <c r="M40" i="1"/>
  <c r="M41" i="1"/>
  <c r="M36" i="1"/>
  <c r="M34" i="1"/>
  <c r="M33" i="1"/>
  <c r="M29" i="1"/>
  <c r="M26" i="1"/>
  <c r="M21" i="1"/>
  <c r="M20" i="1"/>
  <c r="M19" i="1"/>
  <c r="M18" i="1"/>
  <c r="M17" i="1"/>
  <c r="M16" i="1"/>
  <c r="I43" i="1"/>
  <c r="I41" i="1"/>
  <c r="I40" i="1"/>
  <c r="I36" i="1"/>
  <c r="I34" i="1"/>
  <c r="I33" i="1"/>
  <c r="I29" i="1"/>
  <c r="I26" i="1"/>
  <c r="I21" i="1"/>
  <c r="I20" i="1"/>
  <c r="I19" i="1"/>
  <c r="I18" i="1"/>
  <c r="I17" i="1"/>
  <c r="I16" i="1"/>
  <c r="G60" i="1"/>
  <c r="X70" i="1"/>
  <c r="X75" i="1" s="1"/>
  <c r="W70" i="1"/>
  <c r="W75" i="1" s="1"/>
  <c r="V70" i="1"/>
  <c r="V75" i="1" s="1"/>
  <c r="U70" i="1"/>
  <c r="U75" i="1" s="1"/>
  <c r="T70" i="1"/>
  <c r="T75" i="1" s="1"/>
  <c r="S70" i="1"/>
  <c r="S75" i="1" s="1"/>
  <c r="R70" i="1"/>
  <c r="R75" i="1" s="1"/>
  <c r="Q70" i="1"/>
  <c r="Q75" i="1" s="1"/>
  <c r="P70" i="1"/>
  <c r="P75" i="1" s="1"/>
  <c r="O70" i="1"/>
  <c r="O75" i="1" s="1"/>
  <c r="N70" i="1"/>
  <c r="N75" i="1" s="1"/>
  <c r="M70" i="1"/>
  <c r="M75" i="1" s="1"/>
  <c r="L70" i="1"/>
  <c r="L75" i="1" s="1"/>
  <c r="K70" i="1"/>
  <c r="K75" i="1" s="1"/>
  <c r="J70" i="1"/>
  <c r="J75" i="1" s="1"/>
  <c r="I70" i="1"/>
  <c r="I75" i="1" s="1"/>
  <c r="H70" i="1"/>
  <c r="H75" i="1" s="1"/>
  <c r="G70" i="1"/>
  <c r="G75" i="1" s="1"/>
  <c r="F70" i="1"/>
  <c r="F75" i="1" s="1"/>
  <c r="X9" i="1"/>
  <c r="W9" i="1"/>
  <c r="V9" i="1"/>
  <c r="U9" i="1"/>
  <c r="T9" i="1"/>
  <c r="S9" i="1"/>
  <c r="R9" i="1"/>
  <c r="Q9" i="1"/>
  <c r="P9" i="1"/>
  <c r="O9" i="1"/>
  <c r="N9" i="1"/>
  <c r="M9" i="1"/>
  <c r="L9" i="1"/>
  <c r="K9" i="1"/>
  <c r="J9" i="1"/>
  <c r="I9" i="1"/>
  <c r="H9" i="1"/>
  <c r="G9" i="1"/>
  <c r="F9" i="1"/>
  <c r="E9" i="1"/>
  <c r="E43" i="1"/>
  <c r="E41" i="1"/>
  <c r="E40" i="1"/>
  <c r="E36" i="1"/>
  <c r="E34" i="1"/>
  <c r="E33" i="1"/>
  <c r="E29" i="1"/>
  <c r="E26" i="1"/>
  <c r="E21" i="1"/>
  <c r="E20" i="1"/>
  <c r="E19" i="1"/>
  <c r="E18" i="1"/>
  <c r="E17" i="1"/>
  <c r="E16" i="1"/>
  <c r="T60" i="1"/>
  <c r="H60" i="1"/>
  <c r="F60" i="1"/>
  <c r="X37" i="1"/>
  <c r="W37" i="1"/>
  <c r="V37" i="1"/>
  <c r="T37" i="1"/>
  <c r="S37" i="1"/>
  <c r="R37" i="1"/>
  <c r="P37" i="1"/>
  <c r="O37" i="1"/>
  <c r="N37" i="1"/>
  <c r="L37" i="1"/>
  <c r="K37" i="1"/>
  <c r="J37" i="1"/>
  <c r="H37" i="1"/>
  <c r="G37" i="1"/>
  <c r="F37" i="1"/>
  <c r="X30" i="1"/>
  <c r="W30" i="1"/>
  <c r="V27" i="1"/>
  <c r="V30" i="1" s="1"/>
  <c r="T27" i="1"/>
  <c r="T30" i="1" s="1"/>
  <c r="S27" i="1"/>
  <c r="S30" i="1" s="1"/>
  <c r="R27" i="1"/>
  <c r="R30" i="1" s="1"/>
  <c r="P27" i="1"/>
  <c r="P30" i="1" s="1"/>
  <c r="O27" i="1"/>
  <c r="O30" i="1" s="1"/>
  <c r="N27" i="1"/>
  <c r="N30" i="1" s="1"/>
  <c r="L27" i="1"/>
  <c r="L30" i="1" s="1"/>
  <c r="K27" i="1"/>
  <c r="K30" i="1" s="1"/>
  <c r="J27" i="1"/>
  <c r="J30" i="1" s="1"/>
  <c r="H27" i="1"/>
  <c r="H30" i="1" s="1"/>
  <c r="G27" i="1"/>
  <c r="G30" i="1" s="1"/>
  <c r="F27" i="1"/>
  <c r="F30" i="1" s="1"/>
  <c r="X8" i="1"/>
  <c r="W8" i="1"/>
  <c r="V8" i="1"/>
  <c r="U8" i="1"/>
  <c r="T8" i="1"/>
  <c r="S8" i="1"/>
  <c r="R8" i="1"/>
  <c r="Q8" i="1"/>
  <c r="P8" i="1"/>
  <c r="O8" i="1"/>
  <c r="N8" i="1"/>
  <c r="M8" i="1"/>
  <c r="L8" i="1"/>
  <c r="K8" i="1"/>
  <c r="J8" i="1"/>
  <c r="I8" i="1"/>
  <c r="H8" i="1"/>
  <c r="G8" i="1"/>
  <c r="F8" i="1"/>
  <c r="X7" i="1"/>
  <c r="W7" i="1"/>
  <c r="V7" i="1"/>
  <c r="U7" i="1"/>
  <c r="T7" i="1"/>
  <c r="R7" i="1"/>
  <c r="Q7" i="1"/>
  <c r="P7" i="1"/>
  <c r="O7" i="1"/>
  <c r="N7" i="1"/>
  <c r="M7" i="1"/>
  <c r="L7" i="1"/>
  <c r="K7" i="1"/>
  <c r="J7" i="1"/>
  <c r="I7" i="1"/>
  <c r="H7" i="1"/>
  <c r="G7" i="1"/>
  <c r="F7" i="1"/>
  <c r="D9" i="1"/>
  <c r="E8" i="1"/>
  <c r="D8" i="1"/>
  <c r="E7" i="1"/>
  <c r="D7" i="1"/>
  <c r="E70" i="1"/>
  <c r="E75" i="1" s="1"/>
  <c r="D70" i="1"/>
  <c r="D75" i="1" s="1"/>
  <c r="E60" i="1"/>
  <c r="D60" i="1"/>
  <c r="D37" i="1"/>
  <c r="D27" i="1"/>
  <c r="D30" i="1" s="1"/>
  <c r="C70" i="1"/>
  <c r="C75" i="1" s="1"/>
  <c r="C60" i="1"/>
  <c r="C37" i="1"/>
  <c r="C9" i="1"/>
  <c r="C8" i="1"/>
  <c r="C7" i="1"/>
  <c r="B9" i="1"/>
  <c r="B8" i="1"/>
  <c r="B70" i="1"/>
  <c r="B75" i="1" s="1"/>
  <c r="B7" i="1"/>
  <c r="U37" i="1" l="1"/>
  <c r="U27" i="1"/>
  <c r="U30" i="1" s="1"/>
  <c r="U39" i="1" s="1"/>
  <c r="U42" i="1" s="1"/>
  <c r="U44" i="1" s="1"/>
  <c r="U79" i="1" s="1"/>
  <c r="Q37" i="1"/>
  <c r="S39" i="1"/>
  <c r="S42" i="1" s="1"/>
  <c r="S44" i="1" s="1"/>
  <c r="S79" i="1" s="1"/>
  <c r="Q27" i="1"/>
  <c r="Q30" i="1" s="1"/>
  <c r="Q39" i="1" s="1"/>
  <c r="Q42" i="1" s="1"/>
  <c r="Q44" i="1" s="1"/>
  <c r="Q79" i="1" s="1"/>
  <c r="M37" i="1"/>
  <c r="I37" i="1"/>
  <c r="T39" i="1"/>
  <c r="T42" i="1" s="1"/>
  <c r="T44" i="1" s="1"/>
  <c r="T79" i="1" s="1"/>
  <c r="I27" i="1"/>
  <c r="I30" i="1" s="1"/>
  <c r="D77" i="1"/>
  <c r="M27" i="1"/>
  <c r="M30" i="1" s="1"/>
  <c r="X77" i="1"/>
  <c r="E78" i="1"/>
  <c r="L39" i="1"/>
  <c r="L42" i="1" s="1"/>
  <c r="L44" i="1" s="1"/>
  <c r="L79" i="1" s="1"/>
  <c r="K39" i="1"/>
  <c r="K42" i="1" s="1"/>
  <c r="B77" i="1"/>
  <c r="O78" i="1"/>
  <c r="D78" i="1"/>
  <c r="E27" i="1"/>
  <c r="E30" i="1" s="1"/>
  <c r="M78" i="1"/>
  <c r="Q78" i="1"/>
  <c r="E37" i="1"/>
  <c r="V39" i="1"/>
  <c r="V42" i="1" s="1"/>
  <c r="V44" i="1" s="1"/>
  <c r="V79" i="1" s="1"/>
  <c r="N78" i="1"/>
  <c r="P78" i="1"/>
  <c r="G39" i="1"/>
  <c r="G42" i="1" s="1"/>
  <c r="G44" i="1" s="1"/>
  <c r="G79" i="1" s="1"/>
  <c r="W39" i="1"/>
  <c r="W42" i="1" s="1"/>
  <c r="W44" i="1" s="1"/>
  <c r="W79" i="1" s="1"/>
  <c r="O77" i="1"/>
  <c r="H39" i="1"/>
  <c r="H42" i="1" s="1"/>
  <c r="H44" i="1" s="1"/>
  <c r="H79" i="1" s="1"/>
  <c r="X39" i="1"/>
  <c r="X42" i="1" s="1"/>
  <c r="X79" i="1" s="1"/>
  <c r="R78" i="1"/>
  <c r="J39" i="1"/>
  <c r="J42" i="1" s="1"/>
  <c r="J44" i="1" s="1"/>
  <c r="J79" i="1" s="1"/>
  <c r="F39" i="1"/>
  <c r="F42" i="1" s="1"/>
  <c r="F44" i="1" s="1"/>
  <c r="F79" i="1" s="1"/>
  <c r="M77" i="1"/>
  <c r="J77" i="1"/>
  <c r="K77" i="1"/>
  <c r="L77" i="1"/>
  <c r="N77" i="1"/>
  <c r="I77" i="1"/>
  <c r="T78" i="1"/>
  <c r="P77" i="1"/>
  <c r="U78" i="1"/>
  <c r="B78" i="1"/>
  <c r="D39" i="1"/>
  <c r="D42" i="1" s="1"/>
  <c r="D44" i="1" s="1"/>
  <c r="D79" i="1" s="1"/>
  <c r="F78" i="1"/>
  <c r="V78" i="1"/>
  <c r="R77" i="1"/>
  <c r="W78" i="1"/>
  <c r="H78" i="1"/>
  <c r="I78" i="1"/>
  <c r="S78" i="1"/>
  <c r="P39" i="1"/>
  <c r="P42" i="1" s="1"/>
  <c r="P44" i="1" s="1"/>
  <c r="P79" i="1" s="1"/>
  <c r="U77" i="1"/>
  <c r="X78" i="1"/>
  <c r="J78" i="1"/>
  <c r="G78" i="1"/>
  <c r="S77" i="1"/>
  <c r="T77" i="1"/>
  <c r="K78" i="1"/>
  <c r="R39" i="1"/>
  <c r="R42" i="1" s="1"/>
  <c r="R44" i="1" s="1"/>
  <c r="R79" i="1" s="1"/>
  <c r="C78" i="1"/>
  <c r="N39" i="1"/>
  <c r="N42" i="1" s="1"/>
  <c r="N44" i="1" s="1"/>
  <c r="N79" i="1" s="1"/>
  <c r="O39" i="1"/>
  <c r="O42" i="1" s="1"/>
  <c r="O44" i="1" s="1"/>
  <c r="O79" i="1" s="1"/>
  <c r="L78" i="1"/>
  <c r="E77" i="1"/>
  <c r="Q77" i="1"/>
  <c r="F77" i="1"/>
  <c r="V77" i="1"/>
  <c r="G77" i="1"/>
  <c r="W77" i="1"/>
  <c r="H77" i="1"/>
  <c r="C77" i="1"/>
  <c r="B37" i="1"/>
  <c r="C27" i="1"/>
  <c r="C30" i="1" s="1"/>
  <c r="C39" i="1" s="1"/>
  <c r="C42" i="1" s="1"/>
  <c r="C44" i="1" s="1"/>
  <c r="C79" i="1" s="1"/>
  <c r="B27" i="1"/>
  <c r="B30" i="1" s="1"/>
  <c r="A4" i="1" a="1"/>
  <c r="A4" i="1" s="1"/>
  <c r="M39" i="1" l="1"/>
  <c r="M42" i="1" s="1"/>
  <c r="M44" i="1" s="1"/>
  <c r="M79" i="1" s="1"/>
  <c r="B39" i="1"/>
  <c r="B42" i="1" s="1"/>
  <c r="B44" i="1" s="1"/>
  <c r="B79" i="1" s="1"/>
  <c r="I39" i="1"/>
  <c r="I42" i="1" s="1"/>
  <c r="I44" i="1" s="1"/>
  <c r="I79" i="1" s="1"/>
  <c r="E39" i="1"/>
  <c r="E42" i="1" s="1"/>
  <c r="E44" i="1" s="1"/>
  <c r="E79" i="1" s="1"/>
  <c r="K44" i="1"/>
  <c r="K79"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<sst xmlns="http://schemas.openxmlformats.org/spreadsheetml/2006/main" count="96" uniqueCount="91">
  <si>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</si>
  <si>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</si>
  <si>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</si>
  <si>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</si>
  <si>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</si>
  <si>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</si>
  <si>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</si>
  <si>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</si>
  <si>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</si>
  <si>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</si>
  <si>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</si>
  <si>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</si>
  <si>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</si>
  <si>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</si>
  <si>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</si>
  <si>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</si>
  <si>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</si>
  <si>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</si>
  <si>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</si>
  <si>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</si>
  <si>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</si>
  <si>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</si>
  <si>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</si>
  <si>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</si>
  <si>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Q323</t>
  </si>
  <si>
    <t>Q423</t>
  </si>
  <si>
    <t>Q124</t>
  </si>
  <si>
    <t>Q224</t>
  </si>
  <si>
    <t>Price</t>
  </si>
  <si>
    <t>Shares outstanding</t>
  </si>
  <si>
    <t>Market cap</t>
  </si>
  <si>
    <t>Cash</t>
  </si>
  <si>
    <t>Debt</t>
  </si>
  <si>
    <t>Revenues</t>
  </si>
  <si>
    <t>Pharmaceuticals</t>
  </si>
  <si>
    <t>Other</t>
  </si>
  <si>
    <t>Total revenue</t>
  </si>
  <si>
    <t>Cost of sales</t>
  </si>
  <si>
    <t>Gross profit</t>
  </si>
  <si>
    <t>Expenses</t>
  </si>
  <si>
    <t>Research &amp; development expenses</t>
  </si>
  <si>
    <t>Total expenses</t>
  </si>
  <si>
    <t>Income from operations</t>
  </si>
  <si>
    <t>Net interest expense</t>
  </si>
  <si>
    <t>Other (income) expense, net</t>
  </si>
  <si>
    <t>Income before income taxes</t>
  </si>
  <si>
    <t>Tax provision</t>
  </si>
  <si>
    <t>Net income (loss)</t>
  </si>
  <si>
    <t>Assets</t>
  </si>
  <si>
    <t>Current assets</t>
  </si>
  <si>
    <t>Receivables</t>
  </si>
  <si>
    <t>Inventories</t>
  </si>
  <si>
    <t>Prepaid expenses &amp; other</t>
  </si>
  <si>
    <t>Total current assets</t>
  </si>
  <si>
    <t>Property, plant &amp; equipment, net</t>
  </si>
  <si>
    <t>Goodwill</t>
  </si>
  <si>
    <t>Other intangible assets, net</t>
  </si>
  <si>
    <t>Total assets</t>
  </si>
  <si>
    <t>Liabilities</t>
  </si>
  <si>
    <t>Current liabilities</t>
  </si>
  <si>
    <t>Current maturities of long-term debt &amp; lease obligations</t>
  </si>
  <si>
    <t>Current income taxes payable</t>
  </si>
  <si>
    <t>Total current liabilities</t>
  </si>
  <si>
    <t>Long-term debt &amp; lease obiligations</t>
  </si>
  <si>
    <t>Total liabilities</t>
  </si>
  <si>
    <t>Equity</t>
  </si>
  <si>
    <t>Enterprise value</t>
  </si>
  <si>
    <t>EPS</t>
  </si>
  <si>
    <t>Clinical Nutrition</t>
  </si>
  <si>
    <t>Short term debt</t>
  </si>
  <si>
    <t>Operating lease-right-of-use assets</t>
  </si>
  <si>
    <t>Operating lease liabilities</t>
  </si>
  <si>
    <t>Selling, general &amp; administrative expenses</t>
  </si>
  <si>
    <t>BioPharma Solutions</t>
  </si>
  <si>
    <t>Accrued expenses &amp; other</t>
  </si>
  <si>
    <t>Accounts payable</t>
  </si>
  <si>
    <t>Patient Support Systems</t>
  </si>
  <si>
    <t>Front Line Care</t>
  </si>
  <si>
    <t>Acute Therapies</t>
  </si>
  <si>
    <t>Advanced Surgery</t>
  </si>
  <si>
    <t>Medication Delivery</t>
  </si>
  <si>
    <t>Renal Care</t>
  </si>
  <si>
    <t>Goodwill impairments</t>
  </si>
  <si>
    <t>Current assets of discontinued operations</t>
  </si>
  <si>
    <t>Assets of discontinued operations</t>
  </si>
  <si>
    <t>Current liabilities of discontinued operations</t>
  </si>
  <si>
    <t>Liabilities of discontinued operations</t>
  </si>
  <si>
    <t>Global Surgical Solutions</t>
  </si>
  <si>
    <t>Medical Products &amp; Therapies</t>
  </si>
  <si>
    <t>Healthcare Systems &amp; Technologies</t>
  </si>
  <si>
    <t>Kidney Care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</si>
</sst>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 #,##0_);_(* \(#,##0\);_(* &quot;-&quot;??_);_(@_)"/>
    <numFmt numFmtId="165" formatCode="_([$$-409]* #,##0.00_);_([$$-409]* \(#,##0.00\);_([$$-409]* &quot;-&quot;??_);_(@_)"/>
  </numFmts>
  <fonts count="8" x14ac:knownFonts="1">
    <font>
      <sz val="11"/>
      <color theme="1"/>
      <name val="Calibri"/>
      <family val="2"/>
      <scheme val="minor"/>
    </font>
    <font>
      <sz val="10"/>
      <color theme="1"/>
      <name val="Arial"/>
      <family val="2"/>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3">
    <xf numFmtId="0" fontId="0" fillId="0" borderId="0"/>
    <xf numFmtId="43" fontId="6" fillId="0" borderId="0" applyFont="0" applyFill="0" applyBorder="0" applyAlignment="0" applyProtection="0"/>
    <xf numFmtId="44" fontId="6" fillId="0" borderId="0" applyFont="0" applyFill="0" applyBorder="0" applyAlignment="0" applyProtection="0"/>
  </cellStyleXfs>
  <cellXfs count="27">
    <xf numFmtId="0" fontId="0" fillId="0" borderId="0" xfId="0"/>
    <xf numFmtId="14" fontId="4" fillId="2" borderId="0" xfId="0" applyNumberFormat="1" applyFont="1" applyFill="1" applyAlignment="1">
      <alignment horizontal="center" vertical="center"/>
    </xf>
    <xf numFmtId="0" fontId="5" fillId="0" borderId="0" xfId="0" applyFont="1"/>
    <xf numFmtId="0" fontId="4" fillId="2" borderId="0" xfId="0" applyFont="1" applyFill="1" applyAlignment="1">
      <alignment horizontal="center" vertical="center"/>
    </xf>
    <xf numFmtId="0" fontId="4" fillId="2" borderId="0" xfId="0" applyFont="1" applyFill="1" applyAlignment="1">
      <alignment vertical="center"/>
    </xf>
    <xf numFmtId="164" fontId="5" fillId="0" borderId="0" xfId="1" applyNumberFormat="1" applyFont="1"/>
    <xf numFmtId="0" fontId="4" fillId="2" borderId="0" xfId="0" applyFont="1" applyFill="1" applyAlignment="1">
      <alignment horizontal="center"/>
    </xf>
    <xf numFmtId="0" fontId="3" fillId="0" borderId="0" xfId="0" applyFont="1" applyAlignment="1">
      <alignment horizontal="left"/>
    </xf>
    <xf numFmtId="165" fontId="5" fillId="0" borderId="0" xfId="0" applyNumberFormat="1" applyFont="1"/>
    <xf numFmtId="0" fontId="3" fillId="0" borderId="0" xfId="0" applyFont="1"/>
    <xf numFmtId="0" fontId="7" fillId="0" borderId="0" xfId="0" applyFont="1"/>
    <xf numFmtId="164" fontId="7" fillId="0" borderId="0" xfId="1" applyNumberFormat="1" applyFont="1"/>
    <xf numFmtId="0" fontId="7" fillId="0" borderId="0" xfId="0" applyFont="1" applyAlignment="1">
      <alignment horizontal="left" indent="1"/>
    </xf>
    <xf numFmtId="0" fontId="3" fillId="0" borderId="0" xfId="0" applyFont="1" applyAlignment="1">
      <alignment horizontal="left" indent="1"/>
    </xf>
    <xf numFmtId="0" fontId="7" fillId="0" borderId="0" xfId="0" applyFont="1" applyAlignment="1">
      <alignment horizontal="left" indent="2"/>
    </xf>
    <xf numFmtId="164" fontId="3" fillId="0" borderId="0" xfId="1" applyNumberFormat="1" applyFont="1"/>
    <xf numFmtId="0" fontId="3" fillId="0" borderId="0" xfId="0" applyFont="1" applyAlignment="1">
      <alignment horizontal="left" indent="2"/>
    </xf>
    <xf numFmtId="0" fontId="7" fillId="0" borderId="0" xfId="0" applyFont="1" applyAlignment="1">
      <alignment horizontal="left" indent="3"/>
    </xf>
    <xf numFmtId="0" fontId="3" fillId="0" borderId="0" xfId="0" applyFont="1" applyAlignment="1">
      <alignment horizontal="left" wrapText="1" indent="2"/>
    </xf>
    <xf numFmtId="43" fontId="5" fillId="0" borderId="0" xfId="1" applyFont="1"/>
    <xf numFmtId="44" fontId="5" fillId="0" borderId="0" xfId="2" applyFont="1"/>
    <xf numFmtId="164" fontId="2" fillId="0" borderId="0" xfId="1" applyNumberFormat="1" applyFont="1"/>
    <xf numFmtId="0" fontId="2" fillId="0" borderId="0" xfId="0" applyFont="1" applyAlignment="1">
      <alignment horizontal="left" indent="1"/>
    </xf>
    <xf numFmtId="0" fontId="2" fillId="0" borderId="0" xfId="0" applyFont="1" applyAlignment="1">
      <alignment horizontal="left" indent="2"/>
    </xf>
    <xf numFmtId="0" fontId="1" fillId="0" borderId="0" xfId="0" applyFont="1" applyAlignment="1">
      <alignment horizontal="left" indent="2"/>
    </xf>
    <xf numFmtId="0" fontId="1" fillId="0" borderId="0" xfId="0" applyFont="1" applyAlignment="1">
      <alignment horizontal="left" indent="1"/>
    </xf>
    <xf numFmtId="164" fontId="1" fillId="0" borderId="0" xfId="1" applyNumberFormat="1" applyFont="1"/>
  </cellXfs>
  <cellStyles count="3">
    <cellStyle name="Comma" xfId="1" builtinId="3"/>
    <cellStyle name="Currency" xfId="2"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https://www.bing.com/financeapi/forcetrigger?t=a1o76h&amp;q=XNYS%3aBAX&amp;form=skydnc</v>
    <v>Learn more on Bing</v>
  </rv>
  <rv s="1">
    <v>en-US</v>
    <v>a1o76h</v>
    <v>268435456</v>
    <v>1</v>
    <v>Powered by Refinitiv</v>
    <v>0</v>
    <v>BAXTER INTERNATIONAL INC. (XNYS:BAX)</v>
    <v>2</v>
    <v>3</v>
    <v>Finance</v>
    <v>4</v>
    <v>53.12</v>
    <v>31.01</v>
    <v>0.63829999999999998</v>
    <v>0.2</v>
    <v>1.0886E-2</v>
    <v>5.2110000000000004E-3</v>
    <v>0.42</v>
    <v>USD</v>
    <v>Baxter International Inc., through its subsidiaries, provides a portfolio of essential healthcare products. The Company’s Medical Products and Therapies segment includes sales of sterile IV solutions, infusion systems, administration sets, parenteral nutrition therapies and surgical hemostat, sealant and adhesion prevention products. Its Healthcare Systems and Technologies segment includes connected care solutions and collaboration tools, including smart bed systems, patient monitoring systems and diagnostic technologies, respiratory health devices and advanced equipment for the surgical space, including surgical video technologies and precision positioning devices. Its Pharmaceuticals segment includes specialty injectable pharmaceuticals, inhaled anesthesia and drug compounding. Its Kidney Care segment includes chronic and acute dialysis therapies and services, including peritoneal dialysis, hemodialysis, continuous renal replacement therapies (CRRT) and other organ support therapies.</v>
    <v>60000</v>
    <v>New York Stock Exchange</v>
    <v>XNYS</v>
    <v>XNYS</v>
    <v>DF2-1W, ONE BAXTER PKWY, DEERFIELD, IL, 60015 US</v>
    <v>38.825000000000003</v>
    <v>Healthcare Equipment &amp; Supplies</v>
    <v>Stock</v>
    <v>45287.016677649997</v>
    <v>0</v>
    <v>38.200000000000003</v>
    <v>19572540630</v>
    <v>BAXTER INTERNATIONAL INC.</v>
    <v>BAXTER INTERNATIONAL INC.</v>
    <v>38.270000000000003</v>
    <v>603.37819999999999</v>
    <v>38.380000000000003</v>
    <v>38.58</v>
    <v>39</v>
    <v>507323500</v>
    <v>BAX</v>
    <v>BAXTER INTERNATIONAL INC. (XNYS:BAX)</v>
    <v>2396367</v>
    <v>3754161</v>
    <v>1931</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I79"/>
  <sheetViews>
    <sheetView tabSelected="1" zoomScale="125" zoomScaleNormal="125" workbookViewId="0">
      <pane xSplit="1" topLeftCell="V1" activePane="topRight" state="frozen"/>
      <selection pane="topRight" activeCell="X45" sqref="X45"/>
    </sheetView>
  </sheetViews>
  <sheetFormatPr defaultColWidth="12.7109375" defaultRowHeight="12.75" x14ac:dyDescent="0.2"/>
  <cols>
    <col min="1" max="1" width="42.7109375" style="2" customWidth="1"/>
    <col min="2" max="22" width="12.7109375" style="5" customWidth="1"/>
    <col min="23" max="16384" width="12.7109375" style="5"/>
  </cols>
  <sheetData>
    <row r="1" spans="1:35" s="6" customFormat="1" ht="15" customHeight="1" x14ac:dyDescent="0.2">
      <c r="A1" s="4" t="s">
        <v>1</v>
      </c>
      <c r="B1" s="1">
        <v>43190</v>
      </c>
      <c r="C1" s="1">
        <v>43281</v>
      </c>
      <c r="D1" s="1">
        <v>43373</v>
      </c>
      <c r="E1" s="1">
        <v>43465</v>
      </c>
      <c r="F1" s="1">
        <v>43555</v>
      </c>
      <c r="G1" s="1">
        <v>43646</v>
      </c>
      <c r="H1" s="1">
        <v>43738</v>
      </c>
      <c r="I1" s="1">
        <v>43830</v>
      </c>
      <c r="J1" s="1">
        <v>43921</v>
      </c>
      <c r="K1" s="1">
        <v>44012</v>
      </c>
      <c r="L1" s="1">
        <v>44104</v>
      </c>
      <c r="M1" s="1">
        <v>44196</v>
      </c>
      <c r="N1" s="1">
        <v>44286</v>
      </c>
      <c r="O1" s="1">
        <v>44377</v>
      </c>
      <c r="P1" s="1">
        <v>44469</v>
      </c>
      <c r="Q1" s="1">
        <v>44561</v>
      </c>
      <c r="R1" s="1">
        <v>44651</v>
      </c>
      <c r="S1" s="1">
        <v>44742</v>
      </c>
      <c r="T1" s="1">
        <v>44834</v>
      </c>
      <c r="U1" s="1">
        <v>44926</v>
      </c>
      <c r="V1" s="1">
        <v>45016</v>
      </c>
      <c r="W1" s="1">
        <v>45107</v>
      </c>
      <c r="X1" s="1">
        <v>45199</v>
      </c>
      <c r="Y1" s="1">
        <v>45291</v>
      </c>
      <c r="Z1" s="1">
        <v>45382</v>
      </c>
      <c r="AA1" s="1">
        <v>45473</v>
      </c>
      <c r="AB1" s="3"/>
      <c r="AC1" s="3"/>
      <c r="AD1" s="3"/>
      <c r="AE1" s="3"/>
      <c r="AF1" s="3"/>
      <c r="AG1" s="3"/>
      <c r="AH1" s="3"/>
      <c r="AI1" s="3"/>
    </row>
    <row r="2" spans="1:35" s="6" customFormat="1" ht="15" customHeight="1" x14ac:dyDescent="0.2">
      <c r="A2" s="4" t="s">
        <v>0</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24</v>
      </c>
      <c r="Y2" s="3" t="s">
        <v>25</v>
      </c>
      <c r="Z2" s="3" t="s">
        <v>26</v>
      </c>
      <c r="AA2" s="3" t="s">
        <v>27</v>
      </c>
      <c r="AB2" s="3"/>
      <c r="AC2" s="3"/>
      <c r="AD2" s="3"/>
      <c r="AE2" s="3"/>
      <c r="AF2" s="3"/>
      <c r="AG2" s="3"/>
      <c r="AH2" s="3"/>
      <c r="AI2" s="3"/>
    </row>
    <row r="3" spans="1:35" x14ac:dyDescent="0.2">
      <c r="A3" s="7" t="e" vm="1">
        <v>#VALUE!</v>
      </c>
    </row>
    <row r="4" spans="1:35" x14ac:dyDescent="0.2">
      <c r="A4" s="8" cm="1">
        <f t="array" ref="A4">_FV(A3,"Price")</f>
        <v>38.58</v>
      </c>
    </row>
    <row r="5" spans="1:35" s="20" customFormat="1" x14ac:dyDescent="0.2">
      <c r="A5" s="9" t="s">
        <v>28</v>
      </c>
      <c r="B5" s="20">
        <v>65.040000000000006</v>
      </c>
      <c r="C5" s="20">
        <v>73.84</v>
      </c>
      <c r="D5" s="20">
        <v>77.09</v>
      </c>
      <c r="E5" s="20">
        <v>65.819999999999993</v>
      </c>
      <c r="F5" s="20">
        <v>81.31</v>
      </c>
      <c r="G5" s="20">
        <v>81.900000000000006</v>
      </c>
      <c r="H5" s="20">
        <v>87.47</v>
      </c>
      <c r="I5" s="20">
        <v>83.62</v>
      </c>
      <c r="J5" s="20">
        <v>81.19</v>
      </c>
      <c r="K5" s="20">
        <v>86.1</v>
      </c>
      <c r="L5" s="20">
        <v>80.42</v>
      </c>
      <c r="M5" s="20">
        <v>80.239999999999995</v>
      </c>
      <c r="N5" s="20">
        <v>84.34</v>
      </c>
      <c r="O5" s="20">
        <v>80.5</v>
      </c>
      <c r="P5" s="20">
        <v>80.430000000000007</v>
      </c>
      <c r="Q5" s="20">
        <v>85.84</v>
      </c>
      <c r="R5" s="20">
        <v>77.540000000000006</v>
      </c>
      <c r="S5" s="20">
        <v>64.319999999999993</v>
      </c>
      <c r="T5" s="20">
        <v>53.86</v>
      </c>
      <c r="U5" s="20">
        <v>50.97</v>
      </c>
      <c r="V5" s="20">
        <v>40.56</v>
      </c>
      <c r="W5" s="20">
        <v>45.56</v>
      </c>
      <c r="X5" s="20">
        <v>37.74</v>
      </c>
    </row>
    <row r="6" spans="1:35" x14ac:dyDescent="0.2">
      <c r="A6" s="7" t="s">
        <v>29</v>
      </c>
      <c r="B6" s="5">
        <v>551</v>
      </c>
      <c r="C6" s="5">
        <v>547</v>
      </c>
      <c r="D6" s="5">
        <v>546</v>
      </c>
      <c r="E6" s="5">
        <v>546</v>
      </c>
      <c r="F6" s="5">
        <v>522</v>
      </c>
      <c r="G6" s="5">
        <v>519</v>
      </c>
      <c r="H6" s="5">
        <v>520</v>
      </c>
      <c r="I6" s="5">
        <v>519</v>
      </c>
      <c r="J6" s="5">
        <v>516</v>
      </c>
      <c r="K6" s="5">
        <v>517</v>
      </c>
      <c r="L6" s="5">
        <v>518</v>
      </c>
      <c r="M6" s="5">
        <v>517</v>
      </c>
      <c r="N6" s="5">
        <v>511</v>
      </c>
      <c r="O6" s="5">
        <v>509</v>
      </c>
      <c r="P6" s="5">
        <v>506</v>
      </c>
      <c r="Q6" s="5">
        <v>508</v>
      </c>
      <c r="R6" s="5">
        <v>509</v>
      </c>
      <c r="S6" s="5">
        <v>508</v>
      </c>
      <c r="T6" s="5">
        <v>504</v>
      </c>
      <c r="U6" s="5">
        <v>504</v>
      </c>
      <c r="V6" s="5">
        <v>507</v>
      </c>
      <c r="W6" s="5">
        <v>506</v>
      </c>
      <c r="X6" s="5">
        <v>509</v>
      </c>
    </row>
    <row r="7" spans="1:35" x14ac:dyDescent="0.2">
      <c r="A7" s="9" t="s">
        <v>30</v>
      </c>
      <c r="B7" s="5">
        <f>B5*B6</f>
        <v>35837.040000000001</v>
      </c>
      <c r="C7" s="5">
        <f>C5*C6</f>
        <v>40390.480000000003</v>
      </c>
      <c r="D7" s="5">
        <f t="shared" ref="D7:E7" si="0">D5*D6</f>
        <v>42091.14</v>
      </c>
      <c r="E7" s="5">
        <f t="shared" si="0"/>
        <v>35937.719999999994</v>
      </c>
      <c r="F7" s="5">
        <f t="shared" ref="F7" si="1">F5*F6</f>
        <v>42443.82</v>
      </c>
      <c r="G7" s="5">
        <f t="shared" ref="G7" si="2">G5*G6</f>
        <v>42506.100000000006</v>
      </c>
      <c r="H7" s="5">
        <f t="shared" ref="H7" si="3">H5*H6</f>
        <v>45484.4</v>
      </c>
      <c r="I7" s="5">
        <f t="shared" ref="I7" si="4">I5*I6</f>
        <v>43398.78</v>
      </c>
      <c r="J7" s="5">
        <f t="shared" ref="J7" si="5">J5*J6</f>
        <v>41894.04</v>
      </c>
      <c r="K7" s="5">
        <f t="shared" ref="K7" si="6">K5*K6</f>
        <v>44513.7</v>
      </c>
      <c r="L7" s="5">
        <f t="shared" ref="L7" si="7">L5*L6</f>
        <v>41657.56</v>
      </c>
      <c r="M7" s="5">
        <f t="shared" ref="M7" si="8">M5*M6</f>
        <v>41484.079999999994</v>
      </c>
      <c r="N7" s="5">
        <f t="shared" ref="N7" si="9">N5*N6</f>
        <v>43097.740000000005</v>
      </c>
      <c r="O7" s="5">
        <f t="shared" ref="O7" si="10">O5*O6</f>
        <v>40974.5</v>
      </c>
      <c r="P7" s="5">
        <f t="shared" ref="P7" si="11">P5*P6</f>
        <v>40697.58</v>
      </c>
      <c r="Q7" s="5">
        <f t="shared" ref="Q7" si="12">Q5*Q6</f>
        <v>43606.720000000001</v>
      </c>
      <c r="R7" s="5">
        <f t="shared" ref="R7" si="13">R5*R6</f>
        <v>39467.86</v>
      </c>
      <c r="S7" s="5">
        <f>S5*S6</f>
        <v>32674.559999999998</v>
      </c>
      <c r="T7" s="5">
        <f t="shared" ref="T7" si="14">T5*T6</f>
        <v>27145.439999999999</v>
      </c>
      <c r="U7" s="5">
        <f t="shared" ref="U7" si="15">U5*U6</f>
        <v>25688.880000000001</v>
      </c>
      <c r="V7" s="5">
        <f t="shared" ref="V7" si="16">V5*V6</f>
        <v>20563.920000000002</v>
      </c>
      <c r="W7" s="5">
        <f t="shared" ref="W7" si="17">W5*W6</f>
        <v>23053.360000000001</v>
      </c>
      <c r="X7" s="5">
        <f t="shared" ref="X7" si="18">X5*X6</f>
        <v>19209.66</v>
      </c>
    </row>
    <row r="8" spans="1:35" x14ac:dyDescent="0.2">
      <c r="A8" s="9" t="s">
        <v>31</v>
      </c>
      <c r="B8" s="5">
        <f>B48</f>
        <v>2947</v>
      </c>
      <c r="C8" s="5">
        <f>C48</f>
        <v>2857</v>
      </c>
      <c r="D8" s="5">
        <f t="shared" ref="D8:E8" si="19">D48</f>
        <v>2860</v>
      </c>
      <c r="E8" s="5">
        <f t="shared" si="19"/>
        <v>1832</v>
      </c>
      <c r="F8" s="5">
        <f t="shared" ref="F8:X8" si="20">F48</f>
        <v>1908</v>
      </c>
      <c r="G8" s="5">
        <f t="shared" si="20"/>
        <v>2925</v>
      </c>
      <c r="H8" s="5">
        <f t="shared" si="20"/>
        <v>3009</v>
      </c>
      <c r="I8" s="5">
        <f t="shared" si="20"/>
        <v>3335</v>
      </c>
      <c r="J8" s="5">
        <f t="shared" si="20"/>
        <v>4110</v>
      </c>
      <c r="K8" s="5">
        <f t="shared" si="20"/>
        <v>4085</v>
      </c>
      <c r="L8" s="5">
        <f t="shared" si="20"/>
        <v>4359</v>
      </c>
      <c r="M8" s="5">
        <f t="shared" si="20"/>
        <v>3730</v>
      </c>
      <c r="N8" s="5">
        <f t="shared" si="20"/>
        <v>3182</v>
      </c>
      <c r="O8" s="5">
        <f t="shared" si="20"/>
        <v>3136</v>
      </c>
      <c r="P8" s="5">
        <f t="shared" si="20"/>
        <v>3258</v>
      </c>
      <c r="Q8" s="5">
        <f t="shared" si="20"/>
        <v>2951</v>
      </c>
      <c r="R8" s="5">
        <f t="shared" si="20"/>
        <v>2294</v>
      </c>
      <c r="S8" s="5">
        <f t="shared" si="20"/>
        <v>1852</v>
      </c>
      <c r="T8" s="5">
        <f t="shared" si="20"/>
        <v>1601</v>
      </c>
      <c r="U8" s="5">
        <f t="shared" si="20"/>
        <v>1718</v>
      </c>
      <c r="V8" s="5">
        <f t="shared" si="20"/>
        <v>1673</v>
      </c>
      <c r="W8" s="5">
        <f t="shared" si="20"/>
        <v>1722</v>
      </c>
      <c r="X8" s="5">
        <f t="shared" si="20"/>
        <v>5788</v>
      </c>
    </row>
    <row r="9" spans="1:35" x14ac:dyDescent="0.2">
      <c r="A9" s="9" t="s">
        <v>32</v>
      </c>
      <c r="B9" s="5">
        <f>B65+B71</f>
        <v>3553</v>
      </c>
      <c r="C9" s="5">
        <f>C65+C71</f>
        <v>3498</v>
      </c>
      <c r="D9" s="5">
        <f t="shared" ref="D9" si="21">D65+D71</f>
        <v>3488</v>
      </c>
      <c r="E9" s="5">
        <f>E65+E71+E64</f>
        <v>3477</v>
      </c>
      <c r="F9" s="5">
        <f t="shared" ref="F9:X9" si="22">F65+F71+F64</f>
        <v>4249</v>
      </c>
      <c r="G9" s="5">
        <f t="shared" si="22"/>
        <v>5161</v>
      </c>
      <c r="H9" s="5">
        <f t="shared" si="22"/>
        <v>5065</v>
      </c>
      <c r="I9" s="5">
        <f t="shared" si="22"/>
        <v>5350</v>
      </c>
      <c r="J9" s="5">
        <f t="shared" si="22"/>
        <v>6532</v>
      </c>
      <c r="K9" s="5">
        <f t="shared" si="22"/>
        <v>6374</v>
      </c>
      <c r="L9" s="5">
        <f t="shared" si="22"/>
        <v>6487</v>
      </c>
      <c r="M9" s="5">
        <f t="shared" si="22"/>
        <v>6192</v>
      </c>
      <c r="N9" s="5">
        <f t="shared" si="22"/>
        <v>6088</v>
      </c>
      <c r="O9" s="5">
        <f t="shared" si="22"/>
        <v>6167</v>
      </c>
      <c r="P9" s="5">
        <f t="shared" si="22"/>
        <v>5956</v>
      </c>
      <c r="Q9" s="5">
        <f t="shared" si="22"/>
        <v>17660</v>
      </c>
      <c r="R9" s="5">
        <f t="shared" si="22"/>
        <v>17174</v>
      </c>
      <c r="S9" s="5">
        <f t="shared" si="22"/>
        <v>16686</v>
      </c>
      <c r="T9" s="5">
        <f t="shared" si="22"/>
        <v>16432</v>
      </c>
      <c r="U9" s="5">
        <f t="shared" si="22"/>
        <v>16636</v>
      </c>
      <c r="V9" s="5">
        <f t="shared" si="22"/>
        <v>16431</v>
      </c>
      <c r="W9" s="5">
        <f t="shared" si="22"/>
        <v>16483</v>
      </c>
      <c r="X9" s="5">
        <f t="shared" si="22"/>
        <v>16493</v>
      </c>
    </row>
    <row r="11" spans="1:35" x14ac:dyDescent="0.2">
      <c r="A11" s="10" t="s">
        <v>33</v>
      </c>
    </row>
    <row r="12" spans="1:35" x14ac:dyDescent="0.2">
      <c r="A12" s="25" t="s">
        <v>88</v>
      </c>
      <c r="X12" s="5">
        <v>1258</v>
      </c>
    </row>
    <row r="13" spans="1:35" x14ac:dyDescent="0.2">
      <c r="A13" s="25" t="s">
        <v>89</v>
      </c>
      <c r="X13" s="5">
        <v>744</v>
      </c>
    </row>
    <row r="14" spans="1:35" x14ac:dyDescent="0.2">
      <c r="A14" s="25" t="s">
        <v>34</v>
      </c>
      <c r="X14" s="5">
        <v>580</v>
      </c>
    </row>
    <row r="15" spans="1:35" x14ac:dyDescent="0.2">
      <c r="A15" s="25" t="s">
        <v>90</v>
      </c>
      <c r="X15" s="5">
        <v>1109</v>
      </c>
    </row>
    <row r="16" spans="1:35" hidden="1" x14ac:dyDescent="0.2">
      <c r="A16" s="25" t="s">
        <v>81</v>
      </c>
      <c r="B16" s="5">
        <v>868</v>
      </c>
      <c r="C16" s="5">
        <v>931</v>
      </c>
      <c r="D16" s="5">
        <v>910</v>
      </c>
      <c r="E16" s="5">
        <f>3662-D16-C16-B16</f>
        <v>953</v>
      </c>
      <c r="F16" s="5">
        <v>851</v>
      </c>
      <c r="G16" s="5">
        <v>910</v>
      </c>
      <c r="H16" s="5">
        <v>918</v>
      </c>
      <c r="I16" s="5">
        <f>3639-H16-G16-F16</f>
        <v>960</v>
      </c>
      <c r="J16" s="5">
        <v>870</v>
      </c>
      <c r="K16" s="5">
        <v>919</v>
      </c>
      <c r="L16" s="5">
        <v>955</v>
      </c>
      <c r="M16" s="5">
        <f>3757-L16-K16-J16</f>
        <v>1013</v>
      </c>
      <c r="N16" s="5">
        <v>922</v>
      </c>
      <c r="O16" s="5">
        <v>964</v>
      </c>
      <c r="P16" s="5">
        <v>981</v>
      </c>
      <c r="Q16" s="5">
        <f>3900-P16-O16-N16</f>
        <v>1033</v>
      </c>
      <c r="R16" s="5">
        <v>894</v>
      </c>
      <c r="S16" s="5">
        <v>931</v>
      </c>
      <c r="T16" s="5">
        <v>942</v>
      </c>
      <c r="U16" s="5">
        <f>3748-T16-S16-R16</f>
        <v>981</v>
      </c>
      <c r="V16" s="5">
        <v>892</v>
      </c>
      <c r="W16" s="5">
        <v>936</v>
      </c>
    </row>
    <row r="17" spans="1:24" hidden="1" x14ac:dyDescent="0.2">
      <c r="A17" s="25" t="s">
        <v>80</v>
      </c>
      <c r="B17" s="5">
        <v>676</v>
      </c>
      <c r="C17" s="5">
        <v>681</v>
      </c>
      <c r="D17" s="5">
        <v>652</v>
      </c>
      <c r="E17" s="5">
        <f>2669-D17-C17-B17</f>
        <v>660</v>
      </c>
      <c r="F17" s="5">
        <v>634</v>
      </c>
      <c r="G17" s="5">
        <v>689</v>
      </c>
      <c r="H17" s="5">
        <v>701</v>
      </c>
      <c r="I17" s="5">
        <f>2799-H17-G17-F17</f>
        <v>775</v>
      </c>
      <c r="J17" s="5">
        <v>690</v>
      </c>
      <c r="K17" s="5">
        <v>612</v>
      </c>
      <c r="L17" s="5">
        <v>680</v>
      </c>
      <c r="M17" s="5">
        <f>2735-L17-K17-J17</f>
        <v>753</v>
      </c>
      <c r="N17" s="5">
        <v>652</v>
      </c>
      <c r="O17" s="5">
        <v>697</v>
      </c>
      <c r="P17" s="5">
        <v>747</v>
      </c>
      <c r="Q17" s="5">
        <f>2880-P17-O17-N17</f>
        <v>784</v>
      </c>
      <c r="R17" s="5">
        <v>706</v>
      </c>
      <c r="S17" s="5">
        <v>710</v>
      </c>
      <c r="T17" s="5">
        <v>725</v>
      </c>
      <c r="U17" s="5">
        <f>2886-T17-S17-R17</f>
        <v>745</v>
      </c>
      <c r="V17" s="5">
        <v>687</v>
      </c>
      <c r="W17" s="5">
        <v>761</v>
      </c>
    </row>
    <row r="18" spans="1:24" hidden="1" x14ac:dyDescent="0.2">
      <c r="A18" s="13" t="s">
        <v>34</v>
      </c>
      <c r="B18" s="5">
        <v>496</v>
      </c>
      <c r="C18" s="5">
        <v>537</v>
      </c>
      <c r="D18" s="5">
        <v>519</v>
      </c>
      <c r="E18" s="5">
        <f>2092-D18-C18-B18</f>
        <v>540</v>
      </c>
      <c r="F18" s="5">
        <v>509</v>
      </c>
      <c r="G18" s="5">
        <v>539</v>
      </c>
      <c r="H18" s="5">
        <v>527</v>
      </c>
      <c r="I18" s="5">
        <f>2155-H18-G18-F18</f>
        <v>580</v>
      </c>
      <c r="J18" s="5">
        <v>527</v>
      </c>
      <c r="K18" s="5">
        <v>485</v>
      </c>
      <c r="L18" s="5">
        <v>540</v>
      </c>
      <c r="M18" s="5">
        <f>2123-L18-K18-J18</f>
        <v>571</v>
      </c>
      <c r="N18" s="5">
        <v>552</v>
      </c>
      <c r="O18" s="5">
        <v>546</v>
      </c>
      <c r="P18" s="5">
        <v>589</v>
      </c>
      <c r="Q18" s="5">
        <f>2291-P18-O18-N18</f>
        <v>604</v>
      </c>
      <c r="R18" s="5">
        <v>521</v>
      </c>
      <c r="S18" s="5">
        <v>528</v>
      </c>
      <c r="T18" s="5">
        <v>525</v>
      </c>
      <c r="U18" s="5">
        <f>2126-T18-S18-R18</f>
        <v>552</v>
      </c>
      <c r="V18" s="5">
        <v>523</v>
      </c>
      <c r="W18" s="5">
        <v>550</v>
      </c>
    </row>
    <row r="19" spans="1:24" hidden="1" x14ac:dyDescent="0.2">
      <c r="A19" s="22" t="s">
        <v>68</v>
      </c>
      <c r="B19" s="5">
        <v>223</v>
      </c>
      <c r="C19" s="5">
        <v>221</v>
      </c>
      <c r="D19" s="5">
        <v>218</v>
      </c>
      <c r="E19" s="5">
        <f>877-D19-C19-B19</f>
        <v>215</v>
      </c>
      <c r="F19" s="5">
        <v>205</v>
      </c>
      <c r="G19" s="5">
        <v>215</v>
      </c>
      <c r="H19" s="5">
        <v>219</v>
      </c>
      <c r="I19" s="5">
        <f>872-H19-G19-F19</f>
        <v>233</v>
      </c>
      <c r="J19" s="5">
        <v>220</v>
      </c>
      <c r="K19" s="5">
        <v>219</v>
      </c>
      <c r="L19" s="5">
        <v>237</v>
      </c>
      <c r="M19" s="5">
        <f>922-L19-K19-J19</f>
        <v>246</v>
      </c>
      <c r="N19" s="5">
        <v>234</v>
      </c>
      <c r="O19" s="5">
        <v>237</v>
      </c>
      <c r="P19" s="5">
        <v>244</v>
      </c>
      <c r="Q19" s="5">
        <f>964-P19-O19-N19</f>
        <v>249</v>
      </c>
      <c r="R19" s="5">
        <v>227</v>
      </c>
      <c r="S19" s="5">
        <v>230</v>
      </c>
      <c r="T19" s="5">
        <v>231</v>
      </c>
      <c r="U19" s="5">
        <f>931-T19-S19-R19</f>
        <v>243</v>
      </c>
      <c r="V19" s="5">
        <v>224</v>
      </c>
      <c r="W19" s="5">
        <v>243</v>
      </c>
    </row>
    <row r="20" spans="1:24" hidden="1" x14ac:dyDescent="0.2">
      <c r="A20" s="25" t="s">
        <v>79</v>
      </c>
      <c r="B20" s="5">
        <v>182</v>
      </c>
      <c r="C20" s="5">
        <v>204</v>
      </c>
      <c r="D20" s="5">
        <v>200</v>
      </c>
      <c r="E20" s="5">
        <f>800-D20-C20-B20</f>
        <v>214</v>
      </c>
      <c r="F20" s="5">
        <v>198</v>
      </c>
      <c r="G20" s="5">
        <v>232</v>
      </c>
      <c r="H20" s="5">
        <v>216</v>
      </c>
      <c r="I20" s="5">
        <f>877-H20-G20-F20</f>
        <v>231</v>
      </c>
      <c r="J20" s="5">
        <v>224</v>
      </c>
      <c r="K20" s="5">
        <v>168</v>
      </c>
      <c r="L20" s="5">
        <v>236</v>
      </c>
      <c r="M20" s="5">
        <f>888-L20-K20-J20</f>
        <v>260</v>
      </c>
      <c r="N20" s="5">
        <v>217</v>
      </c>
      <c r="O20" s="5">
        <v>256</v>
      </c>
      <c r="P20" s="5">
        <v>249</v>
      </c>
      <c r="Q20" s="5">
        <f>977-P20-O20-N20</f>
        <v>255</v>
      </c>
      <c r="R20" s="5">
        <v>228</v>
      </c>
      <c r="S20" s="5">
        <v>263</v>
      </c>
      <c r="T20" s="5">
        <v>247</v>
      </c>
      <c r="U20" s="5">
        <f>998-T20-S20-R20</f>
        <v>260</v>
      </c>
      <c r="V20" s="5">
        <v>246</v>
      </c>
      <c r="W20" s="5">
        <v>272</v>
      </c>
    </row>
    <row r="21" spans="1:24" hidden="1" x14ac:dyDescent="0.2">
      <c r="A21" s="25" t="s">
        <v>78</v>
      </c>
      <c r="B21" s="5">
        <v>129</v>
      </c>
      <c r="C21" s="5">
        <v>129</v>
      </c>
      <c r="D21" s="5">
        <v>122</v>
      </c>
      <c r="E21" s="5">
        <f>517-D21-C21-B21</f>
        <v>137</v>
      </c>
      <c r="F21" s="5">
        <v>128</v>
      </c>
      <c r="G21" s="5">
        <v>133</v>
      </c>
      <c r="H21" s="5">
        <v>130</v>
      </c>
      <c r="I21" s="5">
        <f>535-H21-G21-F21</f>
        <v>144</v>
      </c>
      <c r="J21" s="5">
        <v>156</v>
      </c>
      <c r="K21" s="5">
        <v>186</v>
      </c>
      <c r="L21" s="5">
        <v>177</v>
      </c>
      <c r="M21" s="5">
        <f>740-L21-K21-J21</f>
        <v>221</v>
      </c>
      <c r="N21" s="5">
        <v>207</v>
      </c>
      <c r="O21" s="5">
        <v>188</v>
      </c>
      <c r="P21" s="5">
        <v>185</v>
      </c>
      <c r="Q21" s="5">
        <f>782-P21-O21-N21</f>
        <v>202</v>
      </c>
      <c r="R21" s="5">
        <v>188</v>
      </c>
      <c r="S21" s="5">
        <v>173</v>
      </c>
      <c r="T21" s="5">
        <v>158</v>
      </c>
      <c r="U21" s="5">
        <f>701-T21-S21-R21</f>
        <v>182</v>
      </c>
      <c r="V21" s="5">
        <v>180</v>
      </c>
      <c r="W21" s="5">
        <v>180</v>
      </c>
    </row>
    <row r="22" spans="1:24" hidden="1" x14ac:dyDescent="0.2">
      <c r="A22" s="22" t="s">
        <v>73</v>
      </c>
      <c r="B22" s="5">
        <v>0</v>
      </c>
      <c r="C22" s="5">
        <v>0</v>
      </c>
      <c r="D22" s="5">
        <v>0</v>
      </c>
      <c r="E22" s="5">
        <v>0</v>
      </c>
      <c r="F22" s="5">
        <v>0</v>
      </c>
      <c r="G22" s="5">
        <v>0</v>
      </c>
      <c r="H22" s="5">
        <v>0</v>
      </c>
      <c r="I22" s="5">
        <v>0</v>
      </c>
      <c r="J22" s="5">
        <v>0</v>
      </c>
      <c r="K22" s="5">
        <v>0</v>
      </c>
      <c r="L22" s="5">
        <v>0</v>
      </c>
      <c r="M22" s="5">
        <v>0</v>
      </c>
      <c r="N22" s="5">
        <v>135</v>
      </c>
      <c r="O22" s="5">
        <v>183</v>
      </c>
      <c r="P22" s="5">
        <v>206</v>
      </c>
      <c r="Q22" s="5">
        <f>669-P22-O22-N22</f>
        <v>145</v>
      </c>
      <c r="R22" s="5">
        <v>156</v>
      </c>
      <c r="S22" s="5">
        <v>163</v>
      </c>
      <c r="T22" s="5">
        <v>172</v>
      </c>
      <c r="U22" s="5">
        <f>644-T22-S22-R22</f>
        <v>153</v>
      </c>
      <c r="V22" s="5">
        <v>139</v>
      </c>
      <c r="W22" s="5">
        <v>0</v>
      </c>
    </row>
    <row r="23" spans="1:24" hidden="1" x14ac:dyDescent="0.2">
      <c r="A23" s="25" t="s">
        <v>76</v>
      </c>
      <c r="B23" s="5">
        <v>0</v>
      </c>
      <c r="C23" s="5">
        <v>0</v>
      </c>
      <c r="D23" s="5">
        <v>0</v>
      </c>
      <c r="E23" s="5">
        <v>0</v>
      </c>
      <c r="F23" s="5">
        <v>0</v>
      </c>
      <c r="G23" s="5">
        <v>0</v>
      </c>
      <c r="H23" s="5">
        <v>0</v>
      </c>
      <c r="I23" s="5">
        <v>0</v>
      </c>
      <c r="J23" s="5">
        <v>0</v>
      </c>
      <c r="K23" s="5">
        <v>0</v>
      </c>
      <c r="L23" s="5">
        <v>0</v>
      </c>
      <c r="M23" s="5">
        <v>0</v>
      </c>
      <c r="N23" s="5">
        <v>0</v>
      </c>
      <c r="O23" s="5">
        <v>0</v>
      </c>
      <c r="P23" s="5">
        <v>0</v>
      </c>
      <c r="Q23" s="5">
        <v>115</v>
      </c>
      <c r="R23" s="5">
        <v>383</v>
      </c>
      <c r="S23" s="5">
        <v>364</v>
      </c>
      <c r="T23" s="5">
        <v>380</v>
      </c>
      <c r="U23" s="5">
        <f>1487-T23-S23-R23</f>
        <v>360</v>
      </c>
      <c r="V23" s="5">
        <v>348</v>
      </c>
      <c r="W23" s="5">
        <v>359</v>
      </c>
    </row>
    <row r="24" spans="1:24" hidden="1" x14ac:dyDescent="0.2">
      <c r="A24" s="25" t="s">
        <v>77</v>
      </c>
      <c r="B24" s="5">
        <v>0</v>
      </c>
      <c r="C24" s="5">
        <v>0</v>
      </c>
      <c r="D24" s="5">
        <v>0</v>
      </c>
      <c r="E24" s="5">
        <v>0</v>
      </c>
      <c r="F24" s="5">
        <v>0</v>
      </c>
      <c r="G24" s="5">
        <v>0</v>
      </c>
      <c r="H24" s="5">
        <v>0</v>
      </c>
      <c r="I24" s="5">
        <v>0</v>
      </c>
      <c r="J24" s="5">
        <v>0</v>
      </c>
      <c r="K24" s="5">
        <v>0</v>
      </c>
      <c r="L24" s="5">
        <v>0</v>
      </c>
      <c r="M24" s="5">
        <v>0</v>
      </c>
      <c r="N24" s="5">
        <v>0</v>
      </c>
      <c r="O24" s="5">
        <v>0</v>
      </c>
      <c r="P24" s="5">
        <v>0</v>
      </c>
      <c r="Q24" s="5">
        <v>70</v>
      </c>
      <c r="R24" s="5">
        <v>294</v>
      </c>
      <c r="S24" s="5">
        <v>282</v>
      </c>
      <c r="T24" s="5">
        <v>279</v>
      </c>
      <c r="U24" s="5">
        <f>1148-T24-S24-R24</f>
        <v>293</v>
      </c>
      <c r="V24" s="5">
        <v>302</v>
      </c>
      <c r="W24" s="5">
        <v>307</v>
      </c>
    </row>
    <row r="25" spans="1:24" hidden="1" x14ac:dyDescent="0.2">
      <c r="A25" s="25" t="s">
        <v>87</v>
      </c>
      <c r="B25" s="5">
        <v>0</v>
      </c>
      <c r="C25" s="5">
        <v>0</v>
      </c>
      <c r="D25" s="5">
        <v>0</v>
      </c>
      <c r="E25" s="5">
        <v>0</v>
      </c>
      <c r="F25" s="5">
        <v>0</v>
      </c>
      <c r="G25" s="5">
        <v>0</v>
      </c>
      <c r="H25" s="5">
        <v>0</v>
      </c>
      <c r="I25" s="5">
        <v>0</v>
      </c>
      <c r="J25" s="5">
        <v>0</v>
      </c>
      <c r="K25" s="5">
        <v>0</v>
      </c>
      <c r="L25" s="5">
        <v>0</v>
      </c>
      <c r="M25" s="5">
        <v>0</v>
      </c>
      <c r="N25" s="5">
        <v>0</v>
      </c>
      <c r="O25" s="5">
        <v>0</v>
      </c>
      <c r="P25" s="5">
        <v>0</v>
      </c>
      <c r="Q25" s="5">
        <v>27</v>
      </c>
      <c r="R25" s="5">
        <v>78</v>
      </c>
      <c r="S25" s="5">
        <v>69</v>
      </c>
      <c r="T25" s="5">
        <v>76</v>
      </c>
      <c r="U25" s="5">
        <f>304-T25-S25-R25</f>
        <v>81</v>
      </c>
      <c r="V25" s="5">
        <v>81</v>
      </c>
      <c r="W25" s="5">
        <v>77</v>
      </c>
    </row>
    <row r="26" spans="1:24" x14ac:dyDescent="0.2">
      <c r="A26" s="13" t="s">
        <v>35</v>
      </c>
      <c r="B26" s="5">
        <v>103</v>
      </c>
      <c r="C26" s="5">
        <v>139</v>
      </c>
      <c r="D26" s="5">
        <v>146</v>
      </c>
      <c r="E26" s="5">
        <f>510-D26-C26-B26</f>
        <v>122</v>
      </c>
      <c r="F26" s="5">
        <v>107</v>
      </c>
      <c r="G26" s="5">
        <v>122</v>
      </c>
      <c r="H26" s="5">
        <v>140</v>
      </c>
      <c r="I26" s="5">
        <f>485-H26-G26-F26</f>
        <v>116</v>
      </c>
      <c r="J26" s="5">
        <v>115</v>
      </c>
      <c r="K26" s="5">
        <v>129</v>
      </c>
      <c r="L26" s="5">
        <v>147</v>
      </c>
      <c r="M26" s="5">
        <f>508-L26-K26-J26</f>
        <v>117</v>
      </c>
      <c r="N26" s="5">
        <v>27</v>
      </c>
      <c r="O26" s="5">
        <v>27</v>
      </c>
      <c r="P26" s="5">
        <v>25</v>
      </c>
      <c r="Q26" s="5">
        <f>109-P26-O26-N26</f>
        <v>30</v>
      </c>
      <c r="R26" s="5">
        <v>32</v>
      </c>
      <c r="S26" s="5">
        <v>33</v>
      </c>
      <c r="T26" s="5">
        <v>38</v>
      </c>
      <c r="U26" s="5">
        <f>140-T26-S26-R26</f>
        <v>37</v>
      </c>
      <c r="V26" s="5">
        <v>27</v>
      </c>
      <c r="W26" s="5">
        <v>22</v>
      </c>
      <c r="X26" s="5">
        <v>17</v>
      </c>
    </row>
    <row r="27" spans="1:24" s="11" customFormat="1" x14ac:dyDescent="0.2">
      <c r="A27" s="14" t="s">
        <v>36</v>
      </c>
      <c r="B27" s="11">
        <f t="shared" ref="B27:X27" si="23">SUM(B16:B26)</f>
        <v>2677</v>
      </c>
      <c r="C27" s="11">
        <f t="shared" si="23"/>
        <v>2842</v>
      </c>
      <c r="D27" s="11">
        <f t="shared" si="23"/>
        <v>2767</v>
      </c>
      <c r="E27" s="11">
        <f t="shared" si="23"/>
        <v>2841</v>
      </c>
      <c r="F27" s="11">
        <f t="shared" si="23"/>
        <v>2632</v>
      </c>
      <c r="G27" s="11">
        <f t="shared" si="23"/>
        <v>2840</v>
      </c>
      <c r="H27" s="11">
        <f t="shared" si="23"/>
        <v>2851</v>
      </c>
      <c r="I27" s="11">
        <f t="shared" si="23"/>
        <v>3039</v>
      </c>
      <c r="J27" s="11">
        <f t="shared" si="23"/>
        <v>2802</v>
      </c>
      <c r="K27" s="11">
        <f t="shared" si="23"/>
        <v>2718</v>
      </c>
      <c r="L27" s="11">
        <f t="shared" si="23"/>
        <v>2972</v>
      </c>
      <c r="M27" s="11">
        <f t="shared" si="23"/>
        <v>3181</v>
      </c>
      <c r="N27" s="11">
        <f t="shared" si="23"/>
        <v>2946</v>
      </c>
      <c r="O27" s="11">
        <f t="shared" si="23"/>
        <v>3098</v>
      </c>
      <c r="P27" s="11">
        <f t="shared" si="23"/>
        <v>3226</v>
      </c>
      <c r="Q27" s="11">
        <f t="shared" si="23"/>
        <v>3514</v>
      </c>
      <c r="R27" s="11">
        <f t="shared" si="23"/>
        <v>3707</v>
      </c>
      <c r="S27" s="11">
        <f t="shared" si="23"/>
        <v>3746</v>
      </c>
      <c r="T27" s="11">
        <f>SUM(T16:T26)</f>
        <v>3773</v>
      </c>
      <c r="U27" s="11">
        <f>SUM(U16:U26)</f>
        <v>3887</v>
      </c>
      <c r="V27" s="11">
        <f t="shared" si="23"/>
        <v>3649</v>
      </c>
      <c r="W27" s="11">
        <f>SUM(W12:W26)</f>
        <v>3707</v>
      </c>
      <c r="X27" s="11">
        <f>SUM(X12:X26)</f>
        <v>3708</v>
      </c>
    </row>
    <row r="29" spans="1:24" s="11" customFormat="1" x14ac:dyDescent="0.2">
      <c r="A29" s="10" t="s">
        <v>37</v>
      </c>
      <c r="B29" s="11">
        <v>1563</v>
      </c>
      <c r="C29" s="11">
        <v>1603</v>
      </c>
      <c r="D29" s="11">
        <v>1531</v>
      </c>
      <c r="E29" s="11">
        <f>6346-D29-C29-B29</f>
        <v>1649</v>
      </c>
      <c r="F29" s="11">
        <v>1552</v>
      </c>
      <c r="G29" s="11">
        <v>1681</v>
      </c>
      <c r="H29" s="11">
        <v>1621</v>
      </c>
      <c r="I29" s="11">
        <f>6601-H29-G29-F29</f>
        <v>1747</v>
      </c>
      <c r="J29" s="11">
        <v>1639</v>
      </c>
      <c r="K29" s="11">
        <v>1680</v>
      </c>
      <c r="L29" s="11">
        <v>1777</v>
      </c>
      <c r="M29" s="11">
        <f>7086-L29-K29-J29</f>
        <v>1990</v>
      </c>
      <c r="N29" s="11">
        <v>1801</v>
      </c>
      <c r="O29" s="11">
        <v>1865</v>
      </c>
      <c r="P29" s="11">
        <v>1905</v>
      </c>
      <c r="Q29" s="11">
        <f>7679-P29-O29-N29</f>
        <v>2108</v>
      </c>
      <c r="R29" s="11">
        <v>2359</v>
      </c>
      <c r="S29" s="11">
        <v>2293</v>
      </c>
      <c r="T29" s="11">
        <v>2640</v>
      </c>
      <c r="U29" s="11">
        <f>9716-T29-S29-R29</f>
        <v>2424</v>
      </c>
      <c r="V29" s="11">
        <v>2302</v>
      </c>
      <c r="W29" s="11">
        <v>2596</v>
      </c>
      <c r="X29" s="11">
        <v>2591</v>
      </c>
    </row>
    <row r="30" spans="1:24" s="11" customFormat="1" x14ac:dyDescent="0.2">
      <c r="A30" s="10" t="s">
        <v>38</v>
      </c>
      <c r="B30" s="11">
        <f>B27-B29</f>
        <v>1114</v>
      </c>
      <c r="C30" s="11">
        <f>C27-C29</f>
        <v>1239</v>
      </c>
      <c r="D30" s="11">
        <f t="shared" ref="D30:E30" si="24">D27-D29</f>
        <v>1236</v>
      </c>
      <c r="E30" s="11">
        <f t="shared" si="24"/>
        <v>1192</v>
      </c>
      <c r="F30" s="11">
        <f t="shared" ref="F30" si="25">F27-F29</f>
        <v>1080</v>
      </c>
      <c r="G30" s="11">
        <f t="shared" ref="G30" si="26">G27-G29</f>
        <v>1159</v>
      </c>
      <c r="H30" s="11">
        <f t="shared" ref="H30" si="27">H27-H29</f>
        <v>1230</v>
      </c>
      <c r="I30" s="11">
        <f t="shared" ref="I30" si="28">I27-I29</f>
        <v>1292</v>
      </c>
      <c r="J30" s="11">
        <f t="shared" ref="J30" si="29">J27-J29</f>
        <v>1163</v>
      </c>
      <c r="K30" s="11">
        <f t="shared" ref="K30" si="30">K27-K29</f>
        <v>1038</v>
      </c>
      <c r="L30" s="11">
        <f t="shared" ref="L30" si="31">L27-L29</f>
        <v>1195</v>
      </c>
      <c r="M30" s="11">
        <f t="shared" ref="M30" si="32">M27-M29</f>
        <v>1191</v>
      </c>
      <c r="N30" s="11">
        <f t="shared" ref="N30" si="33">N27-N29</f>
        <v>1145</v>
      </c>
      <c r="O30" s="11">
        <f t="shared" ref="O30" si="34">O27-O29</f>
        <v>1233</v>
      </c>
      <c r="P30" s="11">
        <f t="shared" ref="P30" si="35">P27-P29</f>
        <v>1321</v>
      </c>
      <c r="Q30" s="11">
        <f t="shared" ref="Q30" si="36">Q27-Q29</f>
        <v>1406</v>
      </c>
      <c r="R30" s="11">
        <f t="shared" ref="R30" si="37">R27-R29</f>
        <v>1348</v>
      </c>
      <c r="S30" s="11">
        <f t="shared" ref="S30" si="38">S27-S29</f>
        <v>1453</v>
      </c>
      <c r="T30" s="11">
        <f>T27-T29</f>
        <v>1133</v>
      </c>
      <c r="U30" s="11">
        <f t="shared" ref="U30" si="39">U27-U29</f>
        <v>1463</v>
      </c>
      <c r="V30" s="11">
        <f t="shared" ref="V30" si="40">V27-V29</f>
        <v>1347</v>
      </c>
      <c r="W30" s="11">
        <f t="shared" ref="W30" si="41">W27-W29</f>
        <v>1111</v>
      </c>
      <c r="X30" s="11">
        <f t="shared" ref="X30" si="42">X27-X29</f>
        <v>1117</v>
      </c>
    </row>
    <row r="32" spans="1:24" x14ac:dyDescent="0.2">
      <c r="A32" s="10" t="s">
        <v>39</v>
      </c>
    </row>
    <row r="33" spans="1:24" x14ac:dyDescent="0.2">
      <c r="A33" s="22" t="s">
        <v>72</v>
      </c>
      <c r="B33" s="5">
        <v>622</v>
      </c>
      <c r="C33" s="5">
        <v>681</v>
      </c>
      <c r="D33" s="5">
        <v>685</v>
      </c>
      <c r="E33" s="5">
        <f>2617-D33-C33-B33</f>
        <v>629</v>
      </c>
      <c r="F33" s="5">
        <v>600</v>
      </c>
      <c r="G33" s="5">
        <v>642</v>
      </c>
      <c r="H33" s="5">
        <v>627</v>
      </c>
      <c r="I33" s="21">
        <f>2535-H33-G33-F33</f>
        <v>666</v>
      </c>
      <c r="J33" s="5">
        <v>628</v>
      </c>
      <c r="K33" s="5">
        <v>590</v>
      </c>
      <c r="L33" s="5">
        <v>601</v>
      </c>
      <c r="M33" s="5">
        <f>2469-L33-K33-J33</f>
        <v>650</v>
      </c>
      <c r="N33" s="5">
        <v>627</v>
      </c>
      <c r="O33" s="5">
        <v>675</v>
      </c>
      <c r="P33" s="5">
        <v>680</v>
      </c>
      <c r="Q33" s="5">
        <f>2867-P33-O33-N33</f>
        <v>885</v>
      </c>
      <c r="R33" s="5">
        <v>1052</v>
      </c>
      <c r="S33" s="5">
        <v>976</v>
      </c>
      <c r="T33" s="5">
        <v>947</v>
      </c>
      <c r="U33" s="5">
        <f>3887-T33-S33-R33</f>
        <v>912</v>
      </c>
      <c r="V33" s="5">
        <v>1010</v>
      </c>
      <c r="W33" s="5">
        <v>964</v>
      </c>
      <c r="X33" s="5">
        <v>1002</v>
      </c>
    </row>
    <row r="34" spans="1:24" x14ac:dyDescent="0.2">
      <c r="A34" s="13" t="s">
        <v>40</v>
      </c>
      <c r="B34" s="5">
        <v>140</v>
      </c>
      <c r="C34" s="5">
        <v>174</v>
      </c>
      <c r="D34" s="5">
        <v>166</v>
      </c>
      <c r="E34" s="5">
        <f>655-D34-C34-B34</f>
        <v>175</v>
      </c>
      <c r="F34" s="5">
        <v>129</v>
      </c>
      <c r="G34" s="5">
        <v>166</v>
      </c>
      <c r="H34" s="5">
        <v>144</v>
      </c>
      <c r="I34" s="21">
        <f>595-H34-G34-F34</f>
        <v>156</v>
      </c>
      <c r="J34" s="5">
        <v>146</v>
      </c>
      <c r="K34" s="5">
        <v>117</v>
      </c>
      <c r="L34" s="5">
        <v>123</v>
      </c>
      <c r="M34" s="5">
        <f>521-L34-K34-J34</f>
        <v>135</v>
      </c>
      <c r="N34" s="5">
        <v>128</v>
      </c>
      <c r="O34" s="5">
        <v>139</v>
      </c>
      <c r="P34" s="5">
        <v>129</v>
      </c>
      <c r="Q34" s="5">
        <f>534-P34-O34-N34</f>
        <v>138</v>
      </c>
      <c r="R34" s="5">
        <v>150</v>
      </c>
      <c r="S34" s="5">
        <v>148</v>
      </c>
      <c r="T34" s="5">
        <v>152</v>
      </c>
      <c r="U34" s="5">
        <f>605-T34-S34-R34</f>
        <v>155</v>
      </c>
      <c r="V34" s="5">
        <v>164</v>
      </c>
      <c r="W34" s="5">
        <v>165</v>
      </c>
      <c r="X34" s="5">
        <v>166</v>
      </c>
    </row>
    <row r="35" spans="1:24" x14ac:dyDescent="0.2">
      <c r="A35" s="25" t="s">
        <v>82</v>
      </c>
      <c r="B35" s="5">
        <v>0</v>
      </c>
      <c r="C35" s="5">
        <v>0</v>
      </c>
      <c r="D35" s="5">
        <v>0</v>
      </c>
      <c r="E35" s="5">
        <v>0</v>
      </c>
      <c r="F35" s="5">
        <v>0</v>
      </c>
      <c r="G35" s="5">
        <v>0</v>
      </c>
      <c r="H35" s="5">
        <v>0</v>
      </c>
      <c r="I35" s="21">
        <v>0</v>
      </c>
      <c r="J35" s="5">
        <v>0</v>
      </c>
      <c r="K35" s="5">
        <v>0</v>
      </c>
      <c r="L35" s="5">
        <v>0</v>
      </c>
      <c r="M35" s="5">
        <v>0</v>
      </c>
      <c r="N35" s="5">
        <v>0</v>
      </c>
      <c r="O35" s="5">
        <v>0</v>
      </c>
      <c r="P35" s="5">
        <v>0</v>
      </c>
      <c r="Q35" s="5">
        <v>0</v>
      </c>
      <c r="R35" s="5">
        <v>0</v>
      </c>
      <c r="S35" s="5">
        <v>0</v>
      </c>
      <c r="T35" s="5">
        <v>2785</v>
      </c>
      <c r="U35" s="5">
        <f>2812-T35-S35-R35</f>
        <v>27</v>
      </c>
      <c r="V35" s="5">
        <v>0</v>
      </c>
      <c r="W35" s="5">
        <v>0</v>
      </c>
      <c r="X35" s="5">
        <v>0</v>
      </c>
    </row>
    <row r="36" spans="1:24" x14ac:dyDescent="0.2">
      <c r="A36" s="25" t="s">
        <v>35</v>
      </c>
      <c r="B36" s="5">
        <v>-80</v>
      </c>
      <c r="C36" s="5">
        <v>0</v>
      </c>
      <c r="D36" s="5">
        <v>0</v>
      </c>
      <c r="E36" s="5">
        <f>-90-D36-C36-B36</f>
        <v>-10</v>
      </c>
      <c r="F36" s="5">
        <v>-33</v>
      </c>
      <c r="G36" s="5">
        <v>-4</v>
      </c>
      <c r="H36" s="5">
        <v>-44</v>
      </c>
      <c r="I36" s="21">
        <f>-141-H36-G36-F36</f>
        <v>-60</v>
      </c>
      <c r="J36" s="5">
        <v>-20</v>
      </c>
      <c r="K36" s="5">
        <v>0</v>
      </c>
      <c r="L36" s="5">
        <v>1</v>
      </c>
      <c r="M36" s="5">
        <f>-19-L36-K36-J36</f>
        <v>0</v>
      </c>
      <c r="N36" s="5">
        <v>0</v>
      </c>
      <c r="O36" s="5">
        <v>-5</v>
      </c>
      <c r="P36" s="5">
        <v>-1</v>
      </c>
      <c r="Q36" s="5">
        <f>-6-P36-O36-N36</f>
        <v>0</v>
      </c>
      <c r="R36" s="5">
        <v>-17</v>
      </c>
      <c r="S36" s="5">
        <v>-11</v>
      </c>
      <c r="T36" s="5">
        <v>48</v>
      </c>
      <c r="U36" s="5">
        <f>36-T36-S36-R36</f>
        <v>16</v>
      </c>
      <c r="V36" s="5">
        <v>-13</v>
      </c>
      <c r="W36" s="5">
        <v>-1</v>
      </c>
      <c r="X36" s="5">
        <v>0</v>
      </c>
    </row>
    <row r="37" spans="1:24" s="11" customFormat="1" x14ac:dyDescent="0.2">
      <c r="A37" s="14" t="s">
        <v>41</v>
      </c>
      <c r="B37" s="11">
        <f>SUM(B33:B36)</f>
        <v>682</v>
      </c>
      <c r="C37" s="11">
        <f>SUM(C33:C36)</f>
        <v>855</v>
      </c>
      <c r="D37" s="11">
        <f t="shared" ref="D37:E37" si="43">SUM(D33:D36)</f>
        <v>851</v>
      </c>
      <c r="E37" s="11">
        <f t="shared" si="43"/>
        <v>794</v>
      </c>
      <c r="F37" s="11">
        <f t="shared" ref="F37" si="44">SUM(F33:F36)</f>
        <v>696</v>
      </c>
      <c r="G37" s="11">
        <f t="shared" ref="G37" si="45">SUM(G33:G36)</f>
        <v>804</v>
      </c>
      <c r="H37" s="11">
        <f t="shared" ref="H37" si="46">SUM(H33:H36)</f>
        <v>727</v>
      </c>
      <c r="I37" s="11">
        <f t="shared" ref="I37" si="47">SUM(I33:I36)</f>
        <v>762</v>
      </c>
      <c r="J37" s="11">
        <f t="shared" ref="J37" si="48">SUM(J33:J36)</f>
        <v>754</v>
      </c>
      <c r="K37" s="11">
        <f t="shared" ref="K37" si="49">SUM(K33:K36)</f>
        <v>707</v>
      </c>
      <c r="L37" s="11">
        <f t="shared" ref="L37" si="50">SUM(L33:L36)</f>
        <v>725</v>
      </c>
      <c r="M37" s="11">
        <f t="shared" ref="M37" si="51">SUM(M33:M36)</f>
        <v>785</v>
      </c>
      <c r="N37" s="11">
        <f t="shared" ref="N37" si="52">SUM(N33:N36)</f>
        <v>755</v>
      </c>
      <c r="O37" s="11">
        <f t="shared" ref="O37" si="53">SUM(O33:O36)</f>
        <v>809</v>
      </c>
      <c r="P37" s="11">
        <f t="shared" ref="P37" si="54">SUM(P33:P36)</f>
        <v>808</v>
      </c>
      <c r="Q37" s="11">
        <f t="shared" ref="Q37" si="55">SUM(Q33:Q36)</f>
        <v>1023</v>
      </c>
      <c r="R37" s="11">
        <f t="shared" ref="R37" si="56">SUM(R33:R36)</f>
        <v>1185</v>
      </c>
      <c r="S37" s="11">
        <f t="shared" ref="S37" si="57">SUM(S33:S36)</f>
        <v>1113</v>
      </c>
      <c r="T37" s="11">
        <f t="shared" ref="T37" si="58">SUM(T33:T36)</f>
        <v>3932</v>
      </c>
      <c r="U37" s="11">
        <f t="shared" ref="U37" si="59">SUM(U33:U36)</f>
        <v>1110</v>
      </c>
      <c r="V37" s="11">
        <f t="shared" ref="V37" si="60">SUM(V33:V36)</f>
        <v>1161</v>
      </c>
      <c r="W37" s="11">
        <f t="shared" ref="W37" si="61">SUM(W33:W36)</f>
        <v>1128</v>
      </c>
      <c r="X37" s="11">
        <f t="shared" ref="X37" si="62">SUM(X33:X36)</f>
        <v>1168</v>
      </c>
    </row>
    <row r="39" spans="1:24" x14ac:dyDescent="0.2">
      <c r="A39" s="9" t="s">
        <v>42</v>
      </c>
      <c r="B39" s="5">
        <f>B30-B37</f>
        <v>432</v>
      </c>
      <c r="C39" s="5">
        <f>C30-C37</f>
        <v>384</v>
      </c>
      <c r="D39" s="21">
        <f t="shared" ref="D39:E39" si="63">D30-D37</f>
        <v>385</v>
      </c>
      <c r="E39" s="11">
        <f t="shared" si="63"/>
        <v>398</v>
      </c>
      <c r="F39" s="11">
        <f t="shared" ref="F39:X39" si="64">F30-F37</f>
        <v>384</v>
      </c>
      <c r="G39" s="11">
        <f t="shared" si="64"/>
        <v>355</v>
      </c>
      <c r="H39" s="11">
        <f t="shared" si="64"/>
        <v>503</v>
      </c>
      <c r="I39" s="11">
        <f t="shared" si="64"/>
        <v>530</v>
      </c>
      <c r="J39" s="11">
        <f t="shared" si="64"/>
        <v>409</v>
      </c>
      <c r="K39" s="11">
        <f t="shared" si="64"/>
        <v>331</v>
      </c>
      <c r="L39" s="11">
        <f t="shared" si="64"/>
        <v>470</v>
      </c>
      <c r="M39" s="11">
        <f t="shared" si="64"/>
        <v>406</v>
      </c>
      <c r="N39" s="11">
        <f t="shared" si="64"/>
        <v>390</v>
      </c>
      <c r="O39" s="11">
        <f t="shared" si="64"/>
        <v>424</v>
      </c>
      <c r="P39" s="11">
        <f t="shared" si="64"/>
        <v>513</v>
      </c>
      <c r="Q39" s="11">
        <f t="shared" si="64"/>
        <v>383</v>
      </c>
      <c r="R39" s="11">
        <f t="shared" si="64"/>
        <v>163</v>
      </c>
      <c r="S39" s="11">
        <f t="shared" si="64"/>
        <v>340</v>
      </c>
      <c r="T39" s="11">
        <f t="shared" si="64"/>
        <v>-2799</v>
      </c>
      <c r="U39" s="11">
        <f t="shared" si="64"/>
        <v>353</v>
      </c>
      <c r="V39" s="11">
        <f t="shared" si="64"/>
        <v>186</v>
      </c>
      <c r="W39" s="11">
        <f t="shared" si="64"/>
        <v>-17</v>
      </c>
      <c r="X39" s="11">
        <f t="shared" si="64"/>
        <v>-51</v>
      </c>
    </row>
    <row r="40" spans="1:24" x14ac:dyDescent="0.2">
      <c r="A40" s="9" t="s">
        <v>43</v>
      </c>
      <c r="B40" s="5">
        <v>12</v>
      </c>
      <c r="C40" s="5">
        <v>11</v>
      </c>
      <c r="D40" s="5">
        <v>11</v>
      </c>
      <c r="E40" s="5">
        <f>45-D40-C40-B40</f>
        <v>11</v>
      </c>
      <c r="F40" s="5">
        <v>18</v>
      </c>
      <c r="G40" s="21">
        <v>20</v>
      </c>
      <c r="H40" s="5">
        <v>13</v>
      </c>
      <c r="I40" s="5">
        <f>71-G40-H40-F40</f>
        <v>20</v>
      </c>
      <c r="J40" s="5">
        <v>21</v>
      </c>
      <c r="K40" s="5">
        <v>36</v>
      </c>
      <c r="L40" s="5">
        <v>39</v>
      </c>
      <c r="M40" s="5">
        <f>134-L40-K40-J40</f>
        <v>38</v>
      </c>
      <c r="N40" s="5">
        <v>34</v>
      </c>
      <c r="O40" s="5">
        <v>34</v>
      </c>
      <c r="P40" s="5">
        <v>50</v>
      </c>
      <c r="Q40" s="5">
        <f>192-P40-O40-N40</f>
        <v>74</v>
      </c>
      <c r="R40" s="5">
        <v>85</v>
      </c>
      <c r="S40" s="5">
        <v>89</v>
      </c>
      <c r="T40" s="5">
        <v>104</v>
      </c>
      <c r="U40" s="5">
        <f>395-T40-S40-R40</f>
        <v>117</v>
      </c>
      <c r="V40" s="5">
        <v>117</v>
      </c>
      <c r="W40" s="5">
        <v>124</v>
      </c>
      <c r="X40" s="5">
        <v>128</v>
      </c>
    </row>
    <row r="41" spans="1:24" x14ac:dyDescent="0.2">
      <c r="A41" s="9" t="s">
        <v>44</v>
      </c>
      <c r="B41" s="5">
        <v>-18</v>
      </c>
      <c r="C41" s="5">
        <v>-31</v>
      </c>
      <c r="D41" s="5">
        <v>-32</v>
      </c>
      <c r="E41" s="5">
        <f>-139-D41-C41-B41</f>
        <v>-58</v>
      </c>
      <c r="F41" s="5">
        <v>-25</v>
      </c>
      <c r="G41" s="5">
        <v>-28</v>
      </c>
      <c r="H41" s="5">
        <v>9</v>
      </c>
      <c r="I41" s="5">
        <f>731-G41-H41-F41</f>
        <v>775</v>
      </c>
      <c r="J41" s="5">
        <v>10</v>
      </c>
      <c r="K41" s="5">
        <v>6</v>
      </c>
      <c r="L41" s="5">
        <v>16</v>
      </c>
      <c r="M41" s="5">
        <f>190-L41-K41-J41</f>
        <v>158</v>
      </c>
      <c r="N41" s="5">
        <v>5</v>
      </c>
      <c r="O41" s="5">
        <v>-2</v>
      </c>
      <c r="P41" s="5">
        <v>12</v>
      </c>
      <c r="Q41" s="5">
        <f>41-P41-O41-N41</f>
        <v>26</v>
      </c>
      <c r="R41" s="5">
        <v>-16</v>
      </c>
      <c r="S41" s="5">
        <v>-44</v>
      </c>
      <c r="T41" s="5">
        <v>63</v>
      </c>
      <c r="U41" s="5">
        <f>15-T41-S41-R41</f>
        <v>12</v>
      </c>
      <c r="V41" s="5">
        <v>-1</v>
      </c>
      <c r="W41" s="5">
        <v>42</v>
      </c>
      <c r="X41" s="5">
        <v>-7</v>
      </c>
    </row>
    <row r="42" spans="1:24" x14ac:dyDescent="0.2">
      <c r="A42" s="13" t="s">
        <v>45</v>
      </c>
      <c r="B42" s="5">
        <f>B39-B40-B41</f>
        <v>438</v>
      </c>
      <c r="C42" s="21">
        <f>C39-C40-C41</f>
        <v>404</v>
      </c>
      <c r="D42" s="21">
        <f t="shared" ref="D42:E42" si="65">D39-D40-D41</f>
        <v>406</v>
      </c>
      <c r="E42" s="21">
        <f t="shared" si="65"/>
        <v>445</v>
      </c>
      <c r="F42" s="21">
        <f t="shared" ref="F42" si="66">F39-F40-F41</f>
        <v>391</v>
      </c>
      <c r="G42" s="21">
        <f t="shared" ref="G42" si="67">G39-G40-G41</f>
        <v>363</v>
      </c>
      <c r="H42" s="21">
        <f t="shared" ref="H42" si="68">H39-H40-H41</f>
        <v>481</v>
      </c>
      <c r="I42" s="21">
        <f t="shared" ref="I42" si="69">I39-I40-I41</f>
        <v>-265</v>
      </c>
      <c r="J42" s="21">
        <f t="shared" ref="J42" si="70">J39-J40-J41</f>
        <v>378</v>
      </c>
      <c r="K42" s="21">
        <f t="shared" ref="K42" si="71">K39-K40-K41</f>
        <v>289</v>
      </c>
      <c r="L42" s="21">
        <f t="shared" ref="L42" si="72">L39-L40-L41</f>
        <v>415</v>
      </c>
      <c r="M42" s="21">
        <f t="shared" ref="M42" si="73">M39-M40-M41</f>
        <v>210</v>
      </c>
      <c r="N42" s="21">
        <f t="shared" ref="N42" si="74">N39-N40-N41</f>
        <v>351</v>
      </c>
      <c r="O42" s="21">
        <f t="shared" ref="O42" si="75">O39-O40-O41</f>
        <v>392</v>
      </c>
      <c r="P42" s="21">
        <f t="shared" ref="P42" si="76">P39-P40-P41</f>
        <v>451</v>
      </c>
      <c r="Q42" s="21">
        <f t="shared" ref="Q42" si="77">Q39-Q40-Q41</f>
        <v>283</v>
      </c>
      <c r="R42" s="21">
        <f t="shared" ref="R42" si="78">R39-R40-R41</f>
        <v>94</v>
      </c>
      <c r="S42" s="21">
        <f t="shared" ref="S42" si="79">S39-S40-S41</f>
        <v>295</v>
      </c>
      <c r="T42" s="21">
        <f t="shared" ref="T42" si="80">T39-T40-T41</f>
        <v>-2966</v>
      </c>
      <c r="U42" s="21">
        <f t="shared" ref="U42" si="81">U39-U40-U41</f>
        <v>224</v>
      </c>
      <c r="V42" s="21">
        <f t="shared" ref="V42" si="82">V39-V40-V41</f>
        <v>70</v>
      </c>
      <c r="W42" s="21">
        <f t="shared" ref="W42" si="83">W39-W40-W41</f>
        <v>-183</v>
      </c>
      <c r="X42" s="21">
        <f t="shared" ref="X42" si="84">X39-X40-X41</f>
        <v>-172</v>
      </c>
    </row>
    <row r="43" spans="1:24" x14ac:dyDescent="0.2">
      <c r="A43" s="13" t="s">
        <v>46</v>
      </c>
      <c r="B43" s="5">
        <v>49</v>
      </c>
      <c r="C43" s="5">
        <v>61</v>
      </c>
      <c r="D43" s="5">
        <v>-138</v>
      </c>
      <c r="E43" s="5">
        <f>63-D43-C43-B43</f>
        <v>91</v>
      </c>
      <c r="F43" s="5">
        <v>44</v>
      </c>
      <c r="G43" s="5">
        <v>20</v>
      </c>
      <c r="H43" s="5">
        <v>106</v>
      </c>
      <c r="I43" s="5">
        <f>-41-G43-H43-F43</f>
        <v>-211</v>
      </c>
      <c r="J43" s="5">
        <v>45</v>
      </c>
      <c r="K43" s="5">
        <v>42</v>
      </c>
      <c r="L43" s="5">
        <v>56</v>
      </c>
      <c r="M43" s="5">
        <f>182-L43-K43-J43</f>
        <v>39</v>
      </c>
      <c r="N43" s="5">
        <v>51</v>
      </c>
      <c r="O43" s="5">
        <v>91</v>
      </c>
      <c r="P43" s="5">
        <v>-1</v>
      </c>
      <c r="Q43" s="5">
        <f>182-P43-O43-N43</f>
        <v>41</v>
      </c>
      <c r="R43" s="5">
        <v>21</v>
      </c>
      <c r="S43" s="5">
        <v>40</v>
      </c>
      <c r="T43" s="5">
        <v>-32</v>
      </c>
      <c r="U43" s="5">
        <f>68-T43-S43-R43</f>
        <v>39</v>
      </c>
      <c r="V43" s="5">
        <v>25</v>
      </c>
      <c r="W43" s="5">
        <v>-44</v>
      </c>
      <c r="X43" s="5">
        <v>-223</v>
      </c>
    </row>
    <row r="44" spans="1:24" s="11" customFormat="1" x14ac:dyDescent="0.2">
      <c r="A44" s="14" t="s">
        <v>47</v>
      </c>
      <c r="B44" s="11">
        <f>B42-B43</f>
        <v>389</v>
      </c>
      <c r="C44" s="11">
        <f>C42-C43</f>
        <v>343</v>
      </c>
      <c r="D44" s="11">
        <f t="shared" ref="D44:E44" si="85">D42-D43</f>
        <v>544</v>
      </c>
      <c r="E44" s="11">
        <f t="shared" si="85"/>
        <v>354</v>
      </c>
      <c r="F44" s="11">
        <f t="shared" ref="F44" si="86">F42-F43</f>
        <v>347</v>
      </c>
      <c r="G44" s="11">
        <f t="shared" ref="G44" si="87">G42-G43</f>
        <v>343</v>
      </c>
      <c r="H44" s="11">
        <f t="shared" ref="H44" si="88">H42-H43</f>
        <v>375</v>
      </c>
      <c r="I44" s="11">
        <f t="shared" ref="I44" si="89">I42-I43</f>
        <v>-54</v>
      </c>
      <c r="J44" s="11">
        <f t="shared" ref="J44" si="90">J42-J43</f>
        <v>333</v>
      </c>
      <c r="K44" s="11">
        <f t="shared" ref="K44" si="91">K42-K43</f>
        <v>247</v>
      </c>
      <c r="L44" s="11">
        <f t="shared" ref="L44" si="92">L42-L43</f>
        <v>359</v>
      </c>
      <c r="M44" s="11">
        <f t="shared" ref="M44" si="93">M42-M43</f>
        <v>171</v>
      </c>
      <c r="N44" s="11">
        <f t="shared" ref="N44" si="94">N42-N43</f>
        <v>300</v>
      </c>
      <c r="O44" s="11">
        <f t="shared" ref="O44" si="95">O42-O43</f>
        <v>301</v>
      </c>
      <c r="P44" s="11">
        <f t="shared" ref="P44" si="96">P42-P43</f>
        <v>452</v>
      </c>
      <c r="Q44" s="11">
        <f t="shared" ref="Q44" si="97">Q42-Q43</f>
        <v>242</v>
      </c>
      <c r="R44" s="11">
        <f t="shared" ref="R44" si="98">R42-R43</f>
        <v>73</v>
      </c>
      <c r="S44" s="11">
        <f t="shared" ref="S44" si="99">S42-S43</f>
        <v>255</v>
      </c>
      <c r="T44" s="11">
        <f t="shared" ref="T44" si="100">T42-T43</f>
        <v>-2934</v>
      </c>
      <c r="U44" s="11">
        <f t="shared" ref="U44" si="101">U42-U43</f>
        <v>185</v>
      </c>
      <c r="V44" s="11">
        <f t="shared" ref="V44" si="102">V42-V43</f>
        <v>45</v>
      </c>
      <c r="W44" s="11">
        <f t="shared" ref="W44" si="103">W42-W43</f>
        <v>-139</v>
      </c>
      <c r="X44" s="11">
        <f>X42-X43+2460</f>
        <v>2511</v>
      </c>
    </row>
    <row r="46" spans="1:24" x14ac:dyDescent="0.2">
      <c r="A46" s="10" t="s">
        <v>48</v>
      </c>
    </row>
    <row r="47" spans="1:24" x14ac:dyDescent="0.2">
      <c r="A47" s="12" t="s">
        <v>49</v>
      </c>
    </row>
    <row r="48" spans="1:24" x14ac:dyDescent="0.2">
      <c r="A48" s="16" t="s">
        <v>31</v>
      </c>
      <c r="B48" s="5">
        <v>2947</v>
      </c>
      <c r="C48" s="5">
        <v>2857</v>
      </c>
      <c r="D48" s="5">
        <v>2860</v>
      </c>
      <c r="E48" s="5">
        <v>1832</v>
      </c>
      <c r="F48" s="5">
        <v>1908</v>
      </c>
      <c r="G48" s="5">
        <v>2925</v>
      </c>
      <c r="H48" s="5">
        <v>3009</v>
      </c>
      <c r="I48" s="5">
        <v>3335</v>
      </c>
      <c r="J48" s="5">
        <v>4110</v>
      </c>
      <c r="K48" s="5">
        <v>4085</v>
      </c>
      <c r="L48" s="5">
        <v>4359</v>
      </c>
      <c r="M48" s="5">
        <v>3730</v>
      </c>
      <c r="N48" s="5">
        <v>3182</v>
      </c>
      <c r="O48" s="5">
        <v>3136</v>
      </c>
      <c r="P48" s="5">
        <v>3258</v>
      </c>
      <c r="Q48" s="5">
        <v>2951</v>
      </c>
      <c r="R48" s="5">
        <v>2294</v>
      </c>
      <c r="S48" s="26">
        <v>1852</v>
      </c>
      <c r="T48" s="5">
        <v>1601</v>
      </c>
      <c r="U48" s="5">
        <v>1718</v>
      </c>
      <c r="V48" s="5">
        <v>1673</v>
      </c>
      <c r="W48" s="5">
        <v>1722</v>
      </c>
      <c r="X48" s="5">
        <v>5788</v>
      </c>
    </row>
    <row r="49" spans="1:24" x14ac:dyDescent="0.2">
      <c r="A49" s="16" t="s">
        <v>50</v>
      </c>
      <c r="B49" s="5">
        <v>1807</v>
      </c>
      <c r="C49" s="5">
        <v>1783</v>
      </c>
      <c r="D49" s="5">
        <v>1826</v>
      </c>
      <c r="E49" s="5">
        <v>1812</v>
      </c>
      <c r="F49" s="5">
        <v>1802</v>
      </c>
      <c r="G49" s="5">
        <v>1885</v>
      </c>
      <c r="H49" s="5">
        <v>1814</v>
      </c>
      <c r="I49" s="5">
        <v>1896</v>
      </c>
      <c r="J49" s="5">
        <v>1892</v>
      </c>
      <c r="K49" s="5">
        <v>1884</v>
      </c>
      <c r="L49" s="5">
        <v>2001</v>
      </c>
      <c r="M49" s="5">
        <v>2077</v>
      </c>
      <c r="N49" s="5">
        <v>1915</v>
      </c>
      <c r="O49" s="5">
        <v>2021</v>
      </c>
      <c r="P49" s="5">
        <v>2074</v>
      </c>
      <c r="Q49" s="5">
        <v>2629</v>
      </c>
      <c r="R49" s="5">
        <v>2471</v>
      </c>
      <c r="S49" s="5">
        <v>2473</v>
      </c>
      <c r="T49" s="5">
        <v>2555</v>
      </c>
      <c r="U49" s="5">
        <v>2659</v>
      </c>
      <c r="V49" s="5">
        <v>2547</v>
      </c>
      <c r="W49" s="5">
        <v>2495</v>
      </c>
      <c r="X49" s="5">
        <v>2512</v>
      </c>
    </row>
    <row r="50" spans="1:24" x14ac:dyDescent="0.2">
      <c r="A50" s="16" t="s">
        <v>51</v>
      </c>
      <c r="B50" s="5">
        <v>1581</v>
      </c>
      <c r="C50" s="5">
        <v>1622</v>
      </c>
      <c r="D50" s="5">
        <v>1718</v>
      </c>
      <c r="E50" s="5">
        <v>1653</v>
      </c>
      <c r="F50" s="5">
        <v>1751</v>
      </c>
      <c r="G50" s="5">
        <v>1757</v>
      </c>
      <c r="H50" s="5">
        <v>1715</v>
      </c>
      <c r="I50" s="5">
        <v>1653</v>
      </c>
      <c r="J50" s="5">
        <v>1694</v>
      </c>
      <c r="K50" s="5">
        <v>1905</v>
      </c>
      <c r="L50" s="5">
        <v>1988</v>
      </c>
      <c r="M50" s="5">
        <v>1916</v>
      </c>
      <c r="N50" s="5">
        <v>2017</v>
      </c>
      <c r="O50" s="5">
        <v>2065</v>
      </c>
      <c r="P50" s="5">
        <v>2025</v>
      </c>
      <c r="Q50" s="5">
        <v>2453</v>
      </c>
      <c r="R50" s="5">
        <v>2548</v>
      </c>
      <c r="S50" s="5">
        <v>2663</v>
      </c>
      <c r="T50" s="5">
        <v>2675</v>
      </c>
      <c r="U50" s="5">
        <v>2718</v>
      </c>
      <c r="V50" s="5">
        <v>2922</v>
      </c>
      <c r="W50" s="5">
        <v>2897</v>
      </c>
      <c r="X50" s="5">
        <v>2873</v>
      </c>
    </row>
    <row r="51" spans="1:24" x14ac:dyDescent="0.2">
      <c r="A51" s="16" t="s">
        <v>52</v>
      </c>
      <c r="B51" s="5">
        <v>621</v>
      </c>
      <c r="C51" s="5">
        <v>628</v>
      </c>
      <c r="D51" s="5">
        <v>624</v>
      </c>
      <c r="E51" s="5">
        <v>622</v>
      </c>
      <c r="F51" s="5">
        <v>626</v>
      </c>
      <c r="G51" s="5">
        <v>651</v>
      </c>
      <c r="H51" s="5">
        <v>672</v>
      </c>
      <c r="I51" s="5">
        <v>619</v>
      </c>
      <c r="J51" s="5">
        <v>637</v>
      </c>
      <c r="K51" s="5">
        <v>692</v>
      </c>
      <c r="L51" s="5">
        <v>685</v>
      </c>
      <c r="M51" s="5">
        <v>688</v>
      </c>
      <c r="N51" s="5">
        <v>742</v>
      </c>
      <c r="O51" s="5">
        <v>782</v>
      </c>
      <c r="P51" s="5">
        <v>810</v>
      </c>
      <c r="Q51" s="5">
        <v>839</v>
      </c>
      <c r="R51" s="5">
        <v>860</v>
      </c>
      <c r="S51" s="5">
        <v>894</v>
      </c>
      <c r="T51" s="5">
        <v>979</v>
      </c>
      <c r="U51" s="5">
        <v>916</v>
      </c>
      <c r="V51" s="5">
        <v>957</v>
      </c>
      <c r="W51" s="5">
        <v>858</v>
      </c>
      <c r="X51" s="5">
        <v>861</v>
      </c>
    </row>
    <row r="52" spans="1:24" s="26" customFormat="1" x14ac:dyDescent="0.2">
      <c r="A52" s="24" t="s">
        <v>83</v>
      </c>
      <c r="B52" s="26">
        <v>0</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233</v>
      </c>
      <c r="X52" s="26">
        <v>0</v>
      </c>
    </row>
    <row r="53" spans="1:24" s="11" customFormat="1" x14ac:dyDescent="0.2">
      <c r="A53" s="17" t="s">
        <v>53</v>
      </c>
      <c r="B53" s="11">
        <f>SUM(B48:B52)</f>
        <v>6956</v>
      </c>
      <c r="C53" s="11">
        <f>SUM(C48:C52)</f>
        <v>6890</v>
      </c>
      <c r="D53" s="11">
        <f>SUM(D48:D52)</f>
        <v>7028</v>
      </c>
      <c r="E53" s="11">
        <f>SUM(E48:E52)</f>
        <v>5919</v>
      </c>
      <c r="F53" s="11">
        <f>SUM(F48:F52)</f>
        <v>6087</v>
      </c>
      <c r="G53" s="11">
        <f>SUM(G48:G52)</f>
        <v>7218</v>
      </c>
      <c r="H53" s="11">
        <f>SUM(H48:H52)</f>
        <v>7210</v>
      </c>
      <c r="I53" s="11">
        <f>SUM(I48:I52)</f>
        <v>7503</v>
      </c>
      <c r="J53" s="11">
        <f>SUM(J48:J52)</f>
        <v>8333</v>
      </c>
      <c r="K53" s="11">
        <f>SUM(K48:K52)</f>
        <v>8566</v>
      </c>
      <c r="L53" s="11">
        <f>SUM(L48:L52)</f>
        <v>9033</v>
      </c>
      <c r="M53" s="11">
        <f>SUM(M48:M52)</f>
        <v>8411</v>
      </c>
      <c r="N53" s="11">
        <f>SUM(N48:N52)</f>
        <v>7856</v>
      </c>
      <c r="O53" s="11">
        <f>SUM(O48:O52)</f>
        <v>8004</v>
      </c>
      <c r="P53" s="11">
        <f>SUM(P48:P52)</f>
        <v>8167</v>
      </c>
      <c r="Q53" s="11">
        <f>SUM(Q48:Q52)</f>
        <v>8872</v>
      </c>
      <c r="R53" s="11">
        <f>SUM(R48:R52)</f>
        <v>8173</v>
      </c>
      <c r="S53" s="11">
        <f>SUM(S48:S52)</f>
        <v>7882</v>
      </c>
      <c r="T53" s="11">
        <f>SUM(T48:T52)</f>
        <v>7810</v>
      </c>
      <c r="U53" s="11">
        <f>SUM(U48:U52)</f>
        <v>8011</v>
      </c>
      <c r="V53" s="11">
        <f>SUM(V48:V52)</f>
        <v>8099</v>
      </c>
      <c r="W53" s="11">
        <f>SUM(W48:W52)</f>
        <v>8205</v>
      </c>
      <c r="X53" s="11">
        <f t="shared" ref="X53" si="104">SUM(X48:X52)</f>
        <v>12034</v>
      </c>
    </row>
    <row r="54" spans="1:24" x14ac:dyDescent="0.2">
      <c r="A54" s="13" t="s">
        <v>54</v>
      </c>
      <c r="B54" s="5">
        <v>4614</v>
      </c>
      <c r="C54" s="5">
        <v>4531</v>
      </c>
      <c r="D54" s="5">
        <v>4520</v>
      </c>
      <c r="E54" s="5">
        <v>4542</v>
      </c>
      <c r="F54" s="5">
        <v>4539</v>
      </c>
      <c r="G54" s="5">
        <v>4541</v>
      </c>
      <c r="H54" s="5">
        <v>4406</v>
      </c>
      <c r="I54" s="5">
        <v>4512</v>
      </c>
      <c r="J54" s="5">
        <v>4340</v>
      </c>
      <c r="K54" s="5">
        <v>4382</v>
      </c>
      <c r="L54" s="5">
        <v>4460</v>
      </c>
      <c r="M54" s="5">
        <v>4722</v>
      </c>
      <c r="N54" s="5">
        <v>4614</v>
      </c>
      <c r="O54" s="5">
        <v>4649</v>
      </c>
      <c r="P54" s="5">
        <v>4582</v>
      </c>
      <c r="Q54" s="5">
        <v>5178</v>
      </c>
      <c r="R54" s="5">
        <v>5114</v>
      </c>
      <c r="S54" s="5">
        <v>4976</v>
      </c>
      <c r="T54" s="5">
        <v>4799</v>
      </c>
      <c r="U54" s="5">
        <v>4979</v>
      </c>
      <c r="V54" s="5">
        <v>5000</v>
      </c>
      <c r="W54" s="5">
        <v>4494</v>
      </c>
      <c r="X54" s="5">
        <v>4278</v>
      </c>
    </row>
    <row r="55" spans="1:24" x14ac:dyDescent="0.2">
      <c r="A55" s="13" t="s">
        <v>55</v>
      </c>
      <c r="B55" s="5">
        <v>3107</v>
      </c>
      <c r="C55" s="5">
        <v>2984</v>
      </c>
      <c r="D55" s="5">
        <v>2980</v>
      </c>
      <c r="E55" s="5">
        <v>2958</v>
      </c>
      <c r="F55" s="5">
        <v>2930</v>
      </c>
      <c r="G55" s="5">
        <v>2938</v>
      </c>
      <c r="H55" s="5">
        <v>2847</v>
      </c>
      <c r="I55" s="5">
        <v>3030</v>
      </c>
      <c r="J55" s="5">
        <v>2961</v>
      </c>
      <c r="K55" s="5">
        <v>3052</v>
      </c>
      <c r="L55" s="5">
        <v>3094</v>
      </c>
      <c r="M55" s="5">
        <v>3217</v>
      </c>
      <c r="N55" s="5">
        <v>3111</v>
      </c>
      <c r="O55" s="5">
        <v>3148</v>
      </c>
      <c r="P55" s="5">
        <v>3098</v>
      </c>
      <c r="Q55" s="5">
        <v>9836</v>
      </c>
      <c r="R55" s="5">
        <v>9816</v>
      </c>
      <c r="S55" s="5">
        <v>9644</v>
      </c>
      <c r="T55" s="5">
        <v>6639</v>
      </c>
      <c r="U55" s="5">
        <v>6843</v>
      </c>
      <c r="V55" s="5">
        <v>6868</v>
      </c>
      <c r="W55" s="5">
        <v>6418</v>
      </c>
      <c r="X55" s="5">
        <v>6407</v>
      </c>
    </row>
    <row r="56" spans="1:24" x14ac:dyDescent="0.2">
      <c r="A56" s="13" t="s">
        <v>56</v>
      </c>
      <c r="B56" s="5">
        <v>1507</v>
      </c>
      <c r="C56" s="5">
        <v>1427</v>
      </c>
      <c r="D56" s="5">
        <v>1402</v>
      </c>
      <c r="E56" s="5">
        <v>1398</v>
      </c>
      <c r="F56" s="5">
        <v>1441</v>
      </c>
      <c r="G56" s="5">
        <v>1364</v>
      </c>
      <c r="H56" s="5">
        <v>1365</v>
      </c>
      <c r="I56" s="5">
        <v>1471</v>
      </c>
      <c r="J56" s="5">
        <v>1759</v>
      </c>
      <c r="K56" s="5">
        <v>1716</v>
      </c>
      <c r="L56" s="5">
        <v>1678</v>
      </c>
      <c r="M56" s="5">
        <v>1671</v>
      </c>
      <c r="N56" s="5">
        <v>1962</v>
      </c>
      <c r="O56" s="5">
        <v>1910</v>
      </c>
      <c r="P56" s="5">
        <v>1876</v>
      </c>
      <c r="Q56" s="5">
        <v>7792</v>
      </c>
      <c r="R56" s="5">
        <v>7693</v>
      </c>
      <c r="S56" s="5">
        <v>7459</v>
      </c>
      <c r="T56" s="5">
        <v>6927</v>
      </c>
      <c r="U56" s="5">
        <v>6793</v>
      </c>
      <c r="V56" s="5">
        <v>6640</v>
      </c>
      <c r="W56" s="5">
        <v>6470</v>
      </c>
      <c r="X56" s="5">
        <v>6230</v>
      </c>
    </row>
    <row r="57" spans="1:24" x14ac:dyDescent="0.2">
      <c r="A57" s="22" t="s">
        <v>70</v>
      </c>
      <c r="B57" s="5">
        <v>0</v>
      </c>
      <c r="C57" s="5">
        <v>0</v>
      </c>
      <c r="D57" s="5">
        <v>0</v>
      </c>
      <c r="E57" s="5">
        <v>0</v>
      </c>
      <c r="F57" s="5">
        <v>517</v>
      </c>
      <c r="G57" s="5">
        <v>588</v>
      </c>
      <c r="H57" s="5">
        <v>589</v>
      </c>
      <c r="I57" s="5">
        <v>608</v>
      </c>
      <c r="J57" s="5">
        <v>577</v>
      </c>
      <c r="K57" s="5">
        <v>581</v>
      </c>
      <c r="L57" s="5">
        <v>578</v>
      </c>
      <c r="M57" s="5">
        <v>603</v>
      </c>
      <c r="N57" s="5">
        <v>567</v>
      </c>
      <c r="O57" s="5">
        <v>567</v>
      </c>
      <c r="P57" s="5">
        <v>581</v>
      </c>
      <c r="Q57" s="5">
        <v>630</v>
      </c>
      <c r="R57" s="5">
        <v>609</v>
      </c>
      <c r="S57" s="5">
        <v>566</v>
      </c>
      <c r="T57" s="5">
        <v>546</v>
      </c>
      <c r="U57" s="5">
        <v>550</v>
      </c>
      <c r="V57" s="5">
        <v>554</v>
      </c>
      <c r="W57" s="5">
        <v>533</v>
      </c>
      <c r="X57" s="5">
        <v>519</v>
      </c>
    </row>
    <row r="58" spans="1:24" x14ac:dyDescent="0.2">
      <c r="A58" s="13" t="s">
        <v>35</v>
      </c>
      <c r="B58" s="5">
        <v>706</v>
      </c>
      <c r="C58" s="5">
        <v>746</v>
      </c>
      <c r="D58" s="5">
        <v>917</v>
      </c>
      <c r="E58" s="5">
        <v>824</v>
      </c>
      <c r="F58" s="5">
        <v>836</v>
      </c>
      <c r="G58" s="5">
        <v>895</v>
      </c>
      <c r="H58" s="5">
        <v>882</v>
      </c>
      <c r="I58" s="5">
        <v>1069</v>
      </c>
      <c r="J58" s="5">
        <v>1105</v>
      </c>
      <c r="K58" s="5">
        <v>1168</v>
      </c>
      <c r="L58" s="5">
        <v>1255</v>
      </c>
      <c r="M58" s="5">
        <v>1395</v>
      </c>
      <c r="N58" s="5">
        <v>1356</v>
      </c>
      <c r="O58" s="5">
        <v>1404</v>
      </c>
      <c r="P58" s="5">
        <v>1503</v>
      </c>
      <c r="Q58" s="5">
        <v>1213</v>
      </c>
      <c r="R58" s="5">
        <v>1311</v>
      </c>
      <c r="S58" s="5">
        <v>1304</v>
      </c>
      <c r="T58" s="5">
        <v>1244</v>
      </c>
      <c r="U58" s="5">
        <v>1111</v>
      </c>
      <c r="V58" s="5">
        <v>1130</v>
      </c>
      <c r="W58" s="5">
        <v>1067</v>
      </c>
      <c r="X58" s="5">
        <v>1188</v>
      </c>
    </row>
    <row r="59" spans="1:24" s="26" customFormat="1" x14ac:dyDescent="0.2">
      <c r="A59" s="25" t="s">
        <v>84</v>
      </c>
      <c r="B59" s="26">
        <v>0</v>
      </c>
      <c r="C59" s="26">
        <v>0</v>
      </c>
      <c r="D59" s="26">
        <v>0</v>
      </c>
      <c r="E59" s="26">
        <v>0</v>
      </c>
      <c r="F59" s="26">
        <v>0</v>
      </c>
      <c r="G59" s="26">
        <v>0</v>
      </c>
      <c r="H59" s="26">
        <v>0</v>
      </c>
      <c r="I59" s="26">
        <v>0</v>
      </c>
      <c r="J59" s="26">
        <v>0</v>
      </c>
      <c r="K59" s="26">
        <v>0</v>
      </c>
      <c r="L59" s="26">
        <v>0</v>
      </c>
      <c r="M59" s="26">
        <v>0</v>
      </c>
      <c r="N59" s="26">
        <v>0</v>
      </c>
      <c r="O59" s="26">
        <v>0</v>
      </c>
      <c r="P59" s="26">
        <v>0</v>
      </c>
      <c r="Q59" s="26">
        <v>0</v>
      </c>
      <c r="R59" s="26">
        <v>0</v>
      </c>
      <c r="S59" s="26">
        <v>0</v>
      </c>
      <c r="T59" s="26">
        <v>0</v>
      </c>
      <c r="U59" s="26">
        <v>0</v>
      </c>
      <c r="V59" s="26">
        <v>0</v>
      </c>
      <c r="W59" s="26">
        <v>698</v>
      </c>
      <c r="X59" s="26">
        <v>0</v>
      </c>
    </row>
    <row r="60" spans="1:24" s="11" customFormat="1" x14ac:dyDescent="0.2">
      <c r="A60" s="17" t="s">
        <v>57</v>
      </c>
      <c r="B60" s="11">
        <f>SUM(B53:B58)</f>
        <v>16890</v>
      </c>
      <c r="C60" s="11">
        <f>SUM(C53:C58)</f>
        <v>16578</v>
      </c>
      <c r="D60" s="11">
        <f t="shared" ref="D60:E60" si="105">SUM(D53:D58)</f>
        <v>16847</v>
      </c>
      <c r="E60" s="11">
        <f t="shared" si="105"/>
        <v>15641</v>
      </c>
      <c r="F60" s="11">
        <f t="shared" ref="F60" si="106">SUM(F53:F58)</f>
        <v>16350</v>
      </c>
      <c r="G60" s="11">
        <f t="shared" ref="G60" si="107">SUM(G53:G58)</f>
        <v>17544</v>
      </c>
      <c r="H60" s="11">
        <f t="shared" ref="H60" si="108">SUM(H53:H58)</f>
        <v>17299</v>
      </c>
      <c r="I60" s="11">
        <f t="shared" ref="I60" si="109">SUM(I53:I58)</f>
        <v>18193</v>
      </c>
      <c r="J60" s="11">
        <f t="shared" ref="J60" si="110">SUM(J53:J58)</f>
        <v>19075</v>
      </c>
      <c r="K60" s="11">
        <f t="shared" ref="K60" si="111">SUM(K53:K58)</f>
        <v>19465</v>
      </c>
      <c r="L60" s="11">
        <f t="shared" ref="L60" si="112">SUM(L53:L58)</f>
        <v>20098</v>
      </c>
      <c r="M60" s="11">
        <f t="shared" ref="M60" si="113">SUM(M53:M58)</f>
        <v>20019</v>
      </c>
      <c r="N60" s="11">
        <f t="shared" ref="N60" si="114">SUM(N53:N58)</f>
        <v>19466</v>
      </c>
      <c r="O60" s="11">
        <f t="shared" ref="O60" si="115">SUM(O53:O58)</f>
        <v>19682</v>
      </c>
      <c r="P60" s="11">
        <f t="shared" ref="P60" si="116">SUM(P53:P58)</f>
        <v>19807</v>
      </c>
      <c r="Q60" s="11">
        <f t="shared" ref="Q60" si="117">SUM(Q53:Q58)</f>
        <v>33521</v>
      </c>
      <c r="R60" s="11">
        <f t="shared" ref="R60" si="118">SUM(R53:R58)</f>
        <v>32716</v>
      </c>
      <c r="S60" s="11">
        <f t="shared" ref="S60" si="119">SUM(S53:S58)</f>
        <v>31831</v>
      </c>
      <c r="T60" s="11">
        <f t="shared" ref="T60" si="120">SUM(T53:T58)</f>
        <v>27965</v>
      </c>
      <c r="U60" s="11">
        <f t="shared" ref="U60" si="121">SUM(U53:U58)</f>
        <v>28287</v>
      </c>
      <c r="V60" s="11">
        <f>SUM(V53:V59)</f>
        <v>28291</v>
      </c>
      <c r="W60" s="11">
        <f t="shared" ref="W60:X60" si="122">SUM(W53:W59)</f>
        <v>27885</v>
      </c>
      <c r="X60" s="11">
        <f t="shared" si="122"/>
        <v>30656</v>
      </c>
    </row>
    <row r="62" spans="1:24" x14ac:dyDescent="0.2">
      <c r="A62" s="10" t="s">
        <v>58</v>
      </c>
    </row>
    <row r="63" spans="1:24" x14ac:dyDescent="0.2">
      <c r="A63" s="12" t="s">
        <v>59</v>
      </c>
    </row>
    <row r="64" spans="1:24" s="21" customFormat="1" x14ac:dyDescent="0.2">
      <c r="A64" s="23" t="s">
        <v>69</v>
      </c>
      <c r="B64" s="21">
        <v>0</v>
      </c>
      <c r="C64" s="21">
        <v>0</v>
      </c>
      <c r="D64" s="21">
        <v>0</v>
      </c>
      <c r="E64" s="21">
        <v>2</v>
      </c>
      <c r="F64" s="21">
        <v>796</v>
      </c>
      <c r="G64" s="21">
        <v>2</v>
      </c>
      <c r="H64" s="21">
        <v>0</v>
      </c>
      <c r="I64" s="21">
        <v>226</v>
      </c>
      <c r="J64" s="21">
        <v>221</v>
      </c>
      <c r="K64" s="21">
        <v>1</v>
      </c>
      <c r="L64" s="21">
        <v>0</v>
      </c>
      <c r="M64" s="21">
        <v>0</v>
      </c>
      <c r="N64" s="21">
        <v>0</v>
      </c>
      <c r="O64" s="21">
        <v>51</v>
      </c>
      <c r="P64" s="21">
        <v>301</v>
      </c>
      <c r="Q64" s="21">
        <v>301</v>
      </c>
      <c r="R64" s="21">
        <v>200</v>
      </c>
      <c r="S64" s="21">
        <v>200</v>
      </c>
      <c r="T64" s="21">
        <v>275</v>
      </c>
      <c r="U64" s="21">
        <v>299</v>
      </c>
      <c r="V64" s="21">
        <v>50</v>
      </c>
      <c r="W64" s="21">
        <v>249</v>
      </c>
      <c r="X64" s="21">
        <v>514</v>
      </c>
    </row>
    <row r="65" spans="1:24" ht="25.5" x14ac:dyDescent="0.2">
      <c r="A65" s="18" t="s">
        <v>60</v>
      </c>
      <c r="B65" s="5">
        <v>3</v>
      </c>
      <c r="C65" s="5">
        <v>3</v>
      </c>
      <c r="D65" s="5">
        <v>3</v>
      </c>
      <c r="E65" s="5">
        <v>2</v>
      </c>
      <c r="F65" s="5">
        <v>2</v>
      </c>
      <c r="G65" s="5">
        <v>2</v>
      </c>
      <c r="H65" s="5">
        <v>2</v>
      </c>
      <c r="I65" s="5">
        <v>315</v>
      </c>
      <c r="J65" s="5">
        <v>315</v>
      </c>
      <c r="K65" s="5">
        <v>318</v>
      </c>
      <c r="L65" s="5">
        <v>727</v>
      </c>
      <c r="M65" s="5">
        <v>406</v>
      </c>
      <c r="N65" s="5">
        <v>407</v>
      </c>
      <c r="O65" s="5">
        <v>406</v>
      </c>
      <c r="P65" s="5">
        <v>209</v>
      </c>
      <c r="Q65" s="5">
        <v>210</v>
      </c>
      <c r="R65" s="5">
        <v>209</v>
      </c>
      <c r="S65" s="5">
        <v>208</v>
      </c>
      <c r="T65" s="5">
        <v>4</v>
      </c>
      <c r="U65" s="5">
        <v>1105</v>
      </c>
      <c r="V65" s="5">
        <v>1103</v>
      </c>
      <c r="W65" s="5">
        <v>1928</v>
      </c>
      <c r="X65" s="5">
        <v>1912</v>
      </c>
    </row>
    <row r="66" spans="1:24" x14ac:dyDescent="0.2">
      <c r="A66" s="24" t="s">
        <v>75</v>
      </c>
      <c r="B66" s="5">
        <v>2533</v>
      </c>
      <c r="C66" s="5">
        <v>2524</v>
      </c>
      <c r="D66" s="5">
        <v>2592</v>
      </c>
      <c r="E66" s="5">
        <v>2728</v>
      </c>
      <c r="F66" s="5">
        <v>2529</v>
      </c>
      <c r="G66" s="5">
        <v>2593</v>
      </c>
      <c r="H66" s="5">
        <v>2609</v>
      </c>
      <c r="I66" s="5">
        <v>2689</v>
      </c>
      <c r="J66" s="5">
        <v>2500</v>
      </c>
      <c r="K66" s="5">
        <v>2561</v>
      </c>
      <c r="L66" s="5">
        <v>2695</v>
      </c>
      <c r="M66" s="5">
        <v>2927</v>
      </c>
      <c r="N66" s="5">
        <v>1023</v>
      </c>
      <c r="O66" s="5">
        <v>1005</v>
      </c>
      <c r="P66" s="5">
        <v>999</v>
      </c>
      <c r="Q66" s="5">
        <v>1246</v>
      </c>
      <c r="R66" s="5">
        <v>1223</v>
      </c>
      <c r="S66" s="5">
        <v>1282</v>
      </c>
      <c r="T66" s="5">
        <v>1234</v>
      </c>
      <c r="U66" s="5">
        <v>1139</v>
      </c>
      <c r="V66" s="5">
        <v>1290</v>
      </c>
      <c r="W66" s="5">
        <v>1240</v>
      </c>
      <c r="X66" s="5">
        <v>1246</v>
      </c>
    </row>
    <row r="67" spans="1:24" x14ac:dyDescent="0.2">
      <c r="A67" s="24" t="s">
        <v>74</v>
      </c>
      <c r="B67" s="5">
        <v>0</v>
      </c>
      <c r="C67" s="5">
        <v>0</v>
      </c>
      <c r="D67" s="5">
        <v>0</v>
      </c>
      <c r="E67" s="5">
        <v>0</v>
      </c>
      <c r="F67" s="5">
        <v>0</v>
      </c>
      <c r="G67" s="5">
        <v>0</v>
      </c>
      <c r="H67" s="5">
        <v>0</v>
      </c>
      <c r="I67" s="5">
        <v>0</v>
      </c>
      <c r="J67" s="5">
        <v>0</v>
      </c>
      <c r="K67" s="5">
        <v>0</v>
      </c>
      <c r="L67" s="5">
        <v>0</v>
      </c>
      <c r="M67" s="5">
        <v>0</v>
      </c>
      <c r="N67" s="5">
        <v>1757</v>
      </c>
      <c r="O67" s="5">
        <v>1882</v>
      </c>
      <c r="P67" s="5">
        <v>1932</v>
      </c>
      <c r="Q67" s="5">
        <v>2479</v>
      </c>
      <c r="R67" s="5">
        <v>2258</v>
      </c>
      <c r="S67" s="5">
        <v>2226</v>
      </c>
      <c r="T67" s="5">
        <v>2195</v>
      </c>
      <c r="U67" s="5">
        <v>2202</v>
      </c>
      <c r="V67" s="5">
        <v>2317</v>
      </c>
      <c r="W67" s="5">
        <v>2278</v>
      </c>
      <c r="X67" s="5">
        <v>2537</v>
      </c>
    </row>
    <row r="68" spans="1:24" x14ac:dyDescent="0.2">
      <c r="A68" s="24" t="s">
        <v>85</v>
      </c>
      <c r="B68" s="5">
        <v>0</v>
      </c>
      <c r="C68" s="5">
        <v>0</v>
      </c>
      <c r="D68" s="5">
        <v>0</v>
      </c>
      <c r="E68" s="5">
        <v>0</v>
      </c>
      <c r="F68" s="5">
        <v>0</v>
      </c>
      <c r="G68" s="5">
        <v>0</v>
      </c>
      <c r="H68" s="5">
        <v>0</v>
      </c>
      <c r="I68" s="5">
        <v>0</v>
      </c>
      <c r="J68" s="5">
        <v>0</v>
      </c>
      <c r="K68" s="5">
        <v>0</v>
      </c>
      <c r="L68" s="5">
        <v>0</v>
      </c>
      <c r="M68" s="5">
        <v>0</v>
      </c>
      <c r="N68" s="5">
        <v>0</v>
      </c>
      <c r="O68" s="5">
        <v>0</v>
      </c>
      <c r="P68" s="5">
        <v>0</v>
      </c>
      <c r="Q68" s="5">
        <v>0</v>
      </c>
      <c r="R68" s="5">
        <v>0</v>
      </c>
      <c r="S68" s="5">
        <v>0</v>
      </c>
      <c r="T68" s="5">
        <v>0</v>
      </c>
      <c r="U68" s="5">
        <v>0</v>
      </c>
      <c r="V68" s="5">
        <v>0</v>
      </c>
      <c r="W68" s="5">
        <v>70</v>
      </c>
      <c r="X68" s="5">
        <v>0</v>
      </c>
    </row>
    <row r="69" spans="1:24" x14ac:dyDescent="0.2">
      <c r="A69" s="16" t="s">
        <v>61</v>
      </c>
      <c r="B69" s="5">
        <v>106</v>
      </c>
      <c r="C69" s="5">
        <v>102</v>
      </c>
      <c r="D69" s="5">
        <v>109</v>
      </c>
      <c r="E69" s="5">
        <v>104</v>
      </c>
      <c r="F69" s="5">
        <v>0</v>
      </c>
      <c r="G69" s="5">
        <v>0</v>
      </c>
      <c r="H69" s="5">
        <v>0</v>
      </c>
      <c r="I69" s="5">
        <v>0</v>
      </c>
      <c r="J69" s="5">
        <v>0</v>
      </c>
      <c r="K69" s="5">
        <v>0</v>
      </c>
      <c r="L69" s="5">
        <v>0</v>
      </c>
      <c r="M69" s="5">
        <v>0</v>
      </c>
      <c r="N69" s="5">
        <v>0</v>
      </c>
      <c r="O69" s="5">
        <v>0</v>
      </c>
      <c r="P69" s="5">
        <v>0</v>
      </c>
      <c r="Q69" s="5">
        <v>0</v>
      </c>
      <c r="R69" s="5">
        <v>0</v>
      </c>
      <c r="S69" s="5">
        <v>0</v>
      </c>
      <c r="T69" s="5">
        <v>0</v>
      </c>
      <c r="U69" s="5">
        <v>0</v>
      </c>
      <c r="V69" s="5">
        <v>0</v>
      </c>
      <c r="W69" s="5">
        <v>0</v>
      </c>
      <c r="X69" s="5">
        <v>0</v>
      </c>
    </row>
    <row r="70" spans="1:24" s="11" customFormat="1" x14ac:dyDescent="0.2">
      <c r="A70" s="17" t="s">
        <v>62</v>
      </c>
      <c r="B70" s="11">
        <f>SUM(B65:B69)</f>
        <v>2642</v>
      </c>
      <c r="C70" s="11">
        <f>SUM(C65:C69)</f>
        <v>2629</v>
      </c>
      <c r="D70" s="11">
        <f t="shared" ref="D70:E70" si="123">SUM(D65:D69)</f>
        <v>2704</v>
      </c>
      <c r="E70" s="11">
        <f t="shared" si="123"/>
        <v>2834</v>
      </c>
      <c r="F70" s="11">
        <f>SUM(F64:F69)</f>
        <v>3327</v>
      </c>
      <c r="G70" s="11">
        <f t="shared" ref="G70:X70" si="124">SUM(G64:G69)</f>
        <v>2597</v>
      </c>
      <c r="H70" s="11">
        <f t="shared" si="124"/>
        <v>2611</v>
      </c>
      <c r="I70" s="11">
        <f t="shared" si="124"/>
        <v>3230</v>
      </c>
      <c r="J70" s="11">
        <f t="shared" si="124"/>
        <v>3036</v>
      </c>
      <c r="K70" s="11">
        <f t="shared" si="124"/>
        <v>2880</v>
      </c>
      <c r="L70" s="11">
        <f t="shared" si="124"/>
        <v>3422</v>
      </c>
      <c r="M70" s="11">
        <f t="shared" si="124"/>
        <v>3333</v>
      </c>
      <c r="N70" s="11">
        <f t="shared" si="124"/>
        <v>3187</v>
      </c>
      <c r="O70" s="11">
        <f t="shared" si="124"/>
        <v>3344</v>
      </c>
      <c r="P70" s="11">
        <f t="shared" si="124"/>
        <v>3441</v>
      </c>
      <c r="Q70" s="11">
        <f t="shared" si="124"/>
        <v>4236</v>
      </c>
      <c r="R70" s="11">
        <f t="shared" si="124"/>
        <v>3890</v>
      </c>
      <c r="S70" s="11">
        <f t="shared" si="124"/>
        <v>3916</v>
      </c>
      <c r="T70" s="11">
        <f t="shared" si="124"/>
        <v>3708</v>
      </c>
      <c r="U70" s="11">
        <f t="shared" si="124"/>
        <v>4745</v>
      </c>
      <c r="V70" s="11">
        <f t="shared" si="124"/>
        <v>4760</v>
      </c>
      <c r="W70" s="11">
        <f t="shared" si="124"/>
        <v>5765</v>
      </c>
      <c r="X70" s="11">
        <f t="shared" si="124"/>
        <v>6209</v>
      </c>
    </row>
    <row r="71" spans="1:24" x14ac:dyDescent="0.2">
      <c r="A71" s="13" t="s">
        <v>63</v>
      </c>
      <c r="B71" s="5">
        <v>3550</v>
      </c>
      <c r="C71" s="5">
        <v>3495</v>
      </c>
      <c r="D71" s="5">
        <v>3485</v>
      </c>
      <c r="E71" s="5">
        <v>3473</v>
      </c>
      <c r="F71" s="5">
        <v>3451</v>
      </c>
      <c r="G71" s="5">
        <v>5157</v>
      </c>
      <c r="H71" s="5">
        <v>5063</v>
      </c>
      <c r="I71" s="5">
        <v>4809</v>
      </c>
      <c r="J71" s="5">
        <v>5996</v>
      </c>
      <c r="K71" s="5">
        <v>6055</v>
      </c>
      <c r="L71" s="5">
        <v>5760</v>
      </c>
      <c r="M71" s="5">
        <v>5786</v>
      </c>
      <c r="N71" s="5">
        <v>5681</v>
      </c>
      <c r="O71" s="5">
        <v>5710</v>
      </c>
      <c r="P71" s="5">
        <v>5446</v>
      </c>
      <c r="Q71" s="5">
        <v>17149</v>
      </c>
      <c r="R71" s="5">
        <v>16765</v>
      </c>
      <c r="S71" s="5">
        <v>16278</v>
      </c>
      <c r="T71" s="5">
        <v>16153</v>
      </c>
      <c r="U71" s="5">
        <v>15232</v>
      </c>
      <c r="V71" s="5">
        <v>15278</v>
      </c>
      <c r="W71" s="5">
        <v>14306</v>
      </c>
      <c r="X71" s="5">
        <v>14067</v>
      </c>
    </row>
    <row r="72" spans="1:24" x14ac:dyDescent="0.2">
      <c r="A72" s="22" t="s">
        <v>71</v>
      </c>
      <c r="B72" s="5">
        <v>0</v>
      </c>
      <c r="C72" s="5">
        <v>0</v>
      </c>
      <c r="D72" s="5">
        <v>0</v>
      </c>
      <c r="E72" s="5">
        <v>0</v>
      </c>
      <c r="F72" s="5">
        <v>420</v>
      </c>
      <c r="G72" s="5">
        <v>490</v>
      </c>
      <c r="H72" s="5">
        <v>494</v>
      </c>
      <c r="I72" s="5">
        <v>510</v>
      </c>
      <c r="J72" s="5">
        <v>486</v>
      </c>
      <c r="K72" s="5">
        <v>488</v>
      </c>
      <c r="L72" s="5">
        <v>490</v>
      </c>
      <c r="M72" s="5">
        <v>501</v>
      </c>
      <c r="N72" s="5">
        <v>472</v>
      </c>
      <c r="O72" s="5">
        <v>469</v>
      </c>
      <c r="P72" s="5">
        <v>484</v>
      </c>
      <c r="Q72" s="5">
        <v>522</v>
      </c>
      <c r="R72" s="5">
        <v>508</v>
      </c>
      <c r="S72" s="5">
        <v>470</v>
      </c>
      <c r="T72" s="5">
        <v>454</v>
      </c>
      <c r="U72" s="5">
        <v>456</v>
      </c>
      <c r="V72" s="5">
        <v>458</v>
      </c>
      <c r="W72" s="5">
        <v>438</v>
      </c>
      <c r="X72" s="5">
        <v>436</v>
      </c>
    </row>
    <row r="73" spans="1:24" x14ac:dyDescent="0.2">
      <c r="A73" s="13" t="s">
        <v>35</v>
      </c>
      <c r="B73" s="15">
        <v>1605</v>
      </c>
      <c r="C73" s="5">
        <v>1585</v>
      </c>
      <c r="D73" s="5">
        <v>1545</v>
      </c>
      <c r="E73" s="5">
        <v>1516</v>
      </c>
      <c r="F73" s="5">
        <v>1483</v>
      </c>
      <c r="G73" s="5">
        <v>1464</v>
      </c>
      <c r="H73" s="5">
        <v>1514</v>
      </c>
      <c r="I73" s="5">
        <v>1732</v>
      </c>
      <c r="J73" s="5">
        <v>1827</v>
      </c>
      <c r="K73" s="5">
        <v>1882</v>
      </c>
      <c r="L73" s="5">
        <v>1824</v>
      </c>
      <c r="M73" s="5">
        <v>1673</v>
      </c>
      <c r="N73" s="5">
        <v>1636</v>
      </c>
      <c r="O73" s="5">
        <v>1624</v>
      </c>
      <c r="P73" s="5">
        <v>1621</v>
      </c>
      <c r="Q73" s="5">
        <v>2493</v>
      </c>
      <c r="R73" s="5">
        <v>2434</v>
      </c>
      <c r="S73" s="5">
        <v>2264</v>
      </c>
      <c r="T73" s="5">
        <v>2071</v>
      </c>
      <c r="U73" s="5">
        <v>1959</v>
      </c>
      <c r="V73" s="5">
        <v>1854</v>
      </c>
      <c r="W73" s="5">
        <v>1622</v>
      </c>
      <c r="X73" s="5">
        <v>1778</v>
      </c>
    </row>
    <row r="74" spans="1:24" x14ac:dyDescent="0.2">
      <c r="A74" s="25" t="s">
        <v>86</v>
      </c>
      <c r="B74" s="15">
        <v>0</v>
      </c>
      <c r="C74" s="5">
        <v>0</v>
      </c>
      <c r="D74" s="5">
        <v>0</v>
      </c>
      <c r="E74" s="5">
        <v>0</v>
      </c>
      <c r="F74" s="5">
        <v>0</v>
      </c>
      <c r="G74" s="5">
        <v>0</v>
      </c>
      <c r="H74" s="5">
        <v>0</v>
      </c>
      <c r="I74" s="5">
        <v>0</v>
      </c>
      <c r="J74" s="5">
        <v>0</v>
      </c>
      <c r="K74" s="5">
        <v>0</v>
      </c>
      <c r="L74" s="5">
        <v>0</v>
      </c>
      <c r="M74" s="5">
        <v>0</v>
      </c>
      <c r="N74" s="5">
        <v>0</v>
      </c>
      <c r="O74" s="5">
        <v>0</v>
      </c>
      <c r="P74" s="5">
        <v>0</v>
      </c>
      <c r="Q74" s="5">
        <v>0</v>
      </c>
      <c r="R74" s="5">
        <v>0</v>
      </c>
      <c r="S74" s="5">
        <v>0</v>
      </c>
      <c r="T74" s="5">
        <v>0</v>
      </c>
      <c r="U74" s="5">
        <v>0</v>
      </c>
      <c r="V74" s="5">
        <v>0</v>
      </c>
      <c r="W74" s="5">
        <v>123</v>
      </c>
      <c r="X74" s="5">
        <v>0</v>
      </c>
    </row>
    <row r="75" spans="1:24" s="11" customFormat="1" x14ac:dyDescent="0.2">
      <c r="A75" s="17" t="s">
        <v>64</v>
      </c>
      <c r="B75" s="11">
        <f>SUM(B70:B73)</f>
        <v>7797</v>
      </c>
      <c r="C75" s="11">
        <f>SUM(C70:C73)</f>
        <v>7709</v>
      </c>
      <c r="D75" s="11">
        <f>SUM(D70:D73)</f>
        <v>7734</v>
      </c>
      <c r="E75" s="11">
        <f>SUM(E70:E73)</f>
        <v>7823</v>
      </c>
      <c r="F75" s="11">
        <f t="shared" ref="F75:X75" si="125">SUM(F70:F73)</f>
        <v>8681</v>
      </c>
      <c r="G75" s="11">
        <f t="shared" si="125"/>
        <v>9708</v>
      </c>
      <c r="H75" s="11">
        <f t="shared" si="125"/>
        <v>9682</v>
      </c>
      <c r="I75" s="11">
        <f t="shared" si="125"/>
        <v>10281</v>
      </c>
      <c r="J75" s="11">
        <f t="shared" si="125"/>
        <v>11345</v>
      </c>
      <c r="K75" s="11">
        <f t="shared" si="125"/>
        <v>11305</v>
      </c>
      <c r="L75" s="11">
        <f t="shared" si="125"/>
        <v>11496</v>
      </c>
      <c r="M75" s="11">
        <f t="shared" si="125"/>
        <v>11293</v>
      </c>
      <c r="N75" s="11">
        <f t="shared" si="125"/>
        <v>10976</v>
      </c>
      <c r="O75" s="11">
        <f t="shared" si="125"/>
        <v>11147</v>
      </c>
      <c r="P75" s="11">
        <f t="shared" si="125"/>
        <v>10992</v>
      </c>
      <c r="Q75" s="11">
        <f t="shared" si="125"/>
        <v>24400</v>
      </c>
      <c r="R75" s="11">
        <f t="shared" si="125"/>
        <v>23597</v>
      </c>
      <c r="S75" s="11">
        <f t="shared" si="125"/>
        <v>22928</v>
      </c>
      <c r="T75" s="11">
        <f t="shared" si="125"/>
        <v>22386</v>
      </c>
      <c r="U75" s="11">
        <f t="shared" si="125"/>
        <v>22392</v>
      </c>
      <c r="V75" s="11">
        <f t="shared" si="125"/>
        <v>22350</v>
      </c>
      <c r="W75" s="11">
        <f>SUM(W70:W74)</f>
        <v>22254</v>
      </c>
      <c r="X75" s="11">
        <f t="shared" si="125"/>
        <v>22490</v>
      </c>
    </row>
    <row r="77" spans="1:24" x14ac:dyDescent="0.2">
      <c r="A77" s="9" t="s">
        <v>65</v>
      </c>
      <c r="B77" s="5">
        <f>B60-B75</f>
        <v>9093</v>
      </c>
      <c r="C77" s="5">
        <f>C60-C75</f>
        <v>8869</v>
      </c>
      <c r="D77" s="5">
        <f t="shared" ref="D77:E77" si="126">D60-D75</f>
        <v>9113</v>
      </c>
      <c r="E77" s="5">
        <f t="shared" si="126"/>
        <v>7818</v>
      </c>
      <c r="F77" s="5">
        <f t="shared" ref="F77:X77" si="127">F60-F75</f>
        <v>7669</v>
      </c>
      <c r="G77" s="5">
        <f t="shared" si="127"/>
        <v>7836</v>
      </c>
      <c r="H77" s="5">
        <f t="shared" si="127"/>
        <v>7617</v>
      </c>
      <c r="I77" s="5">
        <f t="shared" si="127"/>
        <v>7912</v>
      </c>
      <c r="J77" s="5">
        <f t="shared" si="127"/>
        <v>7730</v>
      </c>
      <c r="K77" s="5">
        <f t="shared" si="127"/>
        <v>8160</v>
      </c>
      <c r="L77" s="5">
        <f t="shared" si="127"/>
        <v>8602</v>
      </c>
      <c r="M77" s="5">
        <f t="shared" si="127"/>
        <v>8726</v>
      </c>
      <c r="N77" s="5">
        <f t="shared" si="127"/>
        <v>8490</v>
      </c>
      <c r="O77" s="5">
        <f t="shared" si="127"/>
        <v>8535</v>
      </c>
      <c r="P77" s="5">
        <f t="shared" si="127"/>
        <v>8815</v>
      </c>
      <c r="Q77" s="5">
        <f t="shared" si="127"/>
        <v>9121</v>
      </c>
      <c r="R77" s="5">
        <f t="shared" si="127"/>
        <v>9119</v>
      </c>
      <c r="S77" s="5">
        <f t="shared" si="127"/>
        <v>8903</v>
      </c>
      <c r="T77" s="5">
        <f t="shared" si="127"/>
        <v>5579</v>
      </c>
      <c r="U77" s="5">
        <f t="shared" si="127"/>
        <v>5895</v>
      </c>
      <c r="V77" s="5">
        <f t="shared" si="127"/>
        <v>5941</v>
      </c>
      <c r="W77" s="5">
        <f t="shared" si="127"/>
        <v>5631</v>
      </c>
      <c r="X77" s="5">
        <f t="shared" si="127"/>
        <v>8166</v>
      </c>
    </row>
    <row r="78" spans="1:24" x14ac:dyDescent="0.2">
      <c r="A78" s="9" t="s">
        <v>66</v>
      </c>
      <c r="B78" s="5">
        <f>B7+B9-B8</f>
        <v>36443.040000000001</v>
      </c>
      <c r="C78" s="5">
        <f>C7+C9-C8</f>
        <v>41031.480000000003</v>
      </c>
      <c r="D78" s="5">
        <f>D7+D9-D8</f>
        <v>42719.14</v>
      </c>
      <c r="E78" s="5">
        <f>E7+E9-E8</f>
        <v>37582.719999999994</v>
      </c>
      <c r="F78" s="5">
        <f>F7+F9-F8</f>
        <v>44784.82</v>
      </c>
      <c r="G78" s="5">
        <f>G7+G9-G8</f>
        <v>44742.100000000006</v>
      </c>
      <c r="H78" s="5">
        <f>H7+H9-H8</f>
        <v>47540.4</v>
      </c>
      <c r="I78" s="5">
        <f>I7+I9-I8</f>
        <v>45413.78</v>
      </c>
      <c r="J78" s="5">
        <f>J7+J9-J8</f>
        <v>44316.04</v>
      </c>
      <c r="K78" s="5">
        <f>K7+K9-K8</f>
        <v>46802.7</v>
      </c>
      <c r="L78" s="5">
        <f>L7+L9-L8</f>
        <v>43785.56</v>
      </c>
      <c r="M78" s="5">
        <f>M7+M9-M8</f>
        <v>43946.079999999994</v>
      </c>
      <c r="N78" s="5">
        <f>N7+N9-N8</f>
        <v>46003.740000000005</v>
      </c>
      <c r="O78" s="5">
        <f>O7+O9-O8</f>
        <v>44005.5</v>
      </c>
      <c r="P78" s="5">
        <f>P7+P9-P8</f>
        <v>43395.58</v>
      </c>
      <c r="Q78" s="5">
        <f>Q7+Q9-Q8</f>
        <v>58315.72</v>
      </c>
      <c r="R78" s="5">
        <f>R7+R9-R8</f>
        <v>54347.86</v>
      </c>
      <c r="S78" s="5">
        <f>S7+S9-S8</f>
        <v>47508.56</v>
      </c>
      <c r="T78" s="5">
        <f>T7+T9-T8</f>
        <v>41976.44</v>
      </c>
      <c r="U78" s="5">
        <f>U7+U9-U8</f>
        <v>40606.880000000005</v>
      </c>
      <c r="V78" s="5">
        <f>V7+V9-V8</f>
        <v>35321.919999999998</v>
      </c>
      <c r="W78" s="5">
        <f>W7+W9-W8</f>
        <v>37814.36</v>
      </c>
      <c r="X78" s="5">
        <f>X7+X9-X8</f>
        <v>29914.660000000003</v>
      </c>
    </row>
    <row r="79" spans="1:24" x14ac:dyDescent="0.2">
      <c r="A79" s="9" t="s">
        <v>67</v>
      </c>
      <c r="B79" s="19">
        <f>B44/B6</f>
        <v>0.70598911070780401</v>
      </c>
      <c r="C79" s="19">
        <f>C44/C6</f>
        <v>0.62705667276051191</v>
      </c>
      <c r="D79" s="19">
        <f>D44/D6</f>
        <v>0.99633699633699635</v>
      </c>
      <c r="E79" s="19">
        <f>E44/E6</f>
        <v>0.64835164835164838</v>
      </c>
      <c r="F79" s="19">
        <f>F44/F6</f>
        <v>0.66475095785440608</v>
      </c>
      <c r="G79" s="19">
        <f>G44/G6</f>
        <v>0.66088631984585744</v>
      </c>
      <c r="H79" s="19">
        <f>H44/H6</f>
        <v>0.72115384615384615</v>
      </c>
      <c r="I79" s="19">
        <f>I44/I6</f>
        <v>-0.10404624277456648</v>
      </c>
      <c r="J79" s="19">
        <f>J44/J6</f>
        <v>0.64534883720930236</v>
      </c>
      <c r="K79" s="19">
        <f>K44/K6</f>
        <v>0.47775628626692457</v>
      </c>
      <c r="L79" s="19">
        <f>L44/L6</f>
        <v>0.693050193050193</v>
      </c>
      <c r="M79" s="19">
        <f>M44/M6</f>
        <v>0.33075435203094777</v>
      </c>
      <c r="N79" s="19">
        <f>N44/N6</f>
        <v>0.58708414872798431</v>
      </c>
      <c r="O79" s="19">
        <f>O44/O6</f>
        <v>0.59135559921414538</v>
      </c>
      <c r="P79" s="19">
        <f>P44/P6</f>
        <v>0.89328063241106714</v>
      </c>
      <c r="Q79" s="19">
        <f>Q44/Q6</f>
        <v>0.4763779527559055</v>
      </c>
      <c r="R79" s="19">
        <f>R44/R6</f>
        <v>0.14341846758349705</v>
      </c>
      <c r="S79" s="19">
        <f>S44/S6</f>
        <v>0.50196850393700787</v>
      </c>
      <c r="T79" s="19">
        <f>T44/T6</f>
        <v>-5.8214285714285712</v>
      </c>
      <c r="U79" s="19">
        <f>U44/U6</f>
        <v>0.36706349206349204</v>
      </c>
      <c r="V79" s="19">
        <f>V44/V6</f>
        <v>8.8757396449704137E-2</v>
      </c>
      <c r="W79" s="19">
        <f>W44/W6</f>
        <v>-0.27470355731225299</v>
      </c>
      <c r="X79" s="19">
        <f>X44/X6</f>
        <v>4.9332023575638511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4" ma:contentTypeDescription="Create a new document." ma:contentTypeScope="" ma:versionID="120c46befeed181212ee4011ffacfb7d">
  <xsd:schema xmlns:xsd="http://www.w3.org/2001/XMLSchema" xmlns:xs="http://www.w3.org/2001/XMLSchema" xmlns:p="http://schemas.microsoft.com/office/2006/metadata/properties" xmlns:ns3="36567613-e428-4167-ab55-a4f66cede826" targetNamespace="http://schemas.microsoft.com/office/2006/metadata/properties" ma:root="true" ma:fieldsID="f5f46ca8589c002687fe72246ecbcd08"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2AF3359-AA7B-4C3F-BB32-4122371AAA35}">
  <ds:schemaRefs>
    <ds:schemaRef ds:uri="http://purl.org/dc/terms/"/>
    <ds:schemaRef ds:uri="http://purl.org/dc/dcmitype/"/>
    <ds:schemaRef ds:uri="http://schemas.microsoft.com/office/2006/metadata/properties"/>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36567613-e428-4167-ab55-a4f66cede826"/>
    <ds:schemaRef ds:uri="http://www.w3.org/XML/1998/namespace"/>
  </ds:schemaRefs>
</ds:datastoreItem>
</file>

<file path=customXml/itemProps2.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3.xml><?xml version="1.0" encoding="utf-8"?>
<ds:datastoreItem xmlns:ds="http://schemas.openxmlformats.org/officeDocument/2006/customXml" ds:itemID="{DF246ABA-E346-4989-A4FE-1D080AFDF55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dcterms:created xsi:type="dcterms:W3CDTF">2023-02-21T16:55:27Z</dcterms:created>
  <dcterms:modified xsi:type="dcterms:W3CDTF">2023-12-27T05:43:38Z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