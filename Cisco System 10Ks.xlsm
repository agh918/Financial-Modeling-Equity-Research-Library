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jeccd-my.sharepoint.com/personal/abgo6476_stu_evc_edu/Documents/Earnings Models/"/>
    </mc:Choice>
  </mc:AlternateContent>
  <xr:revisionPtr revIDLastSave="550" documentId="8_{81F7C7FA-7DD6-4E45-A64E-50A07ED2AD0B}" xr6:coauthVersionLast="47" xr6:coauthVersionMax="47" xr10:uidLastSave="{59823728-86AB-4B06-BC4E-2F3BEF574AA1}"/>
  <bookViews>
    <workbookView xWindow="-98" yWindow="-98" windowWidth="21795" windowHeight="12975" xr2:uid="{CD218907-FF69-440B-8102-4E26B44E461B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5" i="1" l="1"/>
  <c r="F75" i="1"/>
  <c r="E75" i="1"/>
  <c r="D75" i="1"/>
  <c r="C75" i="1"/>
  <c r="H75" i="1"/>
  <c r="I69" i="1"/>
  <c r="I68" i="1"/>
  <c r="I67" i="1"/>
  <c r="I66" i="1"/>
  <c r="I64" i="1"/>
  <c r="I63" i="1"/>
  <c r="I62" i="1"/>
  <c r="I61" i="1"/>
  <c r="I60" i="1"/>
  <c r="I59" i="1"/>
  <c r="I54" i="1"/>
  <c r="I53" i="1"/>
  <c r="I52" i="1"/>
  <c r="I51" i="1"/>
  <c r="I50" i="1"/>
  <c r="I49" i="1"/>
  <c r="I47" i="1"/>
  <c r="I46" i="1"/>
  <c r="I45" i="1"/>
  <c r="I44" i="1"/>
  <c r="I43" i="1"/>
  <c r="I42" i="1"/>
  <c r="I37" i="1"/>
  <c r="I35" i="1"/>
  <c r="I34" i="1"/>
  <c r="I33" i="1"/>
  <c r="I29" i="1"/>
  <c r="I28" i="1"/>
  <c r="I27" i="1"/>
  <c r="I26" i="1"/>
  <c r="I25" i="1"/>
  <c r="I19" i="1"/>
  <c r="I18" i="1"/>
  <c r="I14" i="1"/>
  <c r="I13" i="1"/>
  <c r="I12" i="1"/>
  <c r="I11" i="1"/>
  <c r="I10" i="1"/>
  <c r="I4" i="1"/>
  <c r="I3" i="1"/>
  <c r="K15" i="1"/>
  <c r="J15" i="1"/>
  <c r="E15" i="1"/>
  <c r="D15" i="1"/>
  <c r="C15" i="1"/>
  <c r="G15" i="1"/>
  <c r="F15" i="1"/>
  <c r="H15" i="1"/>
  <c r="I15" i="1" s="1"/>
  <c r="K7" i="1" l="1"/>
  <c r="J7" i="1"/>
  <c r="K6" i="1"/>
  <c r="J6" i="1"/>
  <c r="G7" i="1"/>
  <c r="F7" i="1"/>
  <c r="E7" i="1"/>
  <c r="D7" i="1"/>
  <c r="C7" i="1"/>
  <c r="G6" i="1"/>
  <c r="F6" i="1"/>
  <c r="E6" i="1"/>
  <c r="D6" i="1"/>
  <c r="C6" i="1"/>
  <c r="H7" i="1"/>
  <c r="I7" i="1" s="1"/>
  <c r="H6" i="1"/>
  <c r="I6" i="1" s="1"/>
  <c r="G65" i="1"/>
  <c r="G70" i="1" s="1"/>
  <c r="F65" i="1"/>
  <c r="F70" i="1" s="1"/>
  <c r="E65" i="1"/>
  <c r="E70" i="1" s="1"/>
  <c r="D65" i="1"/>
  <c r="D70" i="1" s="1"/>
  <c r="C65" i="1"/>
  <c r="C70" i="1" s="1"/>
  <c r="K65" i="1"/>
  <c r="K70" i="1" s="1"/>
  <c r="J65" i="1"/>
  <c r="J70" i="1" s="1"/>
  <c r="H65" i="1"/>
  <c r="K48" i="1"/>
  <c r="K55" i="1" s="1"/>
  <c r="J48" i="1"/>
  <c r="J55" i="1" s="1"/>
  <c r="G48" i="1"/>
  <c r="G55" i="1" s="1"/>
  <c r="F48" i="1"/>
  <c r="F55" i="1" s="1"/>
  <c r="E48" i="1"/>
  <c r="E55" i="1" s="1"/>
  <c r="D48" i="1"/>
  <c r="D55" i="1" s="1"/>
  <c r="C48" i="1"/>
  <c r="C55" i="1" s="1"/>
  <c r="H48" i="1"/>
  <c r="F30" i="1"/>
  <c r="E30" i="1"/>
  <c r="D30" i="1"/>
  <c r="C30" i="1"/>
  <c r="K30" i="1"/>
  <c r="J30" i="1"/>
  <c r="G20" i="1"/>
  <c r="F20" i="1"/>
  <c r="E20" i="1"/>
  <c r="D20" i="1"/>
  <c r="C20" i="1"/>
  <c r="K20" i="1"/>
  <c r="J20" i="1"/>
  <c r="K5" i="1"/>
  <c r="J5" i="1"/>
  <c r="G5" i="1"/>
  <c r="F5" i="1"/>
  <c r="E5" i="1"/>
  <c r="D5" i="1"/>
  <c r="C5" i="1"/>
  <c r="H5" i="1"/>
  <c r="G30" i="1"/>
  <c r="H30" i="1"/>
  <c r="I30" i="1" s="1"/>
  <c r="H20" i="1"/>
  <c r="G1" i="1"/>
  <c r="F1" i="1" s="1"/>
  <c r="E1" i="1" s="1"/>
  <c r="D1" i="1" s="1"/>
  <c r="C1" i="1" s="1"/>
  <c r="H55" i="1" l="1"/>
  <c r="I55" i="1" s="1"/>
  <c r="I48" i="1"/>
  <c r="H22" i="1"/>
  <c r="I22" i="1" s="1"/>
  <c r="I20" i="1"/>
  <c r="H70" i="1"/>
  <c r="I70" i="1" s="1"/>
  <c r="I65" i="1"/>
  <c r="I5" i="1"/>
  <c r="H32" i="1"/>
  <c r="C79" i="1"/>
  <c r="D79" i="1"/>
  <c r="E79" i="1"/>
  <c r="F79" i="1"/>
  <c r="K22" i="1"/>
  <c r="K32" i="1" s="1"/>
  <c r="K36" i="1" s="1"/>
  <c r="K38" i="1" s="1"/>
  <c r="J22" i="1"/>
  <c r="J32" i="1" s="1"/>
  <c r="J36" i="1" s="1"/>
  <c r="J38" i="1" s="1"/>
  <c r="H80" i="1"/>
  <c r="H72" i="1"/>
  <c r="I72" i="1" s="1"/>
  <c r="C80" i="1"/>
  <c r="C72" i="1"/>
  <c r="D80" i="1"/>
  <c r="D72" i="1"/>
  <c r="E80" i="1"/>
  <c r="E72" i="1"/>
  <c r="F80" i="1"/>
  <c r="F72" i="1"/>
  <c r="J72" i="1"/>
  <c r="J80" i="1"/>
  <c r="K80" i="1"/>
  <c r="K72" i="1"/>
  <c r="H79" i="1"/>
  <c r="I79" i="1" s="1"/>
  <c r="C73" i="1"/>
  <c r="D73" i="1"/>
  <c r="E73" i="1"/>
  <c r="F73" i="1"/>
  <c r="G79" i="1"/>
  <c r="J73" i="1"/>
  <c r="K73" i="1"/>
  <c r="C22" i="1"/>
  <c r="C32" i="1" s="1"/>
  <c r="J79" i="1"/>
  <c r="D22" i="1"/>
  <c r="D32" i="1" s="1"/>
  <c r="K79" i="1"/>
  <c r="E22" i="1"/>
  <c r="E32" i="1" s="1"/>
  <c r="H73" i="1"/>
  <c r="F22" i="1"/>
  <c r="F32" i="1" s="1"/>
  <c r="G73" i="1"/>
  <c r="G72" i="1"/>
  <c r="G80" i="1"/>
  <c r="G22" i="1"/>
  <c r="G32" i="1" s="1"/>
  <c r="I80" i="1" l="1"/>
  <c r="I73" i="1"/>
  <c r="H36" i="1"/>
  <c r="I32" i="1"/>
  <c r="K76" i="1"/>
  <c r="J76" i="1"/>
  <c r="H76" i="1"/>
  <c r="I76" i="1" s="1"/>
  <c r="E36" i="1"/>
  <c r="E38" i="1" s="1"/>
  <c r="E76" i="1"/>
  <c r="D36" i="1"/>
  <c r="D38" i="1" s="1"/>
  <c r="D78" i="1" s="1"/>
  <c r="D76" i="1"/>
  <c r="C36" i="1"/>
  <c r="C38" i="1" s="1"/>
  <c r="C76" i="1"/>
  <c r="G36" i="1"/>
  <c r="G38" i="1" s="1"/>
  <c r="G78" i="1" s="1"/>
  <c r="G76" i="1"/>
  <c r="K77" i="1"/>
  <c r="K74" i="1"/>
  <c r="K78" i="1"/>
  <c r="J74" i="1"/>
  <c r="J77" i="1"/>
  <c r="J78" i="1"/>
  <c r="F36" i="1"/>
  <c r="F38" i="1" s="1"/>
  <c r="F76" i="1"/>
  <c r="H38" i="1" l="1"/>
  <c r="I36" i="1"/>
  <c r="G74" i="1"/>
  <c r="G77" i="1"/>
  <c r="C74" i="1"/>
  <c r="C77" i="1"/>
  <c r="D74" i="1"/>
  <c r="D77" i="1"/>
  <c r="E74" i="1"/>
  <c r="E78" i="1"/>
  <c r="E77" i="1"/>
  <c r="C78" i="1"/>
  <c r="F74" i="1"/>
  <c r="F78" i="1"/>
  <c r="F77" i="1"/>
  <c r="I38" i="1" l="1"/>
  <c r="H78" i="1"/>
  <c r="I78" i="1" s="1"/>
  <c r="H77" i="1"/>
  <c r="I77" i="1" s="1"/>
  <c r="H74" i="1"/>
  <c r="I74" i="1" s="1"/>
</calcChain>
</file>

<file path=xl/sharedStrings.xml><?xml version="1.0" encoding="utf-8"?>
<sst xmlns="http://schemas.openxmlformats.org/spreadsheetml/2006/main" count="74" uniqueCount="67">
  <si>
    <t>Reported Date</t>
  </si>
  <si>
    <t>Year</t>
  </si>
  <si>
    <t>Price</t>
  </si>
  <si>
    <t>Shares outstanding</t>
  </si>
  <si>
    <t>Market cap</t>
  </si>
  <si>
    <t>Cash</t>
  </si>
  <si>
    <t>Debt</t>
  </si>
  <si>
    <t>Revenue</t>
  </si>
  <si>
    <t>Other</t>
  </si>
  <si>
    <t>Services</t>
  </si>
  <si>
    <t>Total revenue</t>
  </si>
  <si>
    <t>Other (P)</t>
  </si>
  <si>
    <t>Cost of sales</t>
  </si>
  <si>
    <t>Product</t>
  </si>
  <si>
    <t>Service</t>
  </si>
  <si>
    <t>Total cost of sales</t>
  </si>
  <si>
    <t>Gross margin</t>
  </si>
  <si>
    <t>Operating expenses</t>
  </si>
  <si>
    <t>Research &amp; development</t>
  </si>
  <si>
    <t>Sales &amp; marketing</t>
  </si>
  <si>
    <t>General &amp; administrative</t>
  </si>
  <si>
    <t>Amortization of purchases intangibles</t>
  </si>
  <si>
    <t>Restructuring &amp; other</t>
  </si>
  <si>
    <t>Total operating expenses</t>
  </si>
  <si>
    <t>Income from operations</t>
  </si>
  <si>
    <t>Interest income</t>
  </si>
  <si>
    <t>Interest expense</t>
  </si>
  <si>
    <t>Other income (loss)</t>
  </si>
  <si>
    <t>Income before income taxes</t>
  </si>
  <si>
    <t>Provision for income taxes</t>
  </si>
  <si>
    <t>Net income</t>
  </si>
  <si>
    <t>Assets</t>
  </si>
  <si>
    <t>Current assets</t>
  </si>
  <si>
    <t>Investments</t>
  </si>
  <si>
    <t>Accounts receivables</t>
  </si>
  <si>
    <t>Total current assets</t>
  </si>
  <si>
    <t>Property &amp; equipment, net</t>
  </si>
  <si>
    <t>Financing receivables</t>
  </si>
  <si>
    <t>Goodwill</t>
  </si>
  <si>
    <t>Purchased intangible assets</t>
  </si>
  <si>
    <t>Deferred tax assets</t>
  </si>
  <si>
    <t>Total assets</t>
  </si>
  <si>
    <t>Liabilities</t>
  </si>
  <si>
    <t>Current liabilities</t>
  </si>
  <si>
    <t>Short-term debt</t>
  </si>
  <si>
    <t>Accounts payable</t>
  </si>
  <si>
    <t>Income taxes payable</t>
  </si>
  <si>
    <t>Accrued compensation</t>
  </si>
  <si>
    <t>Deferred revenue</t>
  </si>
  <si>
    <t>Total current liabilities</t>
  </si>
  <si>
    <t>Long-term debt</t>
  </si>
  <si>
    <t>Total liabilities</t>
  </si>
  <si>
    <t>Inventories</t>
  </si>
  <si>
    <t>Equity</t>
  </si>
  <si>
    <t>Enterprise value</t>
  </si>
  <si>
    <t>EPS</t>
  </si>
  <si>
    <t>Operating profit margin</t>
  </si>
  <si>
    <t>Net profit margin</t>
  </si>
  <si>
    <t>Return on Equity</t>
  </si>
  <si>
    <t>Revenue to Mkt Cap</t>
  </si>
  <si>
    <t>Current ratio</t>
  </si>
  <si>
    <t>Applications (P)</t>
  </si>
  <si>
    <t>Infrastructure Platforms (P)</t>
  </si>
  <si>
    <t>Security (P)</t>
  </si>
  <si>
    <t>% Change</t>
  </si>
  <si>
    <t>YoY</t>
  </si>
  <si>
    <t>PE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</si>
</sst>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_(* #,##0.000_);_(* \(#,##0.000\);_(* &quot;-&quot;??_);_(@_)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8">
    <xf numFmtId="0" fontId="0" fillId="0" borderId="0" xfId="0"/>
    <xf numFmtId="14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164" fontId="3" fillId="0" borderId="0" xfId="1" applyNumberFormat="1" applyFont="1"/>
    <xf numFmtId="0" fontId="2" fillId="2" borderId="0" xfId="0" applyFont="1" applyFill="1" applyAlignment="1">
      <alignment horizontal="center"/>
    </xf>
    <xf numFmtId="164" fontId="5" fillId="0" borderId="0" xfId="1" applyNumberFormat="1" applyFont="1"/>
    <xf numFmtId="164" fontId="1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 indent="2"/>
    </xf>
    <xf numFmtId="164" fontId="1" fillId="0" borderId="0" xfId="1" applyNumberFormat="1" applyFont="1" applyAlignment="1">
      <alignment horizontal="left" indent="1"/>
    </xf>
    <xf numFmtId="0" fontId="5" fillId="0" borderId="0" xfId="0" applyFont="1" applyAlignment="1">
      <alignment horizontal="left" indent="2"/>
    </xf>
    <xf numFmtId="164" fontId="5" fillId="0" borderId="0" xfId="1" applyNumberFormat="1" applyFont="1" applyAlignment="1">
      <alignment horizontal="left"/>
    </xf>
    <xf numFmtId="0" fontId="5" fillId="0" borderId="0" xfId="0" applyFont="1" applyAlignment="1">
      <alignment horizontal="left" indent="1"/>
    </xf>
    <xf numFmtId="0" fontId="5" fillId="0" borderId="0" xfId="0" applyFont="1"/>
    <xf numFmtId="44" fontId="1" fillId="0" borderId="0" xfId="2" applyFont="1"/>
    <xf numFmtId="0" fontId="5" fillId="0" borderId="0" xfId="0" applyFont="1" applyAlignment="1">
      <alignment horizontal="left" indent="3"/>
    </xf>
    <xf numFmtId="44" fontId="3" fillId="0" borderId="0" xfId="2" applyFont="1"/>
    <xf numFmtId="165" fontId="3" fillId="0" borderId="0" xfId="3" applyNumberFormat="1" applyFont="1"/>
    <xf numFmtId="166" fontId="3" fillId="0" borderId="0" xfId="1" applyNumberFormat="1" applyFont="1"/>
    <xf numFmtId="0" fontId="1" fillId="3" borderId="0" xfId="0" applyFont="1" applyFill="1"/>
    <xf numFmtId="164" fontId="3" fillId="3" borderId="0" xfId="1" applyNumberFormat="1" applyFont="1" applyFill="1"/>
    <xf numFmtId="165" fontId="3" fillId="3" borderId="0" xfId="3" applyNumberFormat="1" applyFont="1" applyFill="1"/>
    <xf numFmtId="165" fontId="6" fillId="0" borderId="0" xfId="3" applyNumberFormat="1" applyFont="1" applyAlignment="1">
      <alignment horizontal="center"/>
    </xf>
    <xf numFmtId="165" fontId="6" fillId="3" borderId="0" xfId="3" applyNumberFormat="1" applyFont="1" applyFill="1" applyAlignment="1">
      <alignment horizontal="center"/>
    </xf>
    <xf numFmtId="43" fontId="3" fillId="0" borderId="0" xfId="1" applyFont="1"/>
    <xf numFmtId="43" fontId="6" fillId="0" borderId="0" xfId="1" applyFont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0667A-8B3A-43F8-9127-2CCF9535A020}">
  <dimension ref="A1:AJ80"/>
  <sheetViews>
    <sheetView tabSelected="1" topLeftCell="A59" zoomScale="120" zoomScaleNormal="120" workbookViewId="0">
      <pane xSplit="1" topLeftCell="C1" activePane="topRight" state="frozen"/>
      <selection pane="topRight" activeCell="H85" sqref="H85"/>
    </sheetView>
  </sheetViews>
  <sheetFormatPr defaultColWidth="12.73046875" defaultRowHeight="12.75" x14ac:dyDescent="0.35"/>
  <cols>
    <col min="1" max="1" width="42.73046875" style="8" customWidth="1"/>
    <col min="2" max="2" width="12.73046875" style="4" hidden="1" customWidth="1"/>
    <col min="3" max="8" width="12.73046875" style="4" customWidth="1"/>
    <col min="9" max="9" width="10.59765625" style="4" customWidth="1"/>
    <col min="10" max="23" width="12.73046875" style="4" customWidth="1"/>
    <col min="24" max="16384" width="12.73046875" style="4"/>
  </cols>
  <sheetData>
    <row r="1" spans="1:36" s="5" customFormat="1" ht="15" customHeight="1" x14ac:dyDescent="0.4">
      <c r="A1" s="3" t="s">
        <v>0</v>
      </c>
      <c r="B1" s="1"/>
      <c r="C1" s="1">
        <f>D1-365</f>
        <v>43311</v>
      </c>
      <c r="D1" s="1">
        <f>E1-365</f>
        <v>43676</v>
      </c>
      <c r="E1" s="1">
        <f>F1-365</f>
        <v>44041</v>
      </c>
      <c r="F1" s="1">
        <f>G1-365</f>
        <v>44406</v>
      </c>
      <c r="G1" s="1">
        <f>H1-365</f>
        <v>44771</v>
      </c>
      <c r="H1" s="1">
        <v>45136</v>
      </c>
      <c r="I1" s="1" t="s">
        <v>64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2"/>
      <c r="AD1" s="2"/>
      <c r="AE1" s="2"/>
      <c r="AF1" s="2"/>
      <c r="AG1" s="2"/>
      <c r="AH1" s="2"/>
      <c r="AI1" s="2"/>
      <c r="AJ1" s="2"/>
    </row>
    <row r="2" spans="1:36" s="5" customFormat="1" ht="15" customHeight="1" x14ac:dyDescent="0.4">
      <c r="A2" s="3" t="s">
        <v>1</v>
      </c>
      <c r="B2" s="2">
        <v>2017</v>
      </c>
      <c r="C2" s="2">
        <v>2018</v>
      </c>
      <c r="D2" s="2">
        <v>2019</v>
      </c>
      <c r="E2" s="2">
        <v>2020</v>
      </c>
      <c r="F2" s="2">
        <v>2021</v>
      </c>
      <c r="G2" s="2">
        <v>2022</v>
      </c>
      <c r="H2" s="2">
        <v>2023</v>
      </c>
      <c r="I2" s="2" t="s">
        <v>65</v>
      </c>
      <c r="J2" s="2">
        <v>2024</v>
      </c>
      <c r="K2" s="2">
        <v>2025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s="16" customFormat="1" x14ac:dyDescent="0.35">
      <c r="A3" s="7" t="s">
        <v>2</v>
      </c>
      <c r="B3" s="7"/>
      <c r="C3" s="16">
        <v>42.17</v>
      </c>
      <c r="D3" s="16">
        <v>56.47</v>
      </c>
      <c r="E3" s="16">
        <v>46.71</v>
      </c>
      <c r="F3" s="16">
        <v>55.07</v>
      </c>
      <c r="G3" s="16">
        <v>45.37</v>
      </c>
      <c r="H3" s="16">
        <v>52.04</v>
      </c>
      <c r="I3" s="24">
        <f>(H3-G3)/G3</f>
        <v>0.14701344500771441</v>
      </c>
    </row>
    <row r="4" spans="1:36" s="7" customFormat="1" ht="13.15" x14ac:dyDescent="0.4">
      <c r="A4" s="7" t="s">
        <v>3</v>
      </c>
      <c r="B4" s="6"/>
      <c r="C4" s="7">
        <v>4881</v>
      </c>
      <c r="D4" s="7">
        <v>4453</v>
      </c>
      <c r="E4" s="7">
        <v>4254</v>
      </c>
      <c r="F4" s="7">
        <v>4236</v>
      </c>
      <c r="G4" s="7">
        <v>4192</v>
      </c>
      <c r="H4" s="7">
        <v>4105</v>
      </c>
      <c r="I4" s="24">
        <f t="shared" ref="I4:I67" si="0">(H4-G4)/G4</f>
        <v>-2.075381679389313E-2</v>
      </c>
    </row>
    <row r="5" spans="1:36" s="7" customFormat="1" x14ac:dyDescent="0.35">
      <c r="A5" s="7" t="s">
        <v>4</v>
      </c>
      <c r="C5" s="7">
        <f t="shared" ref="C5:G5" si="1">C3*C4</f>
        <v>205831.77000000002</v>
      </c>
      <c r="D5" s="7">
        <f t="shared" si="1"/>
        <v>251460.91</v>
      </c>
      <c r="E5" s="7">
        <f t="shared" si="1"/>
        <v>198704.34</v>
      </c>
      <c r="F5" s="7">
        <f t="shared" si="1"/>
        <v>233276.52</v>
      </c>
      <c r="G5" s="7">
        <f t="shared" si="1"/>
        <v>190191.03999999998</v>
      </c>
      <c r="H5" s="7">
        <f>H3*H4</f>
        <v>213624.19999999998</v>
      </c>
      <c r="I5" s="24">
        <f t="shared" si="0"/>
        <v>0.12320853810989206</v>
      </c>
      <c r="J5" s="7">
        <f t="shared" ref="J5:K5" si="2">J3*J4</f>
        <v>0</v>
      </c>
      <c r="K5" s="7">
        <f t="shared" si="2"/>
        <v>0</v>
      </c>
    </row>
    <row r="6" spans="1:36" s="7" customFormat="1" ht="13.15" x14ac:dyDescent="0.4">
      <c r="A6" s="7" t="s">
        <v>5</v>
      </c>
      <c r="B6" s="6"/>
      <c r="C6" s="7">
        <f t="shared" ref="C6:G6" si="3">C42</f>
        <v>8934</v>
      </c>
      <c r="D6" s="7">
        <f t="shared" si="3"/>
        <v>11750</v>
      </c>
      <c r="E6" s="7">
        <f t="shared" si="3"/>
        <v>11809</v>
      </c>
      <c r="F6" s="7">
        <f t="shared" si="3"/>
        <v>9175</v>
      </c>
      <c r="G6" s="7">
        <f t="shared" si="3"/>
        <v>7079</v>
      </c>
      <c r="H6" s="7">
        <f>H42</f>
        <v>10123</v>
      </c>
      <c r="I6" s="24">
        <f t="shared" si="0"/>
        <v>0.43000423788670716</v>
      </c>
      <c r="J6" s="7">
        <f t="shared" ref="J6:K6" si="4">J42</f>
        <v>0</v>
      </c>
      <c r="K6" s="7">
        <f t="shared" si="4"/>
        <v>0</v>
      </c>
    </row>
    <row r="7" spans="1:36" s="6" customFormat="1" ht="13.15" x14ac:dyDescent="0.4">
      <c r="A7" s="7" t="s">
        <v>6</v>
      </c>
      <c r="B7" s="7"/>
      <c r="C7" s="7">
        <f t="shared" ref="C7:G7" si="5">C59+C66</f>
        <v>25569</v>
      </c>
      <c r="D7" s="7">
        <f t="shared" si="5"/>
        <v>24666</v>
      </c>
      <c r="E7" s="7">
        <f t="shared" si="5"/>
        <v>14583</v>
      </c>
      <c r="F7" s="7">
        <f t="shared" si="5"/>
        <v>11526</v>
      </c>
      <c r="G7" s="7">
        <f t="shared" si="5"/>
        <v>9515</v>
      </c>
      <c r="H7" s="7">
        <f>H59+H66</f>
        <v>8391</v>
      </c>
      <c r="I7" s="24">
        <f t="shared" si="0"/>
        <v>-0.11812926957435628</v>
      </c>
      <c r="J7" s="7">
        <f t="shared" ref="J7:K7" si="6">J59+J66</f>
        <v>0</v>
      </c>
      <c r="K7" s="7">
        <f t="shared" si="6"/>
        <v>0</v>
      </c>
    </row>
    <row r="8" spans="1:36" x14ac:dyDescent="0.35">
      <c r="A8" s="7"/>
      <c r="B8" s="7"/>
      <c r="C8" s="7"/>
      <c r="D8" s="7"/>
      <c r="E8" s="7"/>
      <c r="F8" s="7"/>
      <c r="G8" s="7"/>
      <c r="H8" s="7"/>
      <c r="I8" s="24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</row>
    <row r="9" spans="1:36" ht="13.15" x14ac:dyDescent="0.4">
      <c r="A9" s="6" t="s">
        <v>7</v>
      </c>
      <c r="B9" s="7"/>
      <c r="C9" s="7"/>
      <c r="D9" s="7"/>
      <c r="E9" s="7"/>
      <c r="F9" s="7"/>
      <c r="G9" s="7"/>
      <c r="H9" s="7"/>
      <c r="I9" s="24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</row>
    <row r="10" spans="1:36" s="7" customFormat="1" x14ac:dyDescent="0.35">
      <c r="A10" s="11" t="s">
        <v>62</v>
      </c>
      <c r="C10" s="7">
        <v>28322</v>
      </c>
      <c r="D10" s="7">
        <v>30191</v>
      </c>
      <c r="E10" s="7">
        <v>27219</v>
      </c>
      <c r="F10" s="7">
        <v>27109</v>
      </c>
      <c r="G10" s="7">
        <v>29107</v>
      </c>
      <c r="H10" s="7">
        <v>34411</v>
      </c>
      <c r="I10" s="24">
        <f t="shared" si="0"/>
        <v>0.18222420723537294</v>
      </c>
    </row>
    <row r="11" spans="1:36" s="7" customFormat="1" x14ac:dyDescent="0.35">
      <c r="A11" s="11" t="s">
        <v>61</v>
      </c>
      <c r="C11" s="7">
        <v>5036</v>
      </c>
      <c r="D11" s="7">
        <v>5803</v>
      </c>
      <c r="E11" s="7">
        <v>5568</v>
      </c>
      <c r="F11" s="7">
        <v>5504</v>
      </c>
      <c r="G11" s="7">
        <v>5201</v>
      </c>
      <c r="H11" s="7">
        <v>4863</v>
      </c>
      <c r="I11" s="24">
        <f t="shared" si="0"/>
        <v>-6.4987502403383968E-2</v>
      </c>
    </row>
    <row r="12" spans="1:36" x14ac:dyDescent="0.35">
      <c r="A12" s="11" t="s">
        <v>63</v>
      </c>
      <c r="B12" s="7"/>
      <c r="C12" s="7">
        <v>2352</v>
      </c>
      <c r="D12" s="7">
        <v>2730</v>
      </c>
      <c r="E12" s="7">
        <v>3158</v>
      </c>
      <c r="F12" s="7">
        <v>3382</v>
      </c>
      <c r="G12" s="7">
        <v>3699</v>
      </c>
      <c r="H12" s="7">
        <v>3859</v>
      </c>
      <c r="I12" s="24">
        <f t="shared" si="0"/>
        <v>4.3254933765882672E-2</v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</row>
    <row r="13" spans="1:36" x14ac:dyDescent="0.35">
      <c r="A13" s="11" t="s">
        <v>11</v>
      </c>
      <c r="B13" s="7"/>
      <c r="C13" s="7">
        <v>999</v>
      </c>
      <c r="D13" s="7">
        <v>281</v>
      </c>
      <c r="E13" s="7">
        <v>33</v>
      </c>
      <c r="F13" s="7">
        <v>19</v>
      </c>
      <c r="G13" s="7">
        <v>11</v>
      </c>
      <c r="H13" s="7">
        <v>9</v>
      </c>
      <c r="I13" s="24">
        <f t="shared" si="0"/>
        <v>-0.18181818181818182</v>
      </c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</row>
    <row r="14" spans="1:36" x14ac:dyDescent="0.35">
      <c r="A14" s="11" t="s">
        <v>9</v>
      </c>
      <c r="B14" s="7"/>
      <c r="C14" s="7">
        <v>12621</v>
      </c>
      <c r="D14" s="7">
        <v>12899</v>
      </c>
      <c r="E14" s="7">
        <v>13323</v>
      </c>
      <c r="F14" s="7">
        <v>13804</v>
      </c>
      <c r="G14" s="7">
        <v>13539</v>
      </c>
      <c r="H14" s="7">
        <v>13856</v>
      </c>
      <c r="I14" s="24">
        <f t="shared" si="0"/>
        <v>2.3413841494940541E-2</v>
      </c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</row>
    <row r="15" spans="1:36" s="6" customFormat="1" ht="13.15" x14ac:dyDescent="0.4">
      <c r="A15" s="12" t="s">
        <v>10</v>
      </c>
      <c r="C15" s="6">
        <f t="shared" ref="C15" si="7">SUM(C10:C14)</f>
        <v>49330</v>
      </c>
      <c r="D15" s="6">
        <f t="shared" ref="D15" si="8">SUM(D10:D14)</f>
        <v>51904</v>
      </c>
      <c r="E15" s="6">
        <f t="shared" ref="E15" si="9">SUM(E10:E14)</f>
        <v>49301</v>
      </c>
      <c r="F15" s="6">
        <f t="shared" ref="F15:G15" si="10">SUM(F10:F14)</f>
        <v>49818</v>
      </c>
      <c r="G15" s="6">
        <f t="shared" si="10"/>
        <v>51557</v>
      </c>
      <c r="H15" s="6">
        <f>SUM(H10:H14)</f>
        <v>56998</v>
      </c>
      <c r="I15" s="24">
        <f t="shared" si="0"/>
        <v>0.10553368116841554</v>
      </c>
      <c r="J15" s="6">
        <f t="shared" ref="J15:K15" si="11">SUM(J10:J14)</f>
        <v>0</v>
      </c>
      <c r="K15" s="6">
        <f t="shared" si="11"/>
        <v>0</v>
      </c>
    </row>
    <row r="16" spans="1:36" x14ac:dyDescent="0.35">
      <c r="I16" s="24"/>
    </row>
    <row r="17" spans="1:11" ht="13.15" x14ac:dyDescent="0.4">
      <c r="A17" s="15" t="s">
        <v>12</v>
      </c>
      <c r="I17" s="24"/>
    </row>
    <row r="18" spans="1:11" x14ac:dyDescent="0.35">
      <c r="A18" s="9" t="s">
        <v>13</v>
      </c>
      <c r="C18" s="4">
        <v>14427</v>
      </c>
      <c r="D18" s="4">
        <v>14863</v>
      </c>
      <c r="E18" s="4">
        <v>13199</v>
      </c>
      <c r="F18" s="4">
        <v>13300</v>
      </c>
      <c r="G18" s="4">
        <v>14814</v>
      </c>
      <c r="H18" s="4">
        <v>16590</v>
      </c>
      <c r="I18" s="24">
        <f t="shared" si="0"/>
        <v>0.11988659376265695</v>
      </c>
    </row>
    <row r="19" spans="1:11" x14ac:dyDescent="0.35">
      <c r="A19" s="9" t="s">
        <v>14</v>
      </c>
      <c r="C19" s="4">
        <v>4297</v>
      </c>
      <c r="D19" s="4">
        <v>4375</v>
      </c>
      <c r="E19" s="4">
        <v>4419</v>
      </c>
      <c r="F19" s="4">
        <v>4624</v>
      </c>
      <c r="G19" s="4">
        <v>4495</v>
      </c>
      <c r="H19" s="4">
        <v>4655</v>
      </c>
      <c r="I19" s="24">
        <f t="shared" si="0"/>
        <v>3.5595105672969966E-2</v>
      </c>
    </row>
    <row r="20" spans="1:11" s="13" customFormat="1" ht="13.15" x14ac:dyDescent="0.4">
      <c r="A20" s="12" t="s">
        <v>15</v>
      </c>
      <c r="C20" s="13">
        <f t="shared" ref="C20:G20" si="12">SUM(C18:C19)</f>
        <v>18724</v>
      </c>
      <c r="D20" s="13">
        <f t="shared" si="12"/>
        <v>19238</v>
      </c>
      <c r="E20" s="13">
        <f t="shared" si="12"/>
        <v>17618</v>
      </c>
      <c r="F20" s="13">
        <f t="shared" si="12"/>
        <v>17924</v>
      </c>
      <c r="G20" s="13">
        <f t="shared" si="12"/>
        <v>19309</v>
      </c>
      <c r="H20" s="13">
        <f>SUM(H18:H19)</f>
        <v>21245</v>
      </c>
      <c r="I20" s="24">
        <f t="shared" si="0"/>
        <v>0.1002641255373142</v>
      </c>
      <c r="J20" s="13">
        <f t="shared" ref="J20:K20" si="13">SUM(J18:J19)</f>
        <v>0</v>
      </c>
      <c r="K20" s="13">
        <f t="shared" si="13"/>
        <v>0</v>
      </c>
    </row>
    <row r="21" spans="1:11" x14ac:dyDescent="0.35">
      <c r="I21" s="24"/>
    </row>
    <row r="22" spans="1:11" s="6" customFormat="1" ht="13.15" x14ac:dyDescent="0.4">
      <c r="A22" s="15" t="s">
        <v>16</v>
      </c>
      <c r="C22" s="6">
        <f t="shared" ref="C22:G22" si="14">C15-C20</f>
        <v>30606</v>
      </c>
      <c r="D22" s="6">
        <f t="shared" si="14"/>
        <v>32666</v>
      </c>
      <c r="E22" s="6">
        <f t="shared" si="14"/>
        <v>31683</v>
      </c>
      <c r="F22" s="6">
        <f t="shared" si="14"/>
        <v>31894</v>
      </c>
      <c r="G22" s="6">
        <f t="shared" si="14"/>
        <v>32248</v>
      </c>
      <c r="H22" s="6">
        <f>H15-H20</f>
        <v>35753</v>
      </c>
      <c r="I22" s="24">
        <f t="shared" si="0"/>
        <v>0.10868891094021335</v>
      </c>
      <c r="J22" s="6">
        <f t="shared" ref="J22:K22" si="15">J15-J20</f>
        <v>0</v>
      </c>
      <c r="K22" s="6">
        <f t="shared" si="15"/>
        <v>0</v>
      </c>
    </row>
    <row r="23" spans="1:11" x14ac:dyDescent="0.35">
      <c r="I23" s="24"/>
    </row>
    <row r="24" spans="1:11" ht="13.15" x14ac:dyDescent="0.4">
      <c r="A24" s="15" t="s">
        <v>17</v>
      </c>
      <c r="I24" s="24"/>
    </row>
    <row r="25" spans="1:11" x14ac:dyDescent="0.35">
      <c r="A25" s="9" t="s">
        <v>18</v>
      </c>
      <c r="C25" s="4">
        <v>6332</v>
      </c>
      <c r="D25" s="4">
        <v>6577</v>
      </c>
      <c r="E25" s="4">
        <v>6347</v>
      </c>
      <c r="F25" s="4">
        <v>6549</v>
      </c>
      <c r="G25" s="4">
        <v>6774</v>
      </c>
      <c r="H25" s="4">
        <v>7551</v>
      </c>
      <c r="I25" s="24">
        <f t="shared" si="0"/>
        <v>0.11470327723649247</v>
      </c>
    </row>
    <row r="26" spans="1:11" x14ac:dyDescent="0.35">
      <c r="A26" s="9" t="s">
        <v>19</v>
      </c>
      <c r="C26" s="4">
        <v>9242</v>
      </c>
      <c r="D26" s="4">
        <v>9571</v>
      </c>
      <c r="E26" s="4">
        <v>9169</v>
      </c>
      <c r="F26" s="4">
        <v>9259</v>
      </c>
      <c r="G26" s="4">
        <v>9085</v>
      </c>
      <c r="H26" s="4">
        <v>9880</v>
      </c>
      <c r="I26" s="24">
        <f t="shared" si="0"/>
        <v>8.7506879471656571E-2</v>
      </c>
    </row>
    <row r="27" spans="1:11" x14ac:dyDescent="0.35">
      <c r="A27" s="9" t="s">
        <v>20</v>
      </c>
      <c r="C27" s="4">
        <v>2144</v>
      </c>
      <c r="D27" s="4">
        <v>1827</v>
      </c>
      <c r="E27" s="4">
        <v>1925</v>
      </c>
      <c r="F27" s="4">
        <v>2152</v>
      </c>
      <c r="G27" s="4">
        <v>2101</v>
      </c>
      <c r="H27" s="4">
        <v>2478</v>
      </c>
      <c r="I27" s="24">
        <f t="shared" si="0"/>
        <v>0.17943836268443597</v>
      </c>
    </row>
    <row r="28" spans="1:11" x14ac:dyDescent="0.35">
      <c r="A28" s="9" t="s">
        <v>21</v>
      </c>
      <c r="C28" s="4">
        <v>221</v>
      </c>
      <c r="D28" s="4">
        <v>150</v>
      </c>
      <c r="E28" s="4">
        <v>141</v>
      </c>
      <c r="F28" s="4">
        <v>215</v>
      </c>
      <c r="G28" s="4">
        <v>313</v>
      </c>
      <c r="H28" s="4">
        <v>282</v>
      </c>
      <c r="I28" s="24">
        <f t="shared" si="0"/>
        <v>-9.9041533546325874E-2</v>
      </c>
    </row>
    <row r="29" spans="1:11" x14ac:dyDescent="0.35">
      <c r="A29" s="9" t="s">
        <v>22</v>
      </c>
      <c r="C29" s="4">
        <v>358</v>
      </c>
      <c r="D29" s="4">
        <v>322</v>
      </c>
      <c r="E29" s="4">
        <v>481</v>
      </c>
      <c r="F29" s="4">
        <v>886</v>
      </c>
      <c r="G29" s="4">
        <v>6</v>
      </c>
      <c r="H29" s="4">
        <v>531</v>
      </c>
      <c r="I29" s="24">
        <f t="shared" si="0"/>
        <v>87.5</v>
      </c>
    </row>
    <row r="30" spans="1:11" s="6" customFormat="1" ht="13.15" x14ac:dyDescent="0.4">
      <c r="A30" s="12" t="s">
        <v>23</v>
      </c>
      <c r="C30" s="6">
        <f t="shared" ref="C30:F30" si="16">SUM(C25:C29)</f>
        <v>18297</v>
      </c>
      <c r="D30" s="6">
        <f t="shared" si="16"/>
        <v>18447</v>
      </c>
      <c r="E30" s="6">
        <f t="shared" si="16"/>
        <v>18063</v>
      </c>
      <c r="F30" s="6">
        <f t="shared" si="16"/>
        <v>19061</v>
      </c>
      <c r="G30" s="6">
        <f>SUM(G25:G29)</f>
        <v>18279</v>
      </c>
      <c r="H30" s="6">
        <f>SUM(H25:H29)</f>
        <v>20722</v>
      </c>
      <c r="I30" s="24">
        <f t="shared" si="0"/>
        <v>0.13365063734339952</v>
      </c>
      <c r="J30" s="6">
        <f t="shared" ref="J30:K30" si="17">SUM(J25:J29)</f>
        <v>0</v>
      </c>
      <c r="K30" s="6">
        <f t="shared" si="17"/>
        <v>0</v>
      </c>
    </row>
    <row r="31" spans="1:11" x14ac:dyDescent="0.35">
      <c r="I31" s="24"/>
    </row>
    <row r="32" spans="1:11" x14ac:dyDescent="0.35">
      <c r="A32" s="8" t="s">
        <v>24</v>
      </c>
      <c r="C32" s="4">
        <f t="shared" ref="C32:G32" si="18">C22-C30</f>
        <v>12309</v>
      </c>
      <c r="D32" s="4">
        <f t="shared" si="18"/>
        <v>14219</v>
      </c>
      <c r="E32" s="4">
        <f t="shared" si="18"/>
        <v>13620</v>
      </c>
      <c r="F32" s="4">
        <f t="shared" si="18"/>
        <v>12833</v>
      </c>
      <c r="G32" s="4">
        <f t="shared" si="18"/>
        <v>13969</v>
      </c>
      <c r="H32" s="4">
        <f>H22-H30</f>
        <v>15031</v>
      </c>
      <c r="I32" s="24">
        <f t="shared" si="0"/>
        <v>7.6025485002505541E-2</v>
      </c>
      <c r="J32" s="4">
        <f t="shared" ref="J32:K32" si="19">J22-J30</f>
        <v>0</v>
      </c>
      <c r="K32" s="4">
        <f t="shared" si="19"/>
        <v>0</v>
      </c>
    </row>
    <row r="33" spans="1:11" x14ac:dyDescent="0.35">
      <c r="A33" s="8" t="s">
        <v>25</v>
      </c>
      <c r="C33" s="4">
        <v>1508</v>
      </c>
      <c r="D33" s="4">
        <v>1308</v>
      </c>
      <c r="E33" s="4">
        <v>920</v>
      </c>
      <c r="F33" s="4">
        <v>618</v>
      </c>
      <c r="G33" s="4">
        <v>476</v>
      </c>
      <c r="H33" s="4">
        <v>962</v>
      </c>
      <c r="I33" s="24">
        <f t="shared" si="0"/>
        <v>1.0210084033613445</v>
      </c>
    </row>
    <row r="34" spans="1:11" x14ac:dyDescent="0.35">
      <c r="A34" s="8" t="s">
        <v>26</v>
      </c>
      <c r="C34" s="4">
        <v>-943</v>
      </c>
      <c r="D34" s="4">
        <v>-859</v>
      </c>
      <c r="E34" s="4">
        <v>-585</v>
      </c>
      <c r="F34" s="4">
        <v>-434</v>
      </c>
      <c r="G34" s="4">
        <v>-360</v>
      </c>
      <c r="H34" s="4">
        <v>-427</v>
      </c>
      <c r="I34" s="24">
        <f t="shared" si="0"/>
        <v>0.18611111111111112</v>
      </c>
    </row>
    <row r="35" spans="1:11" x14ac:dyDescent="0.35">
      <c r="A35" s="8" t="s">
        <v>27</v>
      </c>
      <c r="C35" s="4">
        <v>165</v>
      </c>
      <c r="D35" s="4">
        <v>-97</v>
      </c>
      <c r="E35" s="4">
        <v>15</v>
      </c>
      <c r="F35" s="4">
        <v>245</v>
      </c>
      <c r="G35" s="4">
        <v>392</v>
      </c>
      <c r="H35" s="4">
        <v>-248</v>
      </c>
      <c r="I35" s="24">
        <f t="shared" si="0"/>
        <v>-1.6326530612244898</v>
      </c>
    </row>
    <row r="36" spans="1:11" x14ac:dyDescent="0.35">
      <c r="A36" s="9" t="s">
        <v>28</v>
      </c>
      <c r="C36" s="4">
        <f t="shared" ref="C36:F36" si="20">SUM(C32:C35)</f>
        <v>13039</v>
      </c>
      <c r="D36" s="4">
        <f t="shared" si="20"/>
        <v>14571</v>
      </c>
      <c r="E36" s="4">
        <f t="shared" si="20"/>
        <v>13970</v>
      </c>
      <c r="F36" s="4">
        <f t="shared" si="20"/>
        <v>13262</v>
      </c>
      <c r="G36" s="4">
        <f>SUM(G32:G35)</f>
        <v>14477</v>
      </c>
      <c r="H36" s="4">
        <f>SUM(H32:H35)</f>
        <v>15318</v>
      </c>
      <c r="I36" s="24">
        <f t="shared" si="0"/>
        <v>5.8092146162879048E-2</v>
      </c>
      <c r="J36" s="4">
        <f t="shared" ref="J36:K36" si="21">SUM(J32:J35)</f>
        <v>0</v>
      </c>
      <c r="K36" s="4">
        <f t="shared" si="21"/>
        <v>0</v>
      </c>
    </row>
    <row r="37" spans="1:11" x14ac:dyDescent="0.35">
      <c r="A37" s="9" t="s">
        <v>29</v>
      </c>
      <c r="C37" s="4">
        <v>12929</v>
      </c>
      <c r="D37" s="4">
        <v>2950</v>
      </c>
      <c r="E37" s="4">
        <v>2756</v>
      </c>
      <c r="F37" s="4">
        <v>2671</v>
      </c>
      <c r="G37" s="4">
        <v>2665</v>
      </c>
      <c r="H37" s="4">
        <v>2705</v>
      </c>
      <c r="I37" s="24">
        <f t="shared" si="0"/>
        <v>1.50093808630394E-2</v>
      </c>
    </row>
    <row r="38" spans="1:11" s="6" customFormat="1" ht="13.15" x14ac:dyDescent="0.4">
      <c r="A38" s="12" t="s">
        <v>30</v>
      </c>
      <c r="C38" s="6">
        <f t="shared" ref="C38:F38" si="22">C36-C37</f>
        <v>110</v>
      </c>
      <c r="D38" s="6">
        <f t="shared" si="22"/>
        <v>11621</v>
      </c>
      <c r="E38" s="6">
        <f t="shared" si="22"/>
        <v>11214</v>
      </c>
      <c r="F38" s="6">
        <f t="shared" si="22"/>
        <v>10591</v>
      </c>
      <c r="G38" s="6">
        <f>G36-G37</f>
        <v>11812</v>
      </c>
      <c r="H38" s="6">
        <f>H36-H37</f>
        <v>12613</v>
      </c>
      <c r="I38" s="24">
        <f t="shared" si="0"/>
        <v>6.7812394175414833E-2</v>
      </c>
      <c r="J38" s="6">
        <f t="shared" ref="J38:K38" si="23">J36-J37</f>
        <v>0</v>
      </c>
      <c r="K38" s="6">
        <f t="shared" si="23"/>
        <v>0</v>
      </c>
    </row>
    <row r="39" spans="1:11" x14ac:dyDescent="0.35">
      <c r="I39" s="24"/>
    </row>
    <row r="40" spans="1:11" ht="13.15" x14ac:dyDescent="0.4">
      <c r="A40" s="15" t="s">
        <v>31</v>
      </c>
      <c r="I40" s="24"/>
    </row>
    <row r="41" spans="1:11" ht="13.15" x14ac:dyDescent="0.4">
      <c r="A41" s="14" t="s">
        <v>32</v>
      </c>
      <c r="I41" s="24"/>
    </row>
    <row r="42" spans="1:11" x14ac:dyDescent="0.35">
      <c r="A42" s="10" t="s">
        <v>5</v>
      </c>
      <c r="C42" s="4">
        <v>8934</v>
      </c>
      <c r="D42" s="4">
        <v>11750</v>
      </c>
      <c r="E42" s="4">
        <v>11809</v>
      </c>
      <c r="F42" s="4">
        <v>9175</v>
      </c>
      <c r="G42" s="4">
        <v>7079</v>
      </c>
      <c r="H42" s="4">
        <v>10123</v>
      </c>
      <c r="I42" s="24">
        <f t="shared" si="0"/>
        <v>0.43000423788670716</v>
      </c>
    </row>
    <row r="43" spans="1:11" x14ac:dyDescent="0.35">
      <c r="A43" s="10" t="s">
        <v>33</v>
      </c>
      <c r="C43" s="4">
        <v>37614</v>
      </c>
      <c r="D43" s="4">
        <v>21663</v>
      </c>
      <c r="E43" s="4">
        <v>17610</v>
      </c>
      <c r="F43" s="4">
        <v>15343</v>
      </c>
      <c r="G43" s="4">
        <v>12188</v>
      </c>
      <c r="H43" s="4">
        <v>16023</v>
      </c>
      <c r="I43" s="24">
        <f t="shared" si="0"/>
        <v>0.31465375779455201</v>
      </c>
    </row>
    <row r="44" spans="1:11" x14ac:dyDescent="0.35">
      <c r="A44" s="10" t="s">
        <v>34</v>
      </c>
      <c r="C44" s="4">
        <v>5554</v>
      </c>
      <c r="D44" s="4">
        <v>5491</v>
      </c>
      <c r="E44" s="4">
        <v>5472</v>
      </c>
      <c r="F44" s="4">
        <v>5766</v>
      </c>
      <c r="G44" s="4">
        <v>6622</v>
      </c>
      <c r="H44" s="4">
        <v>5854</v>
      </c>
      <c r="I44" s="24">
        <f t="shared" si="0"/>
        <v>-0.11597704620960435</v>
      </c>
    </row>
    <row r="45" spans="1:11" x14ac:dyDescent="0.35">
      <c r="A45" s="10" t="s">
        <v>52</v>
      </c>
      <c r="C45" s="4">
        <v>1846</v>
      </c>
      <c r="D45" s="4">
        <v>1383</v>
      </c>
      <c r="E45" s="4">
        <v>1282</v>
      </c>
      <c r="F45" s="4">
        <v>1559</v>
      </c>
      <c r="G45" s="4">
        <v>2568</v>
      </c>
      <c r="H45" s="4">
        <v>3644</v>
      </c>
      <c r="I45" s="24">
        <f t="shared" si="0"/>
        <v>0.4190031152647975</v>
      </c>
    </row>
    <row r="46" spans="1:11" x14ac:dyDescent="0.35">
      <c r="A46" s="10" t="s">
        <v>37</v>
      </c>
      <c r="C46" s="4">
        <v>4949</v>
      </c>
      <c r="D46" s="4">
        <v>5095</v>
      </c>
      <c r="E46" s="4">
        <v>5051</v>
      </c>
      <c r="F46" s="4">
        <v>4380</v>
      </c>
      <c r="G46" s="4">
        <v>3905</v>
      </c>
      <c r="H46" s="4">
        <v>3352</v>
      </c>
      <c r="I46" s="24">
        <f t="shared" si="0"/>
        <v>-0.14161331626120358</v>
      </c>
    </row>
    <row r="47" spans="1:11" x14ac:dyDescent="0.35">
      <c r="A47" s="10" t="s">
        <v>8</v>
      </c>
      <c r="C47" s="4">
        <v>2940</v>
      </c>
      <c r="D47" s="4">
        <v>2373</v>
      </c>
      <c r="E47" s="4">
        <v>2349</v>
      </c>
      <c r="F47" s="4">
        <v>2889</v>
      </c>
      <c r="G47" s="4">
        <v>4355</v>
      </c>
      <c r="H47" s="4">
        <v>4352</v>
      </c>
      <c r="I47" s="24">
        <f t="shared" si="0"/>
        <v>-6.8886337543053958E-4</v>
      </c>
    </row>
    <row r="48" spans="1:11" s="6" customFormat="1" ht="13.15" x14ac:dyDescent="0.4">
      <c r="A48" s="17" t="s">
        <v>35</v>
      </c>
      <c r="C48" s="6">
        <f t="shared" ref="C48:G48" si="24">SUM(C42:C47)</f>
        <v>61837</v>
      </c>
      <c r="D48" s="6">
        <f t="shared" si="24"/>
        <v>47755</v>
      </c>
      <c r="E48" s="6">
        <f t="shared" si="24"/>
        <v>43573</v>
      </c>
      <c r="F48" s="6">
        <f t="shared" si="24"/>
        <v>39112</v>
      </c>
      <c r="G48" s="6">
        <f t="shared" si="24"/>
        <v>36717</v>
      </c>
      <c r="H48" s="6">
        <f>SUM(H42:H47)</f>
        <v>43348</v>
      </c>
      <c r="I48" s="24">
        <f t="shared" si="0"/>
        <v>0.18059754337227987</v>
      </c>
      <c r="J48" s="6">
        <f t="shared" ref="J48:K48" si="25">SUM(J42:J47)</f>
        <v>0</v>
      </c>
      <c r="K48" s="6">
        <f t="shared" si="25"/>
        <v>0</v>
      </c>
    </row>
    <row r="49" spans="1:11" x14ac:dyDescent="0.35">
      <c r="A49" s="9" t="s">
        <v>36</v>
      </c>
      <c r="C49" s="4">
        <v>3006</v>
      </c>
      <c r="D49" s="4">
        <v>2789</v>
      </c>
      <c r="E49" s="4">
        <v>2453</v>
      </c>
      <c r="F49" s="4">
        <v>2338</v>
      </c>
      <c r="G49" s="4">
        <v>1997</v>
      </c>
      <c r="H49" s="4">
        <v>2085</v>
      </c>
      <c r="I49" s="24">
        <f t="shared" si="0"/>
        <v>4.4066099148723087E-2</v>
      </c>
    </row>
    <row r="50" spans="1:11" x14ac:dyDescent="0.35">
      <c r="A50" s="9" t="s">
        <v>37</v>
      </c>
      <c r="C50" s="4">
        <v>4882</v>
      </c>
      <c r="D50" s="4">
        <v>4958</v>
      </c>
      <c r="E50" s="4">
        <v>5714</v>
      </c>
      <c r="F50" s="4">
        <v>4884</v>
      </c>
      <c r="G50" s="4">
        <v>4009</v>
      </c>
      <c r="H50" s="4">
        <v>3483</v>
      </c>
      <c r="I50" s="24">
        <f t="shared" si="0"/>
        <v>-0.13120478922424544</v>
      </c>
    </row>
    <row r="51" spans="1:11" x14ac:dyDescent="0.35">
      <c r="A51" s="9" t="s">
        <v>38</v>
      </c>
      <c r="C51" s="4">
        <v>31706</v>
      </c>
      <c r="D51" s="4">
        <v>33529</v>
      </c>
      <c r="E51" s="4">
        <v>33806</v>
      </c>
      <c r="F51" s="4">
        <v>38168</v>
      </c>
      <c r="G51" s="4">
        <v>38304</v>
      </c>
      <c r="H51" s="4">
        <v>38535</v>
      </c>
      <c r="I51" s="24">
        <f t="shared" si="0"/>
        <v>6.0307017543859646E-3</v>
      </c>
    </row>
    <row r="52" spans="1:11" x14ac:dyDescent="0.35">
      <c r="A52" s="9" t="s">
        <v>39</v>
      </c>
      <c r="C52" s="4">
        <v>2552</v>
      </c>
      <c r="D52" s="4">
        <v>2201</v>
      </c>
      <c r="E52" s="4">
        <v>1576</v>
      </c>
      <c r="F52" s="4">
        <v>3619</v>
      </c>
      <c r="G52" s="4">
        <v>2569</v>
      </c>
      <c r="H52" s="4">
        <v>1818</v>
      </c>
      <c r="I52" s="24">
        <f t="shared" si="0"/>
        <v>-0.29233164655507982</v>
      </c>
    </row>
    <row r="53" spans="1:11" x14ac:dyDescent="0.35">
      <c r="A53" s="9" t="s">
        <v>40</v>
      </c>
      <c r="C53" s="4">
        <v>3219</v>
      </c>
      <c r="D53" s="4">
        <v>4065</v>
      </c>
      <c r="E53" s="4">
        <v>3990</v>
      </c>
      <c r="F53" s="4">
        <v>4360</v>
      </c>
      <c r="G53" s="4">
        <v>4449</v>
      </c>
      <c r="H53" s="4">
        <v>6576</v>
      </c>
      <c r="I53" s="24">
        <f t="shared" si="0"/>
        <v>0.47808496291301417</v>
      </c>
    </row>
    <row r="54" spans="1:11" x14ac:dyDescent="0.35">
      <c r="A54" s="9" t="s">
        <v>8</v>
      </c>
      <c r="C54" s="4">
        <v>1582</v>
      </c>
      <c r="D54" s="4">
        <v>2496</v>
      </c>
      <c r="E54" s="4">
        <v>3741</v>
      </c>
      <c r="F54" s="4">
        <v>5016</v>
      </c>
      <c r="G54" s="4">
        <v>5957</v>
      </c>
      <c r="H54" s="4">
        <v>6007</v>
      </c>
      <c r="I54" s="24">
        <f t="shared" si="0"/>
        <v>8.3934866543562189E-3</v>
      </c>
    </row>
    <row r="55" spans="1:11" s="6" customFormat="1" ht="13.15" x14ac:dyDescent="0.4">
      <c r="A55" s="17" t="s">
        <v>41</v>
      </c>
      <c r="C55" s="6">
        <f t="shared" ref="C55:G55" si="26">SUM(C48:C54)</f>
        <v>108784</v>
      </c>
      <c r="D55" s="6">
        <f t="shared" si="26"/>
        <v>97793</v>
      </c>
      <c r="E55" s="6">
        <f t="shared" si="26"/>
        <v>94853</v>
      </c>
      <c r="F55" s="6">
        <f t="shared" si="26"/>
        <v>97497</v>
      </c>
      <c r="G55" s="6">
        <f t="shared" si="26"/>
        <v>94002</v>
      </c>
      <c r="H55" s="6">
        <f>SUM(H48:H54)</f>
        <v>101852</v>
      </c>
      <c r="I55" s="24">
        <f t="shared" si="0"/>
        <v>8.3508861513584817E-2</v>
      </c>
      <c r="J55" s="6">
        <f t="shared" ref="J55:K55" si="27">SUM(J48:J54)</f>
        <v>0</v>
      </c>
      <c r="K55" s="6">
        <f t="shared" si="27"/>
        <v>0</v>
      </c>
    </row>
    <row r="56" spans="1:11" x14ac:dyDescent="0.35">
      <c r="I56" s="24"/>
    </row>
    <row r="57" spans="1:11" ht="13.15" x14ac:dyDescent="0.4">
      <c r="A57" s="15" t="s">
        <v>42</v>
      </c>
      <c r="I57" s="24"/>
    </row>
    <row r="58" spans="1:11" ht="13.15" x14ac:dyDescent="0.4">
      <c r="A58" s="14" t="s">
        <v>43</v>
      </c>
      <c r="I58" s="24"/>
    </row>
    <row r="59" spans="1:11" x14ac:dyDescent="0.35">
      <c r="A59" s="10" t="s">
        <v>44</v>
      </c>
      <c r="C59" s="4">
        <v>5238</v>
      </c>
      <c r="D59" s="4">
        <v>10191</v>
      </c>
      <c r="E59" s="4">
        <v>3005</v>
      </c>
      <c r="F59" s="4">
        <v>2508</v>
      </c>
      <c r="G59" s="4">
        <v>1099</v>
      </c>
      <c r="H59" s="4">
        <v>1733</v>
      </c>
      <c r="I59" s="24">
        <f t="shared" si="0"/>
        <v>0.57688808007279346</v>
      </c>
    </row>
    <row r="60" spans="1:11" x14ac:dyDescent="0.35">
      <c r="A60" s="10" t="s">
        <v>45</v>
      </c>
      <c r="C60" s="4">
        <v>1904</v>
      </c>
      <c r="D60" s="4">
        <v>2059</v>
      </c>
      <c r="E60" s="4">
        <v>2218</v>
      </c>
      <c r="F60" s="4">
        <v>2362</v>
      </c>
      <c r="G60" s="4">
        <v>2281</v>
      </c>
      <c r="H60" s="4">
        <v>2313</v>
      </c>
      <c r="I60" s="24">
        <f t="shared" si="0"/>
        <v>1.4028934677772907E-2</v>
      </c>
    </row>
    <row r="61" spans="1:11" x14ac:dyDescent="0.35">
      <c r="A61" s="10" t="s">
        <v>46</v>
      </c>
      <c r="C61" s="4">
        <v>1004</v>
      </c>
      <c r="D61" s="4">
        <v>1149</v>
      </c>
      <c r="E61" s="4">
        <v>839</v>
      </c>
      <c r="F61" s="4">
        <v>801</v>
      </c>
      <c r="G61" s="4">
        <v>961</v>
      </c>
      <c r="H61" s="4">
        <v>4235</v>
      </c>
      <c r="I61" s="24">
        <f t="shared" si="0"/>
        <v>3.4068678459937565</v>
      </c>
    </row>
    <row r="62" spans="1:11" x14ac:dyDescent="0.35">
      <c r="A62" s="10" t="s">
        <v>47</v>
      </c>
      <c r="C62" s="4">
        <v>2986</v>
      </c>
      <c r="D62" s="4">
        <v>3221</v>
      </c>
      <c r="E62" s="4">
        <v>3122</v>
      </c>
      <c r="F62" s="4">
        <v>3818</v>
      </c>
      <c r="G62" s="4">
        <v>3316</v>
      </c>
      <c r="H62" s="4">
        <v>3984</v>
      </c>
      <c r="I62" s="24">
        <f t="shared" si="0"/>
        <v>0.2014475271411339</v>
      </c>
    </row>
    <row r="63" spans="1:11" x14ac:dyDescent="0.35">
      <c r="A63" s="10" t="s">
        <v>48</v>
      </c>
      <c r="C63" s="4">
        <v>11490</v>
      </c>
      <c r="D63" s="4">
        <v>10668</v>
      </c>
      <c r="E63" s="4">
        <v>11406</v>
      </c>
      <c r="F63" s="4">
        <v>12148</v>
      </c>
      <c r="G63" s="4">
        <v>12784</v>
      </c>
      <c r="H63" s="4">
        <v>13908</v>
      </c>
      <c r="I63" s="24">
        <f t="shared" si="0"/>
        <v>8.7922403003754687E-2</v>
      </c>
    </row>
    <row r="64" spans="1:11" x14ac:dyDescent="0.35">
      <c r="A64" s="10" t="s">
        <v>8</v>
      </c>
      <c r="C64" s="4">
        <v>4413</v>
      </c>
      <c r="D64" s="4">
        <v>4424</v>
      </c>
      <c r="E64" s="4">
        <v>4741</v>
      </c>
      <c r="F64" s="4">
        <v>4620</v>
      </c>
      <c r="G64" s="4">
        <v>5199</v>
      </c>
      <c r="H64" s="4">
        <v>5136</v>
      </c>
      <c r="I64" s="24">
        <f t="shared" si="0"/>
        <v>-1.2117714945181766E-2</v>
      </c>
    </row>
    <row r="65" spans="1:11" s="6" customFormat="1" ht="13.15" x14ac:dyDescent="0.4">
      <c r="A65" s="17" t="s">
        <v>49</v>
      </c>
      <c r="C65" s="6">
        <f t="shared" ref="C65:G65" si="28">SUM(C59:C64)</f>
        <v>27035</v>
      </c>
      <c r="D65" s="6">
        <f t="shared" si="28"/>
        <v>31712</v>
      </c>
      <c r="E65" s="6">
        <f t="shared" si="28"/>
        <v>25331</v>
      </c>
      <c r="F65" s="6">
        <f t="shared" si="28"/>
        <v>26257</v>
      </c>
      <c r="G65" s="6">
        <f t="shared" si="28"/>
        <v>25640</v>
      </c>
      <c r="H65" s="6">
        <f>SUM(H59:H64)</f>
        <v>31309</v>
      </c>
      <c r="I65" s="24">
        <f t="shared" si="0"/>
        <v>0.22109984399375976</v>
      </c>
      <c r="J65" s="6">
        <f t="shared" ref="J65:K65" si="29">SUM(J59:J64)</f>
        <v>0</v>
      </c>
      <c r="K65" s="6">
        <f t="shared" si="29"/>
        <v>0</v>
      </c>
    </row>
    <row r="66" spans="1:11" x14ac:dyDescent="0.35">
      <c r="A66" s="9" t="s">
        <v>50</v>
      </c>
      <c r="C66" s="4">
        <v>20331</v>
      </c>
      <c r="D66" s="4">
        <v>14475</v>
      </c>
      <c r="E66" s="4">
        <v>11578</v>
      </c>
      <c r="F66" s="4">
        <v>9018</v>
      </c>
      <c r="G66" s="4">
        <v>8416</v>
      </c>
      <c r="H66" s="4">
        <v>6658</v>
      </c>
      <c r="I66" s="24">
        <f t="shared" si="0"/>
        <v>-0.20888783269961977</v>
      </c>
    </row>
    <row r="67" spans="1:11" x14ac:dyDescent="0.35">
      <c r="A67" s="9" t="s">
        <v>46</v>
      </c>
      <c r="C67" s="4">
        <v>8585</v>
      </c>
      <c r="D67" s="4">
        <v>8927</v>
      </c>
      <c r="E67" s="4">
        <v>8837</v>
      </c>
      <c r="F67" s="4">
        <v>8538</v>
      </c>
      <c r="G67" s="4">
        <v>7725</v>
      </c>
      <c r="H67" s="4">
        <v>5756</v>
      </c>
      <c r="I67" s="24">
        <f t="shared" si="0"/>
        <v>-0.25488673139158574</v>
      </c>
    </row>
    <row r="68" spans="1:11" x14ac:dyDescent="0.35">
      <c r="A68" s="9" t="s">
        <v>48</v>
      </c>
      <c r="C68" s="4">
        <v>8195</v>
      </c>
      <c r="D68" s="4">
        <v>7799</v>
      </c>
      <c r="E68" s="4">
        <v>9040</v>
      </c>
      <c r="F68" s="4">
        <v>10016</v>
      </c>
      <c r="G68" s="4">
        <v>10480</v>
      </c>
      <c r="H68" s="4">
        <v>11642</v>
      </c>
      <c r="I68" s="24">
        <f t="shared" ref="I68:I80" si="30">(H68-G68)/G68</f>
        <v>0.11087786259541985</v>
      </c>
    </row>
    <row r="69" spans="1:11" x14ac:dyDescent="0.35">
      <c r="A69" s="9" t="s">
        <v>8</v>
      </c>
      <c r="C69" s="4">
        <v>1434</v>
      </c>
      <c r="D69" s="4">
        <v>1309</v>
      </c>
      <c r="E69" s="4">
        <v>2147</v>
      </c>
      <c r="F69" s="4">
        <v>2393</v>
      </c>
      <c r="G69" s="4">
        <v>1968</v>
      </c>
      <c r="H69" s="4">
        <v>2134</v>
      </c>
      <c r="I69" s="24">
        <f t="shared" si="30"/>
        <v>8.434959349593496E-2</v>
      </c>
    </row>
    <row r="70" spans="1:11" s="6" customFormat="1" ht="13.15" x14ac:dyDescent="0.4">
      <c r="A70" s="17" t="s">
        <v>51</v>
      </c>
      <c r="C70" s="6">
        <f t="shared" ref="C70:G70" si="31">SUM(C65:C69)</f>
        <v>65580</v>
      </c>
      <c r="D70" s="6">
        <f t="shared" si="31"/>
        <v>64222</v>
      </c>
      <c r="E70" s="6">
        <f t="shared" si="31"/>
        <v>56933</v>
      </c>
      <c r="F70" s="6">
        <f t="shared" si="31"/>
        <v>56222</v>
      </c>
      <c r="G70" s="6">
        <f t="shared" si="31"/>
        <v>54229</v>
      </c>
      <c r="H70" s="6">
        <f>SUM(H65:H69)</f>
        <v>57499</v>
      </c>
      <c r="I70" s="24">
        <f t="shared" si="30"/>
        <v>6.0299839569234175E-2</v>
      </c>
      <c r="J70" s="6">
        <f t="shared" ref="J70:K70" si="32">SUM(J65:J69)</f>
        <v>0</v>
      </c>
      <c r="K70" s="6">
        <f t="shared" si="32"/>
        <v>0</v>
      </c>
    </row>
    <row r="71" spans="1:11" x14ac:dyDescent="0.35">
      <c r="I71" s="24"/>
    </row>
    <row r="72" spans="1:11" x14ac:dyDescent="0.35">
      <c r="A72" s="8" t="s">
        <v>53</v>
      </c>
      <c r="C72" s="4">
        <f t="shared" ref="C72:G72" si="33">C55-C70</f>
        <v>43204</v>
      </c>
      <c r="D72" s="4">
        <f t="shared" si="33"/>
        <v>33571</v>
      </c>
      <c r="E72" s="4">
        <f t="shared" si="33"/>
        <v>37920</v>
      </c>
      <c r="F72" s="4">
        <f t="shared" si="33"/>
        <v>41275</v>
      </c>
      <c r="G72" s="4">
        <f t="shared" si="33"/>
        <v>39773</v>
      </c>
      <c r="H72" s="4">
        <f>H55-H70</f>
        <v>44353</v>
      </c>
      <c r="I72" s="24">
        <f t="shared" si="30"/>
        <v>0.11515349609031253</v>
      </c>
      <c r="J72" s="4">
        <f t="shared" ref="J72:K72" si="34">J55-J70</f>
        <v>0</v>
      </c>
      <c r="K72" s="4">
        <f t="shared" si="34"/>
        <v>0</v>
      </c>
    </row>
    <row r="73" spans="1:11" x14ac:dyDescent="0.35">
      <c r="A73" s="8" t="s">
        <v>54</v>
      </c>
      <c r="C73" s="4">
        <f>C5-C6+C7</f>
        <v>222466.77000000002</v>
      </c>
      <c r="D73" s="4">
        <f>D5-D6+D7</f>
        <v>264376.91000000003</v>
      </c>
      <c r="E73" s="4">
        <f>E5-E6+E7</f>
        <v>201478.34</v>
      </c>
      <c r="F73" s="4">
        <f>F5-F6+F7</f>
        <v>235627.51999999999</v>
      </c>
      <c r="G73" s="4">
        <f>G5-G6+G7</f>
        <v>192627.03999999998</v>
      </c>
      <c r="H73" s="4">
        <f>H5-H6+H7</f>
        <v>211892.19999999998</v>
      </c>
      <c r="I73" s="24">
        <f t="shared" si="30"/>
        <v>0.10001275002720286</v>
      </c>
      <c r="J73" s="4">
        <f>J5-J6+J7</f>
        <v>0</v>
      </c>
      <c r="K73" s="4">
        <f>K5-K6+K7</f>
        <v>0</v>
      </c>
    </row>
    <row r="74" spans="1:11" x14ac:dyDescent="0.35">
      <c r="A74" s="8" t="s">
        <v>55</v>
      </c>
      <c r="C74" s="18">
        <f>C38/C4</f>
        <v>2.2536365498873182E-2</v>
      </c>
      <c r="D74" s="18">
        <f>D38/D4</f>
        <v>2.609701324949472</v>
      </c>
      <c r="E74" s="18">
        <f>E38/E4</f>
        <v>2.6361071932299014</v>
      </c>
      <c r="F74" s="18">
        <f>F38/F4</f>
        <v>2.500236071765817</v>
      </c>
      <c r="G74" s="18">
        <f>G38/G4</f>
        <v>2.8177480916030535</v>
      </c>
      <c r="H74" s="18">
        <f>H38/H4</f>
        <v>3.0725943970767355</v>
      </c>
      <c r="I74" s="24">
        <f t="shared" si="30"/>
        <v>9.0443253686562405E-2</v>
      </c>
      <c r="J74" s="18" t="e">
        <f>J38/J4</f>
        <v>#DIV/0!</v>
      </c>
      <c r="K74" s="18" t="e">
        <f>K38/K4</f>
        <v>#DIV/0!</v>
      </c>
    </row>
    <row r="75" spans="1:11" s="26" customFormat="1" x14ac:dyDescent="0.35">
      <c r="A75" s="8" t="s">
        <v>66</v>
      </c>
      <c r="B75" s="4"/>
      <c r="C75" s="26">
        <f t="shared" ref="C75:G75" si="35">C3/C74</f>
        <v>1871.1979090909092</v>
      </c>
      <c r="D75" s="26">
        <f t="shared" si="35"/>
        <v>21.638491523965236</v>
      </c>
      <c r="E75" s="26">
        <f t="shared" si="35"/>
        <v>17.719309791332261</v>
      </c>
      <c r="F75" s="26">
        <f t="shared" si="35"/>
        <v>22.025920120857329</v>
      </c>
      <c r="G75" s="26">
        <f t="shared" si="35"/>
        <v>16.10151032847951</v>
      </c>
      <c r="H75" s="26">
        <f>H3/H74</f>
        <v>16.936827083168161</v>
      </c>
      <c r="I75" s="27"/>
    </row>
    <row r="76" spans="1:11" x14ac:dyDescent="0.35">
      <c r="A76" s="8" t="s">
        <v>56</v>
      </c>
      <c r="C76" s="19">
        <f t="shared" ref="C76:G76" si="36">C32/C15</f>
        <v>0.24952361646057167</v>
      </c>
      <c r="D76" s="19">
        <f t="shared" si="36"/>
        <v>0.27394805795314425</v>
      </c>
      <c r="E76" s="19">
        <f t="shared" si="36"/>
        <v>0.27626214478408145</v>
      </c>
      <c r="F76" s="19">
        <f t="shared" si="36"/>
        <v>0.25759765546589586</v>
      </c>
      <c r="G76" s="19">
        <f t="shared" si="36"/>
        <v>0.27094283996353552</v>
      </c>
      <c r="H76" s="19">
        <f>H32/H15</f>
        <v>0.26371100740376857</v>
      </c>
      <c r="I76" s="24">
        <f t="shared" si="30"/>
        <v>-2.6691358814797377E-2</v>
      </c>
      <c r="J76" s="19" t="e">
        <f t="shared" ref="J76:K76" si="37">J32/J15</f>
        <v>#DIV/0!</v>
      </c>
      <c r="K76" s="19" t="e">
        <f t="shared" si="37"/>
        <v>#DIV/0!</v>
      </c>
    </row>
    <row r="77" spans="1:11" x14ac:dyDescent="0.35">
      <c r="A77" s="8" t="s">
        <v>57</v>
      </c>
      <c r="C77" s="19">
        <f t="shared" ref="C77:G77" si="38">C38/C15</f>
        <v>2.2298803973241437E-3</v>
      </c>
      <c r="D77" s="19">
        <f t="shared" si="38"/>
        <v>0.22389411220715166</v>
      </c>
      <c r="E77" s="19">
        <f t="shared" si="38"/>
        <v>0.22745988925173932</v>
      </c>
      <c r="F77" s="19">
        <f t="shared" si="38"/>
        <v>0.21259384158336345</v>
      </c>
      <c r="G77" s="19">
        <f t="shared" si="38"/>
        <v>0.22910565005721822</v>
      </c>
      <c r="H77" s="19">
        <f>H38/H15</f>
        <v>0.2212884662619741</v>
      </c>
      <c r="I77" s="24">
        <f t="shared" si="30"/>
        <v>-3.4120432181798291E-2</v>
      </c>
      <c r="J77" s="19" t="e">
        <f t="shared" ref="J77:K77" si="39">J38/J15</f>
        <v>#DIV/0!</v>
      </c>
      <c r="K77" s="19" t="e">
        <f t="shared" si="39"/>
        <v>#DIV/0!</v>
      </c>
    </row>
    <row r="78" spans="1:11" x14ac:dyDescent="0.35">
      <c r="A78" s="8" t="s">
        <v>58</v>
      </c>
      <c r="C78" s="19">
        <f t="shared" ref="C78:G78" si="40">C38/C72</f>
        <v>2.5460605499490786E-3</v>
      </c>
      <c r="D78" s="19">
        <f t="shared" si="40"/>
        <v>0.34616186589616038</v>
      </c>
      <c r="E78" s="19">
        <f t="shared" si="40"/>
        <v>0.29572784810126584</v>
      </c>
      <c r="F78" s="19">
        <f t="shared" si="40"/>
        <v>0.25659600242277408</v>
      </c>
      <c r="G78" s="19">
        <f t="shared" si="40"/>
        <v>0.29698539210016844</v>
      </c>
      <c r="H78" s="19">
        <f>H38/H72</f>
        <v>0.28437760692625075</v>
      </c>
      <c r="I78" s="24">
        <f t="shared" si="30"/>
        <v>-4.2452543152914711E-2</v>
      </c>
      <c r="J78" s="19" t="e">
        <f t="shared" ref="J78:K78" si="41">J38/J72</f>
        <v>#DIV/0!</v>
      </c>
      <c r="K78" s="19" t="e">
        <f t="shared" si="41"/>
        <v>#DIV/0!</v>
      </c>
    </row>
    <row r="79" spans="1:11" x14ac:dyDescent="0.35">
      <c r="A79" s="21" t="s">
        <v>59</v>
      </c>
      <c r="B79" s="22"/>
      <c r="C79" s="23">
        <f>C15/C5</f>
        <v>0.23966173929321016</v>
      </c>
      <c r="D79" s="23">
        <f>D15/D5</f>
        <v>0.20640981534664771</v>
      </c>
      <c r="E79" s="23">
        <f>E15/E5</f>
        <v>0.24811234621246825</v>
      </c>
      <c r="F79" s="23">
        <f>F15/F5</f>
        <v>0.2135577125378928</v>
      </c>
      <c r="G79" s="23">
        <f>G15/G5</f>
        <v>0.27108006770455645</v>
      </c>
      <c r="H79" s="23">
        <f>H15/H5</f>
        <v>0.26681434032286605</v>
      </c>
      <c r="I79" s="25">
        <f t="shared" si="30"/>
        <v>-1.5736042187873108E-2</v>
      </c>
      <c r="J79" s="23" t="e">
        <f>J15/J5</f>
        <v>#DIV/0!</v>
      </c>
      <c r="K79" s="23" t="e">
        <f>K15/K5</f>
        <v>#DIV/0!</v>
      </c>
    </row>
    <row r="80" spans="1:11" x14ac:dyDescent="0.35">
      <c r="A80" s="8" t="s">
        <v>60</v>
      </c>
      <c r="C80" s="20">
        <f t="shared" ref="C80:G80" si="42">C55/C70</f>
        <v>1.6587984141506558</v>
      </c>
      <c r="D80" s="20">
        <f t="shared" si="42"/>
        <v>1.5227336426769642</v>
      </c>
      <c r="E80" s="20">
        <f t="shared" si="42"/>
        <v>1.6660460541338065</v>
      </c>
      <c r="F80" s="20">
        <f t="shared" si="42"/>
        <v>1.7341432179573832</v>
      </c>
      <c r="G80" s="20">
        <f t="shared" si="42"/>
        <v>1.7334267642774162</v>
      </c>
      <c r="H80" s="20">
        <f>H55/H70</f>
        <v>1.7713699368684672</v>
      </c>
      <c r="I80" s="24">
        <f t="shared" si="30"/>
        <v>2.1889112002298976E-2</v>
      </c>
      <c r="J80" s="20" t="e">
        <f t="shared" ref="J80:K80" si="43">J55/J70</f>
        <v>#DIV/0!</v>
      </c>
      <c r="K80" s="20" t="e">
        <f t="shared" si="43"/>
        <v>#DIV/0!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00919C5D1CD245AE9967B74E8175F3" ma:contentTypeVersion="5" ma:contentTypeDescription="Create a new document." ma:contentTypeScope="" ma:versionID="261b12fca7bc9c5c5c2d0436e15db421">
  <xsd:schema xmlns:xsd="http://www.w3.org/2001/XMLSchema" xmlns:xs="http://www.w3.org/2001/XMLSchema" xmlns:p="http://schemas.microsoft.com/office/2006/metadata/properties" xmlns:ns3="36567613-e428-4167-ab55-a4f66cede826" targetNamespace="http://schemas.microsoft.com/office/2006/metadata/properties" ma:root="true" ma:fieldsID="bbca712fc0d44d4f9b946949b284e53f" ns3:_="">
    <xsd:import namespace="36567613-e428-4167-ab55-a4f66cede82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567613-e428-4167-ab55-a4f66cede8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6567613-e428-4167-ab55-a4f66cede826" xsi:nil="true"/>
  </documentManagement>
</p:properties>
</file>

<file path=customXml/itemProps1.xml><?xml version="1.0" encoding="utf-8"?>
<ds:datastoreItem xmlns:ds="http://schemas.openxmlformats.org/officeDocument/2006/customXml" ds:itemID="{C9B4B395-A628-4AF2-9AB1-05807B2F72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360EA9-EDDC-41AC-BD82-1AE7CB20F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567613-e428-4167-ab55-a4f66cede8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2AF3359-AA7B-4C3F-BB32-4122371AAA35}">
  <ds:schemaRefs>
    <ds:schemaRef ds:uri="http://purl.org/dc/dcmitype/"/>
    <ds:schemaRef ds:uri="http://purl.org/dc/terms/"/>
    <ds:schemaRef ds:uri="http://www.w3.org/XML/1998/namespace"/>
    <ds:schemaRef ds:uri="http://schemas.openxmlformats.org/package/2006/metadata/core-properties"/>
    <ds:schemaRef ds:uri="36567613-e428-4167-ab55-a4f66cede826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 Herrera, Abraham</dc:creator>
  <cp:keywords/>
  <dc:description/>
  <cp:lastModifiedBy>Gonzalez Herrera, Abraham</cp:lastModifiedBy>
  <cp:revision/>
  <dcterms:created xsi:type="dcterms:W3CDTF">2023-02-21T16:55:27Z</dcterms:created>
  <dcterms:modified xsi:type="dcterms:W3CDTF">2024-02-14T21:23:32Z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0x0101004600919C5D1CD245AE9967B74E8175F3</vt:lpwstr>
  </property>
</Properties>
</file>