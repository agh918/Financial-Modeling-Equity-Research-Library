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arnings models (BACKUP)\"/>
    </mc:Choice>
  </mc:AlternateContent>
  <xr:revisionPtr revIDLastSave="0" documentId="8_{6E58268B-2A6A-4704-BE8A-E335A497647D}" xr6:coauthVersionLast="47" xr6:coauthVersionMax="47" xr10:uidLastSave="{00000000-0000-0000-0000-000000000000}"/>
  <bookViews>
    <workbookView xWindow="-120" yWindow="-120" windowWidth="29040" windowHeight="15720" xr2:uid="{57DEA323-E204-44E7-AD7B-E92EB4E4853D}"/>
  </bookViews>
  <sheets>
    <sheet name="Statements" sheetId="1" r:id="rId1"/>
    <sheet name="Analysis" sheetId="2" r:id="rId2"/>
    <sheet name="Not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5" i="2" l="1"/>
  <c r="AB34" i="2"/>
  <c r="AB33" i="2"/>
  <c r="AB32" i="2"/>
  <c r="AB31" i="2"/>
  <c r="AB30" i="2"/>
  <c r="AH12" i="2"/>
  <c r="AG12" i="2"/>
  <c r="AH11" i="2"/>
  <c r="AG11" i="2"/>
  <c r="AI10" i="2"/>
  <c r="AI9" i="2"/>
  <c r="AI8" i="2"/>
  <c r="AI7" i="2"/>
  <c r="AH8" i="2"/>
  <c r="AG8" i="2"/>
  <c r="AH9" i="2"/>
  <c r="AG9" i="2"/>
  <c r="AA35" i="2"/>
  <c r="Z35" i="2"/>
  <c r="AH7" i="2"/>
  <c r="AG7" i="2"/>
  <c r="AD29" i="2"/>
  <c r="AD28" i="2"/>
  <c r="AD27" i="2"/>
  <c r="AD26" i="2"/>
  <c r="AD25" i="2"/>
  <c r="AD24" i="2"/>
  <c r="AD23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C29" i="2"/>
  <c r="AB29" i="2"/>
  <c r="AC28" i="2"/>
  <c r="AB28" i="2"/>
  <c r="AC27" i="2"/>
  <c r="AC24" i="2"/>
  <c r="AC23" i="2"/>
  <c r="AB24" i="2"/>
  <c r="AB23" i="2"/>
  <c r="AC21" i="2"/>
  <c r="AC20" i="2"/>
  <c r="AB20" i="2"/>
  <c r="AC18" i="2"/>
  <c r="AB17" i="2"/>
  <c r="AC16" i="2"/>
  <c r="AC11" i="2"/>
  <c r="AC10" i="2"/>
  <c r="AB15" i="2"/>
  <c r="AB14" i="2"/>
  <c r="AB13" i="2"/>
  <c r="AB12" i="2"/>
  <c r="AB11" i="2"/>
  <c r="AC7" i="2"/>
  <c r="AB9" i="2"/>
  <c r="AB8" i="2"/>
  <c r="AB7" i="2"/>
  <c r="Z19" i="2"/>
  <c r="AB18" i="2" s="1"/>
  <c r="AA19" i="2"/>
  <c r="AA21" i="2" s="1"/>
  <c r="AA25" i="2" s="1"/>
  <c r="AA27" i="2" s="1"/>
  <c r="AA29" i="2" s="1"/>
  <c r="N50" i="2" a="1"/>
  <c r="E50" i="2" a="1"/>
  <c r="D50" i="2" a="1"/>
  <c r="C50" i="2" a="1"/>
  <c r="Q29" i="2" a="1"/>
  <c r="P29" i="2" a="1"/>
  <c r="O29" i="2" a="1"/>
  <c r="F33" i="2"/>
  <c r="F32" i="2"/>
  <c r="F31" i="2"/>
  <c r="F30" i="2"/>
  <c r="C29" i="2" a="1"/>
  <c r="F29" i="2" s="1"/>
  <c r="I10" i="2"/>
  <c r="I9" i="2"/>
  <c r="I8" i="2"/>
  <c r="I7" i="2"/>
  <c r="I6" i="2"/>
  <c r="S54" i="1"/>
  <c r="R54" i="1"/>
  <c r="Q54" i="1"/>
  <c r="P54" i="1"/>
  <c r="O54" i="1"/>
  <c r="N54" i="1"/>
  <c r="V54" i="1"/>
  <c r="U54" i="1"/>
  <c r="T54" i="1"/>
  <c r="V53" i="1"/>
  <c r="U53" i="1"/>
  <c r="T53" i="1"/>
  <c r="S53" i="1"/>
  <c r="R53" i="1"/>
  <c r="Q53" i="1"/>
  <c r="P53" i="1"/>
  <c r="O53" i="1"/>
  <c r="S52" i="1"/>
  <c r="V52" i="1" s="1"/>
  <c r="R52" i="1"/>
  <c r="Q52" i="1"/>
  <c r="U52" i="1" s="1"/>
  <c r="P52" i="1"/>
  <c r="O52" i="1"/>
  <c r="N53" i="1"/>
  <c r="N52" i="1"/>
  <c r="N50" i="1"/>
  <c r="N51" i="1"/>
  <c r="R51" i="1"/>
  <c r="Q51" i="1"/>
  <c r="P51" i="1"/>
  <c r="O51" i="1"/>
  <c r="S51" i="1"/>
  <c r="R50" i="1"/>
  <c r="Q50" i="1"/>
  <c r="P50" i="1"/>
  <c r="O50" i="1"/>
  <c r="S50" i="1"/>
  <c r="S48" i="1"/>
  <c r="R48" i="1"/>
  <c r="Q48" i="1"/>
  <c r="P48" i="1"/>
  <c r="O48" i="1"/>
  <c r="S49" i="1"/>
  <c r="R49" i="1"/>
  <c r="T49" i="1" s="1"/>
  <c r="Q49" i="1"/>
  <c r="U49" i="1" s="1"/>
  <c r="P49" i="1"/>
  <c r="O49" i="1"/>
  <c r="N49" i="1"/>
  <c r="V49" i="1" s="1"/>
  <c r="N48" i="1"/>
  <c r="T52" i="1"/>
  <c r="V48" i="1"/>
  <c r="U48" i="1"/>
  <c r="T48" i="1"/>
  <c r="V47" i="1"/>
  <c r="U47" i="1"/>
  <c r="T47" i="1"/>
  <c r="V46" i="1"/>
  <c r="U46" i="1"/>
  <c r="T46" i="1"/>
  <c r="V45" i="1"/>
  <c r="U45" i="1"/>
  <c r="T45" i="1"/>
  <c r="S47" i="1"/>
  <c r="R47" i="1"/>
  <c r="Q47" i="1"/>
  <c r="P47" i="1"/>
  <c r="O47" i="1"/>
  <c r="N47" i="1"/>
  <c r="S46" i="1"/>
  <c r="R46" i="1"/>
  <c r="Q46" i="1"/>
  <c r="P46" i="1"/>
  <c r="O46" i="1"/>
  <c r="N46" i="1"/>
  <c r="S45" i="1"/>
  <c r="R45" i="1"/>
  <c r="Q45" i="1"/>
  <c r="P45" i="1"/>
  <c r="O45" i="1"/>
  <c r="N45" i="1"/>
  <c r="AI11" i="2" l="1"/>
  <c r="AI12" i="2"/>
  <c r="AH10" i="2"/>
  <c r="AG10" i="2"/>
  <c r="AC25" i="2"/>
  <c r="AB26" i="2"/>
  <c r="AC12" i="2"/>
  <c r="AC13" i="2"/>
  <c r="Z21" i="2"/>
  <c r="AC14" i="2"/>
  <c r="AC15" i="2"/>
  <c r="AC26" i="2"/>
  <c r="AB16" i="2"/>
  <c r="AC8" i="2"/>
  <c r="AC17" i="2"/>
  <c r="AC9" i="2"/>
  <c r="F34" i="2"/>
  <c r="F35" i="2" s="1"/>
  <c r="AB10" i="2"/>
  <c r="V50" i="1"/>
  <c r="V51" i="1"/>
  <c r="T51" i="1"/>
  <c r="U51" i="1"/>
  <c r="T50" i="1"/>
  <c r="U50" i="1"/>
  <c r="Z25" i="2" l="1"/>
  <c r="AB21" i="2"/>
  <c r="S44" i="1"/>
  <c r="R44" i="1"/>
  <c r="Q44" i="1"/>
  <c r="P44" i="1"/>
  <c r="O44" i="1"/>
  <c r="N44" i="1"/>
  <c r="S43" i="1"/>
  <c r="R43" i="1"/>
  <c r="Q43" i="1"/>
  <c r="U43" i="1" s="1"/>
  <c r="P43" i="1"/>
  <c r="O43" i="1"/>
  <c r="S42" i="1"/>
  <c r="V42" i="1" s="1"/>
  <c r="R42" i="1"/>
  <c r="Q42" i="1"/>
  <c r="P42" i="1"/>
  <c r="O42" i="1"/>
  <c r="N43" i="1"/>
  <c r="N42" i="1"/>
  <c r="V44" i="1"/>
  <c r="U44" i="1"/>
  <c r="T44" i="1"/>
  <c r="V43" i="1"/>
  <c r="T43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H38" i="1"/>
  <c r="G38" i="1"/>
  <c r="F38" i="1"/>
  <c r="E38" i="1"/>
  <c r="D38" i="1"/>
  <c r="H37" i="1"/>
  <c r="G37" i="1"/>
  <c r="F37" i="1"/>
  <c r="E37" i="1"/>
  <c r="D37" i="1"/>
  <c r="H36" i="1"/>
  <c r="G36" i="1"/>
  <c r="F36" i="1"/>
  <c r="E36" i="1"/>
  <c r="D36" i="1"/>
  <c r="C38" i="1"/>
  <c r="C37" i="1"/>
  <c r="C36" i="1"/>
  <c r="H35" i="1"/>
  <c r="G35" i="1"/>
  <c r="F35" i="1"/>
  <c r="E35" i="1"/>
  <c r="D35" i="1"/>
  <c r="H34" i="1"/>
  <c r="G34" i="1"/>
  <c r="F34" i="1"/>
  <c r="E34" i="1"/>
  <c r="D34" i="1"/>
  <c r="C35" i="1"/>
  <c r="C34" i="1"/>
  <c r="V41" i="1"/>
  <c r="U41" i="1"/>
  <c r="T41" i="1"/>
  <c r="V39" i="1"/>
  <c r="U39" i="1"/>
  <c r="T39" i="1"/>
  <c r="V38" i="1"/>
  <c r="U38" i="1"/>
  <c r="T38" i="1"/>
  <c r="V37" i="1"/>
  <c r="U37" i="1"/>
  <c r="T37" i="1"/>
  <c r="V36" i="1"/>
  <c r="U36" i="1"/>
  <c r="T36" i="1"/>
  <c r="V35" i="1"/>
  <c r="U35" i="1"/>
  <c r="T35" i="1"/>
  <c r="V34" i="1"/>
  <c r="U34" i="1"/>
  <c r="T34" i="1"/>
  <c r="V33" i="1"/>
  <c r="U33" i="1"/>
  <c r="T33" i="1"/>
  <c r="V32" i="1"/>
  <c r="U32" i="1"/>
  <c r="T32" i="1"/>
  <c r="V31" i="1"/>
  <c r="U31" i="1"/>
  <c r="T31" i="1"/>
  <c r="V30" i="1"/>
  <c r="U30" i="1"/>
  <c r="T30" i="1"/>
  <c r="V29" i="1"/>
  <c r="U29" i="1"/>
  <c r="T29" i="1"/>
  <c r="V28" i="1"/>
  <c r="U28" i="1"/>
  <c r="T28" i="1"/>
  <c r="V27" i="1"/>
  <c r="U27" i="1"/>
  <c r="T27" i="1"/>
  <c r="V23" i="1"/>
  <c r="U23" i="1"/>
  <c r="T23" i="1"/>
  <c r="V22" i="1"/>
  <c r="U22" i="1"/>
  <c r="T22" i="1"/>
  <c r="V21" i="1"/>
  <c r="U21" i="1"/>
  <c r="T21" i="1"/>
  <c r="V20" i="1"/>
  <c r="U20" i="1"/>
  <c r="T20" i="1"/>
  <c r="V19" i="1"/>
  <c r="U19" i="1"/>
  <c r="T19" i="1"/>
  <c r="V18" i="1"/>
  <c r="U18" i="1"/>
  <c r="T18" i="1"/>
  <c r="V17" i="1"/>
  <c r="U17" i="1"/>
  <c r="T17" i="1"/>
  <c r="V16" i="1"/>
  <c r="U16" i="1"/>
  <c r="T16" i="1"/>
  <c r="V15" i="1"/>
  <c r="U15" i="1"/>
  <c r="T15" i="1"/>
  <c r="V14" i="1"/>
  <c r="U14" i="1"/>
  <c r="T14" i="1"/>
  <c r="V13" i="1"/>
  <c r="U13" i="1"/>
  <c r="T13" i="1"/>
  <c r="V12" i="1"/>
  <c r="U12" i="1"/>
  <c r="T12" i="1"/>
  <c r="V11" i="1"/>
  <c r="U11" i="1"/>
  <c r="T11" i="1"/>
  <c r="K33" i="1"/>
  <c r="J33" i="1"/>
  <c r="I33" i="1"/>
  <c r="K32" i="1"/>
  <c r="J32" i="1"/>
  <c r="I32" i="1"/>
  <c r="K31" i="1"/>
  <c r="J31" i="1"/>
  <c r="I31" i="1"/>
  <c r="K30" i="1"/>
  <c r="J30" i="1"/>
  <c r="I30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G33" i="1"/>
  <c r="F33" i="1"/>
  <c r="E33" i="1"/>
  <c r="D33" i="1"/>
  <c r="C33" i="1"/>
  <c r="H33" i="1"/>
  <c r="N28" i="1"/>
  <c r="O28" i="1"/>
  <c r="S41" i="1"/>
  <c r="S39" i="1"/>
  <c r="R34" i="1"/>
  <c r="R39" i="1" s="1"/>
  <c r="R41" i="1" s="1"/>
  <c r="Q34" i="1"/>
  <c r="Q39" i="1" s="1"/>
  <c r="P34" i="1"/>
  <c r="P39" i="1" s="1"/>
  <c r="O34" i="1"/>
  <c r="O39" i="1" s="1"/>
  <c r="N34" i="1"/>
  <c r="N39" i="1" s="1"/>
  <c r="S34" i="1"/>
  <c r="P23" i="1"/>
  <c r="S23" i="1"/>
  <c r="R16" i="1"/>
  <c r="R23" i="1" s="1"/>
  <c r="Q16" i="1"/>
  <c r="Q23" i="1" s="1"/>
  <c r="P16" i="1"/>
  <c r="O16" i="1"/>
  <c r="O23" i="1" s="1"/>
  <c r="N16" i="1"/>
  <c r="N23" i="1" s="1"/>
  <c r="S16" i="1"/>
  <c r="G31" i="1"/>
  <c r="F31" i="1"/>
  <c r="H31" i="1"/>
  <c r="F26" i="1"/>
  <c r="H28" i="1"/>
  <c r="G26" i="1"/>
  <c r="G28" i="1" s="1"/>
  <c r="F28" i="1"/>
  <c r="H26" i="1"/>
  <c r="H24" i="1"/>
  <c r="G22" i="1"/>
  <c r="G24" i="1" s="1"/>
  <c r="F22" i="1"/>
  <c r="F24" i="1" s="1"/>
  <c r="E22" i="1"/>
  <c r="D22" i="1"/>
  <c r="C22" i="1"/>
  <c r="H22" i="1"/>
  <c r="G15" i="1"/>
  <c r="F15" i="1"/>
  <c r="H15" i="1"/>
  <c r="G13" i="1"/>
  <c r="F13" i="1"/>
  <c r="E13" i="1"/>
  <c r="E15" i="1" s="1"/>
  <c r="D13" i="1"/>
  <c r="D15" i="1" s="1"/>
  <c r="C13" i="1"/>
  <c r="C15" i="1" s="1"/>
  <c r="H13" i="1"/>
  <c r="S10" i="2"/>
  <c r="S9" i="2"/>
  <c r="S8" i="2"/>
  <c r="S7" i="2"/>
  <c r="S6" i="2"/>
  <c r="S11" i="2"/>
  <c r="C4" i="1" a="1"/>
  <c r="Z27" i="2" l="1"/>
  <c r="AB25" i="2"/>
  <c r="H39" i="1"/>
  <c r="H40" i="1"/>
  <c r="C40" i="1"/>
  <c r="C39" i="1"/>
  <c r="D39" i="1"/>
  <c r="D40" i="1"/>
  <c r="E39" i="1"/>
  <c r="E40" i="1"/>
  <c r="F39" i="1"/>
  <c r="F40" i="1"/>
  <c r="G39" i="1"/>
  <c r="G40" i="1"/>
  <c r="I40" i="1" s="1"/>
  <c r="T42" i="1"/>
  <c r="U42" i="1"/>
  <c r="O41" i="1"/>
  <c r="N41" i="1"/>
  <c r="C24" i="1"/>
  <c r="C26" i="1" s="1"/>
  <c r="C28" i="1" s="1"/>
  <c r="C31" i="1" s="1"/>
  <c r="P41" i="1"/>
  <c r="Q41" i="1"/>
  <c r="D24" i="1"/>
  <c r="D26" i="1" s="1"/>
  <c r="D28" i="1" s="1"/>
  <c r="D31" i="1" s="1"/>
  <c r="E24" i="1"/>
  <c r="E26" i="1" s="1"/>
  <c r="E28" i="1" s="1"/>
  <c r="E31" i="1" s="1"/>
  <c r="C6" i="1"/>
  <c r="Z29" i="2" l="1"/>
  <c r="AB27" i="2"/>
  <c r="G41" i="1"/>
  <c r="F41" i="1"/>
  <c r="E41" i="1"/>
  <c r="D41" i="1"/>
  <c r="C41" i="1"/>
  <c r="K40" i="1"/>
  <c r="J40" i="1"/>
  <c r="H41" i="1"/>
  <c r="J39" i="1"/>
  <c r="I39" i="1"/>
  <c r="K39" i="1"/>
  <c r="J41" i="1" l="1"/>
  <c r="I41" i="1"/>
  <c r="K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<sst xmlns="http://schemas.openxmlformats.org/spreadsheetml/2006/main" count="169" uniqueCount="118">
  <si>
    <t>Price</t>
  </si>
  <si>
    <t>Shares outstanding</t>
  </si>
  <si>
    <t>Mkt cap</t>
  </si>
  <si>
    <t>Revenues</t>
  </si>
  <si>
    <t>1Y</t>
  </si>
  <si>
    <t>2Y</t>
  </si>
  <si>
    <t>5Y</t>
  </si>
  <si>
    <t>Assets</t>
  </si>
  <si>
    <t>Current</t>
  </si>
  <si>
    <t>2019</t>
  </si>
  <si>
    <t>2020</t>
  </si>
  <si>
    <t>2021</t>
  </si>
  <si>
    <t>2022</t>
  </si>
  <si>
    <t>2023</t>
  </si>
  <si>
    <t>2024</t>
  </si>
  <si>
    <t>.</t>
  </si>
  <si>
    <t>B</t>
  </si>
  <si>
    <t>Lululemon Notes:</t>
  </si>
  <si>
    <t>Women's product</t>
  </si>
  <si>
    <t>Men's product</t>
  </si>
  <si>
    <t>Other</t>
  </si>
  <si>
    <t>Total Revenue</t>
  </si>
  <si>
    <t>US</t>
  </si>
  <si>
    <t>CAN</t>
  </si>
  <si>
    <t>MEX</t>
  </si>
  <si>
    <t>CN</t>
  </si>
  <si>
    <t>HK &amp; TW</t>
  </si>
  <si>
    <t>Total</t>
  </si>
  <si>
    <t>Operated Stores</t>
  </si>
  <si>
    <t>E-commerce</t>
  </si>
  <si>
    <t>COGS</t>
  </si>
  <si>
    <t>Gross profit</t>
  </si>
  <si>
    <t>Expenses</t>
  </si>
  <si>
    <t>SG&amp;A</t>
  </si>
  <si>
    <t>Impr of goodwill, restructuring costs</t>
  </si>
  <si>
    <t>Amor of intangible assets</t>
  </si>
  <si>
    <t>Total Expenses</t>
  </si>
  <si>
    <t>EBITDA</t>
  </si>
  <si>
    <t>Gain on disposal of assets</t>
  </si>
  <si>
    <t>Other income (expense)</t>
  </si>
  <si>
    <t>EBT</t>
  </si>
  <si>
    <t>Taxes</t>
  </si>
  <si>
    <t>Net income</t>
  </si>
  <si>
    <t>EPS</t>
  </si>
  <si>
    <t>Cash</t>
  </si>
  <si>
    <t>AR</t>
  </si>
  <si>
    <t>Inventories</t>
  </si>
  <si>
    <t>Prepaid &amp; receivables taxes</t>
  </si>
  <si>
    <t>Prepaids</t>
  </si>
  <si>
    <t>Total Current</t>
  </si>
  <si>
    <t>PPE, net</t>
  </si>
  <si>
    <t>Leases</t>
  </si>
  <si>
    <t>Goodwill</t>
  </si>
  <si>
    <t>Intangible assets</t>
  </si>
  <si>
    <t>Defer income taxes</t>
  </si>
  <si>
    <t>Total Assets</t>
  </si>
  <si>
    <t>Liabilities</t>
  </si>
  <si>
    <t>AP</t>
  </si>
  <si>
    <t>Accr liabilities</t>
  </si>
  <si>
    <t>Accr compensation expenses</t>
  </si>
  <si>
    <t>Income taxes payable</t>
  </si>
  <si>
    <t>Unredeemed gift cards</t>
  </si>
  <si>
    <t>Total Liabilities</t>
  </si>
  <si>
    <t>Equity</t>
  </si>
  <si>
    <t>Women's product to Rev</t>
  </si>
  <si>
    <t>Men's product to Rev</t>
  </si>
  <si>
    <t>Gross margin</t>
  </si>
  <si>
    <t>Operating margin</t>
  </si>
  <si>
    <t>Net margin</t>
  </si>
  <si>
    <t>Debt</t>
  </si>
  <si>
    <t>EV</t>
  </si>
  <si>
    <t>Revenue turnover</t>
  </si>
  <si>
    <t>EM</t>
  </si>
  <si>
    <t>ROE</t>
  </si>
  <si>
    <t>PPE turnover</t>
  </si>
  <si>
    <t>Yearly turnover (days)</t>
  </si>
  <si>
    <t>EV / EBITDA</t>
  </si>
  <si>
    <t>EBITDA / EV</t>
  </si>
  <si>
    <t>Current ratio</t>
  </si>
  <si>
    <t>Inventory turnover</t>
  </si>
  <si>
    <t>Operated stores to Rev</t>
  </si>
  <si>
    <t>E-commerce to Rev</t>
  </si>
  <si>
    <t>Other to Rev</t>
  </si>
  <si>
    <t>Consistent growth in net sales; +12%-YoY, +40%-2Y, and  +182%-5Y, with women's products sold being the biggest piece of the pie and</t>
  </si>
  <si>
    <t>men's product sales starting to ramp up sales.</t>
  </si>
  <si>
    <t>Gross margin in 2024 saw a +2% gain YoY or a +7% difference from two years ago.</t>
  </si>
  <si>
    <t>Rest</t>
  </si>
  <si>
    <t>Years</t>
  </si>
  <si>
    <t>WA</t>
  </si>
  <si>
    <t>Weight</t>
  </si>
  <si>
    <t>Mens' Products</t>
  </si>
  <si>
    <t>Womens' Products</t>
  </si>
  <si>
    <t>Inventory Turnover</t>
  </si>
  <si>
    <t>Year</t>
  </si>
  <si>
    <t>All product segments' revenue are growing steadily</t>
  </si>
  <si>
    <t>Inventory turnover is coming down from its high in 2022, which means the firm is being more efficient with their inventory management.</t>
  </si>
  <si>
    <t>EBITDA is steadily growing, while EV / EBITDA is coming down??? - down -24% YoY to 19.8 from 26.1</t>
  </si>
  <si>
    <t>Q125 YoY Analysis</t>
  </si>
  <si>
    <t>Women's Apparel</t>
  </si>
  <si>
    <t>Men's Apparel</t>
  </si>
  <si>
    <t>Accessories &amp; other</t>
  </si>
  <si>
    <t>CNA</t>
  </si>
  <si>
    <t>HK &amp; TWN</t>
  </si>
  <si>
    <t>Operated stores</t>
  </si>
  <si>
    <t>SGA</t>
  </si>
  <si>
    <t>Amor of intangibles</t>
  </si>
  <si>
    <t>Other income</t>
  </si>
  <si>
    <t>CA</t>
  </si>
  <si>
    <t>TA</t>
  </si>
  <si>
    <t>CL</t>
  </si>
  <si>
    <t>TL</t>
  </si>
  <si>
    <t>% of 24</t>
  </si>
  <si>
    <t>% of 25</t>
  </si>
  <si>
    <t>% Diff</t>
  </si>
  <si>
    <t>NM</t>
  </si>
  <si>
    <t>Rev turnover</t>
  </si>
  <si>
    <t>Yearly basis</t>
  </si>
  <si>
    <t>Ain't no way the tariffs are gonna fully ruin Lululemon's performance for the 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</si>
</sst>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.00_);_([$$-409]* \(#,##0.00\);_([$$-409]* &quot;-&quot;??_);_(@_)"/>
    <numFmt numFmtId="165" formatCode="_(* #,##0.0_);_(* \(#,##0.0\);_(* &quot;-&quot;??_);_(@_)"/>
    <numFmt numFmtId="166" formatCode="_(* #,##0_);_(* \(#,##0\);_(* &quot;-&quot;??_);_(@_)"/>
    <numFmt numFmtId="167" formatCode="_(* #,##0.000_);_(* \(#,##0.000\);_(* &quot;-&quot;??_);_(@_)"/>
    <numFmt numFmtId="168" formatCode="0.0%"/>
    <numFmt numFmtId="169" formatCode="0.000"/>
  </numFmts>
  <fonts count="12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/>
      <name val="Arial"/>
      <family val="2"/>
    </font>
    <font>
      <b/>
      <sz val="16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4DCF8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3">
    <xf numFmtId="0" fontId="0" fillId="0" borderId="0" xfId="0"/>
    <xf numFmtId="0" fontId="4" fillId="0" borderId="0" xfId="0" applyFont="1"/>
    <xf numFmtId="164" fontId="4" fillId="0" borderId="0" xfId="0" applyNumberFormat="1" applyFont="1"/>
    <xf numFmtId="165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4" fillId="0" borderId="2" xfId="0" applyFont="1" applyBorder="1"/>
    <xf numFmtId="165" fontId="0" fillId="0" borderId="0" xfId="1" applyNumberFormat="1" applyFont="1"/>
    <xf numFmtId="0" fontId="5" fillId="0" borderId="2" xfId="0" applyFont="1" applyBorder="1" applyAlignment="1">
      <alignment horizontal="left"/>
    </xf>
    <xf numFmtId="0" fontId="5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0" borderId="3" xfId="0" applyFont="1" applyBorder="1"/>
    <xf numFmtId="165" fontId="4" fillId="0" borderId="0" xfId="1" applyNumberFormat="1" applyFont="1" applyBorder="1"/>
    <xf numFmtId="165" fontId="5" fillId="0" borderId="0" xfId="1" applyNumberFormat="1" applyFont="1" applyBorder="1"/>
    <xf numFmtId="0" fontId="5" fillId="0" borderId="2" xfId="0" applyFont="1" applyBorder="1" applyAlignment="1">
      <alignment horizontal="left" indent="2"/>
    </xf>
    <xf numFmtId="0" fontId="2" fillId="0" borderId="0" xfId="0" applyFont="1"/>
    <xf numFmtId="0" fontId="7" fillId="0" borderId="0" xfId="0" applyFont="1"/>
    <xf numFmtId="166" fontId="4" fillId="0" borderId="0" xfId="1" applyNumberFormat="1" applyFont="1"/>
    <xf numFmtId="0" fontId="2" fillId="0" borderId="2" xfId="0" applyFont="1" applyBorder="1"/>
    <xf numFmtId="165" fontId="2" fillId="0" borderId="0" xfId="1" applyNumberFormat="1" applyFont="1" applyBorder="1"/>
    <xf numFmtId="0" fontId="2" fillId="0" borderId="2" xfId="0" applyFont="1" applyBorder="1" applyAlignment="1">
      <alignment horizontal="left" indent="1"/>
    </xf>
    <xf numFmtId="0" fontId="2" fillId="0" borderId="2" xfId="0" applyFont="1" applyBorder="1" applyAlignment="1">
      <alignment horizontal="left" indent="2"/>
    </xf>
    <xf numFmtId="44" fontId="2" fillId="0" borderId="0" xfId="2" applyFont="1" applyBorder="1"/>
    <xf numFmtId="166" fontId="2" fillId="0" borderId="0" xfId="1" applyNumberFormat="1" applyFont="1" applyBorder="1"/>
    <xf numFmtId="9" fontId="2" fillId="0" borderId="0" xfId="3" applyFont="1" applyBorder="1"/>
    <xf numFmtId="167" fontId="2" fillId="0" borderId="0" xfId="1" applyNumberFormat="1" applyFont="1" applyBorder="1"/>
    <xf numFmtId="165" fontId="2" fillId="0" borderId="0" xfId="1" applyNumberFormat="1" applyFont="1" applyBorder="1" applyAlignment="1">
      <alignment horizontal="left" indent="1"/>
    </xf>
    <xf numFmtId="165" fontId="5" fillId="0" borderId="4" xfId="1" applyNumberFormat="1" applyFont="1" applyBorder="1"/>
    <xf numFmtId="0" fontId="5" fillId="0" borderId="5" xfId="0" applyFont="1" applyBorder="1" applyAlignment="1">
      <alignment horizontal="left" indent="1"/>
    </xf>
    <xf numFmtId="0" fontId="5" fillId="0" borderId="5" xfId="0" applyFont="1" applyBorder="1" applyAlignment="1">
      <alignment horizontal="left" indent="2"/>
    </xf>
    <xf numFmtId="165" fontId="2" fillId="0" borderId="0" xfId="1" applyNumberFormat="1" applyFont="1"/>
    <xf numFmtId="0" fontId="2" fillId="0" borderId="2" xfId="0" applyFont="1" applyBorder="1" applyAlignment="1">
      <alignment horizontal="left" wrapText="1" indent="1"/>
    </xf>
    <xf numFmtId="0" fontId="2" fillId="0" borderId="2" xfId="0" applyFont="1" applyBorder="1" applyAlignment="1">
      <alignment horizontal="left"/>
    </xf>
    <xf numFmtId="165" fontId="5" fillId="0" borderId="0" xfId="1" applyNumberFormat="1" applyFont="1"/>
    <xf numFmtId="0" fontId="8" fillId="2" borderId="0" xfId="0" applyFont="1" applyFill="1"/>
    <xf numFmtId="0" fontId="8" fillId="3" borderId="0" xfId="0" applyFont="1" applyFill="1"/>
    <xf numFmtId="0" fontId="8" fillId="4" borderId="0" xfId="0" applyFont="1" applyFill="1"/>
    <xf numFmtId="9" fontId="8" fillId="2" borderId="0" xfId="3" applyFont="1" applyFill="1" applyBorder="1"/>
    <xf numFmtId="9" fontId="8" fillId="3" borderId="0" xfId="3" applyFont="1" applyFill="1" applyBorder="1"/>
    <xf numFmtId="9" fontId="8" fillId="4" borderId="0" xfId="3" applyFont="1" applyFill="1" applyBorder="1"/>
    <xf numFmtId="9" fontId="9" fillId="2" borderId="4" xfId="3" applyFont="1" applyFill="1" applyBorder="1"/>
    <xf numFmtId="9" fontId="9" fillId="3" borderId="4" xfId="3" applyFont="1" applyFill="1" applyBorder="1"/>
    <xf numFmtId="9" fontId="9" fillId="4" borderId="4" xfId="3" applyFont="1" applyFill="1" applyBorder="1"/>
    <xf numFmtId="9" fontId="9" fillId="2" borderId="0" xfId="3" applyFont="1" applyFill="1" applyBorder="1"/>
    <xf numFmtId="9" fontId="9" fillId="4" borderId="0" xfId="3" applyFont="1" applyFill="1" applyBorder="1"/>
    <xf numFmtId="9" fontId="8" fillId="2" borderId="0" xfId="3" applyFont="1" applyFill="1"/>
    <xf numFmtId="9" fontId="8" fillId="3" borderId="0" xfId="3" applyFont="1" applyFill="1"/>
    <xf numFmtId="9" fontId="8" fillId="4" borderId="0" xfId="3" applyFont="1" applyFill="1"/>
    <xf numFmtId="0" fontId="8" fillId="0" borderId="0" xfId="0" applyFont="1"/>
    <xf numFmtId="9" fontId="8" fillId="0" borderId="0" xfId="3" applyFont="1" applyFill="1" applyBorder="1"/>
    <xf numFmtId="167" fontId="2" fillId="0" borderId="0" xfId="1" applyNumberFormat="1" applyFont="1"/>
    <xf numFmtId="9" fontId="2" fillId="0" borderId="0" xfId="3" applyFont="1"/>
    <xf numFmtId="168" fontId="2" fillId="0" borderId="0" xfId="3" applyNumberFormat="1" applyFont="1" applyBorder="1"/>
    <xf numFmtId="9" fontId="2" fillId="0" borderId="0" xfId="3" applyFont="1" applyFill="1" applyBorder="1"/>
    <xf numFmtId="9" fontId="10" fillId="5" borderId="0" xfId="3" applyFont="1" applyFill="1" applyBorder="1"/>
    <xf numFmtId="9" fontId="10" fillId="5" borderId="4" xfId="3" applyFont="1" applyFill="1" applyBorder="1"/>
    <xf numFmtId="0" fontId="11" fillId="0" borderId="0" xfId="0" applyFont="1"/>
    <xf numFmtId="43" fontId="2" fillId="0" borderId="0" xfId="1" applyFont="1"/>
    <xf numFmtId="43" fontId="2" fillId="0" borderId="0" xfId="0" applyNumberFormat="1" applyFont="1"/>
    <xf numFmtId="1" fontId="2" fillId="0" borderId="0" xfId="0" applyNumberFormat="1" applyFont="1"/>
    <xf numFmtId="165" fontId="2" fillId="0" borderId="6" xfId="1" applyNumberFormat="1" applyFont="1" applyBorder="1"/>
    <xf numFmtId="165" fontId="2" fillId="0" borderId="1" xfId="1" applyNumberFormat="1" applyFont="1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0" fontId="2" fillId="0" borderId="3" xfId="0" applyFont="1" applyBorder="1"/>
    <xf numFmtId="0" fontId="5" fillId="0" borderId="2" xfId="0" applyFont="1" applyBorder="1" applyAlignment="1">
      <alignment horizontal="left" indent="1"/>
    </xf>
    <xf numFmtId="0" fontId="5" fillId="0" borderId="5" xfId="0" applyFont="1" applyBorder="1"/>
    <xf numFmtId="0" fontId="5" fillId="0" borderId="3" xfId="0" applyFont="1" applyBorder="1"/>
    <xf numFmtId="0" fontId="5" fillId="0" borderId="1" xfId="0" applyFont="1" applyBorder="1" applyAlignment="1">
      <alignment horizontal="center"/>
    </xf>
    <xf numFmtId="9" fontId="2" fillId="0" borderId="0" xfId="3" applyFont="1" applyAlignment="1">
      <alignment horizontal="right"/>
    </xf>
    <xf numFmtId="9" fontId="2" fillId="0" borderId="0" xfId="0" applyNumberFormat="1" applyFont="1" applyAlignment="1">
      <alignment horizontal="right"/>
    </xf>
    <xf numFmtId="9" fontId="2" fillId="0" borderId="1" xfId="0" applyNumberFormat="1" applyFont="1" applyBorder="1" applyAlignment="1">
      <alignment horizontal="right"/>
    </xf>
    <xf numFmtId="9" fontId="5" fillId="0" borderId="4" xfId="3" applyFont="1" applyBorder="1" applyAlignment="1">
      <alignment horizontal="right"/>
    </xf>
    <xf numFmtId="9" fontId="5" fillId="0" borderId="0" xfId="3" applyFont="1" applyAlignment="1">
      <alignment horizontal="right"/>
    </xf>
    <xf numFmtId="0" fontId="5" fillId="0" borderId="8" xfId="0" applyFont="1" applyBorder="1" applyAlignment="1">
      <alignment horizontal="center"/>
    </xf>
    <xf numFmtId="9" fontId="2" fillId="0" borderId="9" xfId="3" applyFont="1" applyBorder="1"/>
    <xf numFmtId="9" fontId="2" fillId="0" borderId="10" xfId="3" applyFont="1" applyBorder="1"/>
    <xf numFmtId="9" fontId="2" fillId="0" borderId="8" xfId="3" applyFont="1" applyBorder="1" applyAlignment="1">
      <alignment horizontal="right"/>
    </xf>
    <xf numFmtId="9" fontId="5" fillId="0" borderId="11" xfId="3" applyFont="1" applyBorder="1"/>
    <xf numFmtId="9" fontId="5" fillId="0" borderId="9" xfId="3" applyFont="1" applyBorder="1"/>
    <xf numFmtId="0" fontId="2" fillId="0" borderId="9" xfId="0" applyFont="1" applyBorder="1"/>
    <xf numFmtId="0" fontId="5" fillId="0" borderId="3" xfId="0" applyFont="1" applyBorder="1" applyAlignment="1">
      <alignment horizontal="center"/>
    </xf>
    <xf numFmtId="9" fontId="2" fillId="0" borderId="2" xfId="3" applyFont="1" applyBorder="1"/>
    <xf numFmtId="9" fontId="2" fillId="0" borderId="7" xfId="3" applyFont="1" applyBorder="1"/>
    <xf numFmtId="9" fontId="2" fillId="0" borderId="3" xfId="3" applyFont="1" applyBorder="1" applyAlignment="1">
      <alignment horizontal="right"/>
    </xf>
    <xf numFmtId="9" fontId="5" fillId="0" borderId="5" xfId="3" applyFont="1" applyBorder="1"/>
    <xf numFmtId="9" fontId="5" fillId="0" borderId="2" xfId="3" applyFont="1" applyBorder="1"/>
    <xf numFmtId="169" fontId="2" fillId="0" borderId="0" xfId="0" applyNumberFormat="1" applyFont="1"/>
    <xf numFmtId="168" fontId="2" fillId="0" borderId="0" xfId="3" applyNumberFormat="1" applyFont="1"/>
    <xf numFmtId="0" fontId="1" fillId="0" borderId="2" xfId="0" applyFont="1" applyBorder="1"/>
    <xf numFmtId="166" fontId="2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B5E6A2"/>
      <color rgb="FFB5E600"/>
      <color rgb="FF94DCF8"/>
      <color rgb="FF94D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SupportingPropertyBag" Target="richData/rdsupportingpropertybag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SupportingPropertyBagStructure" Target="richData/rdsupportingpropertybagstructure.xml"/><Relationship Id="rId5" Type="http://schemas.openxmlformats.org/officeDocument/2006/relationships/styles" Target="styles.xml"/><Relationship Id="rId15" Type="http://schemas.openxmlformats.org/officeDocument/2006/relationships/customXml" Target="../customXml/item1.xml"/><Relationship Id="rId10" Type="http://schemas.microsoft.com/office/2017/06/relationships/richStyles" Target="richData/richStyles.xml"/><Relationship Id="rId19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Geographical Rev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Analysis!$C$5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Analysis!$C$6:$C$10</c:f>
              <c:numCache>
                <c:formatCode>_(* #,##0.0_);_(* \(#,##0.0\);_(* "-"??_);_(@_)</c:formatCode>
                <c:ptCount val="5"/>
                <c:pt idx="0">
                  <c:v>3105.13</c:v>
                </c:pt>
                <c:pt idx="1">
                  <c:v>4345.7</c:v>
                </c:pt>
                <c:pt idx="2">
                  <c:v>5654.34</c:v>
                </c:pt>
                <c:pt idx="3">
                  <c:v>6346.4</c:v>
                </c:pt>
                <c:pt idx="4">
                  <c:v>6483.18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F-4DF2-B6C3-20BEB7DFFB8E}"/>
            </c:ext>
          </c:extLst>
        </c:ser>
        <c:ser>
          <c:idx val="1"/>
          <c:order val="1"/>
          <c:tx>
            <c:strRef>
              <c:f>Analysis!$D$5</c:f>
              <c:strCache>
                <c:ptCount val="1"/>
                <c:pt idx="0">
                  <c:v>CAN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Analysis!$D$6:$D$10</c:f>
              <c:numCache>
                <c:formatCode>_(* #,##0.0_);_(* \(#,##0.0\);_(* "-"??_);_(@_)</c:formatCode>
                <c:ptCount val="5"/>
                <c:pt idx="0">
                  <c:v>672.6</c:v>
                </c:pt>
                <c:pt idx="1">
                  <c:v>954.21</c:v>
                </c:pt>
                <c:pt idx="2">
                  <c:v>1163.1099999999999</c:v>
                </c:pt>
                <c:pt idx="3">
                  <c:v>1285.3</c:v>
                </c:pt>
                <c:pt idx="4">
                  <c:v>1411.67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F-4DF2-B6C3-20BEB7DFFB8E}"/>
            </c:ext>
          </c:extLst>
        </c:ser>
        <c:ser>
          <c:idx val="2"/>
          <c:order val="2"/>
          <c:tx>
            <c:strRef>
              <c:f>Analysis!$E$5</c:f>
              <c:strCache>
                <c:ptCount val="1"/>
                <c:pt idx="0">
                  <c:v>MEX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Analysis!$E$6:$E$10</c:f>
              <c:numCache>
                <c:formatCode>_(* #,##0.0_);_(* \(#,##0.0\);_(*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F-4DF2-B6C3-20BEB7DFFB8E}"/>
            </c:ext>
          </c:extLst>
        </c:ser>
        <c:ser>
          <c:idx val="3"/>
          <c:order val="3"/>
          <c:tx>
            <c:strRef>
              <c:f>Analysis!$F$5</c:f>
              <c:strCache>
                <c:ptCount val="1"/>
                <c:pt idx="0">
                  <c:v>CN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Analysis!$F$6:$F$10</c:f>
              <c:numCache>
                <c:formatCode>_(* #,##0.0_);_(* \(#,##0.0\);_(* "-"??_);_(@_)</c:formatCode>
                <c:ptCount val="5"/>
                <c:pt idx="0">
                  <c:v>297.69</c:v>
                </c:pt>
                <c:pt idx="1">
                  <c:v>520.37</c:v>
                </c:pt>
                <c:pt idx="2">
                  <c:v>576.5</c:v>
                </c:pt>
                <c:pt idx="3">
                  <c:v>963.8</c:v>
                </c:pt>
                <c:pt idx="4">
                  <c:v>1361.33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F-4DF2-B6C3-20BEB7DFFB8E}"/>
            </c:ext>
          </c:extLst>
        </c:ser>
        <c:ser>
          <c:idx val="4"/>
          <c:order val="4"/>
          <c:tx>
            <c:strRef>
              <c:f>Analysis!$G$5</c:f>
              <c:strCache>
                <c:ptCount val="1"/>
                <c:pt idx="0">
                  <c:v>HK &amp; TW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Analysis!$G$6:$G$10</c:f>
              <c:numCache>
                <c:formatCode>_(* #,##0.0_);_(* \(#,##0.0\);_(*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105.13</c:v>
                </c:pt>
                <c:pt idx="3">
                  <c:v>170.5</c:v>
                </c:pt>
                <c:pt idx="4">
                  <c:v>180.1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F-4DF2-B6C3-20BEB7DFFB8E}"/>
            </c:ext>
          </c:extLst>
        </c:ser>
        <c:ser>
          <c:idx val="5"/>
          <c:order val="5"/>
          <c:tx>
            <c:strRef>
              <c:f>Analysis!$H$5</c:f>
              <c:strCache>
                <c:ptCount val="1"/>
                <c:pt idx="0">
                  <c:v>Rest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Analysis!$B$6:$B$10</c:f>
              <c:numCache>
                <c:formatCode>General</c:formatCode>
                <c:ptCount val="5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</c:numCache>
            </c:numRef>
          </c:cat>
          <c:val>
            <c:numRef>
              <c:f>Analysis!$H$6:$H$10</c:f>
              <c:numCache>
                <c:formatCode>_(* #,##0.0_);_(* \(#,##0.0\);_(* "-"??_);_(@_)</c:formatCode>
                <c:ptCount val="5"/>
                <c:pt idx="0">
                  <c:v>326.44900000000001</c:v>
                </c:pt>
                <c:pt idx="1">
                  <c:v>436.339</c:v>
                </c:pt>
                <c:pt idx="2">
                  <c:v>611.42999999999995</c:v>
                </c:pt>
                <c:pt idx="3">
                  <c:v>853.33</c:v>
                </c:pt>
                <c:pt idx="4">
                  <c:v>1118.54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F-4DF2-B6C3-20BEB7DFF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967888"/>
        <c:axId val="1749969328"/>
      </c:lineChart>
      <c:catAx>
        <c:axId val="174996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969328"/>
        <c:crosses val="autoZero"/>
        <c:auto val="1"/>
        <c:lblAlgn val="ctr"/>
        <c:lblOffset val="100"/>
        <c:noMultiLvlLbl val="0"/>
      </c:catAx>
      <c:valAx>
        <c:axId val="17499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96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Rev</a:t>
            </a:r>
            <a:r>
              <a:rPr lang="en-US" b="1" baseline="0">
                <a:solidFill>
                  <a:sysClr val="windowText" lastClr="000000"/>
                </a:solidFill>
              </a:rPr>
              <a:t> Streams Breakdown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Analysis!$P$5</c:f>
              <c:strCache>
                <c:ptCount val="1"/>
                <c:pt idx="0">
                  <c:v>Operated Stores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numRef>
              <c:f>Analysis!$O$6:$O$11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Analysis!$P$6:$P$11</c:f>
              <c:numCache>
                <c:formatCode>_(* #,##0.0_);_(* \(#,##0.0\);_(* "-"??_);_(@_)</c:formatCode>
                <c:ptCount val="6"/>
                <c:pt idx="0">
                  <c:v>2501.1</c:v>
                </c:pt>
                <c:pt idx="1">
                  <c:v>1658.8</c:v>
                </c:pt>
                <c:pt idx="2">
                  <c:v>2821.5</c:v>
                </c:pt>
                <c:pt idx="3">
                  <c:v>3648.12</c:v>
                </c:pt>
                <c:pt idx="4">
                  <c:v>4411</c:v>
                </c:pt>
                <c:pt idx="5">
                  <c:v>5007.87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B-4453-83D4-8CE8368EB638}"/>
            </c:ext>
          </c:extLst>
        </c:ser>
        <c:ser>
          <c:idx val="1"/>
          <c:order val="1"/>
          <c:tx>
            <c:strRef>
              <c:f>Analysis!$Q$5</c:f>
              <c:strCache>
                <c:ptCount val="1"/>
                <c:pt idx="0">
                  <c:v>E-commerce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Analysis!$O$6:$O$11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Analysis!$Q$6:$Q$11</c:f>
              <c:numCache>
                <c:formatCode>_(* #,##0.0_);_(* \(#,##0.0\);_(* "-"??_);_(@_)</c:formatCode>
                <c:ptCount val="6"/>
                <c:pt idx="0">
                  <c:v>1137.8</c:v>
                </c:pt>
                <c:pt idx="1">
                  <c:v>2284.1</c:v>
                </c:pt>
                <c:pt idx="2">
                  <c:v>2777.94</c:v>
                </c:pt>
                <c:pt idx="3">
                  <c:v>3699.8</c:v>
                </c:pt>
                <c:pt idx="4">
                  <c:v>4311.1099999999997</c:v>
                </c:pt>
                <c:pt idx="5">
                  <c:v>4570.4459999999999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BB-4453-83D4-8CE8368EB638}"/>
            </c:ext>
          </c:extLst>
        </c:ser>
        <c:ser>
          <c:idx val="2"/>
          <c:order val="2"/>
          <c:tx>
            <c:strRef>
              <c:f>Analysis!$R$5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Analysis!$O$6:$O$11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Analysis!$R$6:$R$11</c:f>
              <c:numCache>
                <c:formatCode>_(* #,##0.0_);_(* \(#,##0.0\);_(* "-"??_);_(@_)</c:formatCode>
                <c:ptCount val="6"/>
                <c:pt idx="0">
                  <c:v>340.4</c:v>
                </c:pt>
                <c:pt idx="1">
                  <c:v>459</c:v>
                </c:pt>
                <c:pt idx="2">
                  <c:v>657.2</c:v>
                </c:pt>
                <c:pt idx="3">
                  <c:v>762.6</c:v>
                </c:pt>
                <c:pt idx="4">
                  <c:v>897.21</c:v>
                </c:pt>
                <c:pt idx="5">
                  <c:v>1009.8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BB-4453-83D4-8CE8368EB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5999632"/>
        <c:axId val="1035983312"/>
      </c:barChart>
      <c:catAx>
        <c:axId val="103599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983312"/>
        <c:crosses val="autoZero"/>
        <c:auto val="1"/>
        <c:lblAlgn val="ctr"/>
        <c:lblOffset val="100"/>
        <c:noMultiLvlLbl val="0"/>
      </c:catAx>
      <c:valAx>
        <c:axId val="103598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99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EBITDA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Analysis!$C$28</c:f>
              <c:strCache>
                <c:ptCount val="1"/>
                <c:pt idx="0">
                  <c:v>EBITDA</c:v>
                </c:pt>
              </c:strCache>
            </c:strRef>
          </c:tx>
          <c:spPr>
            <a:ln w="31750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Analysis!$B$29:$B$34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Analysis!$C$29:$C$34</c:f>
              <c:numCache>
                <c:formatCode>_(* #,##0.0_);_(* \(#,##0.0\);_(* "-"??_);_(@_)</c:formatCode>
                <c:ptCount val="6"/>
                <c:pt idx="0">
                  <c:v>889.08499999999958</c:v>
                </c:pt>
                <c:pt idx="1">
                  <c:v>819.98199999999997</c:v>
                </c:pt>
                <c:pt idx="2">
                  <c:v>1333.4260000000004</c:v>
                </c:pt>
                <c:pt idx="3">
                  <c:v>1328.4069999999992</c:v>
                </c:pt>
                <c:pt idx="4">
                  <c:v>2132.6899999999996</c:v>
                </c:pt>
                <c:pt idx="5">
                  <c:v>2505.6709999999994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9-42FC-B94F-5F54627407F5}"/>
            </c:ext>
          </c:extLst>
        </c:ser>
        <c:ser>
          <c:idx val="1"/>
          <c:order val="1"/>
          <c:tx>
            <c:strRef>
              <c:f>Analysis!$D$28</c:f>
              <c:strCache>
                <c:ptCount val="1"/>
                <c:pt idx="0">
                  <c:v>WA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Analysis!$B$29:$B$34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Analysis!$D$29:$D$34</c:f>
              <c:numCache>
                <c:formatCode>_(* #,##0.0_);_(* \(#,##0.0\);_(* "-"??_);_(@_)</c:formatCode>
                <c:ptCount val="6"/>
                <c:pt idx="0">
                  <c:v>1883.5455999999999</c:v>
                </c:pt>
                <c:pt idx="1">
                  <c:v>1883.5455999999999</c:v>
                </c:pt>
                <c:pt idx="2">
                  <c:v>1883.5455999999999</c:v>
                </c:pt>
                <c:pt idx="3">
                  <c:v>1883.5455999999999</c:v>
                </c:pt>
                <c:pt idx="4">
                  <c:v>1883.5455999999999</c:v>
                </c:pt>
                <c:pt idx="5">
                  <c:v>1883.5455999999999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D9-42FC-B94F-5F5462740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108192"/>
        <c:axId val="2000108672"/>
      </c:lineChart>
      <c:catAx>
        <c:axId val="200010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108672"/>
        <c:crosses val="autoZero"/>
        <c:auto val="1"/>
        <c:lblAlgn val="ctr"/>
        <c:lblOffset val="100"/>
        <c:noMultiLvlLbl val="0"/>
      </c:catAx>
      <c:valAx>
        <c:axId val="20001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10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 Breakdown</a:t>
            </a:r>
            <a:r>
              <a:rPr lang="en-US" baseline="0"/>
              <a:t> </a:t>
            </a:r>
            <a:r>
              <a:rPr lang="en-US"/>
              <a:t>by Product</a:t>
            </a:r>
            <a:r>
              <a:rPr lang="en-US" baseline="0"/>
              <a:t> Segmentation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Analysis!$O$28</c:f>
              <c:strCache>
                <c:ptCount val="1"/>
                <c:pt idx="0">
                  <c:v>Womens' Products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solidFill>
                <a:schemeClr val="tx2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numRef>
              <c:f>Analysis!$N$29:$N$34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Analysis!$O$29:$O$34</c:f>
              <c:numCache>
                <c:formatCode>General</c:formatCode>
                <c:ptCount val="6"/>
                <c:pt idx="0">
                  <c:v>2767.8</c:v>
                </c:pt>
                <c:pt idx="1">
                  <c:v>3049.9</c:v>
                </c:pt>
                <c:pt idx="2">
                  <c:v>4171.8</c:v>
                </c:pt>
                <c:pt idx="3">
                  <c:v>5259.8</c:v>
                </c:pt>
                <c:pt idx="4">
                  <c:v>6147.4</c:v>
                </c:pt>
                <c:pt idx="5">
                  <c:v>6692.6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B-4453-83D4-8CE8368EB638}"/>
            </c:ext>
          </c:extLst>
        </c:ser>
        <c:ser>
          <c:idx val="1"/>
          <c:order val="1"/>
          <c:tx>
            <c:strRef>
              <c:f>Analysis!$P$28</c:f>
              <c:strCache>
                <c:ptCount val="1"/>
                <c:pt idx="0">
                  <c:v> Mens' Products 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Analysis!$N$29:$N$34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Analysis!$P$29:$P$34</c:f>
              <c:numCache>
                <c:formatCode>_(* #,##0.0_);_(* \(#,##0.0\);_(* "-"??_);_(@_)</c:formatCode>
                <c:ptCount val="6"/>
                <c:pt idx="0">
                  <c:v>927.24</c:v>
                </c:pt>
                <c:pt idx="1">
                  <c:v>953.18</c:v>
                </c:pt>
                <c:pt idx="2">
                  <c:v>1535.9</c:v>
                </c:pt>
                <c:pt idx="3">
                  <c:v>1956.6</c:v>
                </c:pt>
                <c:pt idx="4">
                  <c:v>2252.75</c:v>
                </c:pt>
                <c:pt idx="5">
                  <c:v>2558.4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BB-4453-83D4-8CE8368EB638}"/>
            </c:ext>
          </c:extLst>
        </c:ser>
        <c:ser>
          <c:idx val="2"/>
          <c:order val="2"/>
          <c:tx>
            <c:strRef>
              <c:f>Analysis!$Q$28</c:f>
              <c:strCache>
                <c:ptCount val="1"/>
                <c:pt idx="0">
                  <c:v> Other 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Analysis!$N$29:$N$34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Analysis!$Q$29:$Q$34</c:f>
              <c:numCache>
                <c:formatCode>_(* #,##0.0_);_(* \(#,##0.0\);_(* "-"??_);_(@_)</c:formatCode>
                <c:ptCount val="6"/>
                <c:pt idx="0">
                  <c:v>284.23</c:v>
                </c:pt>
                <c:pt idx="1">
                  <c:v>398.79</c:v>
                </c:pt>
                <c:pt idx="2">
                  <c:v>549</c:v>
                </c:pt>
                <c:pt idx="3">
                  <c:v>894.11</c:v>
                </c:pt>
                <c:pt idx="4">
                  <c:v>1219.1500000000001</c:v>
                </c:pt>
                <c:pt idx="5">
                  <c:v>1337.116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BB-4453-83D4-8CE8368EB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5999632"/>
        <c:axId val="1035983312"/>
      </c:barChart>
      <c:catAx>
        <c:axId val="103599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983312"/>
        <c:crosses val="autoZero"/>
        <c:auto val="1"/>
        <c:lblAlgn val="ctr"/>
        <c:lblOffset val="100"/>
        <c:noMultiLvlLbl val="0"/>
      </c:catAx>
      <c:valAx>
        <c:axId val="103598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99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Margin Funnel</a:t>
            </a:r>
            <a:r>
              <a:rPr lang="en-US" b="1" baseline="0">
                <a:solidFill>
                  <a:sysClr val="windowText" lastClr="000000"/>
                </a:solidFill>
              </a:rPr>
              <a:t> Visualization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Analysis!$C$49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cat>
            <c:numRef>
              <c:f>Analysis!$B$50:$B$55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Analysis!$C$50:$C$55</c:f>
              <c:numCache>
                <c:formatCode>0%</c:formatCode>
                <c:ptCount val="6"/>
                <c:pt idx="0">
                  <c:v>0.55873564749313309</c:v>
                </c:pt>
                <c:pt idx="1">
                  <c:v>0.55975801193583641</c:v>
                </c:pt>
                <c:pt idx="2">
                  <c:v>0.57676570716192244</c:v>
                </c:pt>
                <c:pt idx="3">
                  <c:v>0.55388748673018096</c:v>
                </c:pt>
                <c:pt idx="4">
                  <c:v>0.58314014533282044</c:v>
                </c:pt>
                <c:pt idx="5">
                  <c:v>0.59224946156615588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0-43F2-A5E5-ECE761EA24AF}"/>
            </c:ext>
          </c:extLst>
        </c:ser>
        <c:ser>
          <c:idx val="1"/>
          <c:order val="1"/>
          <c:tx>
            <c:strRef>
              <c:f>Analysis!$D$49</c:f>
              <c:strCache>
                <c:ptCount val="1"/>
                <c:pt idx="0">
                  <c:v>Operating margin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Analysis!$B$50:$B$55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Analysis!$D$50:$D$55</c:f>
              <c:numCache>
                <c:formatCode>0%</c:formatCode>
                <c:ptCount val="6"/>
                <c:pt idx="0">
                  <c:v>0.22342917168224313</c:v>
                </c:pt>
                <c:pt idx="1">
                  <c:v>0.18628037629462024</c:v>
                </c:pt>
                <c:pt idx="2">
                  <c:v>0.21311969568622441</c:v>
                </c:pt>
                <c:pt idx="3">
                  <c:v>0.16378834376629822</c:v>
                </c:pt>
                <c:pt idx="4">
                  <c:v>0.22170947989978479</c:v>
                </c:pt>
                <c:pt idx="5">
                  <c:v>0.2366493718051445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30-43F2-A5E5-ECE761EA24AF}"/>
            </c:ext>
          </c:extLst>
        </c:ser>
        <c:ser>
          <c:idx val="2"/>
          <c:order val="2"/>
          <c:tx>
            <c:strRef>
              <c:f>Analysis!$E$49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Analysis!$B$50:$B$55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Analysis!$E$50:$E$55</c:f>
              <c:numCache>
                <c:formatCode>0%</c:formatCode>
                <c:ptCount val="6"/>
                <c:pt idx="0">
                  <c:v>0.16223704347782372</c:v>
                </c:pt>
                <c:pt idx="1">
                  <c:v>0.1337890487451924</c:v>
                </c:pt>
                <c:pt idx="2">
                  <c:v>0.1558946409449071</c:v>
                </c:pt>
                <c:pt idx="3">
                  <c:v>0.10539411208419684</c:v>
                </c:pt>
                <c:pt idx="4">
                  <c:v>0.16115559344235025</c:v>
                </c:pt>
                <c:pt idx="5">
                  <c:v>0.17137808085971096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30-43F2-A5E5-ECE761EA2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008752"/>
        <c:axId val="1035997232"/>
      </c:areaChart>
      <c:catAx>
        <c:axId val="103600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997232"/>
        <c:crosses val="autoZero"/>
        <c:auto val="1"/>
        <c:lblAlgn val="ctr"/>
        <c:lblOffset val="100"/>
        <c:noMultiLvlLbl val="0"/>
      </c:catAx>
      <c:valAx>
        <c:axId val="103599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00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Analysis!$N$49</c:f>
              <c:strCache>
                <c:ptCount val="1"/>
                <c:pt idx="0">
                  <c:v>Inventory Turnover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Analysis!$M$50:$M$55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Analysis!$N$50:$N$55</c:f>
              <c:numCache>
                <c:formatCode>0</c:formatCode>
                <c:ptCount val="6"/>
                <c:pt idx="0">
                  <c:v>169.38776710301136</c:v>
                </c:pt>
                <c:pt idx="1">
                  <c:v>193.32304225249723</c:v>
                </c:pt>
                <c:pt idx="2">
                  <c:v>188.28182588265378</c:v>
                </c:pt>
                <c:pt idx="3">
                  <c:v>217.26710157560993</c:v>
                </c:pt>
                <c:pt idx="4">
                  <c:v>210.28869044525069</c:v>
                </c:pt>
                <c:pt idx="5">
                  <c:v>190.6817983482614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9-4574-956C-E925F3A27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045104"/>
        <c:axId val="670046064"/>
      </c:lineChart>
      <c:catAx>
        <c:axId val="67004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046064"/>
        <c:crosses val="autoZero"/>
        <c:auto val="1"/>
        <c:lblAlgn val="ctr"/>
        <c:lblOffset val="100"/>
        <c:noMultiLvlLbl val="0"/>
      </c:catAx>
      <c:valAx>
        <c:axId val="67004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04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33336</xdr:colOff>
      <xdr:row>0</xdr:row>
      <xdr:rowOff>150568</xdr:rowOff>
    </xdr:from>
    <xdr:to>
      <xdr:col>9</xdr:col>
      <xdr:colOff>538161</xdr:colOff>
      <xdr:row>5</xdr:row>
      <xdr:rowOff>114299</xdr:rowOff>
    </xdr:to>
    <xdr:pic>
      <xdr:nvPicPr>
        <xdr:cNvPr id="5" name="Picture 4" descr="lululemon-logo - Dash Sprint Club">
          <a:extLst>
            <a:ext uri="{FF2B5EF4-FFF2-40B4-BE49-F238E27FC236}">
              <a16:creationId xmlns:a16="http://schemas.microsoft.com/office/drawing/2014/main" id="{6D6DFD05-6829-6ED3-28FE-7A23B4FA0C3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1" t="21986" r="1072" b="25532"/>
        <a:stretch>
          <a:fillRect/>
        </a:stretch>
      </xdr:blipFill>
      <xdr:spPr bwMode="auto">
        <a:xfrm>
          <a:off x="4133849" y="150568"/>
          <a:ext cx="4291012" cy="811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</xdr:colOff>
      <xdr:row>3</xdr:row>
      <xdr:rowOff>9524</xdr:rowOff>
    </xdr:from>
    <xdr:to>
      <xdr:col>12</xdr:col>
      <xdr:colOff>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0E051-C730-06DB-640E-FC7861076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2380</xdr:colOff>
      <xdr:row>3</xdr:row>
      <xdr:rowOff>9525</xdr:rowOff>
    </xdr:from>
    <xdr:to>
      <xdr:col>21</xdr:col>
      <xdr:colOff>757237</xdr:colOff>
      <xdr:row>25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F7425F-348A-2CFA-B3A2-8E87411F1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11905</xdr:colOff>
      <xdr:row>24</xdr:row>
      <xdr:rowOff>157162</xdr:rowOff>
    </xdr:from>
    <xdr:to>
      <xdr:col>11</xdr:col>
      <xdr:colOff>762000</xdr:colOff>
      <xdr:row>47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B53D18-720D-6040-CC83-92A1E38F4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2380</xdr:colOff>
      <xdr:row>25</xdr:row>
      <xdr:rowOff>4762</xdr:rowOff>
    </xdr:from>
    <xdr:to>
      <xdr:col>21</xdr:col>
      <xdr:colOff>757236</xdr:colOff>
      <xdr:row>46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6A78F5-DC18-8448-1153-233B05ADF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11904</xdr:colOff>
      <xdr:row>47</xdr:row>
      <xdr:rowOff>4762</xdr:rowOff>
    </xdr:from>
    <xdr:to>
      <xdr:col>12</xdr:col>
      <xdr:colOff>0</xdr:colOff>
      <xdr:row>68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4598E3-5734-92E0-DA9E-FA6C351BE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2380</xdr:colOff>
      <xdr:row>47</xdr:row>
      <xdr:rowOff>4762</xdr:rowOff>
    </xdr:from>
    <xdr:to>
      <xdr:col>21</xdr:col>
      <xdr:colOff>752475</xdr:colOff>
      <xdr:row>68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A93C63-7131-30D5-1B0E-9DEC86C60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https://www.bing.com/financeapi/forcetrigger?t=a1x6m7&amp;q=XNAS%3aLULU&amp;form=skydnc</v>
    <v>Learn more on Bing</v>
  </rv>
  <rv s="1">
    <v>en-US</v>
    <v>a1x6m7</v>
    <v>268435456</v>
    <v>1</v>
    <v>Powered by Refinitiv</v>
    <v>0</v>
    <v>LULULEMON ATHLETICA INC. (XNAS:LULU)</v>
    <v>2</v>
    <v>3</v>
    <v>Finance</v>
    <v>4</v>
    <v>252.24</v>
    <v>104.44</v>
    <v>0.87980000000000003</v>
    <v>-3.28</v>
    <v>6.1250000000000002E-3</v>
    <v>-2.7897999999999999E-2</v>
    <v>0.7</v>
    <v>USD</v>
    <v>lululemon athletica inc. is a technical athletic apparel, footwear, and accessories company. The Company organizes its operations into four regional markets: the Americas, China Mainland, Asia Pacific (APAC), and Europe and the Middle East (EMEA). It conducts its business through a number of different channels in each market, including the Company-operated stores, e-commerce, temporary locations, wholesale, outlets, a re-commerce program, and license and supply arrangements. The Company offers a comprehensive line of technical athletic apparel, footwear, and accessories marketed under the lululemon brand. Its apparel assortment includes items such as shorts, tops, and jackets designed for a healthy lifestyle, including athletic activities such as yoga, running, training, and most other activities. It also offers apparel designed for being on the move and fitness-inspired accessories. It operates stores in the United States, Canada, China Mainland, Australia, South Korea and others.</v>
    <v>39000</v>
    <v>Nasdaq Stock Market</v>
    <v>XNAS</v>
    <v>XNAS</v>
    <v>1818 Cornwall Avenue, VANCOUVER, BC, V6J 1C7 CA</v>
    <v>117.79730000000001</v>
    <v>Textiles &amp; Apparel</v>
    <v>Stock</v>
    <v>46202.927226978907</v>
    <v>0</v>
    <v>112.8</v>
    <v>12978075231</v>
    <v>LULULEMON ATHLETICA INC.</v>
    <v>LULULEMON ATHLETICA INC.</v>
    <v>117.21</v>
    <v>9.4938000000000002</v>
    <v>117.57</v>
    <v>114.29</v>
    <v>114.99</v>
    <v>113553900</v>
    <v>LULU</v>
    <v>LULULEMON ATHLETICA INC. (XNAS:LULU)</v>
    <v>3251708</v>
    <v>4565748</v>
    <v>2005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Price (Extended hours)"/>
    <k n="Shares outstanding"/>
    <k n="Ticker symbol" t="s"/>
    <k n="UniqueName" t="s"/>
    <k n="Volume"/>
    <k n="Volume average"/>
    <k n="Year incorporated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5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Official name</v>
      <v t="s">Last trade time</v>
      <v t="s">Ticker symbol</v>
      <v t="s">Exchange abbreviation</v>
      <v t="s">Change</v>
      <v t="s">Change (Extended hours)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  <v>1</v>
    </spb>
    <spb s="3">
      <v>1</v>
      <v>2</v>
      <v>2</v>
      <v>1</v>
      <v>3</v>
      <v>1</v>
      <v>1</v>
      <v>1</v>
      <v>4</v>
      <v>4</v>
      <v>5</v>
      <v>6</v>
      <v>1</v>
      <v>1</v>
      <v>1</v>
      <v>4</v>
      <v>7</v>
      <v>8</v>
      <v>9</v>
      <v>4</v>
      <v>1</v>
      <v>1</v>
      <v>5</v>
    </spb>
    <spb s="4">
      <v>at close</v>
      <v>from previous close</v>
      <v>from previous close</v>
      <v>Source: Nasdaq Last Sale</v>
      <v>GMT</v>
      <v>Real-Time Nasdaq Last Sale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  <k n="Price (Extended hours)" t="i"/>
    <k n="Change (Extended hours)" t="i"/>
    <k n="Change % (Extended hours)" t="i"/>
  </s>
  <s>
    <k n="Price" t="s"/>
    <k n="Change" t="s"/>
    <k n="Change (%)" t="s"/>
    <k n="ExchangeID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  <x:dxf>
      <x:numFmt numFmtId="3" formatCode="#,##0"/>
    </x:dxf>
    <x:dxf>
      <x:numFmt numFmtId="4" formatCode="#,##0.00"/>
    </x:dxf>
    <x:dxf>
      <x:numFmt numFmtId="1" formatCode="0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 dxfid="5">
      <rpv i="0">#,##0.00</rpv>
    </rSty>
    <rSty>
      <rpv i="1">1</rpv>
    </rSty>
    <rSty dxfid="4">
      <rpv i="0">#,##0</rpv>
    </rSty>
    <rSty dxfid="3"/>
    <rSty dxfid="1">
      <rpv i="0">_([$$-en-US]* #,##0_);_([$$-en-US]* (#,##0);_([$$-en-US]* "-"_);_(@_)</rpv>
    </rSty>
    <rSty dxfid="2"/>
    <rSty dxfid="6">
      <rpv i="0">0</rpv>
    </rSty>
    <rSty dxfid="0">
      <rpv i="0">0.00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836D17-CF5B-4D77-8F3B-A3DD174F8D54}" name="Table1" displayName="Table1" ref="B8:H41" totalsRowShown="0" headerRowDxfId="19" dataDxfId="17" headerRowBorderDxfId="18" dataCellStyle="Comma">
  <autoFilter ref="B8:H41" xr:uid="{23836D17-CF5B-4D77-8F3B-A3DD174F8D54}"/>
  <tableColumns count="7">
    <tableColumn id="1" xr3:uid="{C56CB535-0884-4EB6-8247-BC7076E0F9ED}" name="." dataDxfId="16"/>
    <tableColumn id="2" xr3:uid="{5CB05335-81A4-4F9E-91AE-D7275C95F89C}" name="2019" dataDxfId="15" dataCellStyle="Comma"/>
    <tableColumn id="3" xr3:uid="{A67758F4-C8A9-49AB-B402-3C6C6623F38E}" name="2020" dataDxfId="14" dataCellStyle="Comma"/>
    <tableColumn id="4" xr3:uid="{D2EB0291-4E53-45C5-9A55-496776298FCF}" name="2021" dataDxfId="13" dataCellStyle="Comma"/>
    <tableColumn id="5" xr3:uid="{8BBF933F-D97B-42BA-9EF9-C011F65930FC}" name="2022" dataDxfId="12" dataCellStyle="Comma"/>
    <tableColumn id="6" xr3:uid="{5B24A045-0943-4881-8988-3CC50E6754BD}" name="2023" dataDxfId="11" dataCellStyle="Comma"/>
    <tableColumn id="7" xr3:uid="{0F4D0575-18E6-42CA-A6D9-2FCC3DD18D8B}" name="2024" dataDxfId="1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0BF547-D843-4B46-A130-6CFC2B9CD1F8}" name="Table2" displayName="Table2" ref="M8:S54" totalsRowShown="0" headerRowDxfId="9" dataDxfId="7" headerRowBorderDxfId="8" dataCellStyle="Comma">
  <autoFilter ref="M8:S54" xr:uid="{120BF547-D843-4B46-A130-6CFC2B9CD1F8}"/>
  <tableColumns count="7">
    <tableColumn id="1" xr3:uid="{DB29C79D-FAB6-484C-9815-A2E8E1E77194}" name="." dataDxfId="6"/>
    <tableColumn id="2" xr3:uid="{3C41FD2C-CF3B-45B9-83D3-DF70DA3F9D5A}" name="2019" dataDxfId="5" dataCellStyle="Comma"/>
    <tableColumn id="3" xr3:uid="{2DFCE98E-C0C8-42EE-BB58-7255714974F0}" name="2020" dataDxfId="4" dataCellStyle="Comma"/>
    <tableColumn id="4" xr3:uid="{44C5D0A9-3EFA-4FEC-93F4-6F50F976863F}" name="2021" dataDxfId="3" dataCellStyle="Comma"/>
    <tableColumn id="5" xr3:uid="{4743886E-940B-4EE9-A1FC-1D090FB5B393}" name="2022" dataDxfId="2" dataCellStyle="Comma"/>
    <tableColumn id="6" xr3:uid="{64A6DC66-AB43-4E0F-8986-3CD831887B8C}" name="2023" dataDxfId="1" dataCellStyle="Comma"/>
    <tableColumn id="7" xr3:uid="{3B18363B-4162-4DCB-B417-6622816301E4}" name="2024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2568-5640-4B84-AC29-1C6BDB0C1A0A}">
  <sheetPr>
    <pageSetUpPr fitToPage="1"/>
  </sheetPr>
  <dimension ref="A1:V54"/>
  <sheetViews>
    <sheetView tabSelected="1" workbookViewId="0">
      <selection activeCell="I11" sqref="I10:I11"/>
    </sheetView>
  </sheetViews>
  <sheetFormatPr defaultColWidth="10.5703125" defaultRowHeight="12.75" x14ac:dyDescent="0.2"/>
  <cols>
    <col min="1" max="1" width="10.5703125" style="1"/>
    <col min="2" max="2" width="25.5703125" style="1" customWidth="1"/>
    <col min="3" max="3" width="10.5703125" style="14" customWidth="1"/>
    <col min="4" max="8" width="10.5703125" style="14"/>
    <col min="9" max="11" width="10.5703125" style="1"/>
    <col min="12" max="12" width="5.5703125" style="1" customWidth="1"/>
    <col min="13" max="13" width="26.7109375" style="1" customWidth="1"/>
    <col min="14" max="19" width="10.5703125" style="14"/>
    <col min="20" max="22" width="10.5703125" style="50"/>
    <col min="23" max="16384" width="10.5703125" style="1"/>
  </cols>
  <sheetData>
    <row r="1" spans="2:22" x14ac:dyDescent="0.2">
      <c r="C1" s="1"/>
      <c r="D1" s="1"/>
      <c r="E1" s="1"/>
      <c r="F1" s="1"/>
      <c r="G1" s="1"/>
      <c r="H1" s="1"/>
      <c r="N1" s="1"/>
      <c r="O1" s="1"/>
      <c r="P1" s="1"/>
      <c r="Q1" s="1"/>
      <c r="R1" s="1"/>
      <c r="S1" s="1"/>
      <c r="T1" s="1"/>
      <c r="U1" s="1"/>
      <c r="V1" s="1"/>
    </row>
    <row r="2" spans="2:22" x14ac:dyDescent="0.2">
      <c r="C2" s="1"/>
      <c r="D2" s="1"/>
      <c r="E2" s="1"/>
      <c r="F2" s="1"/>
      <c r="G2" s="1"/>
      <c r="H2" s="1"/>
      <c r="N2" s="1"/>
      <c r="O2" s="1"/>
      <c r="P2" s="1"/>
      <c r="Q2" s="1"/>
      <c r="R2" s="1"/>
      <c r="S2" s="1"/>
      <c r="T2" s="1"/>
      <c r="U2" s="1"/>
      <c r="V2" s="1"/>
    </row>
    <row r="3" spans="2:22" ht="15" x14ac:dyDescent="0.25">
      <c r="B3" s="17" t="e" vm="1">
        <v>#VALUE!</v>
      </c>
      <c r="C3" s="1"/>
      <c r="D3" s="1"/>
      <c r="E3"/>
      <c r="F3" s="1"/>
      <c r="G3" s="1"/>
      <c r="H3" s="1"/>
      <c r="N3" s="1"/>
      <c r="O3" s="1"/>
      <c r="P3" s="1"/>
      <c r="Q3" s="1"/>
      <c r="R3" s="1"/>
      <c r="S3" s="1"/>
      <c r="T3" s="1"/>
      <c r="U3" s="1"/>
      <c r="V3" s="1"/>
    </row>
    <row r="4" spans="2:22" x14ac:dyDescent="0.2">
      <c r="B4" s="1" t="s">
        <v>0</v>
      </c>
      <c r="C4" s="2" cm="1">
        <f t="array" aca="1" ref="C4" ca="1">_FV(B3,"Price")</f>
        <v>114.29</v>
      </c>
      <c r="D4" s="1"/>
      <c r="E4" s="1"/>
      <c r="F4" s="1"/>
      <c r="G4" s="1"/>
      <c r="H4" s="1"/>
      <c r="N4" s="1"/>
      <c r="O4" s="1"/>
      <c r="P4" s="1"/>
      <c r="Q4" s="1"/>
      <c r="R4" s="1"/>
      <c r="S4" s="1"/>
      <c r="T4" s="1"/>
      <c r="U4" s="1"/>
      <c r="V4" s="1"/>
    </row>
    <row r="5" spans="2:22" ht="15" x14ac:dyDescent="0.25">
      <c r="B5" s="1" t="s">
        <v>1</v>
      </c>
      <c r="C5" s="3">
        <v>119.8</v>
      </c>
      <c r="D5" s="1"/>
      <c r="E5" s="1"/>
      <c r="F5" s="1"/>
      <c r="G5" s="1"/>
      <c r="H5" s="1"/>
      <c r="M5"/>
      <c r="N5" s="1"/>
      <c r="O5" s="1"/>
      <c r="P5" s="1"/>
      <c r="Q5" s="1"/>
      <c r="R5" s="1"/>
      <c r="S5" s="1"/>
      <c r="T5" s="1"/>
      <c r="U5" s="1"/>
      <c r="V5" s="1"/>
    </row>
    <row r="6" spans="2:22" x14ac:dyDescent="0.2">
      <c r="B6" s="1" t="s">
        <v>2</v>
      </c>
      <c r="C6" s="19">
        <f ca="1">C4*C5</f>
        <v>13691.942000000001</v>
      </c>
      <c r="D6" s="1"/>
      <c r="E6" s="1"/>
      <c r="F6" s="1"/>
      <c r="G6" s="1"/>
      <c r="H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">
      <c r="C7" s="1"/>
      <c r="D7" s="1"/>
      <c r="E7" s="1"/>
      <c r="F7" s="1"/>
      <c r="G7" s="1"/>
      <c r="H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">
      <c r="B8" s="13" t="s">
        <v>15</v>
      </c>
      <c r="C8" s="4" t="s">
        <v>9</v>
      </c>
      <c r="D8" s="4" t="s">
        <v>10</v>
      </c>
      <c r="E8" s="4" t="s">
        <v>11</v>
      </c>
      <c r="F8" s="4" t="s">
        <v>12</v>
      </c>
      <c r="G8" s="4" t="s">
        <v>13</v>
      </c>
      <c r="H8" s="4" t="s">
        <v>14</v>
      </c>
      <c r="I8" s="10" t="s">
        <v>4</v>
      </c>
      <c r="J8" s="11" t="s">
        <v>5</v>
      </c>
      <c r="K8" s="12" t="s">
        <v>6</v>
      </c>
      <c r="M8" s="13" t="s">
        <v>15</v>
      </c>
      <c r="N8" s="4" t="s">
        <v>9</v>
      </c>
      <c r="O8" s="4" t="s">
        <v>10</v>
      </c>
      <c r="P8" s="4" t="s">
        <v>11</v>
      </c>
      <c r="Q8" s="4" t="s">
        <v>12</v>
      </c>
      <c r="R8" s="4" t="s">
        <v>13</v>
      </c>
      <c r="S8" s="4" t="s">
        <v>14</v>
      </c>
      <c r="T8" s="10" t="s">
        <v>4</v>
      </c>
      <c r="U8" s="11" t="s">
        <v>5</v>
      </c>
      <c r="V8" s="12" t="s">
        <v>6</v>
      </c>
    </row>
    <row r="9" spans="2:22" ht="15" x14ac:dyDescent="0.25">
      <c r="B9" s="8" t="s">
        <v>3</v>
      </c>
      <c r="C9" s="3"/>
      <c r="D9" s="7"/>
      <c r="E9" s="3"/>
      <c r="F9" s="3"/>
      <c r="G9" s="3"/>
      <c r="H9" s="3"/>
      <c r="I9" s="36"/>
      <c r="J9" s="37"/>
      <c r="K9" s="38"/>
      <c r="M9" s="8" t="s">
        <v>7</v>
      </c>
      <c r="N9" s="3"/>
      <c r="O9" s="7"/>
      <c r="P9" s="3"/>
      <c r="Q9" s="3"/>
      <c r="R9" s="3"/>
      <c r="S9" s="3"/>
      <c r="T9" s="36"/>
      <c r="U9" s="37"/>
      <c r="V9" s="38"/>
    </row>
    <row r="10" spans="2:22" x14ac:dyDescent="0.2">
      <c r="B10" s="22" t="s">
        <v>18</v>
      </c>
      <c r="C10" s="21">
        <v>2767.8</v>
      </c>
      <c r="D10" s="21">
        <v>3049.9</v>
      </c>
      <c r="E10" s="21">
        <v>4171.8</v>
      </c>
      <c r="F10" s="21">
        <v>5259.8</v>
      </c>
      <c r="G10" s="21">
        <v>6147.4</v>
      </c>
      <c r="H10" s="21">
        <v>6692.6</v>
      </c>
      <c r="I10" s="56">
        <f>(Table1[[#This Row],[2024]]-Table1[[#This Row],[2023]])/Table1[[#This Row],[2023]]</f>
        <v>8.8687900575853323E-2</v>
      </c>
      <c r="J10" s="56">
        <f>(Table1[[#This Row],[2024]]-Table1[[#This Row],[2022]])/Table1[[#This Row],[2022]]</f>
        <v>0.27240579489714439</v>
      </c>
      <c r="K10" s="41">
        <f>(Table1[[#This Row],[2024]]-Table1[[#This Row],[2019]])/Table1[[#This Row],[2019]]</f>
        <v>1.4180215333477852</v>
      </c>
      <c r="M10" s="5" t="s">
        <v>8</v>
      </c>
      <c r="N10" s="3"/>
      <c r="O10" s="3"/>
      <c r="P10" s="3"/>
      <c r="Q10" s="3"/>
      <c r="R10" s="3"/>
      <c r="S10" s="3"/>
      <c r="T10" s="47"/>
      <c r="U10" s="48"/>
      <c r="V10" s="49"/>
    </row>
    <row r="11" spans="2:22" x14ac:dyDescent="0.2">
      <c r="B11" s="22" t="s">
        <v>19</v>
      </c>
      <c r="C11" s="21">
        <v>927.24</v>
      </c>
      <c r="D11" s="21">
        <v>953.18</v>
      </c>
      <c r="E11" s="21">
        <v>1535.9</v>
      </c>
      <c r="F11" s="21">
        <v>1956.6</v>
      </c>
      <c r="G11" s="21">
        <v>2252.75</v>
      </c>
      <c r="H11" s="21">
        <v>2558.4</v>
      </c>
      <c r="I11" s="56">
        <f>(Table1[[#This Row],[2024]]-Table1[[#This Row],[2023]])/Table1[[#This Row],[2023]]</f>
        <v>0.13567861502607928</v>
      </c>
      <c r="J11" s="56">
        <f>(Table1[[#This Row],[2024]]-Table1[[#This Row],[2022]])/Table1[[#This Row],[2022]]</f>
        <v>0.3075743636921191</v>
      </c>
      <c r="K11" s="41">
        <f>(Table1[[#This Row],[2024]]-Table1[[#This Row],[2019]])/Table1[[#This Row],[2019]]</f>
        <v>1.7591562055131358</v>
      </c>
      <c r="M11" s="22" t="s">
        <v>44</v>
      </c>
      <c r="N11" s="21">
        <v>1093.5</v>
      </c>
      <c r="O11" s="21">
        <v>1150.5</v>
      </c>
      <c r="P11" s="21">
        <v>1259.9000000000001</v>
      </c>
      <c r="Q11" s="21">
        <v>1154.9000000000001</v>
      </c>
      <c r="R11" s="21">
        <v>2243.98</v>
      </c>
      <c r="S11" s="21">
        <v>1984.33</v>
      </c>
      <c r="T11" s="56">
        <f>(Table2[[#This Row],[2024]]-Table2[[#This Row],[2023]])/Table2[[#This Row],[2023]]</f>
        <v>-0.11570958742947803</v>
      </c>
      <c r="U11" s="40">
        <f>(Table2[[#This Row],[2024]]-Table2[[#This Row],[2022]])/Table2[[#This Row],[2022]]</f>
        <v>0.71818339250151508</v>
      </c>
      <c r="V11" s="41">
        <f>(Table2[[#This Row],[2024]]-Table2[[#This Row],[2019]])/Table2[[#This Row],[2019]]</f>
        <v>0.81465935070873341</v>
      </c>
    </row>
    <row r="12" spans="2:22" x14ac:dyDescent="0.2">
      <c r="B12" s="22" t="s">
        <v>20</v>
      </c>
      <c r="C12" s="21">
        <v>284.23</v>
      </c>
      <c r="D12" s="21">
        <v>398.79</v>
      </c>
      <c r="E12" s="21">
        <v>549</v>
      </c>
      <c r="F12" s="21">
        <v>894.11</v>
      </c>
      <c r="G12" s="21">
        <v>1219.1500000000001</v>
      </c>
      <c r="H12" s="21">
        <v>1337.116</v>
      </c>
      <c r="I12" s="39">
        <f>(Table1[[#This Row],[2024]]-Table1[[#This Row],[2023]])/Table1[[#This Row],[2023]]</f>
        <v>9.6760857974818426E-2</v>
      </c>
      <c r="J12" s="40">
        <f>(Table1[[#This Row],[2024]]-Table1[[#This Row],[2022]])/Table1[[#This Row],[2022]]</f>
        <v>0.49547147442708389</v>
      </c>
      <c r="K12" s="56">
        <f>(Table1[[#This Row],[2024]]-Table1[[#This Row],[2019]])/Table1[[#This Row],[2019]]</f>
        <v>3.704345072652429</v>
      </c>
      <c r="M12" s="22" t="s">
        <v>45</v>
      </c>
      <c r="N12" s="21">
        <v>40.200000000000003</v>
      </c>
      <c r="O12" s="21">
        <v>62.4</v>
      </c>
      <c r="P12" s="21">
        <v>77</v>
      </c>
      <c r="Q12" s="21">
        <v>132.9</v>
      </c>
      <c r="R12" s="21">
        <v>124.8</v>
      </c>
      <c r="S12" s="21">
        <v>120.2</v>
      </c>
      <c r="T12" s="39">
        <f>(Table2[[#This Row],[2024]]-Table2[[#This Row],[2023]])/Table2[[#This Row],[2023]]</f>
        <v>-3.6858974358974311E-2</v>
      </c>
      <c r="U12" s="40">
        <f>(Table2[[#This Row],[2024]]-Table2[[#This Row],[2022]])/Table2[[#This Row],[2022]]</f>
        <v>-9.5560571858540277E-2</v>
      </c>
      <c r="V12" s="41">
        <f>(Table2[[#This Row],[2024]]-Table2[[#This Row],[2019]])/Table2[[#This Row],[2019]]</f>
        <v>1.9900497512437809</v>
      </c>
    </row>
    <row r="13" spans="2:22" ht="13.5" thickBot="1" x14ac:dyDescent="0.25">
      <c r="B13" s="31" t="s">
        <v>21</v>
      </c>
      <c r="C13" s="29">
        <f t="shared" ref="C13:G13" si="0">SUM(C10:C12)</f>
        <v>3979.27</v>
      </c>
      <c r="D13" s="29">
        <f t="shared" si="0"/>
        <v>4401.87</v>
      </c>
      <c r="E13" s="29">
        <f t="shared" si="0"/>
        <v>6256.7000000000007</v>
      </c>
      <c r="F13" s="29">
        <f t="shared" si="0"/>
        <v>8110.5099999999993</v>
      </c>
      <c r="G13" s="29">
        <f t="shared" si="0"/>
        <v>9619.2999999999993</v>
      </c>
      <c r="H13" s="29">
        <f>SUM(H10:H12)</f>
        <v>10588.116</v>
      </c>
      <c r="I13" s="57">
        <f>(Table1[[#This Row],[2024]]-Table1[[#This Row],[2023]])/Table1[[#This Row],[2023]]</f>
        <v>0.10071585250486011</v>
      </c>
      <c r="J13" s="57">
        <f>(Table1[[#This Row],[2024]]-Table1[[#This Row],[2022]])/Table1[[#This Row],[2022]]</f>
        <v>0.30548091303752795</v>
      </c>
      <c r="K13" s="44">
        <f>(Table1[[#This Row],[2024]]-Table1[[#This Row],[2019]])/Table1[[#This Row],[2019]]</f>
        <v>1.6608186928758288</v>
      </c>
      <c r="M13" s="22" t="s">
        <v>46</v>
      </c>
      <c r="N13" s="21">
        <v>518.5</v>
      </c>
      <c r="O13" s="21">
        <v>647.23</v>
      </c>
      <c r="P13" s="21">
        <v>966.5</v>
      </c>
      <c r="Q13" s="21">
        <v>1447.4</v>
      </c>
      <c r="R13" s="21">
        <v>1323.6</v>
      </c>
      <c r="S13" s="21">
        <v>1442.1</v>
      </c>
      <c r="T13" s="56">
        <f>(Table2[[#This Row],[2024]]-Table2[[#This Row],[2023]])/Table2[[#This Row],[2023]]</f>
        <v>8.9528558476881237E-2</v>
      </c>
      <c r="U13" s="40">
        <f>(Table2[[#This Row],[2024]]-Table2[[#This Row],[2022]])/Table2[[#This Row],[2022]]</f>
        <v>-3.6617382893465397E-3</v>
      </c>
      <c r="V13" s="41">
        <f>(Table2[[#This Row],[2024]]-Table2[[#This Row],[2019]])/Table2[[#This Row],[2019]]</f>
        <v>1.7812921890067501</v>
      </c>
    </row>
    <row r="14" spans="2:22" x14ac:dyDescent="0.2">
      <c r="B14" s="16" t="s">
        <v>30</v>
      </c>
      <c r="C14" s="15">
        <v>1755.91</v>
      </c>
      <c r="D14" s="15">
        <v>1937.8879999999999</v>
      </c>
      <c r="E14" s="15">
        <v>2648.05</v>
      </c>
      <c r="F14" s="15">
        <v>3618.2</v>
      </c>
      <c r="G14" s="15">
        <v>4009.9</v>
      </c>
      <c r="H14" s="15">
        <v>4317.3100000000004</v>
      </c>
      <c r="I14" s="39">
        <f>(Table1[[#This Row],[2024]]-Table1[[#This Row],[2023]])/Table1[[#This Row],[2023]]</f>
        <v>7.6662759669817282E-2</v>
      </c>
      <c r="J14" s="40">
        <f>(Table1[[#This Row],[2024]]-Table1[[#This Row],[2022]])/Table1[[#This Row],[2022]]</f>
        <v>0.19322038582720708</v>
      </c>
      <c r="K14" s="41">
        <f>(Table1[[#This Row],[2024]]-Table1[[#This Row],[2019]])/Table1[[#This Row],[2019]]</f>
        <v>1.4587308005535593</v>
      </c>
      <c r="M14" s="22" t="s">
        <v>47</v>
      </c>
      <c r="N14" s="21">
        <v>85.159000000000006</v>
      </c>
      <c r="O14" s="21">
        <v>139.12</v>
      </c>
      <c r="P14" s="21">
        <v>118.92</v>
      </c>
      <c r="Q14" s="21">
        <v>185.64</v>
      </c>
      <c r="R14" s="21">
        <v>183.7</v>
      </c>
      <c r="S14" s="21">
        <v>182.3</v>
      </c>
      <c r="T14" s="39">
        <f>(Table2[[#This Row],[2024]]-Table2[[#This Row],[2023]])/Table2[[#This Row],[2023]]</f>
        <v>-7.6211213935763597E-3</v>
      </c>
      <c r="U14" s="40">
        <f>(Table2[[#This Row],[2024]]-Table2[[#This Row],[2022]])/Table2[[#This Row],[2022]]</f>
        <v>-1.7991812109459035E-2</v>
      </c>
      <c r="V14" s="41">
        <f>(Table2[[#This Row],[2024]]-Table2[[#This Row],[2019]])/Table2[[#This Row],[2019]]</f>
        <v>1.1407015112906445</v>
      </c>
    </row>
    <row r="15" spans="2:22" ht="13.5" thickBot="1" x14ac:dyDescent="0.25">
      <c r="B15" s="31" t="s">
        <v>31</v>
      </c>
      <c r="C15" s="29">
        <f t="shared" ref="C15:G15" si="1">C13-C14</f>
        <v>2223.3599999999997</v>
      </c>
      <c r="D15" s="29">
        <f t="shared" si="1"/>
        <v>2463.982</v>
      </c>
      <c r="E15" s="29">
        <f t="shared" si="1"/>
        <v>3608.6500000000005</v>
      </c>
      <c r="F15" s="29">
        <f t="shared" si="1"/>
        <v>4492.3099999999995</v>
      </c>
      <c r="G15" s="29">
        <f t="shared" si="1"/>
        <v>5609.4</v>
      </c>
      <c r="H15" s="29">
        <f>H13-H14</f>
        <v>6270.8059999999996</v>
      </c>
      <c r="I15" s="57">
        <f>(Table1[[#This Row],[2024]]-Table1[[#This Row],[2023]])/Table1[[#This Row],[2023]]</f>
        <v>0.11791029343601811</v>
      </c>
      <c r="J15" s="57">
        <f>(Table1[[#This Row],[2024]]-Table1[[#This Row],[2022]])/Table1[[#This Row],[2022]]</f>
        <v>0.39589787881958288</v>
      </c>
      <c r="K15" s="57">
        <f>(Table1[[#This Row],[2024]]-Table1[[#This Row],[2019]])/Table1[[#This Row],[2019]]</f>
        <v>1.8204186456534257</v>
      </c>
      <c r="M15" s="22" t="s">
        <v>48</v>
      </c>
      <c r="N15" s="21">
        <v>70.542000000000002</v>
      </c>
      <c r="O15" s="21">
        <v>125.1</v>
      </c>
      <c r="P15" s="21">
        <v>192.6</v>
      </c>
      <c r="Q15" s="21">
        <v>238.7</v>
      </c>
      <c r="R15" s="21">
        <v>184.5</v>
      </c>
      <c r="S15" s="21">
        <v>251.5</v>
      </c>
      <c r="T15" s="56">
        <f>(Table2[[#This Row],[2024]]-Table2[[#This Row],[2023]])/Table2[[#This Row],[2023]]</f>
        <v>0.36314363143631434</v>
      </c>
      <c r="U15" s="40">
        <f>(Table2[[#This Row],[2024]]-Table2[[#This Row],[2022]])/Table2[[#This Row],[2022]]</f>
        <v>5.3623795559279479E-2</v>
      </c>
      <c r="V15" s="41">
        <f>(Table2[[#This Row],[2024]]-Table2[[#This Row],[2019]])/Table2[[#This Row],[2019]]</f>
        <v>2.5652519066655324</v>
      </c>
    </row>
    <row r="16" spans="2:22" ht="13.5" thickBot="1" x14ac:dyDescent="0.25">
      <c r="B16" s="20"/>
      <c r="C16" s="21"/>
      <c r="D16" s="21"/>
      <c r="E16" s="21"/>
      <c r="F16" s="21"/>
      <c r="G16" s="21"/>
      <c r="H16" s="21"/>
      <c r="I16" s="39"/>
      <c r="J16" s="40"/>
      <c r="K16" s="41"/>
      <c r="M16" s="31" t="s">
        <v>49</v>
      </c>
      <c r="N16" s="29">
        <f t="shared" ref="N16:R16" si="2">SUM(N11:N15)</f>
        <v>1807.9010000000001</v>
      </c>
      <c r="O16" s="29">
        <f t="shared" si="2"/>
        <v>2124.35</v>
      </c>
      <c r="P16" s="29">
        <f t="shared" si="2"/>
        <v>2614.92</v>
      </c>
      <c r="Q16" s="29">
        <f t="shared" si="2"/>
        <v>3159.54</v>
      </c>
      <c r="R16" s="29">
        <f t="shared" si="2"/>
        <v>4060.58</v>
      </c>
      <c r="S16" s="29">
        <f>SUM(S11:S15)</f>
        <v>3980.43</v>
      </c>
      <c r="T16" s="42">
        <f>(Table2[[#This Row],[2024]]-Table2[[#This Row],[2023]])/Table2[[#This Row],[2023]]</f>
        <v>-1.9738559516128261E-2</v>
      </c>
      <c r="U16" s="43">
        <f>(Table2[[#This Row],[2024]]-Table2[[#This Row],[2022]])/Table2[[#This Row],[2022]]</f>
        <v>0.25981313735543776</v>
      </c>
      <c r="V16" s="44">
        <f>(Table2[[#This Row],[2024]]-Table2[[#This Row],[2019]])/Table2[[#This Row],[2019]]</f>
        <v>1.2016858223984608</v>
      </c>
    </row>
    <row r="17" spans="1:22" x14ac:dyDescent="0.2">
      <c r="B17" s="5" t="s">
        <v>32</v>
      </c>
      <c r="C17" s="21"/>
      <c r="D17" s="21"/>
      <c r="E17" s="21"/>
      <c r="F17" s="21"/>
      <c r="G17" s="21"/>
      <c r="H17" s="21"/>
      <c r="I17" s="39"/>
      <c r="J17" s="40"/>
      <c r="K17" s="41"/>
      <c r="M17" s="34" t="s">
        <v>50</v>
      </c>
      <c r="N17" s="21">
        <v>671.7</v>
      </c>
      <c r="O17" s="21">
        <v>745.7</v>
      </c>
      <c r="P17" s="21">
        <v>927.7</v>
      </c>
      <c r="Q17" s="21">
        <v>1269.5999999999999</v>
      </c>
      <c r="R17" s="21">
        <v>1545.81</v>
      </c>
      <c r="S17" s="21">
        <v>1780.6</v>
      </c>
      <c r="T17" s="56">
        <f>(Table2[[#This Row],[2024]]-Table2[[#This Row],[2023]])/Table2[[#This Row],[2023]]</f>
        <v>0.15188800693487556</v>
      </c>
      <c r="U17" s="40">
        <f>(Table2[[#This Row],[2024]]-Table2[[#This Row],[2022]])/Table2[[#This Row],[2022]]</f>
        <v>0.40248897290485197</v>
      </c>
      <c r="V17" s="41">
        <f>(Table2[[#This Row],[2024]]-Table2[[#This Row],[2019]])/Table2[[#This Row],[2019]]</f>
        <v>1.650885812118505</v>
      </c>
    </row>
    <row r="18" spans="1:22" x14ac:dyDescent="0.2">
      <c r="B18" s="22" t="s">
        <v>33</v>
      </c>
      <c r="C18" s="21">
        <v>1334.2460000000001</v>
      </c>
      <c r="D18" s="21">
        <v>1609</v>
      </c>
      <c r="E18" s="21">
        <v>2225.0300000000002</v>
      </c>
      <c r="F18" s="21">
        <v>2757.44</v>
      </c>
      <c r="G18" s="21">
        <v>3397.21</v>
      </c>
      <c r="H18" s="21">
        <v>3762.4</v>
      </c>
      <c r="I18" s="56">
        <f>(Table1[[#This Row],[2024]]-Table1[[#This Row],[2023]])/Table1[[#This Row],[2023]]</f>
        <v>0.10749703433111289</v>
      </c>
      <c r="J18" s="40">
        <f>(Table1[[#This Row],[2024]]-Table1[[#This Row],[2022]])/Table1[[#This Row],[2022]]</f>
        <v>0.36445398630613901</v>
      </c>
      <c r="K18" s="41">
        <f>(Table1[[#This Row],[2024]]-Table1[[#This Row],[2019]])/Table1[[#This Row],[2019]]</f>
        <v>1.8198697991225006</v>
      </c>
      <c r="M18" s="34" t="s">
        <v>51</v>
      </c>
      <c r="N18" s="21">
        <v>689.7</v>
      </c>
      <c r="O18" s="21">
        <v>734.83</v>
      </c>
      <c r="P18" s="21">
        <v>803.54</v>
      </c>
      <c r="Q18" s="21">
        <v>969.41</v>
      </c>
      <c r="R18" s="21">
        <v>1265.6099999999999</v>
      </c>
      <c r="S18" s="21">
        <v>1416.25</v>
      </c>
      <c r="T18" s="39">
        <f>(Table2[[#This Row],[2024]]-Table2[[#This Row],[2023]])/Table2[[#This Row],[2023]]</f>
        <v>0.1190256082047393</v>
      </c>
      <c r="U18" s="56">
        <f>(Table2[[#This Row],[2024]]-Table2[[#This Row],[2022]])/Table2[[#This Row],[2022]]</f>
        <v>0.46094015947844569</v>
      </c>
      <c r="V18" s="41">
        <f>(Table2[[#This Row],[2024]]-Table2[[#This Row],[2019]])/Table2[[#This Row],[2019]]</f>
        <v>1.0534290271132376</v>
      </c>
    </row>
    <row r="19" spans="1:22" ht="25.5" x14ac:dyDescent="0.2">
      <c r="B19" s="33" t="s">
        <v>34</v>
      </c>
      <c r="C19" s="21">
        <v>0</v>
      </c>
      <c r="D19" s="21">
        <v>29.84</v>
      </c>
      <c r="E19" s="21">
        <v>41.393999999999998</v>
      </c>
      <c r="F19" s="21">
        <v>407.91300000000001</v>
      </c>
      <c r="G19" s="21">
        <v>74.5</v>
      </c>
      <c r="H19" s="21">
        <v>0</v>
      </c>
      <c r="I19" s="56">
        <f>(Table1[[#This Row],[2024]]-Table1[[#This Row],[2023]])/Table1[[#This Row],[2023]]</f>
        <v>-1</v>
      </c>
      <c r="J19" s="40">
        <f>(Table1[[#This Row],[2024]]-Table1[[#This Row],[2022]])/Table1[[#This Row],[2022]]</f>
        <v>-1</v>
      </c>
      <c r="K19" s="41" t="e">
        <f>(Table1[[#This Row],[2024]]-Table1[[#This Row],[2019]])/Table1[[#This Row],[2019]]</f>
        <v>#DIV/0!</v>
      </c>
      <c r="M19" s="34" t="s">
        <v>52</v>
      </c>
      <c r="N19" s="21">
        <v>24.2</v>
      </c>
      <c r="O19" s="21">
        <v>386.9</v>
      </c>
      <c r="P19" s="21">
        <v>386.88</v>
      </c>
      <c r="Q19" s="21">
        <v>24.143999999999998</v>
      </c>
      <c r="R19" s="21">
        <v>24.1</v>
      </c>
      <c r="S19" s="21">
        <v>159.5</v>
      </c>
      <c r="T19" s="39">
        <f>(Table2[[#This Row],[2024]]-Table2[[#This Row],[2023]])/Table2[[#This Row],[2023]]</f>
        <v>5.618257261410788</v>
      </c>
      <c r="U19" s="56">
        <f>(Table2[[#This Row],[2024]]-Table2[[#This Row],[2022]])/Table2[[#This Row],[2022]]</f>
        <v>5.6061961563949634</v>
      </c>
      <c r="V19" s="41">
        <f>(Table2[[#This Row],[2024]]-Table2[[#This Row],[2019]])/Table2[[#This Row],[2019]]</f>
        <v>5.5909090909090917</v>
      </c>
    </row>
    <row r="20" spans="1:22" s="9" customFormat="1" x14ac:dyDescent="0.2">
      <c r="A20" s="1"/>
      <c r="B20" s="22" t="s">
        <v>35</v>
      </c>
      <c r="C20" s="21">
        <v>2.9000000000000001E-2</v>
      </c>
      <c r="D20" s="21">
        <v>5.16</v>
      </c>
      <c r="E20" s="21">
        <v>8.8000000000000007</v>
      </c>
      <c r="F20" s="21">
        <v>8.75</v>
      </c>
      <c r="G20" s="21">
        <v>5</v>
      </c>
      <c r="H20" s="21">
        <v>2.7349999999999999</v>
      </c>
      <c r="I20" s="39">
        <f>(Table1[[#This Row],[2024]]-Table1[[#This Row],[2023]])/Table1[[#This Row],[2023]]</f>
        <v>-0.45300000000000001</v>
      </c>
      <c r="J20" s="40">
        <f>(Table1[[#This Row],[2024]]-Table1[[#This Row],[2022]])/Table1[[#This Row],[2022]]</f>
        <v>-0.6874285714285715</v>
      </c>
      <c r="K20" s="41">
        <f>(Table1[[#This Row],[2024]]-Table1[[#This Row],[2019]])/Table1[[#This Row],[2019]]</f>
        <v>93.310344827586206</v>
      </c>
      <c r="L20" s="1"/>
      <c r="M20" s="34" t="s">
        <v>53</v>
      </c>
      <c r="N20" s="21">
        <v>0.24</v>
      </c>
      <c r="O20" s="21">
        <v>80.099999999999994</v>
      </c>
      <c r="P20" s="21">
        <v>71.3</v>
      </c>
      <c r="Q20" s="21">
        <v>21.96</v>
      </c>
      <c r="R20" s="21">
        <v>0</v>
      </c>
      <c r="S20" s="21">
        <v>11.7</v>
      </c>
      <c r="T20" s="39" t="e">
        <f>(Table2[[#This Row],[2024]]-Table2[[#This Row],[2023]])/Table2[[#This Row],[2023]]</f>
        <v>#DIV/0!</v>
      </c>
      <c r="U20" s="40">
        <f>(Table2[[#This Row],[2024]]-Table2[[#This Row],[2022]])/Table2[[#This Row],[2022]]</f>
        <v>-0.46721311475409844</v>
      </c>
      <c r="V20" s="41">
        <f>(Table2[[#This Row],[2024]]-Table2[[#This Row],[2019]])/Table2[[#This Row],[2019]]</f>
        <v>47.75</v>
      </c>
    </row>
    <row r="21" spans="1:22" x14ac:dyDescent="0.2">
      <c r="B21" s="22" t="s">
        <v>38</v>
      </c>
      <c r="C21" s="21">
        <v>0</v>
      </c>
      <c r="D21" s="21">
        <v>0</v>
      </c>
      <c r="E21" s="21">
        <v>0</v>
      </c>
      <c r="F21" s="21">
        <v>-10.199999999999999</v>
      </c>
      <c r="G21" s="21">
        <v>0</v>
      </c>
      <c r="H21" s="21">
        <v>0</v>
      </c>
      <c r="I21" s="39" t="e">
        <f>(Table1[[#This Row],[2024]]-Table1[[#This Row],[2023]])/Table1[[#This Row],[2023]]</f>
        <v>#DIV/0!</v>
      </c>
      <c r="J21" s="40">
        <f>(Table1[[#This Row],[2024]]-Table1[[#This Row],[2022]])/Table1[[#This Row],[2022]]</f>
        <v>-1</v>
      </c>
      <c r="K21" s="41" t="e">
        <f>(Table1[[#This Row],[2024]]-Table1[[#This Row],[2019]])/Table1[[#This Row],[2019]]</f>
        <v>#DIV/0!</v>
      </c>
      <c r="M21" s="34" t="s">
        <v>54</v>
      </c>
      <c r="N21" s="28">
        <v>31.43</v>
      </c>
      <c r="O21" s="28">
        <v>6.7</v>
      </c>
      <c r="P21" s="28">
        <v>6.1</v>
      </c>
      <c r="Q21" s="28">
        <v>6.4</v>
      </c>
      <c r="R21" s="28">
        <v>9.1999999999999993</v>
      </c>
      <c r="S21" s="28">
        <v>17.100000000000001</v>
      </c>
      <c r="T21" s="39">
        <f>(Table2[[#This Row],[2024]]-Table2[[#This Row],[2023]])/Table2[[#This Row],[2023]]</f>
        <v>0.8586956521739133</v>
      </c>
      <c r="U21" s="40">
        <f>(Table2[[#This Row],[2024]]-Table2[[#This Row],[2022]])/Table2[[#This Row],[2022]]</f>
        <v>1.671875</v>
      </c>
      <c r="V21" s="41">
        <f>(Table2[[#This Row],[2024]]-Table2[[#This Row],[2019]])/Table2[[#This Row],[2019]]</f>
        <v>-0.45593382118994585</v>
      </c>
    </row>
    <row r="22" spans="1:22" ht="13.5" thickBot="1" x14ac:dyDescent="0.25">
      <c r="B22" s="31" t="s">
        <v>36</v>
      </c>
      <c r="C22" s="29">
        <f t="shared" ref="C22:G22" si="3">SUM(C18:C21)</f>
        <v>1334.2750000000001</v>
      </c>
      <c r="D22" s="29">
        <f t="shared" si="3"/>
        <v>1644</v>
      </c>
      <c r="E22" s="29">
        <f t="shared" si="3"/>
        <v>2275.2240000000002</v>
      </c>
      <c r="F22" s="29">
        <f t="shared" si="3"/>
        <v>3163.9030000000002</v>
      </c>
      <c r="G22" s="29">
        <f t="shared" si="3"/>
        <v>3476.71</v>
      </c>
      <c r="H22" s="29">
        <f>SUM(H18:H21)</f>
        <v>3765.1350000000002</v>
      </c>
      <c r="I22" s="42">
        <f>(Table1[[#This Row],[2024]]-Table1[[#This Row],[2023]])/Table1[[#This Row],[2023]]</f>
        <v>8.2959176923010594E-2</v>
      </c>
      <c r="J22" s="57">
        <f>(Table1[[#This Row],[2024]]-Table1[[#This Row],[2022]])/Table1[[#This Row],[2022]]</f>
        <v>0.19002858178648332</v>
      </c>
      <c r="K22" s="44">
        <f>(Table1[[#This Row],[2024]]-Table1[[#This Row],[2019]])/Table1[[#This Row],[2019]]</f>
        <v>1.8218583125667498</v>
      </c>
      <c r="L22" s="17"/>
      <c r="M22" s="20" t="s">
        <v>20</v>
      </c>
      <c r="N22" s="21">
        <v>56.2</v>
      </c>
      <c r="O22" s="21">
        <v>106.6</v>
      </c>
      <c r="P22" s="21">
        <v>132.1</v>
      </c>
      <c r="Q22" s="21">
        <v>156.04499999999999</v>
      </c>
      <c r="R22" s="21">
        <v>186.7</v>
      </c>
      <c r="S22" s="21">
        <v>237.84</v>
      </c>
      <c r="T22" s="39">
        <f>(Table2[[#This Row],[2024]]-Table2[[#This Row],[2023]])/Table2[[#This Row],[2023]]</f>
        <v>0.27391537225495455</v>
      </c>
      <c r="U22" s="40">
        <f>(Table2[[#This Row],[2024]]-Table2[[#This Row],[2022]])/Table2[[#This Row],[2022]]</f>
        <v>0.52417571854272815</v>
      </c>
      <c r="V22" s="41">
        <f>(Table2[[#This Row],[2024]]-Table2[[#This Row],[2019]])/Table2[[#This Row],[2019]]</f>
        <v>3.2320284697508894</v>
      </c>
    </row>
    <row r="23" spans="1:22" ht="13.5" thickBot="1" x14ac:dyDescent="0.25">
      <c r="B23" s="23"/>
      <c r="C23" s="21"/>
      <c r="D23" s="21"/>
      <c r="E23" s="21"/>
      <c r="F23" s="21"/>
      <c r="G23" s="21"/>
      <c r="H23" s="21"/>
      <c r="I23" s="39"/>
      <c r="J23" s="40"/>
      <c r="K23" s="41"/>
      <c r="M23" s="31" t="s">
        <v>55</v>
      </c>
      <c r="N23" s="29">
        <f t="shared" ref="N23:R23" si="4">SUM(N16:N22)</f>
        <v>3281.3709999999996</v>
      </c>
      <c r="O23" s="29">
        <f t="shared" si="4"/>
        <v>4185.18</v>
      </c>
      <c r="P23" s="29">
        <f t="shared" si="4"/>
        <v>4942.5400000000009</v>
      </c>
      <c r="Q23" s="29">
        <f t="shared" si="4"/>
        <v>5607.0989999999993</v>
      </c>
      <c r="R23" s="29">
        <f t="shared" si="4"/>
        <v>7091.9999999999991</v>
      </c>
      <c r="S23" s="29">
        <f>SUM(S16:S22)</f>
        <v>7603.42</v>
      </c>
      <c r="T23" s="57">
        <f>(Table2[[#This Row],[2024]]-Table2[[#This Row],[2023]])/Table2[[#This Row],[2023]]</f>
        <v>7.2112239142696141E-2</v>
      </c>
      <c r="U23" s="57">
        <f>(Table2[[#This Row],[2024]]-Table2[[#This Row],[2022]])/Table2[[#This Row],[2022]]</f>
        <v>0.35603455548047236</v>
      </c>
      <c r="V23" s="44">
        <f>(Table2[[#This Row],[2024]]-Table2[[#This Row],[2019]])/Table2[[#This Row],[2019]]</f>
        <v>1.3171473143390373</v>
      </c>
    </row>
    <row r="24" spans="1:22" x14ac:dyDescent="0.2">
      <c r="B24" s="5" t="s">
        <v>37</v>
      </c>
      <c r="C24" s="15">
        <f t="shared" ref="C24:G24" si="5">C15-C22</f>
        <v>889.08499999999958</v>
      </c>
      <c r="D24" s="15">
        <f t="shared" si="5"/>
        <v>819.98199999999997</v>
      </c>
      <c r="E24" s="15">
        <f t="shared" si="5"/>
        <v>1333.4260000000004</v>
      </c>
      <c r="F24" s="15">
        <f t="shared" si="5"/>
        <v>1328.4069999999992</v>
      </c>
      <c r="G24" s="15">
        <f t="shared" si="5"/>
        <v>2132.6899999999996</v>
      </c>
      <c r="H24" s="15">
        <f>H15-H22</f>
        <v>2505.6709999999994</v>
      </c>
      <c r="I24" s="56">
        <f>(Table1[[#This Row],[2024]]-Table1[[#This Row],[2023]])/Table1[[#This Row],[2023]]</f>
        <v>0.17488758328683485</v>
      </c>
      <c r="J24" s="56">
        <f>(Table1[[#This Row],[2024]]-Table1[[#This Row],[2022]])/Table1[[#This Row],[2022]]</f>
        <v>0.88622237010193472</v>
      </c>
      <c r="K24" s="46">
        <f>(Table1[[#This Row],[2024]]-Table1[[#This Row],[2019]])/Table1[[#This Row],[2019]]</f>
        <v>1.8182580968073925</v>
      </c>
      <c r="M24" s="20"/>
      <c r="N24" s="21"/>
      <c r="O24" s="21"/>
      <c r="P24" s="21"/>
      <c r="Q24" s="21"/>
      <c r="R24" s="21"/>
      <c r="S24" s="21"/>
      <c r="T24" s="39"/>
      <c r="U24" s="40"/>
      <c r="V24" s="41"/>
    </row>
    <row r="25" spans="1:22" x14ac:dyDescent="0.2">
      <c r="B25" s="20" t="s">
        <v>39</v>
      </c>
      <c r="C25" s="21">
        <v>8.3000000000000007</v>
      </c>
      <c r="D25" s="21">
        <v>-0.63</v>
      </c>
      <c r="E25" s="21">
        <v>0.5</v>
      </c>
      <c r="F25" s="21">
        <v>4.1630000000000003</v>
      </c>
      <c r="G25" s="21">
        <v>43.058999999999997</v>
      </c>
      <c r="H25" s="21">
        <v>70.400000000000006</v>
      </c>
      <c r="I25" s="56">
        <f>(Table1[[#This Row],[2024]]-Table1[[#This Row],[2023]])/Table1[[#This Row],[2023]]</f>
        <v>0.63496597691539536</v>
      </c>
      <c r="J25" s="40">
        <f>(Table1[[#This Row],[2024]]-Table1[[#This Row],[2022]])/Table1[[#This Row],[2022]]</f>
        <v>15.910881575786693</v>
      </c>
      <c r="K25" s="41">
        <f>(Table1[[#This Row],[2024]]-Table1[[#This Row],[2019]])/Table1[[#This Row],[2019]]</f>
        <v>7.4819277108433742</v>
      </c>
      <c r="M25" s="8" t="s">
        <v>56</v>
      </c>
      <c r="N25" s="21"/>
      <c r="O25" s="21"/>
      <c r="P25" s="21"/>
      <c r="Q25" s="21"/>
      <c r="R25" s="21"/>
      <c r="S25" s="21"/>
      <c r="T25" s="39"/>
      <c r="U25" s="40"/>
      <c r="V25" s="41"/>
    </row>
    <row r="26" spans="1:22" ht="13.5" thickBot="1" x14ac:dyDescent="0.25">
      <c r="B26" s="30" t="s">
        <v>40</v>
      </c>
      <c r="C26" s="29">
        <f t="shared" ref="C26:G26" si="6">C24+C25</f>
        <v>897.38499999999954</v>
      </c>
      <c r="D26" s="29">
        <f t="shared" si="6"/>
        <v>819.35199999999998</v>
      </c>
      <c r="E26" s="29">
        <f t="shared" si="6"/>
        <v>1333.9260000000004</v>
      </c>
      <c r="F26" s="29">
        <f t="shared" si="6"/>
        <v>1332.5699999999993</v>
      </c>
      <c r="G26" s="29">
        <f t="shared" si="6"/>
        <v>2175.7489999999998</v>
      </c>
      <c r="H26" s="29">
        <f>H24+H25</f>
        <v>2576.0709999999995</v>
      </c>
      <c r="I26" s="42">
        <f>(Table1[[#This Row],[2024]]-Table1[[#This Row],[2023]])/Table1[[#This Row],[2023]]</f>
        <v>0.18399273077914763</v>
      </c>
      <c r="J26" s="43">
        <f>(Table1[[#This Row],[2024]]-Table1[[#This Row],[2022]])/Table1[[#This Row],[2022]]</f>
        <v>0.93315998409089274</v>
      </c>
      <c r="K26" s="44">
        <f>(Table1[[#This Row],[2024]]-Table1[[#This Row],[2019]])/Table1[[#This Row],[2019]]</f>
        <v>1.8706419206917886</v>
      </c>
      <c r="M26" s="8" t="s">
        <v>8</v>
      </c>
      <c r="N26" s="21"/>
      <c r="O26" s="21"/>
      <c r="P26" s="21"/>
      <c r="Q26" s="21"/>
      <c r="R26" s="21"/>
      <c r="S26" s="21"/>
      <c r="T26" s="39"/>
      <c r="U26" s="40"/>
      <c r="V26" s="41"/>
    </row>
    <row r="27" spans="1:22" s="9" customFormat="1" x14ac:dyDescent="0.2">
      <c r="A27" s="1"/>
      <c r="B27" s="22" t="s">
        <v>41</v>
      </c>
      <c r="C27" s="21">
        <v>251.8</v>
      </c>
      <c r="D27" s="21">
        <v>230.43</v>
      </c>
      <c r="E27" s="21">
        <v>358.54</v>
      </c>
      <c r="F27" s="21">
        <v>477.77</v>
      </c>
      <c r="G27" s="21">
        <v>625.54499999999996</v>
      </c>
      <c r="H27" s="21">
        <v>761.5</v>
      </c>
      <c r="I27" s="39">
        <f>(Table1[[#This Row],[2024]]-Table1[[#This Row],[2023]])/Table1[[#This Row],[2023]]</f>
        <v>0.2173384808447035</v>
      </c>
      <c r="J27" s="40">
        <f>(Table1[[#This Row],[2024]]-Table1[[#This Row],[2022]])/Table1[[#This Row],[2022]]</f>
        <v>0.59386315591184047</v>
      </c>
      <c r="K27" s="41">
        <f>(Table1[[#This Row],[2024]]-Table1[[#This Row],[2019]])/Table1[[#This Row],[2019]]</f>
        <v>2.0242255758538521</v>
      </c>
      <c r="L27" s="1"/>
      <c r="M27" s="22" t="s">
        <v>57</v>
      </c>
      <c r="N27" s="21">
        <v>80</v>
      </c>
      <c r="O27" s="21">
        <v>172.24</v>
      </c>
      <c r="P27" s="21">
        <v>289.72000000000003</v>
      </c>
      <c r="Q27" s="21">
        <v>172.7</v>
      </c>
      <c r="R27" s="21">
        <v>348.44</v>
      </c>
      <c r="S27" s="21">
        <v>271.39999999999998</v>
      </c>
      <c r="T27" s="56">
        <f>(Table2[[#This Row],[2024]]-Table2[[#This Row],[2023]])/Table2[[#This Row],[2023]]</f>
        <v>-0.22109975892549655</v>
      </c>
      <c r="U27" s="40">
        <f>(Table2[[#This Row],[2024]]-Table2[[#This Row],[2022]])/Table2[[#This Row],[2022]]</f>
        <v>0.57151129125651412</v>
      </c>
      <c r="V27" s="41">
        <f>(Table2[[#This Row],[2024]]-Table2[[#This Row],[2019]])/Table2[[#This Row],[2019]]</f>
        <v>2.3924999999999996</v>
      </c>
    </row>
    <row r="28" spans="1:22" ht="13.5" thickBot="1" x14ac:dyDescent="0.25">
      <c r="B28" s="31" t="s">
        <v>42</v>
      </c>
      <c r="C28" s="29">
        <f t="shared" ref="C28:G28" si="7">C26-C27</f>
        <v>645.58499999999958</v>
      </c>
      <c r="D28" s="29">
        <f t="shared" si="7"/>
        <v>588.92200000000003</v>
      </c>
      <c r="E28" s="29">
        <f t="shared" si="7"/>
        <v>975.38600000000042</v>
      </c>
      <c r="F28" s="29">
        <f t="shared" si="7"/>
        <v>854.79999999999927</v>
      </c>
      <c r="G28" s="29">
        <f t="shared" si="7"/>
        <v>1550.2039999999997</v>
      </c>
      <c r="H28" s="29">
        <f>H26-H27</f>
        <v>1814.5709999999995</v>
      </c>
      <c r="I28" s="57">
        <f>(Table1[[#This Row],[2024]]-Table1[[#This Row],[2023]])/Table1[[#This Row],[2023]]</f>
        <v>0.17053690998087981</v>
      </c>
      <c r="J28" s="57">
        <f>(Table1[[#This Row],[2024]]-Table1[[#This Row],[2022]])/Table1[[#This Row],[2022]]</f>
        <v>1.1228018249883025</v>
      </c>
      <c r="K28" s="44">
        <f>(Table1[[#This Row],[2024]]-Table1[[#This Row],[2019]])/Table1[[#This Row],[2019]]</f>
        <v>1.810739097097982</v>
      </c>
      <c r="M28" s="22" t="s">
        <v>58</v>
      </c>
      <c r="N28" s="21">
        <f>6.344+112.6</f>
        <v>118.94399999999999</v>
      </c>
      <c r="O28" s="21">
        <f>211.9+15</f>
        <v>226.9</v>
      </c>
      <c r="P28" s="21">
        <v>330.8</v>
      </c>
      <c r="Q28" s="21">
        <v>399.22</v>
      </c>
      <c r="R28" s="21">
        <v>348.55</v>
      </c>
      <c r="S28" s="21">
        <v>559.5</v>
      </c>
      <c r="T28" s="39">
        <f>(Table2[[#This Row],[2024]]-Table2[[#This Row],[2023]])/Table2[[#This Row],[2023]]</f>
        <v>0.60522163247740635</v>
      </c>
      <c r="U28" s="40">
        <f>(Table2[[#This Row],[2024]]-Table2[[#This Row],[2022]])/Table2[[#This Row],[2022]]</f>
        <v>0.40148289163869538</v>
      </c>
      <c r="V28" s="41">
        <f>(Table2[[#This Row],[2024]]-Table2[[#This Row],[2019]])/Table2[[#This Row],[2019]]</f>
        <v>3.7038942695722366</v>
      </c>
    </row>
    <row r="29" spans="1:22" x14ac:dyDescent="0.2">
      <c r="B29" s="20"/>
      <c r="C29" s="21"/>
      <c r="D29" s="21"/>
      <c r="E29" s="21"/>
      <c r="F29" s="21"/>
      <c r="G29" s="21"/>
      <c r="H29" s="21"/>
      <c r="I29" s="39"/>
      <c r="J29" s="40"/>
      <c r="K29" s="41"/>
      <c r="M29" s="22" t="s">
        <v>59</v>
      </c>
      <c r="N29" s="21">
        <v>133.69999999999999</v>
      </c>
      <c r="O29" s="21">
        <v>130.19999999999999</v>
      </c>
      <c r="P29" s="21">
        <v>204.9</v>
      </c>
      <c r="Q29" s="21">
        <v>248.2</v>
      </c>
      <c r="R29" s="21">
        <v>326.11</v>
      </c>
      <c r="S29" s="21">
        <v>204.54</v>
      </c>
      <c r="T29" s="56">
        <f>(Table2[[#This Row],[2024]]-Table2[[#This Row],[2023]])/Table2[[#This Row],[2023]]</f>
        <v>-0.372788322958511</v>
      </c>
      <c r="U29" s="40">
        <f>(Table2[[#This Row],[2024]]-Table2[[#This Row],[2022]])/Table2[[#This Row],[2022]]</f>
        <v>-0.17590652699435938</v>
      </c>
      <c r="V29" s="41">
        <f>(Table2[[#This Row],[2024]]-Table2[[#This Row],[2019]])/Table2[[#This Row],[2019]]</f>
        <v>0.5298429319371728</v>
      </c>
    </row>
    <row r="30" spans="1:22" x14ac:dyDescent="0.2">
      <c r="B30" s="20" t="s">
        <v>1</v>
      </c>
      <c r="C30" s="21">
        <v>130.38999999999999</v>
      </c>
      <c r="D30" s="21">
        <v>130.9</v>
      </c>
      <c r="E30" s="21">
        <v>130.30000000000001</v>
      </c>
      <c r="F30" s="21">
        <v>128.01</v>
      </c>
      <c r="G30" s="21">
        <v>127.1</v>
      </c>
      <c r="H30" s="21">
        <v>123.9</v>
      </c>
      <c r="I30" s="39">
        <f>(Table1[[#This Row],[2024]]-Table1[[#This Row],[2023]])/Table1[[#This Row],[2023]]</f>
        <v>-2.5177025963807938E-2</v>
      </c>
      <c r="J30" s="40">
        <f>(Table1[[#This Row],[2024]]-Table1[[#This Row],[2022]])/Table1[[#This Row],[2022]]</f>
        <v>-3.2106866651042773E-2</v>
      </c>
      <c r="K30" s="56">
        <f>(Table1[[#This Row],[2024]]-Table1[[#This Row],[2019]])/Table1[[#This Row],[2019]]</f>
        <v>-4.9773755656108455E-2</v>
      </c>
      <c r="M30" s="22" t="s">
        <v>51</v>
      </c>
      <c r="N30" s="21">
        <v>128.5</v>
      </c>
      <c r="O30" s="21">
        <v>166.1</v>
      </c>
      <c r="P30" s="21">
        <v>188.99</v>
      </c>
      <c r="Q30" s="21">
        <v>207.97</v>
      </c>
      <c r="R30" s="21">
        <v>249.27</v>
      </c>
      <c r="S30" s="21">
        <v>275.14999999999998</v>
      </c>
      <c r="T30" s="39">
        <f>(Table2[[#This Row],[2024]]-Table2[[#This Row],[2023]])/Table2[[#This Row],[2023]]</f>
        <v>0.1038231636378223</v>
      </c>
      <c r="U30" s="40">
        <f>(Table2[[#This Row],[2024]]-Table2[[#This Row],[2022]])/Table2[[#This Row],[2022]]</f>
        <v>0.32302735971534347</v>
      </c>
      <c r="V30" s="41">
        <f>(Table2[[#This Row],[2024]]-Table2[[#This Row],[2019]])/Table2[[#This Row],[2019]]</f>
        <v>1.1412451361867701</v>
      </c>
    </row>
    <row r="31" spans="1:22" x14ac:dyDescent="0.2">
      <c r="B31" s="20" t="s">
        <v>43</v>
      </c>
      <c r="C31" s="24">
        <f t="shared" ref="C31:G31" si="8">C28/C30</f>
        <v>4.9511849068180052</v>
      </c>
      <c r="D31" s="24">
        <f t="shared" si="8"/>
        <v>4.4990221543162718</v>
      </c>
      <c r="E31" s="24">
        <f t="shared" si="8"/>
        <v>7.4856945510360733</v>
      </c>
      <c r="F31" s="24">
        <f t="shared" si="8"/>
        <v>6.6776033122412262</v>
      </c>
      <c r="G31" s="24">
        <f t="shared" si="8"/>
        <v>12.196726986624704</v>
      </c>
      <c r="H31" s="24">
        <f>H28/H30</f>
        <v>14.645447941888614</v>
      </c>
      <c r="I31" s="39">
        <f>(Table1[[#This Row],[2024]]-Table1[[#This Row],[2023]])/Table1[[#This Row],[2023]]</f>
        <v>0.20076869458087004</v>
      </c>
      <c r="J31" s="40">
        <f>(Table1[[#This Row],[2024]]-Table1[[#This Row],[2022]])/Table1[[#This Row],[2022]]</f>
        <v>1.1932192220883984</v>
      </c>
      <c r="K31" s="41">
        <f>(Table1[[#This Row],[2024]]-Table1[[#This Row],[2019]])/Table1[[#This Row],[2019]]</f>
        <v>1.9579682878983515</v>
      </c>
      <c r="M31" s="22" t="s">
        <v>60</v>
      </c>
      <c r="N31" s="21">
        <v>26.43</v>
      </c>
      <c r="O31" s="21">
        <v>8.4</v>
      </c>
      <c r="P31" s="21">
        <v>133.9</v>
      </c>
      <c r="Q31" s="21">
        <v>174.22</v>
      </c>
      <c r="R31" s="21">
        <v>12.1</v>
      </c>
      <c r="S31" s="21">
        <v>183.12</v>
      </c>
      <c r="T31" s="39">
        <f>(Table2[[#This Row],[2024]]-Table2[[#This Row],[2023]])/Table2[[#This Row],[2023]]</f>
        <v>14.133884297520662</v>
      </c>
      <c r="U31" s="40">
        <f>(Table2[[#This Row],[2024]]-Table2[[#This Row],[2022]])/Table2[[#This Row],[2022]]</f>
        <v>5.1084835265755975E-2</v>
      </c>
      <c r="V31" s="41">
        <f>(Table2[[#This Row],[2024]]-Table2[[#This Row],[2019]])/Table2[[#This Row],[2019]]</f>
        <v>5.9284903518728713</v>
      </c>
    </row>
    <row r="32" spans="1:22" x14ac:dyDescent="0.2">
      <c r="B32" s="34" t="s">
        <v>0</v>
      </c>
      <c r="C32" s="24">
        <v>239.39</v>
      </c>
      <c r="D32" s="24">
        <v>328.68</v>
      </c>
      <c r="E32" s="24">
        <v>333.76</v>
      </c>
      <c r="F32" s="24">
        <v>306.88</v>
      </c>
      <c r="G32" s="24">
        <v>453.82</v>
      </c>
      <c r="H32" s="24">
        <v>414.2</v>
      </c>
      <c r="I32" s="39">
        <f>(Table1[[#This Row],[2024]]-Table1[[#This Row],[2023]])/Table1[[#This Row],[2023]]</f>
        <v>-8.7303336124454636E-2</v>
      </c>
      <c r="J32" s="40">
        <f>(Table1[[#This Row],[2024]]-Table1[[#This Row],[2022]])/Table1[[#This Row],[2022]]</f>
        <v>0.34971324296141815</v>
      </c>
      <c r="K32" s="41">
        <f>(Table1[[#This Row],[2024]]-Table1[[#This Row],[2019]])/Table1[[#This Row],[2019]]</f>
        <v>0.73023100380132844</v>
      </c>
      <c r="M32" s="22" t="s">
        <v>61</v>
      </c>
      <c r="N32" s="21">
        <v>120.41</v>
      </c>
      <c r="O32" s="21">
        <v>155.84800000000001</v>
      </c>
      <c r="P32" s="21">
        <v>208.2</v>
      </c>
      <c r="Q32" s="21">
        <v>251.5</v>
      </c>
      <c r="R32" s="21">
        <v>306.5</v>
      </c>
      <c r="S32" s="21">
        <v>308.35000000000002</v>
      </c>
      <c r="T32" s="56">
        <f>(Table2[[#This Row],[2024]]-Table2[[#This Row],[2023]])/Table2[[#This Row],[2023]]</f>
        <v>6.0358890701468935E-3</v>
      </c>
      <c r="U32" s="56">
        <f>(Table2[[#This Row],[2024]]-Table2[[#This Row],[2022]])/Table2[[#This Row],[2022]]</f>
        <v>0.22604373757455276</v>
      </c>
      <c r="V32" s="56">
        <f>(Table2[[#This Row],[2024]]-Table2[[#This Row],[2019]])/Table2[[#This Row],[2019]]</f>
        <v>1.5608338177892205</v>
      </c>
    </row>
    <row r="33" spans="1:22" s="9" customFormat="1" x14ac:dyDescent="0.2">
      <c r="A33" s="1"/>
      <c r="B33" s="34" t="s">
        <v>2</v>
      </c>
      <c r="C33" s="21">
        <f t="shared" ref="C33:G33" si="9">C30*C32</f>
        <v>31214.062099999996</v>
      </c>
      <c r="D33" s="21">
        <f t="shared" si="9"/>
        <v>43024.212</v>
      </c>
      <c r="E33" s="21">
        <f t="shared" si="9"/>
        <v>43488.928</v>
      </c>
      <c r="F33" s="21">
        <f t="shared" si="9"/>
        <v>39283.708799999993</v>
      </c>
      <c r="G33" s="21">
        <f t="shared" si="9"/>
        <v>57680.521999999997</v>
      </c>
      <c r="H33" s="21">
        <f>H30*H32</f>
        <v>51319.38</v>
      </c>
      <c r="I33" s="56">
        <f>(Table1[[#This Row],[2024]]-Table1[[#This Row],[2023]])/Table1[[#This Row],[2023]]</f>
        <v>-0.1102823237279302</v>
      </c>
      <c r="J33" s="40">
        <f>(Table1[[#This Row],[2024]]-Table1[[#This Row],[2022]])/Table1[[#This Row],[2022]]</f>
        <v>0.30637817985250942</v>
      </c>
      <c r="K33" s="41">
        <f>(Table1[[#This Row],[2024]]-Table1[[#This Row],[2019]])/Table1[[#This Row],[2019]]</f>
        <v>0.64411090858949771</v>
      </c>
      <c r="L33" s="1"/>
      <c r="M33" s="22" t="s">
        <v>20</v>
      </c>
      <c r="N33" s="21">
        <v>12.4</v>
      </c>
      <c r="O33" s="21">
        <v>23.597999999999999</v>
      </c>
      <c r="P33" s="21">
        <v>48.84</v>
      </c>
      <c r="Q33" s="21">
        <v>38.4</v>
      </c>
      <c r="R33" s="21">
        <v>40.299999999999997</v>
      </c>
      <c r="S33" s="21">
        <v>37.58</v>
      </c>
      <c r="T33" s="39">
        <f>(Table2[[#This Row],[2024]]-Table2[[#This Row],[2023]])/Table2[[#This Row],[2023]]</f>
        <v>-6.749379652605457E-2</v>
      </c>
      <c r="U33" s="40">
        <f>(Table2[[#This Row],[2024]]-Table2[[#This Row],[2022]])/Table2[[#This Row],[2022]]</f>
        <v>-2.1354166666666674E-2</v>
      </c>
      <c r="V33" s="41">
        <f>(Table2[[#This Row],[2024]]-Table2[[#This Row],[2019]])/Table2[[#This Row],[2019]]</f>
        <v>2.0306451612903227</v>
      </c>
    </row>
    <row r="34" spans="1:22" ht="13.5" thickBot="1" x14ac:dyDescent="0.25">
      <c r="B34" s="34" t="s">
        <v>64</v>
      </c>
      <c r="C34" s="26">
        <f>C10/C13</f>
        <v>0.69555471229647658</v>
      </c>
      <c r="D34" s="26">
        <f t="shared" ref="D34:H34" si="10">D10/D13</f>
        <v>0.69286462344412725</v>
      </c>
      <c r="E34" s="26">
        <f t="shared" si="10"/>
        <v>0.66677321910911502</v>
      </c>
      <c r="F34" s="26">
        <f t="shared" si="10"/>
        <v>0.6485165544460213</v>
      </c>
      <c r="G34" s="26">
        <f t="shared" si="10"/>
        <v>0.63906937095214833</v>
      </c>
      <c r="H34" s="26">
        <f t="shared" si="10"/>
        <v>0.63208601039127266</v>
      </c>
      <c r="I34" s="39">
        <f>(Table1[[#This Row],[2024]]-Table1[[#This Row],[2023]])/Table1[[#This Row],[2023]]</f>
        <v>-1.0927390481053999E-2</v>
      </c>
      <c r="J34" s="40">
        <f>(Table1[[#This Row],[2024]]-Table1[[#This Row],[2022]])/Table1[[#This Row],[2022]]</f>
        <v>-2.5335581554712994E-2</v>
      </c>
      <c r="K34" s="41">
        <f>(Table1[[#This Row],[2024]]-Table1[[#This Row],[2019]])/Table1[[#This Row],[2019]]</f>
        <v>-9.1249043077650402E-2</v>
      </c>
      <c r="M34" s="31" t="s">
        <v>49</v>
      </c>
      <c r="N34" s="29">
        <f t="shared" ref="N34:R34" si="11">SUM(N27:N33)</f>
        <v>620.38400000000001</v>
      </c>
      <c r="O34" s="29">
        <f>SUM(O27:O33)</f>
        <v>883.28599999999983</v>
      </c>
      <c r="P34" s="29">
        <f t="shared" si="11"/>
        <v>1405.35</v>
      </c>
      <c r="Q34" s="29">
        <f t="shared" si="11"/>
        <v>1492.2100000000003</v>
      </c>
      <c r="R34" s="29">
        <f t="shared" si="11"/>
        <v>1631.27</v>
      </c>
      <c r="S34" s="29">
        <f>SUM(S27:S33)</f>
        <v>1839.6399999999999</v>
      </c>
      <c r="T34" s="57">
        <f>(Table2[[#This Row],[2024]]-Table2[[#This Row],[2023]])/Table2[[#This Row],[2023]]</f>
        <v>0.12773483236987127</v>
      </c>
      <c r="U34" s="43">
        <f>(Table2[[#This Row],[2024]]-Table2[[#This Row],[2022]])/Table2[[#This Row],[2022]]</f>
        <v>0.23282915943466373</v>
      </c>
      <c r="V34" s="44">
        <f>(Table2[[#This Row],[2024]]-Table2[[#This Row],[2019]])/Table2[[#This Row],[2019]]</f>
        <v>1.9653247021199771</v>
      </c>
    </row>
    <row r="35" spans="1:22" x14ac:dyDescent="0.2">
      <c r="B35" s="20" t="s">
        <v>65</v>
      </c>
      <c r="C35" s="26">
        <f>C11/C13</f>
        <v>0.23301761378343264</v>
      </c>
      <c r="D35" s="26">
        <f t="shared" ref="D35:H35" si="12">D11/D13</f>
        <v>0.21653978877159025</v>
      </c>
      <c r="E35" s="26">
        <f t="shared" si="12"/>
        <v>0.24548084453465882</v>
      </c>
      <c r="F35" s="26">
        <f t="shared" si="12"/>
        <v>0.24124253591944281</v>
      </c>
      <c r="G35" s="26">
        <f t="shared" si="12"/>
        <v>0.23419063757238054</v>
      </c>
      <c r="H35" s="26">
        <f t="shared" si="12"/>
        <v>0.24162938902444969</v>
      </c>
      <c r="I35" s="56">
        <f>(Table1[[#This Row],[2024]]-Table1[[#This Row],[2023]])/Table1[[#This Row],[2023]]</f>
        <v>3.1763658569698726E-2</v>
      </c>
      <c r="J35" s="40">
        <f>(Table1[[#This Row],[2024]]-Table1[[#This Row],[2022]])/Table1[[#This Row],[2022]]</f>
        <v>1.6035858002092342E-3</v>
      </c>
      <c r="K35" s="41">
        <f>(Table1[[#This Row],[2024]]-Table1[[#This Row],[2019]])/Table1[[#This Row],[2019]]</f>
        <v>3.695761492528573E-2</v>
      </c>
      <c r="M35" s="20" t="s">
        <v>51</v>
      </c>
      <c r="N35" s="21">
        <v>611.46</v>
      </c>
      <c r="O35" s="21">
        <v>632.6</v>
      </c>
      <c r="P35" s="21">
        <v>692.05600000000004</v>
      </c>
      <c r="Q35" s="21">
        <v>862.36</v>
      </c>
      <c r="R35" s="21">
        <v>1154</v>
      </c>
      <c r="S35" s="21">
        <v>1300.5999999999999</v>
      </c>
      <c r="T35" s="39">
        <f>(Table2[[#This Row],[2024]]-Table2[[#This Row],[2023]])/Table2[[#This Row],[2023]]</f>
        <v>0.1270363951473136</v>
      </c>
      <c r="U35" s="56">
        <f>(Table2[[#This Row],[2024]]-Table2[[#This Row],[2022]])/Table2[[#This Row],[2022]]</f>
        <v>0.50818683612412441</v>
      </c>
      <c r="V35" s="41">
        <f>(Table2[[#This Row],[2024]]-Table2[[#This Row],[2019]])/Table2[[#This Row],[2019]]</f>
        <v>1.1270401988682821</v>
      </c>
    </row>
    <row r="36" spans="1:22" x14ac:dyDescent="0.2">
      <c r="B36" s="20" t="s">
        <v>66</v>
      </c>
      <c r="C36" s="26">
        <f>C15/C13</f>
        <v>0.55873564749313309</v>
      </c>
      <c r="D36" s="26">
        <f t="shared" ref="D36:H36" si="13">D15/D13</f>
        <v>0.55975801193583641</v>
      </c>
      <c r="E36" s="26">
        <f t="shared" si="13"/>
        <v>0.57676570716192244</v>
      </c>
      <c r="F36" s="26">
        <f t="shared" si="13"/>
        <v>0.55388748673018096</v>
      </c>
      <c r="G36" s="26">
        <f t="shared" si="13"/>
        <v>0.58314014533282044</v>
      </c>
      <c r="H36" s="26">
        <f t="shared" si="13"/>
        <v>0.59224946156615588</v>
      </c>
      <c r="I36" s="39">
        <f>(Table1[[#This Row],[2024]]-Table1[[#This Row],[2023]])/Table1[[#This Row],[2023]]</f>
        <v>1.5621144087304098E-2</v>
      </c>
      <c r="J36" s="40">
        <f>(Table1[[#This Row],[2024]]-Table1[[#This Row],[2022]])/Table1[[#This Row],[2022]]</f>
        <v>6.9259508031930775E-2</v>
      </c>
      <c r="K36" s="41">
        <f>(Table1[[#This Row],[2024]]-Table1[[#This Row],[2019]])/Table1[[#This Row],[2019]]</f>
        <v>5.998152117801768E-2</v>
      </c>
      <c r="M36" s="20" t="s">
        <v>60</v>
      </c>
      <c r="N36" s="21">
        <v>48.22</v>
      </c>
      <c r="O36" s="21">
        <v>43.2</v>
      </c>
      <c r="P36" s="21">
        <v>38.1</v>
      </c>
      <c r="Q36" s="21">
        <v>28.555</v>
      </c>
      <c r="R36" s="21">
        <v>15.9</v>
      </c>
      <c r="S36" s="21">
        <v>0</v>
      </c>
      <c r="T36" s="39">
        <f>(Table2[[#This Row],[2024]]-Table2[[#This Row],[2023]])/Table2[[#This Row],[2023]]</f>
        <v>-1</v>
      </c>
      <c r="U36" s="40">
        <f>(Table2[[#This Row],[2024]]-Table2[[#This Row],[2022]])/Table2[[#This Row],[2022]]</f>
        <v>-1</v>
      </c>
      <c r="V36" s="41">
        <f>(Table2[[#This Row],[2024]]-Table2[[#This Row],[2019]])/Table2[[#This Row],[2019]]</f>
        <v>-1</v>
      </c>
    </row>
    <row r="37" spans="1:22" x14ac:dyDescent="0.2">
      <c r="B37" s="20" t="s">
        <v>67</v>
      </c>
      <c r="C37" s="26">
        <f>C24/C13</f>
        <v>0.22342917168224313</v>
      </c>
      <c r="D37" s="26">
        <f t="shared" ref="D37:H37" si="14">D24/D13</f>
        <v>0.18628037629462024</v>
      </c>
      <c r="E37" s="26">
        <f t="shared" si="14"/>
        <v>0.21311969568622441</v>
      </c>
      <c r="F37" s="26">
        <f t="shared" si="14"/>
        <v>0.16378834376629822</v>
      </c>
      <c r="G37" s="26">
        <f t="shared" si="14"/>
        <v>0.22170947989978479</v>
      </c>
      <c r="H37" s="26">
        <f t="shared" si="14"/>
        <v>0.2366493718051445</v>
      </c>
      <c r="I37" s="56">
        <f>(Table1[[#This Row],[2024]]-Table1[[#This Row],[2023]])/Table1[[#This Row],[2023]]</f>
        <v>6.7384993695861428E-2</v>
      </c>
      <c r="J37" s="56">
        <f>(Table1[[#This Row],[2024]]-Table1[[#This Row],[2022]])/Table1[[#This Row],[2022]]</f>
        <v>0.44484867703899739</v>
      </c>
      <c r="K37" s="41">
        <f>(Table1[[#This Row],[2024]]-Table1[[#This Row],[2019]])/Table1[[#This Row],[2019]]</f>
        <v>5.9169534682350686E-2</v>
      </c>
      <c r="M37" s="20" t="s">
        <v>54</v>
      </c>
      <c r="N37" s="21">
        <v>43.43</v>
      </c>
      <c r="O37" s="21">
        <v>58.8</v>
      </c>
      <c r="P37" s="21">
        <v>53.4</v>
      </c>
      <c r="Q37" s="21">
        <v>55.1</v>
      </c>
      <c r="R37" s="21">
        <v>29.5</v>
      </c>
      <c r="S37" s="21">
        <v>98.188000000000002</v>
      </c>
      <c r="T37" s="39">
        <f>(Table2[[#This Row],[2024]]-Table2[[#This Row],[2023]])/Table2[[#This Row],[2023]]</f>
        <v>2.3284067796610168</v>
      </c>
      <c r="U37" s="40">
        <f>(Table2[[#This Row],[2024]]-Table2[[#This Row],[2022]])/Table2[[#This Row],[2022]]</f>
        <v>0.78199637023593471</v>
      </c>
      <c r="V37" s="41">
        <f>(Table2[[#This Row],[2024]]-Table2[[#This Row],[2019]])/Table2[[#This Row],[2019]]</f>
        <v>1.2608335252129865</v>
      </c>
    </row>
    <row r="38" spans="1:22" x14ac:dyDescent="0.2">
      <c r="B38" s="20" t="s">
        <v>68</v>
      </c>
      <c r="C38" s="26">
        <f>C28/C13</f>
        <v>0.16223704347782372</v>
      </c>
      <c r="D38" s="26">
        <f t="shared" ref="D38:H38" si="15">D28/D13</f>
        <v>0.1337890487451924</v>
      </c>
      <c r="E38" s="26">
        <f t="shared" si="15"/>
        <v>0.1558946409449071</v>
      </c>
      <c r="F38" s="26">
        <f t="shared" si="15"/>
        <v>0.10539411208419684</v>
      </c>
      <c r="G38" s="26">
        <f t="shared" si="15"/>
        <v>0.16115559344235025</v>
      </c>
      <c r="H38" s="26">
        <f t="shared" si="15"/>
        <v>0.17137808085971096</v>
      </c>
      <c r="I38" s="39">
        <f>(Table1[[#This Row],[2024]]-Table1[[#This Row],[2023]])/Table1[[#This Row],[2023]]</f>
        <v>6.343240838871389E-2</v>
      </c>
      <c r="J38" s="56">
        <f>(Table1[[#This Row],[2024]]-Table1[[#This Row],[2022]])/Table1[[#This Row],[2022]]</f>
        <v>0.62606883316974193</v>
      </c>
      <c r="K38" s="41">
        <f>(Table1[[#This Row],[2024]]-Table1[[#This Row],[2019]])/Table1[[#This Row],[2019]]</f>
        <v>5.6343712791688837E-2</v>
      </c>
      <c r="M38" s="20" t="s">
        <v>20</v>
      </c>
      <c r="N38" s="21">
        <v>5.6</v>
      </c>
      <c r="O38" s="21">
        <v>8.9700000000000006</v>
      </c>
      <c r="P38" s="21">
        <v>13.6</v>
      </c>
      <c r="Q38" s="21">
        <v>20</v>
      </c>
      <c r="R38" s="21">
        <v>29.2</v>
      </c>
      <c r="S38" s="21">
        <v>40.799999999999997</v>
      </c>
      <c r="T38" s="39">
        <f>(Table2[[#This Row],[2024]]-Table2[[#This Row],[2023]])/Table2[[#This Row],[2023]]</f>
        <v>0.39726027397260266</v>
      </c>
      <c r="U38" s="40">
        <f>(Table2[[#This Row],[2024]]-Table2[[#This Row],[2022]])/Table2[[#This Row],[2022]]</f>
        <v>1.0399999999999998</v>
      </c>
      <c r="V38" s="41">
        <f>(Table2[[#This Row],[2024]]-Table2[[#This Row],[2019]])/Table2[[#This Row],[2019]]</f>
        <v>6.2857142857142856</v>
      </c>
    </row>
    <row r="39" spans="1:22" ht="13.5" thickBot="1" x14ac:dyDescent="0.25">
      <c r="B39" s="20" t="s">
        <v>80</v>
      </c>
      <c r="C39" s="55">
        <f>Analysis!P6/Analysis!S6</f>
        <v>0.62852763048777427</v>
      </c>
      <c r="D39" s="55">
        <f>Analysis!P7/Analysis!S7</f>
        <v>0.37683727481314888</v>
      </c>
      <c r="E39" s="55">
        <f>Analysis!P8/Analysis!S8</f>
        <v>0.45096089914075282</v>
      </c>
      <c r="F39" s="55">
        <f>Analysis!P9/Analysis!S9</f>
        <v>0.44980099919610578</v>
      </c>
      <c r="G39" s="55">
        <f>Analysis!P10/Analysis!S10</f>
        <v>0.45855632206850383</v>
      </c>
      <c r="H39" s="55">
        <f>Analysis!P11/Analysis!S11</f>
        <v>0.47297082880467128</v>
      </c>
      <c r="I39" s="39">
        <f>(Table1[[#This Row],[2024]]-Table1[[#This Row],[2023]])/Table1[[#This Row],[2023]]</f>
        <v>3.1434539319281411E-2</v>
      </c>
      <c r="J39" s="40">
        <f>(Table1[[#This Row],[2024]]-Table1[[#This Row],[2022]])/Table1[[#This Row],[2022]]</f>
        <v>5.1511289770309839E-2</v>
      </c>
      <c r="K39" s="41">
        <f>(Table1[[#This Row],[2024]]-Table1[[#This Row],[2019]])/Table1[[#This Row],[2019]]</f>
        <v>-0.24749397502601722</v>
      </c>
      <c r="M39" s="31" t="s">
        <v>62</v>
      </c>
      <c r="N39" s="29">
        <f t="shared" ref="N39:R39" si="16">SUM(N34:N38)</f>
        <v>1329.0940000000001</v>
      </c>
      <c r="O39" s="29">
        <f t="shared" si="16"/>
        <v>1626.856</v>
      </c>
      <c r="P39" s="29">
        <f t="shared" si="16"/>
        <v>2202.5059999999999</v>
      </c>
      <c r="Q39" s="29">
        <f t="shared" si="16"/>
        <v>2458.2249999999999</v>
      </c>
      <c r="R39" s="29">
        <f t="shared" si="16"/>
        <v>2859.87</v>
      </c>
      <c r="S39" s="29">
        <f>SUM(S34:S38)</f>
        <v>3279.2280000000001</v>
      </c>
      <c r="T39" s="57">
        <f>(Table2[[#This Row],[2024]]-Table2[[#This Row],[2023]])/Table2[[#This Row],[2023]]</f>
        <v>0.14663533657124281</v>
      </c>
      <c r="U39" s="43">
        <f>(Table2[[#This Row],[2024]]-Table2[[#This Row],[2022]])/Table2[[#This Row],[2022]]</f>
        <v>0.33398203988650355</v>
      </c>
      <c r="V39" s="44">
        <f>(Table2[[#This Row],[2024]]-Table2[[#This Row],[2019]])/Table2[[#This Row],[2019]]</f>
        <v>1.4672656712015855</v>
      </c>
    </row>
    <row r="40" spans="1:22" x14ac:dyDescent="0.2">
      <c r="B40" s="20" t="s">
        <v>81</v>
      </c>
      <c r="C40" s="55">
        <f>Analysis!Q6/Analysis!S6</f>
        <v>0.28592968612570052</v>
      </c>
      <c r="D40" s="55">
        <f>Analysis!Q7/Analysis!S7</f>
        <v>0.51888957041277628</v>
      </c>
      <c r="E40" s="55">
        <f>Analysis!Q8/Analysis!S8</f>
        <v>0.44399869578559736</v>
      </c>
      <c r="F40" s="55">
        <f>Analysis!Q9/Analysis!S9</f>
        <v>0.45617297041373428</v>
      </c>
      <c r="G40" s="55">
        <f>Analysis!Q10/Analysis!S10</f>
        <v>0.4481720121588636</v>
      </c>
      <c r="H40" s="55">
        <f>Analysis!Q11/Analysis!S11</f>
        <v>0.43165809668122268</v>
      </c>
      <c r="I40" s="56">
        <f>(Table1[[#This Row],[2024]]-Table1[[#This Row],[2023]])/Table1[[#This Row],[2023]]</f>
        <v>-3.6847270756807604E-2</v>
      </c>
      <c r="J40" s="40">
        <f>(Table1[[#This Row],[2024]]-Table1[[#This Row],[2022]])/Table1[[#This Row],[2022]]</f>
        <v>-5.374030317990431E-2</v>
      </c>
      <c r="K40" s="41">
        <f>(Table1[[#This Row],[2024]]-Table1[[#This Row],[2019]])/Table1[[#This Row],[2019]]</f>
        <v>0.50966519961644341</v>
      </c>
      <c r="M40" s="6"/>
      <c r="N40" s="32"/>
      <c r="O40" s="32"/>
      <c r="P40" s="32"/>
      <c r="Q40" s="32"/>
      <c r="R40" s="32"/>
      <c r="S40" s="32"/>
      <c r="T40" s="39"/>
      <c r="U40" s="40"/>
      <c r="V40" s="41"/>
    </row>
    <row r="41" spans="1:22" x14ac:dyDescent="0.2">
      <c r="B41" s="20" t="s">
        <v>82</v>
      </c>
      <c r="C41" s="55">
        <f>1-SUM(C39:C40)</f>
        <v>8.5542683386525153E-2</v>
      </c>
      <c r="D41" s="55">
        <f t="shared" ref="D41:H41" si="17">1-SUM(D39:D40)</f>
        <v>0.10427315477407484</v>
      </c>
      <c r="E41" s="55">
        <f t="shared" si="17"/>
        <v>0.10504040507364976</v>
      </c>
      <c r="F41" s="55">
        <f t="shared" si="17"/>
        <v>9.4026030390159887E-2</v>
      </c>
      <c r="G41" s="55">
        <f t="shared" si="17"/>
        <v>9.3271665772632573E-2</v>
      </c>
      <c r="H41" s="55">
        <f t="shared" si="17"/>
        <v>9.5371074514106091E-2</v>
      </c>
      <c r="I41" s="39">
        <f>(Table1[[#This Row],[2024]]-Table1[[#This Row],[2023]])/Table1[[#This Row],[2023]]</f>
        <v>2.2508537014780314E-2</v>
      </c>
      <c r="J41" s="40">
        <f>(Table1[[#This Row],[2024]]-Table1[[#This Row],[2022]])/Table1[[#This Row],[2022]]</f>
        <v>1.430501870987172E-2</v>
      </c>
      <c r="K41" s="56">
        <f>(Table1[[#This Row],[2024]]-Table1[[#This Row],[2019]])/Table1[[#This Row],[2019]]</f>
        <v>0.11489458523496733</v>
      </c>
      <c r="M41" s="5" t="s">
        <v>63</v>
      </c>
      <c r="N41" s="35">
        <f t="shared" ref="N41:R41" si="18">N23-N39</f>
        <v>1952.2769999999996</v>
      </c>
      <c r="O41" s="35">
        <f t="shared" si="18"/>
        <v>2558.3240000000005</v>
      </c>
      <c r="P41" s="35">
        <f t="shared" si="18"/>
        <v>2740.034000000001</v>
      </c>
      <c r="Q41" s="35">
        <f t="shared" si="18"/>
        <v>3148.8739999999993</v>
      </c>
      <c r="R41" s="35">
        <f t="shared" si="18"/>
        <v>4232.1299999999992</v>
      </c>
      <c r="S41" s="35">
        <f>S23-S39</f>
        <v>4324.192</v>
      </c>
      <c r="T41" s="45">
        <f>(Table2[[#This Row],[2024]]-Table2[[#This Row],[2023]])/Table2[[#This Row],[2023]]</f>
        <v>2.1753112498907365E-2</v>
      </c>
      <c r="U41" s="56">
        <f>(Table2[[#This Row],[2024]]-Table2[[#This Row],[2022]])/Table2[[#This Row],[2022]]</f>
        <v>0.37325024754880665</v>
      </c>
      <c r="V41" s="56">
        <f>(Table2[[#This Row],[2024]]-Table2[[#This Row],[2019]])/Table2[[#This Row],[2019]]</f>
        <v>1.2149479812547097</v>
      </c>
    </row>
    <row r="42" spans="1:22" x14ac:dyDescent="0.2">
      <c r="B42" s="14"/>
      <c r="C42" s="26"/>
      <c r="D42" s="26"/>
      <c r="E42" s="26"/>
      <c r="F42" s="26"/>
      <c r="G42" s="26"/>
      <c r="H42" s="26"/>
      <c r="I42" s="51"/>
      <c r="J42" s="51"/>
      <c r="K42" s="51"/>
      <c r="M42" s="20" t="s">
        <v>44</v>
      </c>
      <c r="N42" s="32">
        <f>N11</f>
        <v>1093.5</v>
      </c>
      <c r="O42" s="32">
        <f t="shared" ref="O42:S42" si="19">O11</f>
        <v>1150.5</v>
      </c>
      <c r="P42" s="32">
        <f t="shared" si="19"/>
        <v>1259.9000000000001</v>
      </c>
      <c r="Q42" s="32">
        <f t="shared" si="19"/>
        <v>1154.9000000000001</v>
      </c>
      <c r="R42" s="32">
        <f t="shared" si="19"/>
        <v>2243.98</v>
      </c>
      <c r="S42" s="32">
        <f t="shared" si="19"/>
        <v>1984.33</v>
      </c>
      <c r="T42" s="56">
        <f>(Table2[[#This Row],[2024]]-Table2[[#This Row],[2023]])/Table2[[#This Row],[2023]]</f>
        <v>-0.11570958742947803</v>
      </c>
      <c r="U42" s="40">
        <f>(Table2[[#This Row],[2024]]-Table2[[#This Row],[2022]])/Table2[[#This Row],[2022]]</f>
        <v>0.71818339250151508</v>
      </c>
      <c r="V42" s="41">
        <f>(Table2[[#This Row],[2024]]-Table2[[#This Row],[2019]])/Table2[[#This Row],[2019]]</f>
        <v>0.81465935070873341</v>
      </c>
    </row>
    <row r="43" spans="1:22" x14ac:dyDescent="0.2">
      <c r="B43" s="17"/>
      <c r="C43" s="26"/>
      <c r="D43" s="26"/>
      <c r="E43" s="26"/>
      <c r="F43" s="26"/>
      <c r="G43" s="26"/>
      <c r="H43" s="26"/>
      <c r="I43" s="51"/>
      <c r="J43" s="51"/>
      <c r="K43" s="51"/>
      <c r="M43" s="20" t="s">
        <v>69</v>
      </c>
      <c r="N43" s="32">
        <f>N30+N37</f>
        <v>171.93</v>
      </c>
      <c r="O43" s="32">
        <f t="shared" ref="O43:S43" si="20">O30+O37</f>
        <v>224.89999999999998</v>
      </c>
      <c r="P43" s="32">
        <f t="shared" si="20"/>
        <v>242.39000000000001</v>
      </c>
      <c r="Q43" s="32">
        <f t="shared" si="20"/>
        <v>263.07</v>
      </c>
      <c r="R43" s="32">
        <f t="shared" si="20"/>
        <v>278.77</v>
      </c>
      <c r="S43" s="32">
        <f t="shared" si="20"/>
        <v>373.33799999999997</v>
      </c>
      <c r="T43" s="56">
        <f>(Table2[[#This Row],[2024]]-Table2[[#This Row],[2023]])/Table2[[#This Row],[2023]]</f>
        <v>0.33923305951142513</v>
      </c>
      <c r="U43" s="56">
        <f>(Table2[[#This Row],[2024]]-Table2[[#This Row],[2022]])/Table2[[#This Row],[2022]]</f>
        <v>0.41915839890523426</v>
      </c>
      <c r="V43" s="41">
        <f>(Table2[[#This Row],[2024]]-Table2[[#This Row],[2019]])/Table2[[#This Row],[2019]]</f>
        <v>1.1714534985168379</v>
      </c>
    </row>
    <row r="44" spans="1:22" x14ac:dyDescent="0.2">
      <c r="B44" s="17"/>
      <c r="C44" s="26"/>
      <c r="D44" s="26"/>
      <c r="E44" s="26"/>
      <c r="F44" s="26"/>
      <c r="G44" s="26"/>
      <c r="H44" s="26"/>
      <c r="I44" s="51"/>
      <c r="J44" s="51"/>
      <c r="K44" s="51"/>
      <c r="M44" s="20" t="s">
        <v>70</v>
      </c>
      <c r="N44" s="32">
        <f>C33-N42+N43</f>
        <v>30292.492099999996</v>
      </c>
      <c r="O44" s="32">
        <f t="shared" ref="O44:S44" si="21">D33-O42+O43</f>
        <v>42098.612000000001</v>
      </c>
      <c r="P44" s="32">
        <f t="shared" si="21"/>
        <v>42471.417999999998</v>
      </c>
      <c r="Q44" s="32">
        <f t="shared" si="21"/>
        <v>38391.878799999991</v>
      </c>
      <c r="R44" s="32">
        <f t="shared" si="21"/>
        <v>55715.311999999991</v>
      </c>
      <c r="S44" s="32">
        <f t="shared" si="21"/>
        <v>49708.387999999999</v>
      </c>
      <c r="T44" s="39">
        <f>(Table2[[#This Row],[2024]]-Table2[[#This Row],[2023]])/Table2[[#This Row],[2023]]</f>
        <v>-0.10781459861518845</v>
      </c>
      <c r="U44" s="40">
        <f>(Table2[[#This Row],[2024]]-Table2[[#This Row],[2022]])/Table2[[#This Row],[2022]]</f>
        <v>0.29476309974181336</v>
      </c>
      <c r="V44" s="41">
        <f>(Table2[[#This Row],[2024]]-Table2[[#This Row],[2019]])/Table2[[#This Row],[2019]]</f>
        <v>0.64094746103771394</v>
      </c>
    </row>
    <row r="45" spans="1:22" x14ac:dyDescent="0.2">
      <c r="B45" s="17"/>
      <c r="C45" s="27"/>
      <c r="D45" s="27"/>
      <c r="E45" s="27"/>
      <c r="F45" s="27"/>
      <c r="G45" s="27"/>
      <c r="H45" s="27"/>
      <c r="I45" s="51"/>
      <c r="J45" s="51"/>
      <c r="K45" s="51"/>
      <c r="M45" s="20" t="s">
        <v>71</v>
      </c>
      <c r="N45" s="52">
        <f>C13/N23</f>
        <v>1.2126851855520149</v>
      </c>
      <c r="O45" s="52">
        <f t="shared" ref="O45:S45" si="22">D13/O23</f>
        <v>1.0517755508723639</v>
      </c>
      <c r="P45" s="52">
        <f t="shared" si="22"/>
        <v>1.2658875800701663</v>
      </c>
      <c r="Q45" s="52">
        <f t="shared" si="22"/>
        <v>1.4464716959696984</v>
      </c>
      <c r="R45" s="52">
        <f t="shared" si="22"/>
        <v>1.3563592780597857</v>
      </c>
      <c r="S45" s="52">
        <f t="shared" si="22"/>
        <v>1.392546511964353</v>
      </c>
      <c r="T45" s="39">
        <f>(Table2[[#This Row],[2024]]-Table2[[#This Row],[2023]])/Table2[[#This Row],[2023]]</f>
        <v>2.6679681770107062E-2</v>
      </c>
      <c r="U45" s="40">
        <f>(Table2[[#This Row],[2024]]-Table2[[#This Row],[2022]])/Table2[[#This Row],[2022]]</f>
        <v>-3.7280497195760591E-2</v>
      </c>
      <c r="V45" s="41">
        <f>(Table2[[#This Row],[2024]]-Table2[[#This Row],[2019]])/Table2[[#This Row],[2019]]</f>
        <v>0.14831658583382887</v>
      </c>
    </row>
    <row r="46" spans="1:22" x14ac:dyDescent="0.2">
      <c r="B46" s="17"/>
      <c r="C46" s="27"/>
      <c r="D46" s="27"/>
      <c r="E46" s="27"/>
      <c r="F46" s="27"/>
      <c r="G46" s="27"/>
      <c r="H46" s="27"/>
      <c r="I46" s="51"/>
      <c r="J46" s="51"/>
      <c r="K46" s="51"/>
      <c r="M46" s="20" t="s">
        <v>72</v>
      </c>
      <c r="N46" s="52">
        <f>N23/N41</f>
        <v>1.6807917114220985</v>
      </c>
      <c r="O46" s="52">
        <f t="shared" ref="O46:S46" si="23">O23/O41</f>
        <v>1.6359069453282693</v>
      </c>
      <c r="P46" s="52">
        <f t="shared" si="23"/>
        <v>1.8038243321068275</v>
      </c>
      <c r="Q46" s="52">
        <f t="shared" si="23"/>
        <v>1.7806679467009479</v>
      </c>
      <c r="R46" s="52">
        <f t="shared" si="23"/>
        <v>1.6757519263349663</v>
      </c>
      <c r="S46" s="52">
        <f t="shared" si="23"/>
        <v>1.7583446803472187</v>
      </c>
      <c r="T46" s="39">
        <f>(Table2[[#This Row],[2024]]-Table2[[#This Row],[2023]])/Table2[[#This Row],[2023]]</f>
        <v>4.9286981392819201E-2</v>
      </c>
      <c r="U46" s="40">
        <f>(Table2[[#This Row],[2024]]-Table2[[#This Row],[2022]])/Table2[[#This Row],[2022]]</f>
        <v>-1.2536456555579376E-2</v>
      </c>
      <c r="V46" s="41">
        <f>(Table2[[#This Row],[2024]]-Table2[[#This Row],[2019]])/Table2[[#This Row],[2019]]</f>
        <v>4.6140737366858815E-2</v>
      </c>
    </row>
    <row r="47" spans="1:22" x14ac:dyDescent="0.2">
      <c r="B47" s="17"/>
      <c r="C47" s="27"/>
      <c r="D47" s="27"/>
      <c r="E47" s="27"/>
      <c r="F47" s="27"/>
      <c r="G47" s="27"/>
      <c r="H47" s="27"/>
      <c r="I47" s="51"/>
      <c r="J47" s="51"/>
      <c r="K47" s="51"/>
      <c r="M47" s="20" t="s">
        <v>73</v>
      </c>
      <c r="N47" s="53">
        <f>C38*N45*N46</f>
        <v>0.33068309466330836</v>
      </c>
      <c r="O47" s="53">
        <f t="shared" ref="O47:S47" si="24">D38*O45*O46</f>
        <v>0.2301983642415894</v>
      </c>
      <c r="P47" s="53">
        <f t="shared" si="24"/>
        <v>0.35597587475191911</v>
      </c>
      <c r="Q47" s="53">
        <f t="shared" si="24"/>
        <v>0.27146211629934996</v>
      </c>
      <c r="R47" s="53">
        <f t="shared" si="24"/>
        <v>0.36629404106206565</v>
      </c>
      <c r="S47" s="53">
        <f t="shared" si="24"/>
        <v>0.41963238450096563</v>
      </c>
      <c r="T47" s="56">
        <f>(Table2[[#This Row],[2024]]-Table2[[#This Row],[2023]])/Table2[[#This Row],[2023]]</f>
        <v>0.14561619207412174</v>
      </c>
      <c r="U47" s="40">
        <f>(Table2[[#This Row],[2024]]-Table2[[#This Row],[2022]])/Table2[[#This Row],[2022]]</f>
        <v>0.54582300551368124</v>
      </c>
      <c r="V47" s="41">
        <f>(Table2[[#This Row],[2024]]-Table2[[#This Row],[2019]])/Table2[[#This Row],[2019]]</f>
        <v>0.268986504823365</v>
      </c>
    </row>
    <row r="48" spans="1:22" x14ac:dyDescent="0.2">
      <c r="M48" s="20" t="s">
        <v>74</v>
      </c>
      <c r="N48" s="21">
        <f>C13/N17</f>
        <v>5.9241774601756729</v>
      </c>
      <c r="O48" s="21">
        <f t="shared" ref="O48:S48" si="25">D13/O17</f>
        <v>5.90300388896339</v>
      </c>
      <c r="P48" s="21">
        <f t="shared" si="25"/>
        <v>6.7443138945779895</v>
      </c>
      <c r="Q48" s="21">
        <f t="shared" si="25"/>
        <v>6.3882403906742278</v>
      </c>
      <c r="R48" s="21">
        <f t="shared" si="25"/>
        <v>6.2228216921872672</v>
      </c>
      <c r="S48" s="21">
        <f t="shared" si="25"/>
        <v>5.9463753790857021</v>
      </c>
      <c r="T48" s="39">
        <f>(Table2[[#This Row],[2024]]-Table2[[#This Row],[2023]])/Table2[[#This Row],[2023]]</f>
        <v>-4.4424591732821553E-2</v>
      </c>
      <c r="U48" s="56">
        <f>(Table2[[#This Row],[2024]]-Table2[[#This Row],[2022]])/Table2[[#This Row],[2022]]</f>
        <v>-6.9168500958976961E-2</v>
      </c>
      <c r="V48" s="41">
        <f>(Table2[[#This Row],[2024]]-Table2[[#This Row],[2019]])/Table2[[#This Row],[2019]]</f>
        <v>3.7470043831824974E-3</v>
      </c>
    </row>
    <row r="49" spans="13:22" x14ac:dyDescent="0.2">
      <c r="M49" s="22" t="s">
        <v>75</v>
      </c>
      <c r="N49" s="25">
        <f>365/N48</f>
        <v>61.611928821115441</v>
      </c>
      <c r="O49" s="25">
        <f t="shared" ref="O49:S49" si="26">365/O48</f>
        <v>61.832925552094906</v>
      </c>
      <c r="P49" s="25">
        <f t="shared" si="26"/>
        <v>54.119663720491623</v>
      </c>
      <c r="Q49" s="25">
        <f t="shared" si="26"/>
        <v>57.136234342846507</v>
      </c>
      <c r="R49" s="25">
        <f t="shared" si="26"/>
        <v>58.655063258241249</v>
      </c>
      <c r="S49" s="25">
        <f t="shared" si="26"/>
        <v>61.381930458638713</v>
      </c>
      <c r="T49" s="56">
        <f>(Table2[[#This Row],[2024]]-Table2[[#This Row],[2023]])/Table2[[#This Row],[2023]]</f>
        <v>4.6489885935198094E-2</v>
      </c>
      <c r="U49" s="40">
        <f>(Table2[[#This Row],[2024]]-Table2[[#This Row],[2022]])/Table2[[#This Row],[2022]]</f>
        <v>7.4308294283376597E-2</v>
      </c>
      <c r="V49" s="41">
        <f>(Table2[[#This Row],[2024]]-Table2[[#This Row],[2019]])/Table2[[#This Row],[2019]]</f>
        <v>-3.733016753046426E-3</v>
      </c>
    </row>
    <row r="50" spans="13:22" x14ac:dyDescent="0.2">
      <c r="M50" s="20" t="s">
        <v>79</v>
      </c>
      <c r="N50" s="21">
        <f>(C13/(N13+404.842)/2)</f>
        <v>2.1548191244414312</v>
      </c>
      <c r="O50" s="21">
        <f t="shared" ref="O50:R50" si="27">(D13/(O13+N13)/2)</f>
        <v>1.8880315338886362</v>
      </c>
      <c r="P50" s="21">
        <f t="shared" si="27"/>
        <v>1.9385832822095397</v>
      </c>
      <c r="Q50" s="21">
        <f t="shared" si="27"/>
        <v>1.6799598160652884</v>
      </c>
      <c r="R50" s="21">
        <f t="shared" si="27"/>
        <v>1.735709130277878</v>
      </c>
      <c r="S50" s="21">
        <f>(H13/(S13+R13)/2)</f>
        <v>1.9141837509491268</v>
      </c>
      <c r="T50" s="39">
        <f>(Table2[[#This Row],[2024]]-Table2[[#This Row],[2023]])/Table2[[#This Row],[2023]]</f>
        <v>0.10282518974978025</v>
      </c>
      <c r="U50" s="40">
        <f>(Table2[[#This Row],[2024]]-Table2[[#This Row],[2022]])/Table2[[#This Row],[2022]]</f>
        <v>0.13942234370368758</v>
      </c>
      <c r="V50" s="41">
        <f>(Table2[[#This Row],[2024]]-Table2[[#This Row],[2019]])/Table2[[#This Row],[2019]]</f>
        <v>-0.11167311945715233</v>
      </c>
    </row>
    <row r="51" spans="13:22" x14ac:dyDescent="0.2">
      <c r="M51" s="22" t="s">
        <v>75</v>
      </c>
      <c r="N51" s="25">
        <f t="shared" ref="N51:R51" si="28">365/N50</f>
        <v>169.38776710301136</v>
      </c>
      <c r="O51" s="25">
        <f t="shared" si="28"/>
        <v>193.32304225249723</v>
      </c>
      <c r="P51" s="25">
        <f t="shared" si="28"/>
        <v>188.28182588265378</v>
      </c>
      <c r="Q51" s="25">
        <f t="shared" si="28"/>
        <v>217.26710157560993</v>
      </c>
      <c r="R51" s="25">
        <f t="shared" si="28"/>
        <v>210.28869044525069</v>
      </c>
      <c r="S51" s="25">
        <f>365/S50</f>
        <v>190.6817983482614</v>
      </c>
      <c r="T51" s="56">
        <f>(Table2[[#This Row],[2024]]-Table2[[#This Row],[2023]])/Table2[[#This Row],[2023]]</f>
        <v>-9.3237977066075325E-2</v>
      </c>
      <c r="U51" s="56">
        <f>(Table2[[#This Row],[2024]]-Table2[[#This Row],[2022]])/Table2[[#This Row],[2022]]</f>
        <v>-0.12236230443796263</v>
      </c>
      <c r="V51" s="41">
        <f>(Table2[[#This Row],[2024]]-Table2[[#This Row],[2019]])/Table2[[#This Row],[2019]]</f>
        <v>0.12571174181840594</v>
      </c>
    </row>
    <row r="52" spans="13:22" x14ac:dyDescent="0.2">
      <c r="M52" s="20" t="s">
        <v>76</v>
      </c>
      <c r="N52" s="21">
        <f>N44/C24</f>
        <v>34.071536579742109</v>
      </c>
      <c r="O52" s="21">
        <f t="shared" ref="O52:S52" si="29">O44/D24</f>
        <v>51.340897727023282</v>
      </c>
      <c r="P52" s="21">
        <f t="shared" si="29"/>
        <v>31.85134983118672</v>
      </c>
      <c r="Q52" s="21">
        <f t="shared" si="29"/>
        <v>28.900689924097069</v>
      </c>
      <c r="R52" s="21">
        <f t="shared" si="29"/>
        <v>26.124430648617473</v>
      </c>
      <c r="S52" s="21">
        <f t="shared" si="29"/>
        <v>19.838353878063007</v>
      </c>
      <c r="T52" s="56">
        <f>(Table2[[#This Row],[2024]]-Table2[[#This Row],[2023]])/Table2[[#This Row],[2023]]</f>
        <v>-0.24062062270770027</v>
      </c>
      <c r="U52" s="40">
        <f>(Table2[[#This Row],[2024]]-Table2[[#This Row],[2022]])/Table2[[#This Row],[2022]]</f>
        <v>-0.31356815597948712</v>
      </c>
      <c r="V52" s="56">
        <f>(Table2[[#This Row],[2024]]-Table2[[#This Row],[2019]])/Table2[[#This Row],[2019]]</f>
        <v>-0.41774407997030916</v>
      </c>
    </row>
    <row r="53" spans="13:22" x14ac:dyDescent="0.2">
      <c r="M53" s="20" t="s">
        <v>77</v>
      </c>
      <c r="N53" s="54">
        <f>C24/N44</f>
        <v>2.9350011780641835E-2</v>
      </c>
      <c r="O53" s="54">
        <f t="shared" ref="O53:S53" si="30">D24/O44</f>
        <v>1.9477649286869601E-2</v>
      </c>
      <c r="P53" s="54">
        <f t="shared" si="30"/>
        <v>3.1395843670677548E-2</v>
      </c>
      <c r="Q53" s="54">
        <f t="shared" si="30"/>
        <v>3.460125009563219E-2</v>
      </c>
      <c r="R53" s="54">
        <f t="shared" si="30"/>
        <v>3.8278346175284812E-2</v>
      </c>
      <c r="S53" s="54">
        <f t="shared" si="30"/>
        <v>5.040740810182779E-2</v>
      </c>
      <c r="T53" s="56">
        <f>(Table2[[#This Row],[2024]]-Table2[[#This Row],[2023]])/Table2[[#This Row],[2023]]</f>
        <v>0.31686483713275865</v>
      </c>
      <c r="U53" s="40">
        <f>(Table2[[#This Row],[2024]]-Table2[[#This Row],[2022]])/Table2[[#This Row],[2022]]</f>
        <v>0.45680887142834342</v>
      </c>
      <c r="V53" s="41">
        <f>(Table2[[#This Row],[2024]]-Table2[[#This Row],[2019]])/Table2[[#This Row],[2019]]</f>
        <v>0.71745784903141407</v>
      </c>
    </row>
    <row r="54" spans="13:22" x14ac:dyDescent="0.2">
      <c r="M54" s="20" t="s">
        <v>78</v>
      </c>
      <c r="N54" s="27">
        <f>N16/N34</f>
        <v>2.9141644529839583</v>
      </c>
      <c r="O54" s="27">
        <f t="shared" ref="O54:S54" si="31">O16/O34</f>
        <v>2.4050534028615878</v>
      </c>
      <c r="P54" s="27">
        <f t="shared" si="31"/>
        <v>1.860689507951756</v>
      </c>
      <c r="Q54" s="27">
        <f t="shared" si="31"/>
        <v>2.1173561362006685</v>
      </c>
      <c r="R54" s="27">
        <f t="shared" si="31"/>
        <v>2.4892139253465091</v>
      </c>
      <c r="S54" s="27">
        <f t="shared" si="31"/>
        <v>2.1637005066208608</v>
      </c>
      <c r="T54" s="39">
        <f>(Table2[[#This Row],[2024]]-Table2[[#This Row],[2023]])/Table2[[#This Row],[2023]]</f>
        <v>-0.13076956360041875</v>
      </c>
      <c r="U54" s="40">
        <f>(Table2[[#This Row],[2024]]-Table2[[#This Row],[2022]])/Table2[[#This Row],[2022]]</f>
        <v>2.1887848542735674E-2</v>
      </c>
      <c r="V54" s="41">
        <f>(Table2[[#This Row],[2024]]-Table2[[#This Row],[2019]])/Table2[[#This Row],[2019]]</f>
        <v>-0.25752285379593459</v>
      </c>
    </row>
  </sheetData>
  <pageMargins left="0.25" right="0.25" top="0.75" bottom="0.75" header="0.3" footer="0.3"/>
  <pageSetup paperSize="3" scale="81" orientation="landscape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0C9D6-EEA9-472D-9B86-1FAB179E1EF7}">
  <sheetPr>
    <pageSetUpPr fitToPage="1"/>
  </sheetPr>
  <dimension ref="B1:AI55"/>
  <sheetViews>
    <sheetView workbookViewId="0">
      <selection activeCell="W13" sqref="W13"/>
    </sheetView>
  </sheetViews>
  <sheetFormatPr defaultColWidth="10.7109375" defaultRowHeight="12.75" x14ac:dyDescent="0.2"/>
  <cols>
    <col min="1" max="13" width="10.7109375" style="17"/>
    <col min="14" max="14" width="10.5703125" style="17" customWidth="1"/>
    <col min="15" max="15" width="10.7109375" style="17"/>
    <col min="16" max="19" width="10.7109375" style="32"/>
    <col min="20" max="24" width="10.7109375" style="17"/>
    <col min="25" max="25" width="24.5703125" style="17" customWidth="1"/>
    <col min="26" max="27" width="10.7109375" style="32"/>
    <col min="28" max="31" width="10.7109375" style="17"/>
    <col min="32" max="32" width="15.85546875" style="17" customWidth="1"/>
    <col min="33" max="34" width="10.7109375" style="17"/>
    <col min="35" max="35" width="10.7109375" style="17" customWidth="1"/>
    <col min="36" max="16384" width="10.7109375" style="17"/>
  </cols>
  <sheetData>
    <row r="1" spans="2:35" x14ac:dyDescent="0.2">
      <c r="P1" s="17"/>
      <c r="Q1" s="17"/>
      <c r="R1" s="17"/>
      <c r="S1" s="17"/>
      <c r="Z1" s="17"/>
      <c r="AA1" s="17"/>
    </row>
    <row r="2" spans="2:35" x14ac:dyDescent="0.2">
      <c r="P2" s="17"/>
      <c r="Q2" s="17"/>
      <c r="R2" s="17"/>
      <c r="S2" s="17"/>
      <c r="Z2" s="17"/>
      <c r="AA2" s="17"/>
    </row>
    <row r="3" spans="2:35" x14ac:dyDescent="0.2">
      <c r="P3" s="17"/>
      <c r="Q3" s="17"/>
      <c r="R3" s="17"/>
      <c r="S3" s="17"/>
      <c r="Z3" s="17"/>
      <c r="AA3" s="17"/>
    </row>
    <row r="4" spans="2:35" x14ac:dyDescent="0.2">
      <c r="P4" s="17"/>
      <c r="Q4" s="17"/>
      <c r="R4" s="17"/>
      <c r="S4" s="17"/>
      <c r="Y4" s="9" t="s">
        <v>97</v>
      </c>
      <c r="Z4" s="17"/>
      <c r="AA4" s="17"/>
    </row>
    <row r="5" spans="2:35" x14ac:dyDescent="0.2">
      <c r="C5" s="17" t="s">
        <v>22</v>
      </c>
      <c r="D5" s="17" t="s">
        <v>23</v>
      </c>
      <c r="E5" s="17" t="s">
        <v>24</v>
      </c>
      <c r="F5" s="17" t="s">
        <v>25</v>
      </c>
      <c r="G5" s="17" t="s">
        <v>26</v>
      </c>
      <c r="H5" s="17" t="s">
        <v>86</v>
      </c>
      <c r="I5" s="17" t="s">
        <v>27</v>
      </c>
      <c r="P5" s="17" t="s">
        <v>28</v>
      </c>
      <c r="Q5" s="17" t="s">
        <v>29</v>
      </c>
      <c r="R5" s="17" t="s">
        <v>20</v>
      </c>
      <c r="S5" s="17" t="s">
        <v>27</v>
      </c>
      <c r="Z5" s="17"/>
      <c r="AA5" s="17"/>
    </row>
    <row r="6" spans="2:35" x14ac:dyDescent="0.2">
      <c r="B6" s="17">
        <v>2020</v>
      </c>
      <c r="C6" s="32">
        <v>3105.13</v>
      </c>
      <c r="D6" s="32">
        <v>672.6</v>
      </c>
      <c r="E6" s="32">
        <v>0</v>
      </c>
      <c r="F6" s="32">
        <v>297.69</v>
      </c>
      <c r="G6" s="32">
        <v>0</v>
      </c>
      <c r="H6" s="32">
        <v>326.44900000000001</v>
      </c>
      <c r="I6" s="32">
        <f t="shared" ref="I6:I9" si="0">SUM(C6:H6)</f>
        <v>4401.8689999999997</v>
      </c>
      <c r="O6" s="17">
        <v>2019</v>
      </c>
      <c r="P6" s="32">
        <v>2501.1</v>
      </c>
      <c r="Q6" s="32">
        <v>1137.8</v>
      </c>
      <c r="R6" s="32">
        <v>340.4</v>
      </c>
      <c r="S6" s="32">
        <f t="shared" ref="S6:S10" si="1">SUM(P6:R6)</f>
        <v>3979.2999999999997</v>
      </c>
      <c r="Y6" s="69" t="s">
        <v>3</v>
      </c>
      <c r="Z6" s="4">
        <v>2024</v>
      </c>
      <c r="AA6" s="4">
        <v>2025</v>
      </c>
      <c r="AB6" s="76" t="s">
        <v>111</v>
      </c>
      <c r="AC6" s="83" t="s">
        <v>112</v>
      </c>
      <c r="AD6" s="70" t="s">
        <v>113</v>
      </c>
      <c r="AF6" s="66"/>
      <c r="AG6" s="4">
        <v>2024</v>
      </c>
      <c r="AH6" s="4">
        <v>2025</v>
      </c>
      <c r="AI6" s="70" t="s">
        <v>113</v>
      </c>
    </row>
    <row r="7" spans="2:35" x14ac:dyDescent="0.2">
      <c r="B7" s="17">
        <v>2021</v>
      </c>
      <c r="C7" s="32">
        <v>4345.7</v>
      </c>
      <c r="D7" s="32">
        <v>954.21</v>
      </c>
      <c r="E7" s="32">
        <v>0</v>
      </c>
      <c r="F7" s="32">
        <v>520.37</v>
      </c>
      <c r="G7" s="32">
        <v>0</v>
      </c>
      <c r="H7" s="32">
        <v>436.339</v>
      </c>
      <c r="I7" s="32">
        <f t="shared" si="0"/>
        <v>6256.6189999999997</v>
      </c>
      <c r="O7" s="17">
        <v>2020</v>
      </c>
      <c r="P7" s="32">
        <v>1658.8</v>
      </c>
      <c r="Q7" s="32">
        <v>2284.1</v>
      </c>
      <c r="R7" s="32">
        <v>459</v>
      </c>
      <c r="S7" s="32">
        <f t="shared" si="1"/>
        <v>4401.8999999999996</v>
      </c>
      <c r="Y7" s="20" t="s">
        <v>98</v>
      </c>
      <c r="Z7" s="32">
        <v>1435.24</v>
      </c>
      <c r="AA7" s="32">
        <v>1535.2</v>
      </c>
      <c r="AB7" s="77">
        <f>Z7/Z$19</f>
        <v>0.64974738786375241</v>
      </c>
      <c r="AC7" s="84">
        <f t="shared" ref="AC7:AC15" si="2">AA7/AA$19</f>
        <v>0.64758610507666681</v>
      </c>
      <c r="AD7" s="71">
        <f>(AA7-Z7)/Z7</f>
        <v>6.9646888325297543E-2</v>
      </c>
      <c r="AF7" s="20" t="s">
        <v>114</v>
      </c>
      <c r="AG7" s="53">
        <f>Z29/Z19</f>
        <v>0.14554623979139122</v>
      </c>
      <c r="AH7" s="53">
        <f>AA29/AA19</f>
        <v>0.13271085989074713</v>
      </c>
      <c r="AI7" s="53">
        <f>(AH7-AG7)/AG7</f>
        <v>-8.8187643452972822E-2</v>
      </c>
    </row>
    <row r="8" spans="2:35" x14ac:dyDescent="0.2">
      <c r="B8" s="17">
        <v>2022</v>
      </c>
      <c r="C8" s="32">
        <v>5654.34</v>
      </c>
      <c r="D8" s="32">
        <v>1163.1099999999999</v>
      </c>
      <c r="E8" s="32">
        <v>0</v>
      </c>
      <c r="F8" s="32">
        <v>576.5</v>
      </c>
      <c r="G8" s="32">
        <v>105.13</v>
      </c>
      <c r="H8" s="32">
        <v>611.42999999999995</v>
      </c>
      <c r="I8" s="32">
        <f t="shared" si="0"/>
        <v>8110.51</v>
      </c>
      <c r="O8" s="17">
        <v>2021</v>
      </c>
      <c r="P8" s="32">
        <v>2821.5</v>
      </c>
      <c r="Q8" s="32">
        <v>2777.94</v>
      </c>
      <c r="R8" s="32">
        <v>657.2</v>
      </c>
      <c r="S8" s="32">
        <f t="shared" si="1"/>
        <v>6256.64</v>
      </c>
      <c r="Y8" s="20" t="s">
        <v>99</v>
      </c>
      <c r="Z8" s="32">
        <v>505.7</v>
      </c>
      <c r="AA8" s="32">
        <v>544.79999999999995</v>
      </c>
      <c r="AB8" s="77">
        <f>Z8/Z$19</f>
        <v>0.22893540734838744</v>
      </c>
      <c r="AC8" s="84">
        <f t="shared" si="2"/>
        <v>0.22981038955560712</v>
      </c>
      <c r="AD8" s="72">
        <f t="shared" ref="AD8:AD29" si="3">(AA8-Z8)/Z8</f>
        <v>7.7318568321138953E-2</v>
      </c>
      <c r="AF8" s="20" t="s">
        <v>115</v>
      </c>
      <c r="AG8" s="53">
        <f>Z19/Z32</f>
        <v>0.29727743758831843</v>
      </c>
      <c r="AH8" s="53">
        <f>AA19/AA32</f>
        <v>0.31179224810279743</v>
      </c>
      <c r="AI8" s="53">
        <f t="shared" ref="AI8:AI12" si="4">(AH8-AG8)/AG8</f>
        <v>4.8825806062617133E-2</v>
      </c>
    </row>
    <row r="9" spans="2:35" x14ac:dyDescent="0.2">
      <c r="B9" s="17">
        <v>2023</v>
      </c>
      <c r="C9" s="32">
        <v>6346.4</v>
      </c>
      <c r="D9" s="32">
        <v>1285.3</v>
      </c>
      <c r="E9" s="32">
        <v>0</v>
      </c>
      <c r="F9" s="32">
        <v>963.8</v>
      </c>
      <c r="G9" s="32">
        <v>170.5</v>
      </c>
      <c r="H9" s="32">
        <v>853.33</v>
      </c>
      <c r="I9" s="32">
        <f t="shared" si="0"/>
        <v>9619.33</v>
      </c>
      <c r="O9" s="17">
        <v>2022</v>
      </c>
      <c r="P9" s="32">
        <v>3648.12</v>
      </c>
      <c r="Q9" s="32">
        <v>3699.8</v>
      </c>
      <c r="R9" s="32">
        <v>762.6</v>
      </c>
      <c r="S9" s="32">
        <f t="shared" si="1"/>
        <v>8110.52</v>
      </c>
      <c r="Y9" s="20" t="s">
        <v>100</v>
      </c>
      <c r="Z9" s="32">
        <v>267.95</v>
      </c>
      <c r="AA9" s="32">
        <v>290.7</v>
      </c>
      <c r="AB9" s="77">
        <f>Z9/Z$19</f>
        <v>0.1213036234902124</v>
      </c>
      <c r="AC9" s="84">
        <f t="shared" si="2"/>
        <v>0.12262459662961636</v>
      </c>
      <c r="AD9" s="73">
        <f t="shared" si="3"/>
        <v>8.4903899981339806E-2</v>
      </c>
      <c r="AF9" s="20" t="s">
        <v>72</v>
      </c>
      <c r="AG9" s="89">
        <f>Z32/Z35</f>
        <v>1.7322410613750221</v>
      </c>
      <c r="AH9" s="89">
        <f>AA32/AA35</f>
        <v>1.7583726386459007</v>
      </c>
      <c r="AI9" s="53">
        <f t="shared" si="4"/>
        <v>1.5085416143025601E-2</v>
      </c>
    </row>
    <row r="10" spans="2:35" x14ac:dyDescent="0.2">
      <c r="B10" s="17">
        <v>2024</v>
      </c>
      <c r="C10" s="32">
        <v>6483.18</v>
      </c>
      <c r="D10" s="32">
        <v>1411.67</v>
      </c>
      <c r="E10" s="32">
        <v>33.299999999999997</v>
      </c>
      <c r="F10" s="32">
        <v>1361.33</v>
      </c>
      <c r="G10" s="32">
        <v>180.1</v>
      </c>
      <c r="H10" s="32">
        <v>1118.54</v>
      </c>
      <c r="I10" s="32">
        <f>SUM(C10:H10)</f>
        <v>10588.119999999999</v>
      </c>
      <c r="O10" s="17">
        <v>2023</v>
      </c>
      <c r="P10" s="32">
        <v>4411</v>
      </c>
      <c r="Q10" s="32">
        <v>4311.1099999999997</v>
      </c>
      <c r="R10" s="32">
        <v>897.21</v>
      </c>
      <c r="S10" s="32">
        <f t="shared" si="1"/>
        <v>9619.32</v>
      </c>
      <c r="Y10" s="64" t="s">
        <v>22</v>
      </c>
      <c r="Z10" s="62">
        <v>1340.4</v>
      </c>
      <c r="AA10" s="62">
        <v>1362.52</v>
      </c>
      <c r="AB10" s="78">
        <f>Z10/Z$19</f>
        <v>0.60681237890009598</v>
      </c>
      <c r="AC10" s="85">
        <f t="shared" si="2"/>
        <v>0.57474532301267589</v>
      </c>
      <c r="AD10" s="72">
        <f t="shared" si="3"/>
        <v>1.6502536556251782E-2</v>
      </c>
      <c r="AF10" s="20" t="s">
        <v>73</v>
      </c>
      <c r="AG10" s="90">
        <f>AG7*AG8*AG9</f>
        <v>7.4949936240100865E-2</v>
      </c>
      <c r="AH10" s="90">
        <f>AH7*AH8*AH9</f>
        <v>7.2758325229443116E-2</v>
      </c>
      <c r="AI10" s="53">
        <f t="shared" si="4"/>
        <v>-2.924099900014537E-2</v>
      </c>
    </row>
    <row r="11" spans="2:35" x14ac:dyDescent="0.2">
      <c r="C11" s="32"/>
      <c r="D11" s="32"/>
      <c r="E11" s="32"/>
      <c r="F11" s="32"/>
      <c r="G11" s="32"/>
      <c r="H11" s="32"/>
      <c r="I11" s="32"/>
      <c r="O11" s="17">
        <v>2024</v>
      </c>
      <c r="P11" s="32">
        <v>5007.87</v>
      </c>
      <c r="Q11" s="32">
        <v>4570.4459999999999</v>
      </c>
      <c r="R11" s="32">
        <v>1009.8</v>
      </c>
      <c r="S11" s="32">
        <f>SUM(P11:R11)</f>
        <v>10588.115999999998</v>
      </c>
      <c r="Y11" s="20" t="s">
        <v>23</v>
      </c>
      <c r="Z11" s="32">
        <v>281.86</v>
      </c>
      <c r="AA11" s="32">
        <v>292.82</v>
      </c>
      <c r="AB11" s="77">
        <f t="shared" ref="AB11:AB15" si="5">Z11/Z$19</f>
        <v>0.12760081849953825</v>
      </c>
      <c r="AC11" s="84">
        <f t="shared" si="2"/>
        <v>0.1235188661337608</v>
      </c>
      <c r="AD11" s="72">
        <f t="shared" si="3"/>
        <v>3.8884552614773214E-2</v>
      </c>
      <c r="AF11" s="91" t="s">
        <v>79</v>
      </c>
      <c r="AG11" s="60">
        <f>Z19/Z30</f>
        <v>1.5317586182745631</v>
      </c>
      <c r="AH11" s="60">
        <f>AA19/AA30</f>
        <v>1.434931299558138</v>
      </c>
      <c r="AI11" s="53">
        <f t="shared" si="4"/>
        <v>-6.3213170509525421E-2</v>
      </c>
    </row>
    <row r="12" spans="2:35" x14ac:dyDescent="0.2">
      <c r="Y12" s="20" t="s">
        <v>24</v>
      </c>
      <c r="Z12" s="32">
        <v>0</v>
      </c>
      <c r="AA12" s="32">
        <v>19.21</v>
      </c>
      <c r="AB12" s="77">
        <f t="shared" si="5"/>
        <v>0</v>
      </c>
      <c r="AC12" s="84">
        <f t="shared" si="2"/>
        <v>8.1032628182144146E-3</v>
      </c>
      <c r="AD12" s="72" t="e">
        <f t="shared" si="3"/>
        <v>#DIV/0!</v>
      </c>
      <c r="AF12" s="91" t="s">
        <v>116</v>
      </c>
      <c r="AG12" s="92">
        <f>90/AG11</f>
        <v>58.755993879361853</v>
      </c>
      <c r="AH12" s="92">
        <f>90/AH11</f>
        <v>62.720772783835663</v>
      </c>
      <c r="AI12" s="53">
        <f t="shared" si="4"/>
        <v>6.7478713960899328E-2</v>
      </c>
    </row>
    <row r="13" spans="2:35" x14ac:dyDescent="0.2">
      <c r="Y13" s="20" t="s">
        <v>101</v>
      </c>
      <c r="Z13" s="32">
        <v>303.77999999999997</v>
      </c>
      <c r="AA13" s="32">
        <v>368.1</v>
      </c>
      <c r="AB13" s="77">
        <f t="shared" si="5"/>
        <v>0.13752421998080508</v>
      </c>
      <c r="AC13" s="84">
        <f t="shared" si="2"/>
        <v>0.15527387003564427</v>
      </c>
      <c r="AD13" s="72">
        <f t="shared" si="3"/>
        <v>0.21173217460003968</v>
      </c>
      <c r="AF13" s="20"/>
    </row>
    <row r="14" spans="2:35" x14ac:dyDescent="0.2">
      <c r="Y14" s="20" t="s">
        <v>102</v>
      </c>
      <c r="Z14" s="32">
        <v>42.3</v>
      </c>
      <c r="AA14" s="32">
        <v>44.1</v>
      </c>
      <c r="AB14" s="77">
        <f t="shared" si="5"/>
        <v>1.9149629683284135E-2</v>
      </c>
      <c r="AC14" s="84">
        <f t="shared" si="2"/>
        <v>1.8602492987155425E-2</v>
      </c>
      <c r="AD14" s="72">
        <f t="shared" si="3"/>
        <v>4.2553191489361805E-2</v>
      </c>
      <c r="AF14" s="20"/>
    </row>
    <row r="15" spans="2:35" x14ac:dyDescent="0.2">
      <c r="Y15" s="20" t="s">
        <v>86</v>
      </c>
      <c r="Z15" s="21">
        <v>240.6</v>
      </c>
      <c r="AA15" s="21">
        <v>283.89</v>
      </c>
      <c r="AB15" s="79">
        <f t="shared" si="5"/>
        <v>0.10892200713470836</v>
      </c>
      <c r="AC15" s="86">
        <f t="shared" si="2"/>
        <v>0.11975196676017127</v>
      </c>
      <c r="AD15" s="73">
        <f t="shared" si="3"/>
        <v>0.17992518703241892</v>
      </c>
    </row>
    <row r="16" spans="2:35" x14ac:dyDescent="0.2">
      <c r="Y16" s="65" t="s">
        <v>103</v>
      </c>
      <c r="Z16" s="62">
        <v>1070.52</v>
      </c>
      <c r="AA16" s="62">
        <v>1153.0999999999999</v>
      </c>
      <c r="AB16" s="77">
        <f>Z16/Z$19</f>
        <v>0.4846350252612136</v>
      </c>
      <c r="AC16" s="84">
        <f t="shared" ref="AC16:AC18" si="6">AA16/AA$19</f>
        <v>0.48640668171176688</v>
      </c>
      <c r="AD16" s="72">
        <f t="shared" si="3"/>
        <v>7.7140081455741069E-2</v>
      </c>
    </row>
    <row r="17" spans="2:30" x14ac:dyDescent="0.2">
      <c r="Y17" s="20" t="s">
        <v>29</v>
      </c>
      <c r="Z17" s="21">
        <v>905.8</v>
      </c>
      <c r="AA17" s="21">
        <v>960.89</v>
      </c>
      <c r="AB17" s="77">
        <f>Z17/Z$19</f>
        <v>0.41006464697680312</v>
      </c>
      <c r="AC17" s="84">
        <f t="shared" si="6"/>
        <v>0.40532765275346427</v>
      </c>
      <c r="AD17" s="72">
        <f t="shared" si="3"/>
        <v>6.0819165378670825E-2</v>
      </c>
    </row>
    <row r="18" spans="2:30" x14ac:dyDescent="0.2">
      <c r="Y18" s="66" t="s">
        <v>20</v>
      </c>
      <c r="Z18" s="63">
        <v>232.6</v>
      </c>
      <c r="AA18" s="63">
        <v>256.66000000000003</v>
      </c>
      <c r="AB18" s="77">
        <f>Z18/Z$19</f>
        <v>0.10530032776198323</v>
      </c>
      <c r="AC18" s="84">
        <f t="shared" si="6"/>
        <v>0.10826566553476898</v>
      </c>
      <c r="AD18" s="72">
        <f t="shared" si="3"/>
        <v>0.10343938091143608</v>
      </c>
    </row>
    <row r="19" spans="2:30" ht="13.5" thickBot="1" x14ac:dyDescent="0.25">
      <c r="Y19" s="30" t="s">
        <v>21</v>
      </c>
      <c r="Z19" s="29">
        <f>SUM(Z16:Z18)</f>
        <v>2208.92</v>
      </c>
      <c r="AA19" s="29">
        <f>SUM(AA16:AA18)</f>
        <v>2370.6499999999996</v>
      </c>
      <c r="AB19" s="80">
        <v>1</v>
      </c>
      <c r="AC19" s="87">
        <v>1</v>
      </c>
      <c r="AD19" s="74">
        <f t="shared" si="3"/>
        <v>7.3216775618854257E-2</v>
      </c>
    </row>
    <row r="20" spans="2:30" x14ac:dyDescent="0.2">
      <c r="Y20" s="67" t="s">
        <v>30</v>
      </c>
      <c r="Z20" s="35">
        <v>933.82</v>
      </c>
      <c r="AA20" s="35">
        <v>987.53</v>
      </c>
      <c r="AB20" s="81">
        <f>Z20/Z19</f>
        <v>0.42274957897977294</v>
      </c>
      <c r="AC20" s="88">
        <f>AA20/AA19</f>
        <v>0.41656507708856227</v>
      </c>
      <c r="AD20" s="75">
        <f t="shared" si="3"/>
        <v>5.751643785740284E-2</v>
      </c>
    </row>
    <row r="21" spans="2:30" ht="13.5" thickBot="1" x14ac:dyDescent="0.25">
      <c r="Y21" s="30" t="s">
        <v>31</v>
      </c>
      <c r="Z21" s="29">
        <f>Z19-Z20</f>
        <v>1275.0999999999999</v>
      </c>
      <c r="AA21" s="29">
        <f>AA19-AA20</f>
        <v>1383.1199999999997</v>
      </c>
      <c r="AB21" s="80">
        <f>Z21/Z19</f>
        <v>0.57725042102022706</v>
      </c>
      <c r="AC21" s="87">
        <f>AA21/AA19</f>
        <v>0.58343492291143773</v>
      </c>
      <c r="AD21" s="74">
        <f t="shared" si="3"/>
        <v>8.4714924319661017E-2</v>
      </c>
    </row>
    <row r="22" spans="2:30" x14ac:dyDescent="0.2">
      <c r="Y22" s="20"/>
      <c r="AB22" s="82"/>
      <c r="AC22" s="20"/>
      <c r="AD22" s="72"/>
    </row>
    <row r="23" spans="2:30" x14ac:dyDescent="0.2">
      <c r="Y23" s="20" t="s">
        <v>104</v>
      </c>
      <c r="Z23" s="32">
        <v>842.4</v>
      </c>
      <c r="AA23" s="32">
        <v>942.87</v>
      </c>
      <c r="AB23" s="77">
        <f>Z23/Z19</f>
        <v>0.38136283794795645</v>
      </c>
      <c r="AC23" s="84">
        <f t="shared" ref="AC23:AC24" si="7">AA23/AA19</f>
        <v>0.39772636196823663</v>
      </c>
      <c r="AD23" s="72">
        <f t="shared" si="3"/>
        <v>0.1192663817663818</v>
      </c>
    </row>
    <row r="24" spans="2:30" x14ac:dyDescent="0.2">
      <c r="Y24" s="20" t="s">
        <v>105</v>
      </c>
      <c r="Z24" s="32">
        <v>0</v>
      </c>
      <c r="AA24" s="32">
        <v>1.6</v>
      </c>
      <c r="AB24" s="77">
        <f>Z24/Z20</f>
        <v>0</v>
      </c>
      <c r="AC24" s="84">
        <f t="shared" si="7"/>
        <v>1.6202039431713468E-3</v>
      </c>
      <c r="AD24" s="72" t="e">
        <f t="shared" si="3"/>
        <v>#DIV/0!</v>
      </c>
    </row>
    <row r="25" spans="2:30" ht="13.5" thickBot="1" x14ac:dyDescent="0.25">
      <c r="Y25" s="68" t="s">
        <v>37</v>
      </c>
      <c r="Z25" s="29">
        <f t="shared" ref="Z25" si="8">Z21-Z23-Z24</f>
        <v>432.69999999999993</v>
      </c>
      <c r="AA25" s="29">
        <f>AA21-AA23-AA24</f>
        <v>438.64999999999964</v>
      </c>
      <c r="AB25" s="80">
        <f>Z25/Z19</f>
        <v>0.19588758307227058</v>
      </c>
      <c r="AC25" s="87">
        <f>AA25/AA19</f>
        <v>0.18503364056271474</v>
      </c>
      <c r="AD25" s="74">
        <f t="shared" si="3"/>
        <v>1.3750866651258853E-2</v>
      </c>
    </row>
    <row r="26" spans="2:30" x14ac:dyDescent="0.2">
      <c r="Y26" s="20" t="s">
        <v>106</v>
      </c>
      <c r="Z26" s="32">
        <v>23.3</v>
      </c>
      <c r="AA26" s="32">
        <v>11.8</v>
      </c>
      <c r="AB26" s="77">
        <f>Z26/Z19</f>
        <v>1.0548141173061949E-2</v>
      </c>
      <c r="AC26" s="84">
        <f>AA26/AA19</f>
        <v>4.9775378060869391E-3</v>
      </c>
      <c r="AD26" s="71">
        <f t="shared" si="3"/>
        <v>-0.49356223175965663</v>
      </c>
    </row>
    <row r="27" spans="2:30" ht="13.5" thickBot="1" x14ac:dyDescent="0.25">
      <c r="Y27" s="68" t="s">
        <v>40</v>
      </c>
      <c r="Z27" s="29">
        <f t="shared" ref="Z27" si="9">Z25+Z26</f>
        <v>455.99999999999994</v>
      </c>
      <c r="AA27" s="29">
        <f>AA25+AA26</f>
        <v>450.44999999999965</v>
      </c>
      <c r="AB27" s="80">
        <f>Z27/Z19</f>
        <v>0.20643572424533252</v>
      </c>
      <c r="AC27" s="87">
        <f>AA27/AA19</f>
        <v>0.19001117836880169</v>
      </c>
      <c r="AD27" s="74">
        <f t="shared" si="3"/>
        <v>-1.2171052631579598E-2</v>
      </c>
    </row>
    <row r="28" spans="2:30" x14ac:dyDescent="0.2">
      <c r="B28" s="17" t="s">
        <v>87</v>
      </c>
      <c r="C28" s="17" t="s">
        <v>37</v>
      </c>
      <c r="D28" s="17" t="s">
        <v>88</v>
      </c>
      <c r="E28" s="17" t="s">
        <v>89</v>
      </c>
      <c r="O28" s="17" t="s">
        <v>91</v>
      </c>
      <c r="P28" s="32" t="s">
        <v>90</v>
      </c>
      <c r="Q28" s="32" t="s">
        <v>20</v>
      </c>
      <c r="Y28" s="20" t="s">
        <v>41</v>
      </c>
      <c r="Z28" s="32">
        <v>134.5</v>
      </c>
      <c r="AA28" s="32">
        <v>135.839</v>
      </c>
      <c r="AB28" s="77">
        <f>Z28/Z19</f>
        <v>6.0889484453941288E-2</v>
      </c>
      <c r="AC28" s="84">
        <f>AA28/AA19</f>
        <v>5.730031847805455E-2</v>
      </c>
      <c r="AD28" s="71">
        <f t="shared" si="3"/>
        <v>9.9553903345724806E-3</v>
      </c>
    </row>
    <row r="29" spans="2:30" ht="13.5" thickBot="1" x14ac:dyDescent="0.25">
      <c r="B29" s="17">
        <v>2019</v>
      </c>
      <c r="C29" s="32" cm="1">
        <f t="array" ref="C29:C34">TRANSPOSE(Statements!C24:H24)</f>
        <v>889.08499999999958</v>
      </c>
      <c r="D29" s="32">
        <v>1883.5455999999999</v>
      </c>
      <c r="E29" s="59">
        <v>0.05</v>
      </c>
      <c r="F29" s="17">
        <f t="shared" ref="F29:F33" si="10">C29*E29</f>
        <v>44.454249999999981</v>
      </c>
      <c r="N29" s="17">
        <v>2019</v>
      </c>
      <c r="O29" s="17" cm="1">
        <f t="array" ref="O29:O34">TRANSPOSE(Statements!C10:H10)</f>
        <v>2767.8</v>
      </c>
      <c r="P29" s="32" cm="1">
        <f t="array" ref="P29:P34">TRANSPOSE(Statements!C11:H11)</f>
        <v>927.24</v>
      </c>
      <c r="Q29" s="32" cm="1">
        <f t="array" ref="Q29:Q34">TRANSPOSE(Statements!C12:H12)</f>
        <v>284.23</v>
      </c>
      <c r="Y29" s="68" t="s">
        <v>42</v>
      </c>
      <c r="Z29" s="29">
        <f>Z27-Z28</f>
        <v>321.49999999999994</v>
      </c>
      <c r="AA29" s="29">
        <f>AA27-AA28</f>
        <v>314.61099999999965</v>
      </c>
      <c r="AB29" s="80">
        <f>Z29/Z19</f>
        <v>0.14554623979139122</v>
      </c>
      <c r="AC29" s="87">
        <f>AA29/AA19</f>
        <v>0.13271085989074713</v>
      </c>
      <c r="AD29" s="74">
        <f t="shared" si="3"/>
        <v>-2.1427682737170436E-2</v>
      </c>
    </row>
    <row r="30" spans="2:30" x14ac:dyDescent="0.2">
      <c r="B30" s="17">
        <v>2020</v>
      </c>
      <c r="C30" s="32">
        <v>819.98199999999997</v>
      </c>
      <c r="D30" s="32">
        <v>1883.5455999999999</v>
      </c>
      <c r="E30" s="59">
        <v>0.05</v>
      </c>
      <c r="F30" s="17">
        <f t="shared" si="10"/>
        <v>40.999099999999999</v>
      </c>
      <c r="N30" s="17">
        <v>2020</v>
      </c>
      <c r="O30" s="17">
        <v>3049.9</v>
      </c>
      <c r="P30" s="32">
        <v>953.18</v>
      </c>
      <c r="Q30" s="32">
        <v>398.79</v>
      </c>
      <c r="Y30" s="23" t="s">
        <v>46</v>
      </c>
      <c r="Z30" s="32">
        <v>1442.0809999999999</v>
      </c>
      <c r="AA30" s="32">
        <v>1652.1</v>
      </c>
      <c r="AB30" s="53">
        <f>(AA30-Z30)/Z30</f>
        <v>0.14563606343887758</v>
      </c>
    </row>
    <row r="31" spans="2:30" x14ac:dyDescent="0.2">
      <c r="B31" s="17">
        <v>2021</v>
      </c>
      <c r="C31" s="32">
        <v>1333.4260000000004</v>
      </c>
      <c r="D31" s="32">
        <v>1883.5455999999999</v>
      </c>
      <c r="E31" s="59">
        <v>0.12</v>
      </c>
      <c r="F31" s="17">
        <f t="shared" si="10"/>
        <v>160.01112000000003</v>
      </c>
      <c r="N31" s="17">
        <v>2021</v>
      </c>
      <c r="O31" s="17">
        <v>4171.8</v>
      </c>
      <c r="P31" s="32">
        <v>1535.9</v>
      </c>
      <c r="Q31" s="32">
        <v>549</v>
      </c>
      <c r="Y31" s="23" t="s">
        <v>107</v>
      </c>
      <c r="Z31" s="32">
        <v>3980.3</v>
      </c>
      <c r="AA31" s="32">
        <v>3582.5</v>
      </c>
      <c r="AB31" s="53">
        <f t="shared" ref="AB31:AB35" si="11">(AA31-Z31)/Z31</f>
        <v>-9.9942215410898719E-2</v>
      </c>
    </row>
    <row r="32" spans="2:30" x14ac:dyDescent="0.2">
      <c r="B32" s="17">
        <v>2022</v>
      </c>
      <c r="C32" s="32">
        <v>1328.4069999999992</v>
      </c>
      <c r="D32" s="32">
        <v>1883.5455999999999</v>
      </c>
      <c r="E32" s="59">
        <v>0.18</v>
      </c>
      <c r="F32" s="17">
        <f t="shared" si="10"/>
        <v>239.11325999999985</v>
      </c>
      <c r="N32" s="17">
        <v>2022</v>
      </c>
      <c r="O32" s="17">
        <v>5259.8</v>
      </c>
      <c r="P32" s="32">
        <v>1956.6</v>
      </c>
      <c r="Q32" s="32">
        <v>894.11</v>
      </c>
      <c r="Y32" s="23" t="s">
        <v>108</v>
      </c>
      <c r="Z32" s="32">
        <v>7430.5</v>
      </c>
      <c r="AA32" s="32">
        <v>7603.3</v>
      </c>
      <c r="AB32" s="53">
        <f t="shared" si="11"/>
        <v>2.3255500975708256E-2</v>
      </c>
    </row>
    <row r="33" spans="2:28" x14ac:dyDescent="0.2">
      <c r="B33" s="17">
        <v>2023</v>
      </c>
      <c r="C33" s="32">
        <v>2132.6899999999996</v>
      </c>
      <c r="D33" s="32">
        <v>1883.5455999999999</v>
      </c>
      <c r="E33" s="59">
        <v>0.28000000000000003</v>
      </c>
      <c r="F33" s="17">
        <f t="shared" si="10"/>
        <v>597.15319999999997</v>
      </c>
      <c r="N33" s="17">
        <v>2023</v>
      </c>
      <c r="O33" s="17">
        <v>6147.4</v>
      </c>
      <c r="P33" s="32">
        <v>2252.75</v>
      </c>
      <c r="Q33" s="32">
        <v>1219.1500000000001</v>
      </c>
      <c r="Y33" s="23" t="s">
        <v>109</v>
      </c>
      <c r="Z33" s="32">
        <v>1572.4</v>
      </c>
      <c r="AA33" s="32">
        <v>1839.6</v>
      </c>
      <c r="AB33" s="53">
        <f t="shared" si="11"/>
        <v>0.16993131518697521</v>
      </c>
    </row>
    <row r="34" spans="2:28" x14ac:dyDescent="0.2">
      <c r="B34" s="17">
        <v>2024</v>
      </c>
      <c r="C34" s="32">
        <v>2505.6709999999994</v>
      </c>
      <c r="D34" s="32">
        <v>1883.5455999999999</v>
      </c>
      <c r="E34" s="59">
        <v>0.32</v>
      </c>
      <c r="F34" s="17">
        <f>C34*E34</f>
        <v>801.81471999999985</v>
      </c>
      <c r="N34" s="17">
        <v>2024</v>
      </c>
      <c r="O34" s="17">
        <v>6692.6</v>
      </c>
      <c r="P34" s="32">
        <v>2558.4</v>
      </c>
      <c r="Q34" s="32">
        <v>1337.116</v>
      </c>
      <c r="Y34" s="23" t="s">
        <v>110</v>
      </c>
      <c r="Z34" s="32">
        <v>3140.97</v>
      </c>
      <c r="AA34" s="32">
        <v>3279.2449999999999</v>
      </c>
      <c r="AB34" s="53">
        <f t="shared" si="11"/>
        <v>4.402302473439737E-2</v>
      </c>
    </row>
    <row r="35" spans="2:28" x14ac:dyDescent="0.2">
      <c r="E35" s="60"/>
      <c r="F35" s="17">
        <f>SUM(F29:F34)</f>
        <v>1883.5456499999996</v>
      </c>
      <c r="Y35" s="23" t="s">
        <v>63</v>
      </c>
      <c r="Z35" s="32">
        <f>Z32-Z34</f>
        <v>4289.5300000000007</v>
      </c>
      <c r="AA35" s="32">
        <f t="shared" ref="AA35" si="12">AA32-AA34</f>
        <v>4324.0550000000003</v>
      </c>
      <c r="AB35" s="53">
        <f t="shared" si="11"/>
        <v>8.0486673365146363E-3</v>
      </c>
    </row>
    <row r="37" spans="2:28" x14ac:dyDescent="0.2">
      <c r="Y37" s="20"/>
    </row>
    <row r="49" spans="2:14" x14ac:dyDescent="0.2">
      <c r="C49" s="17" t="s">
        <v>66</v>
      </c>
      <c r="D49" s="17" t="s">
        <v>67</v>
      </c>
      <c r="E49" s="17" t="s">
        <v>68</v>
      </c>
      <c r="M49" s="17" t="s">
        <v>93</v>
      </c>
      <c r="N49" s="17" t="s">
        <v>92</v>
      </c>
    </row>
    <row r="50" spans="2:14" x14ac:dyDescent="0.2">
      <c r="B50" s="17">
        <v>2019</v>
      </c>
      <c r="C50" s="53" cm="1">
        <f t="array" ref="C50:C55">TRANSPOSE(Statements!C36:H36)</f>
        <v>0.55873564749313309</v>
      </c>
      <c r="D50" s="53" cm="1">
        <f t="array" ref="D50:D55">TRANSPOSE(Statements!C37:H37)</f>
        <v>0.22342917168224313</v>
      </c>
      <c r="E50" s="53" cm="1">
        <f t="array" ref="E50:E55">TRANSPOSE(Statements!C38:H38)</f>
        <v>0.16223704347782372</v>
      </c>
      <c r="M50" s="17">
        <v>2019</v>
      </c>
      <c r="N50" s="61" cm="1">
        <f t="array" ref="N50:N55">TRANSPOSE(Statements!N51:S51)</f>
        <v>169.38776710301136</v>
      </c>
    </row>
    <row r="51" spans="2:14" x14ac:dyDescent="0.2">
      <c r="B51" s="17">
        <v>2020</v>
      </c>
      <c r="C51" s="53">
        <v>0.55975801193583641</v>
      </c>
      <c r="D51" s="53">
        <v>0.18628037629462024</v>
      </c>
      <c r="E51" s="53">
        <v>0.1337890487451924</v>
      </c>
      <c r="M51" s="17">
        <v>2020</v>
      </c>
      <c r="N51" s="61">
        <v>193.32304225249723</v>
      </c>
    </row>
    <row r="52" spans="2:14" x14ac:dyDescent="0.2">
      <c r="B52" s="17">
        <v>2021</v>
      </c>
      <c r="C52" s="53">
        <v>0.57676570716192244</v>
      </c>
      <c r="D52" s="53">
        <v>0.21311969568622441</v>
      </c>
      <c r="E52" s="53">
        <v>0.1558946409449071</v>
      </c>
      <c r="M52" s="17">
        <v>2021</v>
      </c>
      <c r="N52" s="61">
        <v>188.28182588265378</v>
      </c>
    </row>
    <row r="53" spans="2:14" x14ac:dyDescent="0.2">
      <c r="B53" s="17">
        <v>2022</v>
      </c>
      <c r="C53" s="53">
        <v>0.55388748673018096</v>
      </c>
      <c r="D53" s="53">
        <v>0.16378834376629822</v>
      </c>
      <c r="E53" s="53">
        <v>0.10539411208419684</v>
      </c>
      <c r="M53" s="17">
        <v>2022</v>
      </c>
      <c r="N53" s="61">
        <v>217.26710157560993</v>
      </c>
    </row>
    <row r="54" spans="2:14" x14ac:dyDescent="0.2">
      <c r="B54" s="17">
        <v>2023</v>
      </c>
      <c r="C54" s="53">
        <v>0.58314014533282044</v>
      </c>
      <c r="D54" s="53">
        <v>0.22170947989978479</v>
      </c>
      <c r="E54" s="53">
        <v>0.16115559344235025</v>
      </c>
      <c r="M54" s="17">
        <v>2023</v>
      </c>
      <c r="N54" s="61">
        <v>210.28869044525069</v>
      </c>
    </row>
    <row r="55" spans="2:14" x14ac:dyDescent="0.2">
      <c r="B55" s="17">
        <v>2024</v>
      </c>
      <c r="C55" s="53">
        <v>0.59224946156615588</v>
      </c>
      <c r="D55" s="53">
        <v>0.2366493718051445</v>
      </c>
      <c r="E55" s="53">
        <v>0.17137808085971096</v>
      </c>
      <c r="M55" s="17">
        <v>2024</v>
      </c>
      <c r="N55" s="61">
        <v>190.6817983482614</v>
      </c>
    </row>
  </sheetData>
  <pageMargins left="0.7" right="0.7" top="0.75" bottom="0.75" header="0.3" footer="0.3"/>
  <pageSetup paperSize="3" scale="5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F681-68C2-4019-B488-3D0A43656443}">
  <dimension ref="A1:B16"/>
  <sheetViews>
    <sheetView showGridLines="0" showRowColHeaders="0" workbookViewId="0">
      <selection activeCell="G22" sqref="G22"/>
    </sheetView>
  </sheetViews>
  <sheetFormatPr defaultColWidth="10.7109375" defaultRowHeight="15" x14ac:dyDescent="0.2"/>
  <cols>
    <col min="1" max="1" width="10.7109375" style="17"/>
    <col min="2" max="16384" width="10.7109375" style="58"/>
  </cols>
  <sheetData>
    <row r="1" spans="1:2" s="17" customFormat="1" ht="12.75" x14ac:dyDescent="0.2">
      <c r="A1" s="17" t="s">
        <v>16</v>
      </c>
    </row>
    <row r="2" spans="1:2" s="17" customFormat="1" ht="12.75" x14ac:dyDescent="0.2"/>
    <row r="3" spans="1:2" s="17" customFormat="1" ht="20.25" x14ac:dyDescent="0.3">
      <c r="B3" s="18" t="s">
        <v>17</v>
      </c>
    </row>
    <row r="5" spans="1:2" x14ac:dyDescent="0.2">
      <c r="B5" s="58" t="s">
        <v>83</v>
      </c>
    </row>
    <row r="6" spans="1:2" x14ac:dyDescent="0.2">
      <c r="B6" s="58" t="s">
        <v>84</v>
      </c>
    </row>
    <row r="8" spans="1:2" x14ac:dyDescent="0.2">
      <c r="B8" s="58" t="s">
        <v>85</v>
      </c>
    </row>
    <row r="10" spans="1:2" x14ac:dyDescent="0.2">
      <c r="B10" s="58" t="s">
        <v>94</v>
      </c>
    </row>
    <row r="12" spans="1:2" x14ac:dyDescent="0.2">
      <c r="B12" s="58" t="s">
        <v>95</v>
      </c>
    </row>
    <row r="14" spans="1:2" x14ac:dyDescent="0.2">
      <c r="B14" s="58" t="s">
        <v>96</v>
      </c>
    </row>
    <row r="16" spans="1:2" x14ac:dyDescent="0.2">
      <c r="B16" s="58" t="s">
        <v>117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5GZNGIFWWM75CB5U5JDIZ463SE5DI453:ms-officescript%3A%2F%2Fonedrive_business_sharinglink%2Fu!aHR0cHM6Ly9zamVjY2QtbXkuc2hhcmVwb2ludC5jb20vOnU6L2cvcGVyc29uYWwvYWJnbzY0NzZfc3R1X2V2Y19lZHUvRWJhelA5RUh0T3BHalBQYmtUbzBjN3NCcFR0RHZRTGdlNjlZOWVEaWtxVDAydw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6" ma:contentTypeDescription="Create a new document." ma:contentTypeScope="" ma:versionID="5914cc59b3ac3e0af91e183125dbf667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3f536e8bcdade1d0b1324d4e87301424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CC3DFF-8066-43A7-80F7-D82830EC8647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80F213C5-F071-4E9E-9963-FC20199506E0}">
  <ds:schemaRefs>
    <ds:schemaRef ds:uri="36567613-e428-4167-ab55-a4f66cede826"/>
    <ds:schemaRef ds:uri="http://purl.org/dc/dcmitype/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9CA9D73-4B12-4830-B86F-A2C93BFFF30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17312E7-BDAF-44C5-9DBF-26FD12E4B8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Statements</vt:lpstr>
      <vt:lpstr>Analysis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Gonzalez Herrera</dc:creator>
  <cp:lastModifiedBy>Abraham Gonzalez Herrera</cp:lastModifiedBy>
  <cp:lastPrinted>2025-07-03T18:44:23Z</cp:lastPrinted>
  <dcterms:created xsi:type="dcterms:W3CDTF">2025-02-19T20:24:26Z</dcterms:created>
  <dcterms:modified xsi:type="dcterms:W3CDTF">2026-06-29T22:19:57Z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  <property fmtid="{D5CDD505-2E9C-101B-9397-08002B2CF9AE}" pid="3" name="MSIP_Label_bc50c7b0-9e53-455f-9b3f-deab1aa8a41e_Enabled">
    <vt:lpwstr>true</vt:lpwstr>
  </property>
  <property fmtid="{D5CDD505-2E9C-101B-9397-08002B2CF9AE}" pid="4" name="MSIP_Label_bc50c7b0-9e53-455f-9b3f-deab1aa8a41e_SetDate">
    <vt:lpwstr>2025-06-20T18:35:59Z</vt:lpwstr>
  </property>
  <property fmtid="{D5CDD505-2E9C-101B-9397-08002B2CF9AE}" pid="5" name="MSIP_Label_bc50c7b0-9e53-455f-9b3f-deab1aa8a41e_Method">
    <vt:lpwstr>Standard</vt:lpwstr>
  </property>
  <property fmtid="{D5CDD505-2E9C-101B-9397-08002B2CF9AE}" pid="6" name="MSIP_Label_bc50c7b0-9e53-455f-9b3f-deab1aa8a41e_Name">
    <vt:lpwstr>defa4170-0d19-0005-0004-bc88714345d2</vt:lpwstr>
  </property>
  <property fmtid="{D5CDD505-2E9C-101B-9397-08002B2CF9AE}" pid="7" name="MSIP_Label_bc50c7b0-9e53-455f-9b3f-deab1aa8a41e_SiteId">
    <vt:lpwstr>7cc8e357-468d-472c-a6fc-c5600e789b55</vt:lpwstr>
  </property>
  <property fmtid="{D5CDD505-2E9C-101B-9397-08002B2CF9AE}" pid="8" name="MSIP_Label_bc50c7b0-9e53-455f-9b3f-deab1aa8a41e_ActionId">
    <vt:lpwstr>ee67d891-9c3e-44d0-a65b-82553e022ac4</vt:lpwstr>
  </property>
  <property fmtid="{D5CDD505-2E9C-101B-9397-08002B2CF9AE}" pid="9" name="MSIP_Label_bc50c7b0-9e53-455f-9b3f-deab1aa8a41e_ContentBits">
    <vt:lpwstr>0</vt:lpwstr>
  </property>
  <property fmtid="{D5CDD505-2E9C-101B-9397-08002B2CF9AE}" pid="10" name="MSIP_Label_bc50c7b0-9e53-455f-9b3f-deab1aa8a41e_Tag">
    <vt:lpwstr>10, 3, 0, 1</vt:lpwstr>
  </property>
</Properties>
</file>