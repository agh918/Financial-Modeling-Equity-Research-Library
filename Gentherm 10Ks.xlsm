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
    </mc:Choice>
  </mc:AlternateContent>
  <xr:revisionPtr revIDLastSave="649" documentId="8_{DEECA1F3-4283-413D-BBE6-0762A60D9410}" xr6:coauthVersionLast="47" xr6:coauthVersionMax="47" xr10:uidLastSave="{75B23588-05F4-472C-A641-2C1E1A6359F8}"/>
  <bookViews>
    <workbookView xWindow="-120" yWindow="-120" windowWidth="27930" windowHeight="16440" xr2:uid="{CD218907-FF69-440B-8102-4E26B44E461B}"/>
  </bookViews>
  <sheets>
    <sheet name="Sheet1"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7" i="1" l="1"/>
  <c r="I76" i="1"/>
  <c r="I75" i="1"/>
  <c r="I74" i="1"/>
  <c r="I73" i="1"/>
  <c r="I72" i="1"/>
  <c r="I70" i="1"/>
  <c r="I69" i="1"/>
  <c r="I68" i="1"/>
  <c r="I67" i="1"/>
  <c r="I66" i="1"/>
  <c r="I65" i="1"/>
  <c r="I64" i="1"/>
  <c r="I63" i="1"/>
  <c r="I62" i="1"/>
  <c r="I61" i="1"/>
  <c r="I57" i="1"/>
  <c r="I56" i="1"/>
  <c r="I55" i="1"/>
  <c r="I54" i="1"/>
  <c r="I53" i="1"/>
  <c r="I52" i="1"/>
  <c r="I51" i="1"/>
  <c r="I50" i="1"/>
  <c r="I49" i="1"/>
  <c r="I48" i="1"/>
  <c r="I47" i="1"/>
  <c r="I46" i="1"/>
  <c r="I42" i="1"/>
  <c r="I41" i="1"/>
  <c r="I40" i="1"/>
  <c r="I39" i="1"/>
  <c r="I38" i="1"/>
  <c r="I37" i="1"/>
  <c r="I36" i="1"/>
  <c r="I35" i="1"/>
  <c r="I33" i="1"/>
  <c r="I32" i="1"/>
  <c r="I31" i="1"/>
  <c r="I30" i="1"/>
  <c r="I29" i="1"/>
  <c r="I28" i="1"/>
  <c r="I25" i="1"/>
  <c r="I23" i="1"/>
  <c r="I22" i="1"/>
  <c r="I21" i="1"/>
  <c r="I20" i="1"/>
  <c r="I19" i="1"/>
  <c r="I18" i="1"/>
  <c r="I17" i="1"/>
  <c r="I16" i="1"/>
  <c r="I15" i="1"/>
  <c r="I14" i="1"/>
  <c r="I13" i="1"/>
  <c r="I12" i="1"/>
  <c r="I9" i="1"/>
  <c r="I8" i="1"/>
  <c r="I7" i="1"/>
  <c r="I6" i="1"/>
  <c r="I5" i="1"/>
  <c r="H69" i="1"/>
  <c r="H68" i="1"/>
  <c r="H67" i="1"/>
  <c r="H66" i="1"/>
  <c r="H64" i="1"/>
  <c r="H63" i="1"/>
  <c r="H62" i="1"/>
  <c r="H61" i="1"/>
  <c r="H56" i="1"/>
  <c r="H55" i="1"/>
  <c r="H54" i="1"/>
  <c r="H53" i="1"/>
  <c r="H52" i="1"/>
  <c r="H51" i="1"/>
  <c r="H49" i="1"/>
  <c r="H48" i="1"/>
  <c r="H47" i="1"/>
  <c r="H46" i="1"/>
  <c r="H41" i="1"/>
  <c r="H39" i="1"/>
  <c r="H38" i="1"/>
  <c r="H37" i="1"/>
  <c r="H36" i="1"/>
  <c r="H32" i="1"/>
  <c r="H31" i="1"/>
  <c r="H30" i="1"/>
  <c r="H29" i="1"/>
  <c r="H28" i="1"/>
  <c r="H25" i="1"/>
  <c r="H22" i="1"/>
  <c r="H20" i="1"/>
  <c r="H19" i="1"/>
  <c r="H18" i="1"/>
  <c r="H17" i="1"/>
  <c r="H16" i="1"/>
  <c r="H15" i="1"/>
  <c r="H14" i="1"/>
  <c r="H13" i="1"/>
  <c r="H12" i="1"/>
  <c r="H6" i="1"/>
  <c r="H5" i="1"/>
  <c r="B69" i="1"/>
  <c r="B64" i="1"/>
  <c r="B49" i="1"/>
  <c r="C69" i="1"/>
  <c r="C50" i="1"/>
  <c r="B50" i="1"/>
  <c r="F78" i="1"/>
  <c r="F79" i="1" s="1"/>
  <c r="H79" i="1" s="1"/>
  <c r="E78" i="1"/>
  <c r="E79" i="1" s="1"/>
  <c r="D78" i="1"/>
  <c r="D79" i="1" s="1"/>
  <c r="C78" i="1"/>
  <c r="C79" i="1" s="1"/>
  <c r="G78" i="1"/>
  <c r="G79" i="1" s="1"/>
  <c r="H78" i="1" l="1"/>
  <c r="F9" i="1"/>
  <c r="E9" i="1"/>
  <c r="D9" i="1"/>
  <c r="C9" i="1"/>
  <c r="B9" i="1"/>
  <c r="F8" i="1"/>
  <c r="E8" i="1"/>
  <c r="D8" i="1"/>
  <c r="C8" i="1"/>
  <c r="B8" i="1"/>
  <c r="G9" i="1"/>
  <c r="G8" i="1"/>
  <c r="H8" i="1" s="1"/>
  <c r="F65" i="1"/>
  <c r="F70" i="1" s="1"/>
  <c r="E65" i="1"/>
  <c r="E70" i="1" s="1"/>
  <c r="D65" i="1"/>
  <c r="D70" i="1" s="1"/>
  <c r="C65" i="1"/>
  <c r="C77" i="1" s="1"/>
  <c r="B65" i="1"/>
  <c r="B70" i="1" s="1"/>
  <c r="G65" i="1"/>
  <c r="F50" i="1"/>
  <c r="E50" i="1"/>
  <c r="E57" i="1" s="1"/>
  <c r="D50" i="1"/>
  <c r="D57" i="1" s="1"/>
  <c r="B57" i="1"/>
  <c r="G50" i="1"/>
  <c r="F7" i="1"/>
  <c r="E7" i="1"/>
  <c r="D7" i="1"/>
  <c r="C7" i="1"/>
  <c r="B7" i="1"/>
  <c r="G7" i="1"/>
  <c r="H7" i="1" s="1"/>
  <c r="E33" i="1"/>
  <c r="D33" i="1"/>
  <c r="C33" i="1"/>
  <c r="B33" i="1"/>
  <c r="F33" i="1"/>
  <c r="G33" i="1"/>
  <c r="H33" i="1" s="1"/>
  <c r="E21" i="1"/>
  <c r="E23" i="1" s="1"/>
  <c r="E75" i="1" s="1"/>
  <c r="D21" i="1"/>
  <c r="D23" i="1" s="1"/>
  <c r="C21" i="1"/>
  <c r="C23" i="1" s="1"/>
  <c r="B21" i="1"/>
  <c r="B23" i="1" s="1"/>
  <c r="F21" i="1"/>
  <c r="F23" i="1" s="1"/>
  <c r="G21" i="1"/>
  <c r="G70" i="1" l="1"/>
  <c r="H70" i="1" s="1"/>
  <c r="H65" i="1"/>
  <c r="H9" i="1"/>
  <c r="G23" i="1"/>
  <c r="H21" i="1"/>
  <c r="H50" i="1"/>
  <c r="G77" i="1"/>
  <c r="B77" i="1"/>
  <c r="C70" i="1"/>
  <c r="F73" i="1"/>
  <c r="B73" i="1"/>
  <c r="C73" i="1"/>
  <c r="G73" i="1"/>
  <c r="H73" i="1" s="1"/>
  <c r="C57" i="1"/>
  <c r="B72" i="1"/>
  <c r="D73" i="1"/>
  <c r="D72" i="1"/>
  <c r="E72" i="1"/>
  <c r="E73" i="1"/>
  <c r="F75" i="1"/>
  <c r="F35" i="1"/>
  <c r="F40" i="1" s="1"/>
  <c r="F42" i="1" s="1"/>
  <c r="B75" i="1"/>
  <c r="B35" i="1"/>
  <c r="B40" i="1" s="1"/>
  <c r="B42" i="1" s="1"/>
  <c r="C75" i="1"/>
  <c r="C35" i="1"/>
  <c r="C40" i="1" s="1"/>
  <c r="C42" i="1" s="1"/>
  <c r="D75" i="1"/>
  <c r="D35" i="1"/>
  <c r="D40" i="1" s="1"/>
  <c r="D42" i="1" s="1"/>
  <c r="G57" i="1"/>
  <c r="D77" i="1"/>
  <c r="E77" i="1"/>
  <c r="F57" i="1"/>
  <c r="F72" i="1" s="1"/>
  <c r="F77" i="1"/>
  <c r="E35" i="1"/>
  <c r="E40" i="1" s="1"/>
  <c r="E42" i="1" s="1"/>
  <c r="E76" i="1" s="1"/>
  <c r="E74" i="1"/>
  <c r="A4" i="1" a="1"/>
  <c r="A4" i="1" s="1"/>
  <c r="G75" i="1" l="1"/>
  <c r="H75" i="1" s="1"/>
  <c r="H23" i="1"/>
  <c r="G72" i="1"/>
  <c r="H72" i="1" s="1"/>
  <c r="H57" i="1"/>
  <c r="G35" i="1"/>
  <c r="H77" i="1"/>
  <c r="C72" i="1"/>
  <c r="D76" i="1"/>
  <c r="D74" i="1"/>
  <c r="C76" i="1"/>
  <c r="C74" i="1"/>
  <c r="B76" i="1"/>
  <c r="B74" i="1"/>
  <c r="F76" i="1"/>
  <c r="F74" i="1"/>
  <c r="G40" i="1" l="1"/>
  <c r="H35" i="1"/>
  <c r="G42" i="1" l="1"/>
  <c r="H40" i="1"/>
  <c r="H42" i="1" l="1"/>
  <c r="G74" i="1"/>
  <c r="H74" i="1" s="1"/>
  <c r="G76" i="1"/>
  <c r="H7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Abraham Gonzalez Herrera</author>
  </authors>
  <commentList>
    <comment ref="B49" authorId="0" shapeId="0" xr:uid="{DCC88AFB-FB1B-48CC-B5AB-57A5C8E55640}">
      <text>
        <r>
          <rPr>
            <b/>
            <sz val="9"/>
            <color indexed="81"/>
            <rFont val="Tahoma"/>
            <family val="2"/>
          </rPr>
          <t>Abraham Gonzalez Herrera:</t>
        </r>
        <r>
          <rPr>
            <sz val="9"/>
            <color indexed="81"/>
            <rFont val="Tahoma"/>
            <family val="2"/>
          </rPr>
          <t xml:space="preserve">
Assets held for sale: $69.7M</t>
        </r>
      </text>
    </comment>
    <comment ref="B64" authorId="0" shapeId="0" xr:uid="{C1B12918-4278-4CB5-8614-9F4CEF86A0A2}">
      <text>
        <r>
          <rPr>
            <b/>
            <sz val="9"/>
            <color indexed="81"/>
            <rFont val="Tahoma"/>
            <family val="2"/>
          </rPr>
          <t>Abraham Gonzalez Herrera:</t>
        </r>
        <r>
          <rPr>
            <sz val="9"/>
            <color indexed="81"/>
            <rFont val="Tahoma"/>
            <family val="2"/>
          </rPr>
          <t xml:space="preserve">
Liabilities held for sale: $13.1M</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<sst xmlns="http://schemas.openxmlformats.org/spreadsheetml/2006/main" count="78" uniqueCount="70">
  <si>
    <t>Reported Date</t>
  </si>
  <si>
    <t>Year</t>
  </si>
  <si>
    <t>Price</t>
  </si>
  <si>
    <t>Shares outstanding</t>
  </si>
  <si>
    <t>Market cap</t>
  </si>
  <si>
    <t>Cash</t>
  </si>
  <si>
    <t>Debt</t>
  </si>
  <si>
    <t>Revenues</t>
  </si>
  <si>
    <t>Climate Control Seat</t>
  </si>
  <si>
    <t>Seat Heaters</t>
  </si>
  <si>
    <t>Steering Wheel Heaters</t>
  </si>
  <si>
    <t>Lumbar &amp; Massage Comfort Solutions</t>
  </si>
  <si>
    <t>Valve Systems</t>
  </si>
  <si>
    <t>Automotive Cables</t>
  </si>
  <si>
    <t>Battery Performance Solutions</t>
  </si>
  <si>
    <t>Electronics</t>
  </si>
  <si>
    <t>Other</t>
  </si>
  <si>
    <t>Automotive Segment</t>
  </si>
  <si>
    <t>Medical Segment</t>
  </si>
  <si>
    <t>Total revenues</t>
  </si>
  <si>
    <t>Cost of sales</t>
  </si>
  <si>
    <t>Operating expenses</t>
  </si>
  <si>
    <t>Research &amp; development</t>
  </si>
  <si>
    <t>Selling, general &amp; administrative</t>
  </si>
  <si>
    <t>Impairment of goodwill</t>
  </si>
  <si>
    <t>Impairment of intangible assets and property &amp; equipment</t>
  </si>
  <si>
    <t>Restructuring expenses</t>
  </si>
  <si>
    <t>Total operating expenses</t>
  </si>
  <si>
    <t>Income from operations</t>
  </si>
  <si>
    <t>Interest expense, net</t>
  </si>
  <si>
    <t>Foreign currency loss</t>
  </si>
  <si>
    <t>Other (loss) income</t>
  </si>
  <si>
    <t>Income before income taxes</t>
  </si>
  <si>
    <t>Provision for income taxes</t>
  </si>
  <si>
    <t>Net income</t>
  </si>
  <si>
    <t>Assets</t>
  </si>
  <si>
    <t>Current assets</t>
  </si>
  <si>
    <t>Accounts receivable</t>
  </si>
  <si>
    <t>Inventory</t>
  </si>
  <si>
    <t>Total current assets</t>
  </si>
  <si>
    <t>Property &amp; equipment, net</t>
  </si>
  <si>
    <t>Goodwill</t>
  </si>
  <si>
    <t>Other intangible assets</t>
  </si>
  <si>
    <t xml:space="preserve">Operating lease right-of-use </t>
  </si>
  <si>
    <t>Deferred income tax</t>
  </si>
  <si>
    <t>Total assets</t>
  </si>
  <si>
    <t>Liabilities</t>
  </si>
  <si>
    <t>Current liabilities</t>
  </si>
  <si>
    <t>Accounts payable</t>
  </si>
  <si>
    <t>Current lease liabilities</t>
  </si>
  <si>
    <t>Current maturities of long-term debt</t>
  </si>
  <si>
    <t>Total current liabilities</t>
  </si>
  <si>
    <t>Long-term debt</t>
  </si>
  <si>
    <t>Lease liabilities</t>
  </si>
  <si>
    <t>Pension benefit obligation</t>
  </si>
  <si>
    <t>Total liabilities</t>
  </si>
  <si>
    <t>Equity</t>
  </si>
  <si>
    <t>Enterprise value</t>
  </si>
  <si>
    <t>EPS</t>
  </si>
  <si>
    <t>Gross profit margin</t>
  </si>
  <si>
    <t>Net profit margin</t>
  </si>
  <si>
    <t>Current ratio</t>
  </si>
  <si>
    <t>Inventory turnover ratio</t>
  </si>
  <si>
    <t>Total year turnover</t>
  </si>
  <si>
    <t>XXXXXXXXX</t>
  </si>
  <si>
    <t>Asset impairment &amp; net loss on divestitures</t>
  </si>
  <si>
    <t>% Change</t>
  </si>
  <si>
    <t>YoY</t>
  </si>
  <si>
    <t>5Y diff</t>
  </si>
  <si>
    <t>XXXXXXXX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</si>
</sst>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 #,##0.000_);_(* \(#,##0.000\);_(* &quot;-&quot;??_);_(@_)"/>
    <numFmt numFmtId="166" formatCode="_(* #,##0.0_);_(* \(#,##0.0\);_(* &quot;-&quot;??_);_(@_)"/>
    <numFmt numFmtId="167" formatCode="0.0%"/>
  </numFmts>
  <fonts count="15" x14ac:knownFonts="1">
    <font>
      <sz val="11"/>
      <color theme="1"/>
      <name val="Calibri"/>
      <family val="2"/>
      <scheme val="minor"/>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sz val="9"/>
      <color indexed="81"/>
      <name val="Tahoma"/>
      <family val="2"/>
    </font>
    <font>
      <b/>
      <sz val="9"/>
      <color indexed="81"/>
      <name val="Tahoma"/>
      <family val="2"/>
    </font>
    <font>
      <b/>
      <sz val="10"/>
      <color rgb="FFC00000"/>
      <name val="Arial"/>
      <family val="2"/>
    </font>
    <font>
      <sz val="10"/>
      <color rgb="FFC00000"/>
      <name val="Arial"/>
      <family val="2"/>
    </font>
    <font>
      <u/>
      <sz val="10"/>
      <color rgb="FFC00000"/>
      <name val="Arial"/>
      <family val="2"/>
    </font>
    <font>
      <b/>
      <sz val="10"/>
      <color theme="9" tint="-0.249977111117893"/>
      <name val="Arial"/>
      <family val="2"/>
    </font>
    <font>
      <sz val="10"/>
      <color theme="9" tint="-0.249977111117893"/>
      <name val="Arial"/>
      <family val="2"/>
    </font>
    <font>
      <u/>
      <sz val="10"/>
      <color theme="9" tint="-0.249977111117893"/>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39">
    <xf numFmtId="0" fontId="0" fillId="0" borderId="0" xfId="0"/>
    <xf numFmtId="14" fontId="3" fillId="2" borderId="0" xfId="0" applyNumberFormat="1" applyFont="1" applyFill="1" applyAlignment="1">
      <alignment horizontal="center" vertical="center"/>
    </xf>
    <xf numFmtId="0" fontId="3" fillId="2" borderId="0" xfId="0" applyFont="1" applyFill="1" applyAlignment="1">
      <alignment horizontal="center" vertical="center"/>
    </xf>
    <xf numFmtId="0" fontId="3" fillId="2" borderId="0" xfId="0" applyFont="1" applyFill="1" applyAlignment="1">
      <alignment vertical="center"/>
    </xf>
    <xf numFmtId="0" fontId="3" fillId="2" borderId="0" xfId="0" applyFont="1" applyFill="1" applyAlignment="1">
      <alignment horizontal="center"/>
    </xf>
    <xf numFmtId="164" fontId="6" fillId="0" borderId="0" xfId="1" applyNumberFormat="1" applyFont="1"/>
    <xf numFmtId="164" fontId="2" fillId="0" borderId="0" xfId="1" applyNumberFormat="1" applyFont="1"/>
    <xf numFmtId="164" fontId="1" fillId="0" borderId="0" xfId="1" applyNumberFormat="1" applyFont="1"/>
    <xf numFmtId="44" fontId="1" fillId="0" borderId="0" xfId="2" applyFont="1"/>
    <xf numFmtId="49" fontId="1" fillId="0" borderId="0" xfId="1" applyNumberFormat="1" applyFont="1" applyAlignment="1">
      <alignment horizontal="left"/>
    </xf>
    <xf numFmtId="49" fontId="1" fillId="0" borderId="0" xfId="1" applyNumberFormat="1" applyFont="1"/>
    <xf numFmtId="49" fontId="6" fillId="0" borderId="0" xfId="1" applyNumberFormat="1" applyFont="1"/>
    <xf numFmtId="49" fontId="1" fillId="0" borderId="0" xfId="0" applyNumberFormat="1" applyFont="1" applyAlignment="1">
      <alignment horizontal="left" indent="1"/>
    </xf>
    <xf numFmtId="49" fontId="1" fillId="0" borderId="0" xfId="0" applyNumberFormat="1" applyFont="1"/>
    <xf numFmtId="49" fontId="1" fillId="0" borderId="0" xfId="0" applyNumberFormat="1" applyFont="1" applyAlignment="1">
      <alignment horizontal="left"/>
    </xf>
    <xf numFmtId="49" fontId="6" fillId="0" borderId="0" xfId="0" applyNumberFormat="1" applyFont="1" applyAlignment="1">
      <alignment horizontal="left"/>
    </xf>
    <xf numFmtId="49" fontId="6" fillId="0" borderId="0" xfId="0" applyNumberFormat="1" applyFont="1"/>
    <xf numFmtId="49" fontId="6" fillId="0" borderId="0" xfId="0" applyNumberFormat="1" applyFont="1" applyAlignment="1">
      <alignment horizontal="left" indent="1"/>
    </xf>
    <xf numFmtId="165" fontId="1" fillId="0" borderId="0" xfId="1" applyNumberFormat="1" applyFont="1"/>
    <xf numFmtId="165" fontId="4" fillId="0" borderId="0" xfId="1" applyNumberFormat="1" applyFont="1"/>
    <xf numFmtId="166" fontId="1" fillId="0" borderId="0" xfId="1" applyNumberFormat="1" applyFont="1"/>
    <xf numFmtId="166" fontId="4" fillId="0" borderId="0" xfId="1" applyNumberFormat="1" applyFont="1"/>
    <xf numFmtId="166" fontId="6" fillId="0" borderId="0" xfId="1" applyNumberFormat="1" applyFont="1"/>
    <xf numFmtId="49" fontId="1" fillId="0" borderId="0" xfId="0" applyNumberFormat="1" applyFont="1" applyAlignment="1">
      <alignment horizontal="left" wrapText="1" indent="1"/>
    </xf>
    <xf numFmtId="49" fontId="6" fillId="0" borderId="0" xfId="0" applyNumberFormat="1" applyFont="1" applyAlignment="1">
      <alignment horizontal="left" indent="2"/>
    </xf>
    <xf numFmtId="49" fontId="1" fillId="0" borderId="0" xfId="0" applyNumberFormat="1" applyFont="1" applyAlignment="1">
      <alignment horizontal="left" indent="2"/>
    </xf>
    <xf numFmtId="49" fontId="6" fillId="0" borderId="0" xfId="0" applyNumberFormat="1" applyFont="1" applyAlignment="1">
      <alignment horizontal="left" indent="3"/>
    </xf>
    <xf numFmtId="44" fontId="4" fillId="0" borderId="0" xfId="2" applyFont="1"/>
    <xf numFmtId="167" fontId="4" fillId="0" borderId="0" xfId="3" applyNumberFormat="1" applyFont="1"/>
    <xf numFmtId="14" fontId="9" fillId="2" borderId="0" xfId="0" applyNumberFormat="1" applyFont="1" applyFill="1" applyAlignment="1">
      <alignment horizontal="center" vertical="center"/>
    </xf>
    <xf numFmtId="0" fontId="9" fillId="2" borderId="0" xfId="0" applyFont="1" applyFill="1" applyAlignment="1">
      <alignment horizontal="center" vertical="center"/>
    </xf>
    <xf numFmtId="164" fontId="10" fillId="0" borderId="0" xfId="1" applyNumberFormat="1" applyFont="1"/>
    <xf numFmtId="164" fontId="9" fillId="0" borderId="0" xfId="1" applyNumberFormat="1" applyFont="1"/>
    <xf numFmtId="167" fontId="11" fillId="0" borderId="0" xfId="3" applyNumberFormat="1" applyFont="1" applyAlignment="1">
      <alignment horizontal="center"/>
    </xf>
    <xf numFmtId="14" fontId="12" fillId="2" borderId="0" xfId="0" applyNumberFormat="1" applyFont="1" applyFill="1" applyAlignment="1">
      <alignment horizontal="center" vertical="center"/>
    </xf>
    <xf numFmtId="0" fontId="12" fillId="2" borderId="0" xfId="0" applyFont="1" applyFill="1" applyAlignment="1">
      <alignment horizontal="center" vertical="center"/>
    </xf>
    <xf numFmtId="164" fontId="13" fillId="0" borderId="0" xfId="1" applyNumberFormat="1" applyFont="1"/>
    <xf numFmtId="164" fontId="12" fillId="0" borderId="0" xfId="1" applyNumberFormat="1" applyFont="1"/>
    <xf numFmtId="167" fontId="14" fillId="0" borderId="0" xfId="3" applyNumberFormat="1" applyFont="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https://www.bing.com/financeapi/forcetrigger?t=a247sm&amp;q=XNAS%3aTHRM&amp;form=skydnc</v>
    <v>Learn more on Bing</v>
  </rv>
  <rv s="1">
    <v>en-US</v>
    <v>a247sm</v>
    <v>268435456</v>
    <v>1</v>
    <v>Powered by Refinitiv</v>
    <v>0</v>
    <v>GENTHERM INCORPORATED (XNAS:THRM)</v>
    <v>2</v>
    <v>3</v>
    <v>Finance</v>
    <v>4</v>
    <v>66.539900000000003</v>
    <v>38.204999999999998</v>
    <v>1.4743999999999999</v>
    <v>0.73</v>
    <v>0</v>
    <v>1.4415000000000001E-2</v>
    <v>0</v>
    <v>USD</v>
    <v>Gentherm Incorporated is a provider of thermal management and pneumatic comfort technologies for the automotive industry and medical industries. The Company operates through two segments: Automotive and Medical. The Automotive segment represents the design, development, manufacturing and sales of automotive climate comfort systems, automotive cable systems, battery performance solutions, and automotive electronic and software systems. Its automotive electronic and software systems include electronic control units for climate comfort systems, electronic control units. Its climate comfort systems include seat heaters, blowers, and thermoelectric devices. The Medical segment is comprised of the results from the patient temperature management business in the medical industry. The Patient temperature management includes temperature management systems across multiple product categories addressing the needs of hyper-hypothermia therapy in intensive care, normothermia in surgical procedures.</v>
    <v>14504</v>
    <v>Nasdaq Stock Market</v>
    <v>XNAS</v>
    <v>XNAS</v>
    <v>21680 Haggerty Rd, NORTHVILLE, MI, 48167-8994 US</v>
    <v>51.44</v>
    <v>Automobiles &amp; Auto Parts</v>
    <v>Stock</v>
    <v>45426.847226758597</v>
    <v>0</v>
    <v>50.66</v>
    <v>1602500000</v>
    <v>GENTHERM INCORPORATED</v>
    <v>GENTHERM INCORPORATED</v>
    <v>51.44</v>
    <v>35.276699999999998</v>
    <v>50.64</v>
    <v>51.37</v>
    <v>51.37</v>
    <v>31644930</v>
    <v>THRM</v>
    <v>GENTHERM INCORPORATED (XNAS:THRM)</v>
    <v>103644</v>
    <v>149295</v>
    <v>2005</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J79"/>
  <sheetViews>
    <sheetView tabSelected="1" zoomScale="115" zoomScaleNormal="115" workbookViewId="0">
      <pane xSplit="1" topLeftCell="B1" activePane="topRight" state="frozen"/>
      <selection pane="topRight" activeCell="J75" sqref="J75"/>
    </sheetView>
  </sheetViews>
  <sheetFormatPr defaultColWidth="12.7109375" defaultRowHeight="12.75" x14ac:dyDescent="0.2"/>
  <cols>
    <col min="1" max="1" width="42.7109375" style="13" customWidth="1"/>
    <col min="2" max="7" width="12.7109375" style="21" customWidth="1"/>
    <col min="8" max="9" width="10.5703125" style="21" customWidth="1"/>
    <col min="10" max="23" width="12.7109375" style="21" customWidth="1"/>
    <col min="24" max="16384" width="12.7109375" style="21"/>
  </cols>
  <sheetData>
    <row r="1" spans="1:36" s="4" customFormat="1" ht="15" customHeight="1" x14ac:dyDescent="0.2">
      <c r="A1" s="3" t="s">
        <v>0</v>
      </c>
      <c r="B1" s="1">
        <v>43465</v>
      </c>
      <c r="C1" s="1">
        <v>43830</v>
      </c>
      <c r="D1" s="1">
        <v>44196</v>
      </c>
      <c r="E1" s="1">
        <v>44561</v>
      </c>
      <c r="F1" s="1">
        <v>44926</v>
      </c>
      <c r="G1" s="1">
        <v>45291</v>
      </c>
      <c r="H1" s="34" t="s">
        <v>66</v>
      </c>
      <c r="I1" s="29" t="s">
        <v>66</v>
      </c>
      <c r="J1" s="1"/>
      <c r="K1" s="1"/>
      <c r="L1" s="1"/>
      <c r="M1" s="1"/>
      <c r="N1" s="1"/>
      <c r="O1" s="1"/>
      <c r="P1" s="1"/>
      <c r="Q1" s="1"/>
      <c r="R1" s="1"/>
      <c r="S1" s="1"/>
      <c r="T1" s="1"/>
      <c r="U1" s="1"/>
      <c r="V1" s="1"/>
      <c r="W1" s="1"/>
      <c r="X1" s="1"/>
      <c r="Y1" s="1"/>
      <c r="Z1" s="1"/>
      <c r="AA1" s="1"/>
      <c r="AB1" s="1"/>
      <c r="AC1" s="2"/>
      <c r="AD1" s="2"/>
      <c r="AE1" s="2"/>
      <c r="AF1" s="2"/>
      <c r="AG1" s="2"/>
      <c r="AH1" s="2"/>
      <c r="AI1" s="2"/>
      <c r="AJ1" s="2"/>
    </row>
    <row r="2" spans="1:36" s="4" customFormat="1" ht="15" customHeight="1" x14ac:dyDescent="0.2">
      <c r="A2" s="3" t="s">
        <v>1</v>
      </c>
      <c r="B2" s="2">
        <v>2018</v>
      </c>
      <c r="C2" s="2">
        <v>2019</v>
      </c>
      <c r="D2" s="2">
        <v>2020</v>
      </c>
      <c r="E2" s="2">
        <v>2021</v>
      </c>
      <c r="F2" s="2">
        <v>2022</v>
      </c>
      <c r="G2" s="2">
        <v>2023</v>
      </c>
      <c r="H2" s="35" t="s">
        <v>67</v>
      </c>
      <c r="I2" s="30" t="s">
        <v>68</v>
      </c>
      <c r="J2" s="2">
        <v>2024</v>
      </c>
      <c r="K2" s="2">
        <v>2025</v>
      </c>
      <c r="L2" s="2"/>
      <c r="M2" s="2"/>
      <c r="N2" s="2"/>
      <c r="O2" s="2"/>
      <c r="P2" s="2"/>
      <c r="Q2" s="2"/>
      <c r="R2" s="2"/>
      <c r="S2" s="2"/>
      <c r="T2" s="2"/>
      <c r="U2" s="2"/>
      <c r="V2" s="2"/>
      <c r="W2" s="2"/>
      <c r="X2" s="2"/>
      <c r="Y2" s="2"/>
      <c r="Z2" s="2"/>
      <c r="AA2" s="2"/>
      <c r="AB2" s="2"/>
      <c r="AC2" s="2"/>
      <c r="AD2" s="2"/>
      <c r="AE2" s="2"/>
      <c r="AF2" s="2"/>
      <c r="AG2" s="2"/>
      <c r="AH2" s="2"/>
      <c r="AI2" s="2"/>
      <c r="AJ2" s="2"/>
    </row>
    <row r="3" spans="1:36" s="6" customFormat="1" x14ac:dyDescent="0.2">
      <c r="A3" s="7" t="e" vm="1">
        <v>#VALUE!</v>
      </c>
      <c r="B3" s="7"/>
      <c r="C3" s="7"/>
      <c r="D3" s="7"/>
      <c r="E3" s="7"/>
      <c r="F3" s="7"/>
      <c r="G3" s="7"/>
      <c r="H3" s="36"/>
      <c r="I3" s="31"/>
      <c r="J3" s="7"/>
      <c r="K3" s="7"/>
      <c r="L3" s="7"/>
      <c r="M3" s="7"/>
      <c r="N3" s="7"/>
      <c r="O3" s="7"/>
      <c r="P3" s="7"/>
      <c r="Q3" s="7"/>
      <c r="R3" s="7"/>
      <c r="S3" s="7"/>
      <c r="T3" s="7"/>
      <c r="U3" s="7"/>
      <c r="V3" s="7"/>
      <c r="W3" s="7"/>
      <c r="X3" s="7"/>
      <c r="Y3" s="7"/>
      <c r="Z3" s="7"/>
      <c r="AA3" s="7"/>
      <c r="AB3" s="7"/>
      <c r="AC3" s="7"/>
      <c r="AD3" s="7"/>
      <c r="AE3" s="7"/>
      <c r="AF3" s="7"/>
      <c r="AG3" s="7"/>
      <c r="AH3" s="7"/>
      <c r="AI3" s="7"/>
      <c r="AJ3" s="7"/>
    </row>
    <row r="4" spans="1:36" s="5" customFormat="1" x14ac:dyDescent="0.2">
      <c r="A4" s="8" cm="1">
        <f t="array" ref="A4">_FV(A3,"Price")</f>
        <v>51.37</v>
      </c>
      <c r="H4" s="37"/>
      <c r="I4" s="32"/>
    </row>
    <row r="5" spans="1:36" s="8" customFormat="1" x14ac:dyDescent="0.2">
      <c r="A5" s="10" t="s">
        <v>2</v>
      </c>
      <c r="B5" s="8">
        <v>39.979999999999997</v>
      </c>
      <c r="C5" s="8">
        <v>44.39</v>
      </c>
      <c r="D5" s="8">
        <v>65.22</v>
      </c>
      <c r="E5" s="8">
        <v>86.9</v>
      </c>
      <c r="F5" s="8">
        <v>65.290000000000006</v>
      </c>
      <c r="G5" s="8">
        <v>52.36</v>
      </c>
      <c r="H5" s="38">
        <f>(G5-F5)/F5</f>
        <v>-0.19803951600551395</v>
      </c>
      <c r="I5" s="33">
        <f>(G5-B5)/B5</f>
        <v>0.30965482741370692</v>
      </c>
    </row>
    <row r="6" spans="1:36" s="18" customFormat="1" x14ac:dyDescent="0.2">
      <c r="A6" s="10" t="s">
        <v>3</v>
      </c>
      <c r="B6" s="20">
        <v>36.200000000000003</v>
      </c>
      <c r="C6" s="20">
        <v>33.299999999999997</v>
      </c>
      <c r="D6" s="20">
        <v>33</v>
      </c>
      <c r="E6" s="20">
        <v>33.5</v>
      </c>
      <c r="F6" s="20">
        <v>33.5</v>
      </c>
      <c r="G6" s="20">
        <v>33.1</v>
      </c>
      <c r="H6" s="38">
        <f t="shared" ref="H6:H69" si="0">(G6-F6)/F6</f>
        <v>-1.1940298507462643E-2</v>
      </c>
      <c r="I6" s="33">
        <f t="shared" ref="I6:I69" si="1">(G6-B6)/B6</f>
        <v>-8.5635359116022131E-2</v>
      </c>
      <c r="J6" s="20"/>
      <c r="K6" s="20"/>
      <c r="L6" s="20"/>
      <c r="M6" s="20"/>
      <c r="N6" s="20"/>
      <c r="O6" s="20"/>
      <c r="P6" s="20"/>
      <c r="Q6" s="20"/>
      <c r="R6" s="20"/>
      <c r="S6" s="20"/>
      <c r="T6" s="20"/>
      <c r="U6" s="20"/>
      <c r="V6" s="20"/>
      <c r="W6" s="20"/>
      <c r="X6" s="20"/>
    </row>
    <row r="7" spans="1:36" s="18" customFormat="1" x14ac:dyDescent="0.2">
      <c r="A7" s="10" t="s">
        <v>4</v>
      </c>
      <c r="B7" s="20">
        <f t="shared" ref="B7:F7" si="2">B5*B6</f>
        <v>1447.2760000000001</v>
      </c>
      <c r="C7" s="20">
        <f t="shared" si="2"/>
        <v>1478.1869999999999</v>
      </c>
      <c r="D7" s="20">
        <f t="shared" si="2"/>
        <v>2152.2599999999998</v>
      </c>
      <c r="E7" s="20">
        <f t="shared" si="2"/>
        <v>2911.15</v>
      </c>
      <c r="F7" s="20">
        <f t="shared" si="2"/>
        <v>2187.2150000000001</v>
      </c>
      <c r="G7" s="20">
        <f>G5*G6</f>
        <v>1733.116</v>
      </c>
      <c r="H7" s="38">
        <f t="shared" si="0"/>
        <v>-0.20761516357559734</v>
      </c>
      <c r="I7" s="33">
        <f t="shared" si="1"/>
        <v>0.19750206595010206</v>
      </c>
      <c r="J7" s="20"/>
      <c r="K7" s="20"/>
      <c r="L7" s="20"/>
      <c r="M7" s="20"/>
      <c r="N7" s="20"/>
      <c r="O7" s="20"/>
      <c r="P7" s="20"/>
      <c r="Q7" s="20"/>
      <c r="R7" s="20"/>
      <c r="S7" s="20"/>
      <c r="T7" s="20"/>
      <c r="U7" s="20"/>
      <c r="V7" s="20"/>
      <c r="W7" s="20"/>
      <c r="X7" s="20"/>
    </row>
    <row r="8" spans="1:36" s="18" customFormat="1" x14ac:dyDescent="0.2">
      <c r="A8" s="10" t="s">
        <v>5</v>
      </c>
      <c r="B8" s="20">
        <f t="shared" ref="B8:F8" si="3">B46</f>
        <v>39.6</v>
      </c>
      <c r="C8" s="20">
        <f>C47</f>
        <v>159.69999999999999</v>
      </c>
      <c r="D8" s="20">
        <f t="shared" si="3"/>
        <v>268.33999999999997</v>
      </c>
      <c r="E8" s="20">
        <f t="shared" si="3"/>
        <v>190.6</v>
      </c>
      <c r="F8" s="20">
        <f t="shared" si="3"/>
        <v>153.9</v>
      </c>
      <c r="G8" s="20">
        <f>G46</f>
        <v>149.69999999999999</v>
      </c>
      <c r="H8" s="38">
        <f t="shared" si="0"/>
        <v>-2.7290448343080032E-2</v>
      </c>
      <c r="I8" s="33">
        <f t="shared" si="1"/>
        <v>2.7803030303030303</v>
      </c>
      <c r="J8" s="20"/>
      <c r="K8" s="20"/>
      <c r="L8" s="20"/>
      <c r="M8" s="20"/>
      <c r="N8" s="20"/>
      <c r="O8" s="20"/>
      <c r="P8" s="20"/>
      <c r="Q8" s="20"/>
      <c r="R8" s="20"/>
      <c r="S8" s="20"/>
      <c r="T8" s="20"/>
      <c r="U8" s="20"/>
      <c r="V8" s="20"/>
      <c r="W8" s="20"/>
      <c r="X8" s="20"/>
    </row>
    <row r="9" spans="1:36" s="18" customFormat="1" x14ac:dyDescent="0.2">
      <c r="A9" s="10" t="s">
        <v>6</v>
      </c>
      <c r="B9" s="20">
        <f t="shared" ref="B9:F9" si="4">B63+B66</f>
        <v>139.9</v>
      </c>
      <c r="C9" s="20">
        <f t="shared" si="4"/>
        <v>80.62</v>
      </c>
      <c r="D9" s="20">
        <f t="shared" si="4"/>
        <v>192.43</v>
      </c>
      <c r="E9" s="20">
        <f t="shared" si="4"/>
        <v>38.799999999999997</v>
      </c>
      <c r="F9" s="20">
        <f t="shared" si="4"/>
        <v>235.09</v>
      </c>
      <c r="G9" s="20">
        <f>G63+G66</f>
        <v>222.79999999999998</v>
      </c>
      <c r="H9" s="38">
        <f t="shared" si="0"/>
        <v>-5.227785103577362E-2</v>
      </c>
      <c r="I9" s="33">
        <f t="shared" si="1"/>
        <v>0.59256611865618281</v>
      </c>
      <c r="J9" s="20"/>
      <c r="K9" s="20"/>
      <c r="L9" s="20"/>
      <c r="M9" s="20"/>
      <c r="N9" s="20"/>
      <c r="O9" s="20"/>
      <c r="P9" s="20"/>
      <c r="Q9" s="20"/>
      <c r="R9" s="20"/>
      <c r="S9" s="20"/>
      <c r="T9" s="20"/>
      <c r="U9" s="20"/>
      <c r="V9" s="20"/>
      <c r="W9" s="20"/>
      <c r="X9" s="20"/>
    </row>
    <row r="10" spans="1:36" x14ac:dyDescent="0.2">
      <c r="A10" s="9"/>
      <c r="B10" s="20"/>
      <c r="C10" s="20"/>
      <c r="D10" s="20"/>
      <c r="E10" s="20"/>
      <c r="F10" s="20"/>
      <c r="G10" s="20"/>
      <c r="H10" s="38"/>
      <c r="I10" s="33"/>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row>
    <row r="11" spans="1:36" x14ac:dyDescent="0.2">
      <c r="A11" s="11" t="s">
        <v>7</v>
      </c>
      <c r="B11" s="20"/>
      <c r="C11" s="20"/>
      <c r="D11" s="20"/>
      <c r="E11" s="20"/>
      <c r="F11" s="20"/>
      <c r="G11" s="20"/>
      <c r="H11" s="38"/>
      <c r="I11" s="33"/>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row>
    <row r="12" spans="1:36" x14ac:dyDescent="0.2">
      <c r="A12" s="9" t="s">
        <v>8</v>
      </c>
      <c r="B12" s="20">
        <v>373.94</v>
      </c>
      <c r="C12" s="20">
        <v>359.4</v>
      </c>
      <c r="D12" s="20">
        <v>342.55</v>
      </c>
      <c r="E12" s="20">
        <v>393.8</v>
      </c>
      <c r="F12" s="20">
        <v>426.04599999999999</v>
      </c>
      <c r="G12" s="20">
        <v>482.66</v>
      </c>
      <c r="H12" s="38">
        <f t="shared" si="0"/>
        <v>0.13288236481506699</v>
      </c>
      <c r="I12" s="33">
        <f t="shared" si="1"/>
        <v>0.29074183024014555</v>
      </c>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row>
    <row r="13" spans="1:36" x14ac:dyDescent="0.2">
      <c r="A13" s="9" t="s">
        <v>9</v>
      </c>
      <c r="B13" s="20">
        <v>305.33</v>
      </c>
      <c r="C13" s="20">
        <v>284.2</v>
      </c>
      <c r="D13" s="20">
        <v>249.66</v>
      </c>
      <c r="E13" s="20">
        <v>270.10000000000002</v>
      </c>
      <c r="F13" s="20">
        <v>283.97000000000003</v>
      </c>
      <c r="G13" s="20">
        <v>308.60000000000002</v>
      </c>
      <c r="H13" s="38">
        <f t="shared" si="0"/>
        <v>8.6734514209247437E-2</v>
      </c>
      <c r="I13" s="33">
        <f t="shared" si="1"/>
        <v>1.0709723905282936E-2</v>
      </c>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row>
    <row r="14" spans="1:36" x14ac:dyDescent="0.2">
      <c r="A14" s="9" t="s">
        <v>10</v>
      </c>
      <c r="B14" s="20">
        <v>69.84</v>
      </c>
      <c r="C14" s="20">
        <v>65.400000000000006</v>
      </c>
      <c r="D14" s="20">
        <v>76.3</v>
      </c>
      <c r="E14" s="20">
        <v>102.5</v>
      </c>
      <c r="F14" s="20">
        <v>120.9</v>
      </c>
      <c r="G14" s="20">
        <v>153.94</v>
      </c>
      <c r="H14" s="38">
        <f t="shared" si="0"/>
        <v>0.27328370554177001</v>
      </c>
      <c r="I14" s="33">
        <f t="shared" si="1"/>
        <v>1.2041809851088201</v>
      </c>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row>
    <row r="15" spans="1:36" x14ac:dyDescent="0.2">
      <c r="A15" s="9" t="s">
        <v>11</v>
      </c>
      <c r="B15" s="20">
        <v>0</v>
      </c>
      <c r="C15" s="20">
        <v>0</v>
      </c>
      <c r="D15" s="20">
        <v>0</v>
      </c>
      <c r="E15" s="20">
        <v>0</v>
      </c>
      <c r="F15" s="20">
        <v>56.98</v>
      </c>
      <c r="G15" s="20">
        <v>144.9</v>
      </c>
      <c r="H15" s="38">
        <f t="shared" si="0"/>
        <v>1.5429975429975433</v>
      </c>
      <c r="I15" s="33" t="e">
        <f t="shared" si="1"/>
        <v>#DIV/0!</v>
      </c>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row>
    <row r="16" spans="1:36" x14ac:dyDescent="0.2">
      <c r="A16" s="14" t="s">
        <v>12</v>
      </c>
      <c r="B16" s="20">
        <v>0</v>
      </c>
      <c r="C16" s="20">
        <v>0</v>
      </c>
      <c r="D16" s="20">
        <v>0</v>
      </c>
      <c r="E16" s="20">
        <v>0</v>
      </c>
      <c r="F16" s="20">
        <v>41.98</v>
      </c>
      <c r="G16" s="20">
        <v>106.3</v>
      </c>
      <c r="H16" s="38">
        <f t="shared" si="0"/>
        <v>1.5321581705574083</v>
      </c>
      <c r="I16" s="33" t="e">
        <f t="shared" si="1"/>
        <v>#DIV/0!</v>
      </c>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row>
    <row r="17" spans="1:9" x14ac:dyDescent="0.2">
      <c r="A17" s="14" t="s">
        <v>13</v>
      </c>
      <c r="B17" s="21">
        <v>98.93</v>
      </c>
      <c r="C17" s="21">
        <v>88</v>
      </c>
      <c r="D17" s="21">
        <v>73.989999999999995</v>
      </c>
      <c r="E17" s="21">
        <v>84.11</v>
      </c>
      <c r="F17" s="21">
        <v>76.959999999999994</v>
      </c>
      <c r="G17" s="21">
        <v>79.989999999999995</v>
      </c>
      <c r="H17" s="38">
        <f t="shared" si="0"/>
        <v>3.9371101871101891E-2</v>
      </c>
      <c r="I17" s="33">
        <f t="shared" si="1"/>
        <v>-0.1914484989386436</v>
      </c>
    </row>
    <row r="18" spans="1:9" x14ac:dyDescent="0.2">
      <c r="A18" s="14" t="s">
        <v>14</v>
      </c>
      <c r="B18" s="21">
        <v>28.5</v>
      </c>
      <c r="C18" s="21">
        <v>41.5</v>
      </c>
      <c r="D18" s="21">
        <v>50.9</v>
      </c>
      <c r="E18" s="21">
        <v>69.599999999999994</v>
      </c>
      <c r="F18" s="21">
        <v>71.900000000000006</v>
      </c>
      <c r="G18" s="21">
        <v>75.48</v>
      </c>
      <c r="H18" s="38">
        <f t="shared" si="0"/>
        <v>4.9791376912378275E-2</v>
      </c>
      <c r="I18" s="33">
        <f t="shared" si="1"/>
        <v>1.648421052631579</v>
      </c>
    </row>
    <row r="19" spans="1:9" x14ac:dyDescent="0.2">
      <c r="A19" s="14" t="s">
        <v>15</v>
      </c>
      <c r="B19" s="21">
        <v>56.8</v>
      </c>
      <c r="C19" s="21">
        <v>47.54</v>
      </c>
      <c r="D19" s="21">
        <v>53.23</v>
      </c>
      <c r="E19" s="21">
        <v>51.648000000000003</v>
      </c>
      <c r="F19" s="21">
        <v>44.1</v>
      </c>
      <c r="G19" s="21">
        <v>40.4</v>
      </c>
      <c r="H19" s="38">
        <f t="shared" si="0"/>
        <v>-8.3900226757369675E-2</v>
      </c>
      <c r="I19" s="33">
        <f t="shared" si="1"/>
        <v>-0.28873239436619719</v>
      </c>
    </row>
    <row r="20" spans="1:9" x14ac:dyDescent="0.2">
      <c r="A20" s="14" t="s">
        <v>16</v>
      </c>
      <c r="B20" s="21">
        <v>24.5</v>
      </c>
      <c r="C20" s="21">
        <v>34.200000000000003</v>
      </c>
      <c r="D20" s="21">
        <v>23.4</v>
      </c>
      <c r="E20" s="21">
        <v>32.9</v>
      </c>
      <c r="F20" s="21">
        <v>38.700000000000003</v>
      </c>
      <c r="G20" s="21">
        <v>30.7</v>
      </c>
      <c r="H20" s="38">
        <f t="shared" si="0"/>
        <v>-0.20671834625323005</v>
      </c>
      <c r="I20" s="33">
        <f t="shared" si="1"/>
        <v>0.2530612244897959</v>
      </c>
    </row>
    <row r="21" spans="1:9" s="22" customFormat="1" x14ac:dyDescent="0.2">
      <c r="A21" s="15" t="s">
        <v>17</v>
      </c>
      <c r="B21" s="22">
        <f t="shared" ref="B21:E21" si="5">SUM(B12:B20)</f>
        <v>957.83999999999992</v>
      </c>
      <c r="C21" s="22">
        <f t="shared" si="5"/>
        <v>920.2399999999999</v>
      </c>
      <c r="D21" s="22">
        <f t="shared" si="5"/>
        <v>870.03</v>
      </c>
      <c r="E21" s="22">
        <f t="shared" si="5"/>
        <v>1004.6580000000001</v>
      </c>
      <c r="F21" s="22">
        <f>SUM(F12:F20)</f>
        <v>1161.5360000000001</v>
      </c>
      <c r="G21" s="22">
        <f>SUM(G12:G20)</f>
        <v>1422.9700000000003</v>
      </c>
      <c r="H21" s="38">
        <f t="shared" si="0"/>
        <v>0.22507610612154955</v>
      </c>
      <c r="I21" s="33">
        <f t="shared" si="1"/>
        <v>0.48560302346947337</v>
      </c>
    </row>
    <row r="22" spans="1:9" s="22" customFormat="1" x14ac:dyDescent="0.2">
      <c r="A22" s="15" t="s">
        <v>18</v>
      </c>
      <c r="B22" s="22">
        <v>30.1</v>
      </c>
      <c r="C22" s="22">
        <v>36.9</v>
      </c>
      <c r="D22" s="22">
        <v>43.1</v>
      </c>
      <c r="E22" s="22">
        <v>41.5</v>
      </c>
      <c r="F22" s="22">
        <v>43</v>
      </c>
      <c r="G22" s="22">
        <v>46.12</v>
      </c>
      <c r="H22" s="38">
        <f t="shared" si="0"/>
        <v>7.2558139534883659E-2</v>
      </c>
      <c r="I22" s="33">
        <f t="shared" si="1"/>
        <v>0.53222591362126226</v>
      </c>
    </row>
    <row r="23" spans="1:9" s="22" customFormat="1" x14ac:dyDescent="0.2">
      <c r="A23" s="17" t="s">
        <v>19</v>
      </c>
      <c r="B23" s="22">
        <f>SUM(B21:B22)+19.5+41.1</f>
        <v>1048.54</v>
      </c>
      <c r="C23" s="22">
        <f>SUM(C21:C22)+14.6</f>
        <v>971.7399999999999</v>
      </c>
      <c r="D23" s="22">
        <f t="shared" ref="D23:E23" si="6">SUM(D21:D22)</f>
        <v>913.13</v>
      </c>
      <c r="E23" s="22">
        <f t="shared" si="6"/>
        <v>1046.1580000000001</v>
      </c>
      <c r="F23" s="22">
        <f>SUM(F21:F22)</f>
        <v>1204.5360000000001</v>
      </c>
      <c r="G23" s="22">
        <f>SUM(G21:G22)</f>
        <v>1469.0900000000001</v>
      </c>
      <c r="H23" s="38">
        <f t="shared" si="0"/>
        <v>0.2196314597488162</v>
      </c>
      <c r="I23" s="33">
        <f t="shared" si="1"/>
        <v>0.40108150380529134</v>
      </c>
    </row>
    <row r="24" spans="1:9" x14ac:dyDescent="0.2">
      <c r="H24" s="38"/>
      <c r="I24" s="33"/>
    </row>
    <row r="25" spans="1:9" s="22" customFormat="1" x14ac:dyDescent="0.2">
      <c r="A25" s="16" t="s">
        <v>20</v>
      </c>
      <c r="B25" s="22">
        <v>743.64700000000005</v>
      </c>
      <c r="C25" s="22">
        <v>683.34900000000005</v>
      </c>
      <c r="D25" s="22">
        <v>644.99</v>
      </c>
      <c r="E25" s="22">
        <v>742.5</v>
      </c>
      <c r="F25" s="22">
        <v>931</v>
      </c>
      <c r="G25" s="22">
        <v>1117.45</v>
      </c>
      <c r="H25" s="38">
        <f t="shared" si="0"/>
        <v>0.20026852846401724</v>
      </c>
      <c r="I25" s="33">
        <f t="shared" si="1"/>
        <v>0.50266188124204092</v>
      </c>
    </row>
    <row r="26" spans="1:9" x14ac:dyDescent="0.2">
      <c r="H26" s="38"/>
      <c r="I26" s="33"/>
    </row>
    <row r="27" spans="1:9" x14ac:dyDescent="0.2">
      <c r="A27" s="16" t="s">
        <v>21</v>
      </c>
      <c r="H27" s="38"/>
      <c r="I27" s="33"/>
    </row>
    <row r="28" spans="1:9" x14ac:dyDescent="0.2">
      <c r="A28" s="12" t="s">
        <v>22</v>
      </c>
      <c r="B28" s="21">
        <v>79.900000000000006</v>
      </c>
      <c r="C28" s="21">
        <v>72.5</v>
      </c>
      <c r="D28" s="21">
        <v>68</v>
      </c>
      <c r="E28" s="21">
        <v>75.2</v>
      </c>
      <c r="F28" s="21">
        <v>85.7</v>
      </c>
      <c r="G28" s="21">
        <v>94.35</v>
      </c>
      <c r="H28" s="38">
        <f t="shared" si="0"/>
        <v>0.10093348891481903</v>
      </c>
      <c r="I28" s="33">
        <f t="shared" si="1"/>
        <v>0.18085106382978708</v>
      </c>
    </row>
    <row r="29" spans="1:9" x14ac:dyDescent="0.2">
      <c r="A29" s="12" t="s">
        <v>23</v>
      </c>
      <c r="B29" s="21">
        <v>137.4</v>
      </c>
      <c r="C29" s="21">
        <v>118.68</v>
      </c>
      <c r="D29" s="21">
        <v>105.04</v>
      </c>
      <c r="E29" s="21">
        <v>109.55</v>
      </c>
      <c r="F29" s="21">
        <v>132.69999999999999</v>
      </c>
      <c r="G29" s="21">
        <v>155.6</v>
      </c>
      <c r="H29" s="38">
        <f t="shared" si="0"/>
        <v>0.17256970610399402</v>
      </c>
      <c r="I29" s="33">
        <f t="shared" si="1"/>
        <v>0.13245997088791839</v>
      </c>
    </row>
    <row r="30" spans="1:9" x14ac:dyDescent="0.2">
      <c r="A30" s="12" t="s">
        <v>24</v>
      </c>
      <c r="B30" s="21">
        <v>0</v>
      </c>
      <c r="C30" s="21">
        <v>0</v>
      </c>
      <c r="D30" s="21">
        <v>0</v>
      </c>
      <c r="E30" s="21">
        <v>0</v>
      </c>
      <c r="F30" s="21">
        <v>0</v>
      </c>
      <c r="G30" s="21">
        <v>19.5</v>
      </c>
      <c r="H30" s="38" t="e">
        <f t="shared" si="0"/>
        <v>#DIV/0!</v>
      </c>
      <c r="I30" s="33" t="e">
        <f t="shared" si="1"/>
        <v>#DIV/0!</v>
      </c>
    </row>
    <row r="31" spans="1:9" ht="25.5" x14ac:dyDescent="0.2">
      <c r="A31" s="23" t="s">
        <v>25</v>
      </c>
      <c r="B31" s="20">
        <v>0</v>
      </c>
      <c r="C31" s="21">
        <v>0</v>
      </c>
      <c r="D31" s="21">
        <v>0</v>
      </c>
      <c r="E31" s="21">
        <v>0</v>
      </c>
      <c r="F31" s="21">
        <v>0.6</v>
      </c>
      <c r="G31" s="21">
        <v>4.7</v>
      </c>
      <c r="H31" s="38">
        <f t="shared" si="0"/>
        <v>6.8333333333333348</v>
      </c>
      <c r="I31" s="33" t="e">
        <f t="shared" si="1"/>
        <v>#DIV/0!</v>
      </c>
    </row>
    <row r="32" spans="1:9" x14ac:dyDescent="0.2">
      <c r="A32" s="12" t="s">
        <v>26</v>
      </c>
      <c r="B32" s="21">
        <v>14.7</v>
      </c>
      <c r="C32" s="21">
        <v>12.9</v>
      </c>
      <c r="D32" s="21">
        <v>5.8</v>
      </c>
      <c r="E32" s="21">
        <v>3.9</v>
      </c>
      <c r="F32" s="21">
        <v>6.3</v>
      </c>
      <c r="G32" s="21">
        <v>0</v>
      </c>
      <c r="H32" s="38">
        <f t="shared" si="0"/>
        <v>-1</v>
      </c>
      <c r="I32" s="33">
        <f t="shared" si="1"/>
        <v>-1</v>
      </c>
    </row>
    <row r="33" spans="1:9" s="22" customFormat="1" x14ac:dyDescent="0.2">
      <c r="A33" s="24" t="s">
        <v>27</v>
      </c>
      <c r="B33" s="22">
        <f t="shared" ref="B33:E33" si="7">SUM(B28:B32)</f>
        <v>232</v>
      </c>
      <c r="C33" s="22">
        <f t="shared" si="7"/>
        <v>204.08</v>
      </c>
      <c r="D33" s="22">
        <f t="shared" si="7"/>
        <v>178.84000000000003</v>
      </c>
      <c r="E33" s="22">
        <f t="shared" si="7"/>
        <v>188.65</v>
      </c>
      <c r="F33" s="22">
        <f>SUM(F28:F32)</f>
        <v>225.29999999999998</v>
      </c>
      <c r="G33" s="22">
        <f>SUM(G28:G32)</f>
        <v>274.14999999999998</v>
      </c>
      <c r="H33" s="38">
        <f t="shared" si="0"/>
        <v>0.21682201509098978</v>
      </c>
      <c r="I33" s="33">
        <f t="shared" si="1"/>
        <v>0.18168103448275852</v>
      </c>
    </row>
    <row r="34" spans="1:9" x14ac:dyDescent="0.2">
      <c r="H34" s="38"/>
      <c r="I34" s="33"/>
    </row>
    <row r="35" spans="1:9" x14ac:dyDescent="0.2">
      <c r="A35" s="13" t="s">
        <v>28</v>
      </c>
      <c r="B35" s="21">
        <f t="shared" ref="B35:E35" si="8">B23-B25-B33</f>
        <v>72.892999999999915</v>
      </c>
      <c r="C35" s="21">
        <f t="shared" si="8"/>
        <v>84.310999999999837</v>
      </c>
      <c r="D35" s="21">
        <f t="shared" si="8"/>
        <v>89.299999999999955</v>
      </c>
      <c r="E35" s="21">
        <f t="shared" si="8"/>
        <v>115.00800000000012</v>
      </c>
      <c r="F35" s="21">
        <f>F23-F25-F33</f>
        <v>48.236000000000075</v>
      </c>
      <c r="G35" s="21">
        <f>G23-G25-G33</f>
        <v>77.490000000000123</v>
      </c>
      <c r="H35" s="38">
        <f t="shared" si="0"/>
        <v>0.60647649058794262</v>
      </c>
      <c r="I35" s="33">
        <f t="shared" si="1"/>
        <v>6.3065040538874961E-2</v>
      </c>
    </row>
    <row r="36" spans="1:9" x14ac:dyDescent="0.2">
      <c r="A36" s="13" t="s">
        <v>29</v>
      </c>
      <c r="B36" s="21">
        <v>-4.9000000000000004</v>
      </c>
      <c r="C36" s="21">
        <v>-4.8</v>
      </c>
      <c r="D36" s="21">
        <v>-4.5999999999999996</v>
      </c>
      <c r="E36" s="21">
        <v>-2.8</v>
      </c>
      <c r="F36" s="21">
        <v>-4.3</v>
      </c>
      <c r="G36" s="21">
        <v>-14.6</v>
      </c>
      <c r="H36" s="38">
        <f t="shared" si="0"/>
        <v>2.3953488372093026</v>
      </c>
      <c r="I36" s="33">
        <f t="shared" si="1"/>
        <v>1.9795918367346936</v>
      </c>
    </row>
    <row r="37" spans="1:9" x14ac:dyDescent="0.2">
      <c r="A37" s="13" t="s">
        <v>30</v>
      </c>
      <c r="B37" s="21">
        <v>0.6</v>
      </c>
      <c r="C37" s="21">
        <v>2.2999999999999998</v>
      </c>
      <c r="D37" s="21">
        <v>-5.4</v>
      </c>
      <c r="E37" s="21">
        <v>1.5</v>
      </c>
      <c r="F37" s="21">
        <v>-6.8</v>
      </c>
      <c r="G37" s="21">
        <v>-5.9</v>
      </c>
      <c r="H37" s="38">
        <f t="shared" si="0"/>
        <v>-0.13235294117647051</v>
      </c>
      <c r="I37" s="33">
        <f t="shared" si="1"/>
        <v>-10.833333333333334</v>
      </c>
    </row>
    <row r="38" spans="1:9" hidden="1" x14ac:dyDescent="0.2">
      <c r="A38" s="13" t="s">
        <v>65</v>
      </c>
      <c r="B38" s="21">
        <v>-11.5</v>
      </c>
      <c r="C38" s="21">
        <v>-22.8</v>
      </c>
      <c r="D38" s="21">
        <v>0</v>
      </c>
      <c r="E38" s="21">
        <v>0</v>
      </c>
      <c r="F38" s="21">
        <v>0</v>
      </c>
      <c r="G38" s="21">
        <v>0</v>
      </c>
      <c r="H38" s="38" t="e">
        <f t="shared" si="0"/>
        <v>#DIV/0!</v>
      </c>
      <c r="I38" s="33">
        <f t="shared" si="1"/>
        <v>-1</v>
      </c>
    </row>
    <row r="39" spans="1:9" x14ac:dyDescent="0.2">
      <c r="A39" s="13" t="s">
        <v>31</v>
      </c>
      <c r="B39" s="21">
        <v>1.1000000000000001</v>
      </c>
      <c r="C39" s="21">
        <v>0.1</v>
      </c>
      <c r="D39" s="21">
        <v>2.33</v>
      </c>
      <c r="E39" s="21">
        <v>0.1</v>
      </c>
      <c r="F39" s="21">
        <v>1.147</v>
      </c>
      <c r="G39" s="21">
        <v>-1.92</v>
      </c>
      <c r="H39" s="38">
        <f t="shared" si="0"/>
        <v>-2.6739319965126418</v>
      </c>
      <c r="I39" s="33">
        <f t="shared" si="1"/>
        <v>-2.7454545454545451</v>
      </c>
    </row>
    <row r="40" spans="1:9" x14ac:dyDescent="0.2">
      <c r="A40" s="12" t="s">
        <v>32</v>
      </c>
      <c r="B40" s="21">
        <f t="shared" ref="B40:E40" si="9">SUM(B35:B39)</f>
        <v>58.192999999999905</v>
      </c>
      <c r="C40" s="21">
        <f t="shared" si="9"/>
        <v>59.110999999999841</v>
      </c>
      <c r="D40" s="21">
        <f t="shared" si="9"/>
        <v>81.629999999999953</v>
      </c>
      <c r="E40" s="21">
        <f t="shared" si="9"/>
        <v>113.80800000000012</v>
      </c>
      <c r="F40" s="21">
        <f>SUM(F35:F39)</f>
        <v>38.283000000000079</v>
      </c>
      <c r="G40" s="21">
        <f>SUM(G35:G39)</f>
        <v>55.070000000000121</v>
      </c>
      <c r="H40" s="38">
        <f t="shared" si="0"/>
        <v>0.43849750542016058</v>
      </c>
      <c r="I40" s="33">
        <f t="shared" si="1"/>
        <v>-5.3666248517859352E-2</v>
      </c>
    </row>
    <row r="41" spans="1:9" x14ac:dyDescent="0.2">
      <c r="A41" s="12" t="s">
        <v>33</v>
      </c>
      <c r="B41" s="21">
        <v>16.2</v>
      </c>
      <c r="C41" s="21">
        <v>21.64</v>
      </c>
      <c r="D41" s="21">
        <v>21.9</v>
      </c>
      <c r="E41" s="21">
        <v>20.41</v>
      </c>
      <c r="F41" s="21">
        <v>13.9</v>
      </c>
      <c r="G41" s="21">
        <v>14.6</v>
      </c>
      <c r="H41" s="38">
        <f t="shared" si="0"/>
        <v>5.0359712230215778E-2</v>
      </c>
      <c r="I41" s="33">
        <f t="shared" si="1"/>
        <v>-9.8765432098765413E-2</v>
      </c>
    </row>
    <row r="42" spans="1:9" s="22" customFormat="1" x14ac:dyDescent="0.2">
      <c r="A42" s="24" t="s">
        <v>34</v>
      </c>
      <c r="B42" s="22">
        <f t="shared" ref="B42" si="10">B40-B41</f>
        <v>41.99299999999991</v>
      </c>
      <c r="C42" s="22">
        <f t="shared" ref="C42" si="11">C40-C41</f>
        <v>37.47099999999984</v>
      </c>
      <c r="D42" s="22">
        <f t="shared" ref="D42" si="12">D40-D41</f>
        <v>59.729999999999954</v>
      </c>
      <c r="E42" s="22">
        <f>E40-E41</f>
        <v>93.398000000000124</v>
      </c>
      <c r="F42" s="22">
        <f>F40-F41</f>
        <v>24.383000000000081</v>
      </c>
      <c r="G42" s="22">
        <f>G40-G41</f>
        <v>40.47000000000012</v>
      </c>
      <c r="H42" s="38">
        <f t="shared" si="0"/>
        <v>0.65976294959602944</v>
      </c>
      <c r="I42" s="33">
        <f t="shared" si="1"/>
        <v>-3.626794942013653E-2</v>
      </c>
    </row>
    <row r="43" spans="1:9" x14ac:dyDescent="0.2">
      <c r="H43" s="38"/>
      <c r="I43" s="33"/>
    </row>
    <row r="44" spans="1:9" x14ac:dyDescent="0.2">
      <c r="A44" s="16" t="s">
        <v>35</v>
      </c>
      <c r="H44" s="38"/>
      <c r="I44" s="33"/>
    </row>
    <row r="45" spans="1:9" x14ac:dyDescent="0.2">
      <c r="A45" s="17" t="s">
        <v>36</v>
      </c>
      <c r="H45" s="38"/>
      <c r="I45" s="33"/>
    </row>
    <row r="46" spans="1:9" x14ac:dyDescent="0.2">
      <c r="A46" s="25" t="s">
        <v>5</v>
      </c>
      <c r="B46" s="21">
        <v>39.6</v>
      </c>
      <c r="C46" s="21">
        <v>52.9</v>
      </c>
      <c r="D46" s="21">
        <v>268.33999999999997</v>
      </c>
      <c r="E46" s="21">
        <v>190.6</v>
      </c>
      <c r="F46" s="21">
        <v>153.9</v>
      </c>
      <c r="G46" s="21">
        <v>149.69999999999999</v>
      </c>
      <c r="H46" s="38">
        <f t="shared" si="0"/>
        <v>-2.7290448343080032E-2</v>
      </c>
      <c r="I46" s="33">
        <f t="shared" si="1"/>
        <v>2.7803030303030303</v>
      </c>
    </row>
    <row r="47" spans="1:9" x14ac:dyDescent="0.2">
      <c r="A47" s="25" t="s">
        <v>37</v>
      </c>
      <c r="B47" s="21">
        <v>166.9</v>
      </c>
      <c r="C47" s="21">
        <v>159.69999999999999</v>
      </c>
      <c r="D47" s="21">
        <v>211.7</v>
      </c>
      <c r="E47" s="21">
        <v>182.98</v>
      </c>
      <c r="F47" s="21">
        <v>247.1</v>
      </c>
      <c r="G47" s="21">
        <v>253.6</v>
      </c>
      <c r="H47" s="38">
        <f t="shared" si="0"/>
        <v>2.6305139619587213E-2</v>
      </c>
      <c r="I47" s="33">
        <f t="shared" si="1"/>
        <v>0.51947273816656669</v>
      </c>
    </row>
    <row r="48" spans="1:9" x14ac:dyDescent="0.2">
      <c r="A48" s="25" t="s">
        <v>38</v>
      </c>
      <c r="B48" s="21">
        <v>112.5</v>
      </c>
      <c r="C48" s="21">
        <v>118.5</v>
      </c>
      <c r="D48" s="21">
        <v>122.4</v>
      </c>
      <c r="E48" s="21">
        <v>159.5</v>
      </c>
      <c r="F48" s="21">
        <v>218.24799999999999</v>
      </c>
      <c r="G48" s="21">
        <v>205.9</v>
      </c>
      <c r="H48" s="38">
        <f t="shared" si="0"/>
        <v>-5.6577838055789677E-2</v>
      </c>
      <c r="I48" s="33">
        <f t="shared" si="1"/>
        <v>0.83022222222222231</v>
      </c>
    </row>
    <row r="49" spans="1:9" x14ac:dyDescent="0.2">
      <c r="A49" s="25" t="s">
        <v>16</v>
      </c>
      <c r="B49" s="20">
        <f>54.4+69.7</f>
        <v>124.1</v>
      </c>
      <c r="C49" s="21">
        <v>42.7</v>
      </c>
      <c r="D49" s="21">
        <v>41.2</v>
      </c>
      <c r="E49" s="21">
        <v>32.799999999999997</v>
      </c>
      <c r="F49" s="21">
        <v>64.599999999999994</v>
      </c>
      <c r="G49" s="21">
        <v>78.400000000000006</v>
      </c>
      <c r="H49" s="38">
        <f t="shared" si="0"/>
        <v>0.21362229102167202</v>
      </c>
      <c r="I49" s="33">
        <f t="shared" si="1"/>
        <v>-0.36825141015310225</v>
      </c>
    </row>
    <row r="50" spans="1:9" s="22" customFormat="1" x14ac:dyDescent="0.2">
      <c r="A50" s="26" t="s">
        <v>39</v>
      </c>
      <c r="B50" s="22">
        <f t="shared" ref="B50:C50" si="13">SUM(B46:B49)</f>
        <v>443.1</v>
      </c>
      <c r="C50" s="22">
        <f t="shared" si="13"/>
        <v>373.8</v>
      </c>
      <c r="D50" s="22">
        <f>SUM(D46:D49)</f>
        <v>643.64</v>
      </c>
      <c r="E50" s="22">
        <f>SUM(E46:E49)</f>
        <v>565.87999999999988</v>
      </c>
      <c r="F50" s="22">
        <f>SUM(F46:F49)</f>
        <v>683.84800000000007</v>
      </c>
      <c r="G50" s="22">
        <f>SUM(G46:G49)</f>
        <v>687.59999999999991</v>
      </c>
      <c r="H50" s="38">
        <f t="shared" si="0"/>
        <v>5.4865993612613307E-3</v>
      </c>
      <c r="I50" s="33">
        <f t="shared" si="1"/>
        <v>0.5517941773865942</v>
      </c>
    </row>
    <row r="51" spans="1:9" x14ac:dyDescent="0.2">
      <c r="A51" s="12" t="s">
        <v>40</v>
      </c>
      <c r="B51" s="21">
        <v>171.4</v>
      </c>
      <c r="C51" s="21">
        <v>160.6</v>
      </c>
      <c r="D51" s="21">
        <v>152.6</v>
      </c>
      <c r="E51" s="21">
        <v>155.30000000000001</v>
      </c>
      <c r="F51" s="21">
        <v>244.5</v>
      </c>
      <c r="G51" s="21">
        <v>245.23</v>
      </c>
      <c r="H51" s="38">
        <f t="shared" si="0"/>
        <v>2.9856850715746005E-3</v>
      </c>
      <c r="I51" s="33">
        <f t="shared" si="1"/>
        <v>0.43074679113185521</v>
      </c>
    </row>
    <row r="52" spans="1:9" x14ac:dyDescent="0.2">
      <c r="A52" s="12" t="s">
        <v>41</v>
      </c>
      <c r="B52" s="21">
        <v>55.3</v>
      </c>
      <c r="C52" s="21">
        <v>64.599999999999994</v>
      </c>
      <c r="D52" s="21">
        <v>68</v>
      </c>
      <c r="E52" s="21">
        <v>66</v>
      </c>
      <c r="F52" s="21">
        <v>119.77</v>
      </c>
      <c r="G52" s="21">
        <v>104.1</v>
      </c>
      <c r="H52" s="38">
        <f t="shared" si="0"/>
        <v>-0.13083409868915424</v>
      </c>
      <c r="I52" s="33">
        <f t="shared" si="1"/>
        <v>0.88245931283905965</v>
      </c>
    </row>
    <row r="53" spans="1:9" x14ac:dyDescent="0.2">
      <c r="A53" s="12" t="s">
        <v>42</v>
      </c>
      <c r="B53" s="21">
        <v>56.4</v>
      </c>
      <c r="C53" s="21">
        <v>49.8</v>
      </c>
      <c r="D53" s="21">
        <v>46.4</v>
      </c>
      <c r="E53" s="21">
        <v>37.6</v>
      </c>
      <c r="F53" s="21">
        <v>73.930000000000007</v>
      </c>
      <c r="G53" s="21">
        <v>66.5</v>
      </c>
      <c r="H53" s="38">
        <f t="shared" si="0"/>
        <v>-0.10050047342080355</v>
      </c>
      <c r="I53" s="33">
        <f t="shared" si="1"/>
        <v>0.1790780141843972</v>
      </c>
    </row>
    <row r="54" spans="1:9" x14ac:dyDescent="0.2">
      <c r="A54" s="12" t="s">
        <v>43</v>
      </c>
      <c r="B54" s="21">
        <v>0</v>
      </c>
      <c r="C54" s="21">
        <v>11.6</v>
      </c>
      <c r="D54" s="21">
        <v>30.6</v>
      </c>
      <c r="E54" s="21">
        <v>24.4</v>
      </c>
      <c r="F54" s="21">
        <v>29.94</v>
      </c>
      <c r="G54" s="21">
        <v>27.4</v>
      </c>
      <c r="H54" s="38">
        <f t="shared" si="0"/>
        <v>-8.4836339345357462E-2</v>
      </c>
      <c r="I54" s="33" t="e">
        <f t="shared" si="1"/>
        <v>#DIV/0!</v>
      </c>
    </row>
    <row r="55" spans="1:9" x14ac:dyDescent="0.2">
      <c r="A55" s="12" t="s">
        <v>44</v>
      </c>
      <c r="B55" s="21">
        <v>64</v>
      </c>
      <c r="C55" s="21">
        <v>57.7</v>
      </c>
      <c r="D55" s="21">
        <v>73.900000000000006</v>
      </c>
      <c r="E55" s="21">
        <v>69.63</v>
      </c>
      <c r="F55" s="21">
        <v>69.8</v>
      </c>
      <c r="G55" s="21">
        <v>81.93</v>
      </c>
      <c r="H55" s="38">
        <f t="shared" si="0"/>
        <v>0.17378223495702019</v>
      </c>
      <c r="I55" s="33">
        <f t="shared" si="1"/>
        <v>0.28015625000000011</v>
      </c>
    </row>
    <row r="56" spans="1:9" x14ac:dyDescent="0.2">
      <c r="A56" s="12" t="s">
        <v>16</v>
      </c>
      <c r="B56" s="21">
        <v>12.9</v>
      </c>
      <c r="C56" s="21">
        <v>9.3000000000000007</v>
      </c>
      <c r="D56" s="21">
        <v>7.7</v>
      </c>
      <c r="E56" s="21">
        <v>16.600000000000001</v>
      </c>
      <c r="F56" s="21">
        <v>17.5</v>
      </c>
      <c r="G56" s="21">
        <v>21.73</v>
      </c>
      <c r="H56" s="38">
        <f t="shared" si="0"/>
        <v>0.24171428571428574</v>
      </c>
      <c r="I56" s="33">
        <f t="shared" si="1"/>
        <v>0.68449612403100779</v>
      </c>
    </row>
    <row r="57" spans="1:9" s="22" customFormat="1" x14ac:dyDescent="0.2">
      <c r="A57" s="26" t="s">
        <v>45</v>
      </c>
      <c r="B57" s="22">
        <f t="shared" ref="B57:F57" si="14">SUM(B50:B56)</f>
        <v>803.09999999999991</v>
      </c>
      <c r="C57" s="22">
        <f t="shared" si="14"/>
        <v>727.4</v>
      </c>
      <c r="D57" s="22">
        <f t="shared" si="14"/>
        <v>1022.84</v>
      </c>
      <c r="E57" s="22">
        <f t="shared" si="14"/>
        <v>935.40999999999985</v>
      </c>
      <c r="F57" s="22">
        <f t="shared" si="14"/>
        <v>1239.2880000000002</v>
      </c>
      <c r="G57" s="22">
        <f>SUM(G50:G56)</f>
        <v>1234.49</v>
      </c>
      <c r="H57" s="38">
        <f t="shared" si="0"/>
        <v>-3.8715778737470454E-3</v>
      </c>
      <c r="I57" s="33">
        <f t="shared" si="1"/>
        <v>0.5371560204208693</v>
      </c>
    </row>
    <row r="58" spans="1:9" x14ac:dyDescent="0.2">
      <c r="H58" s="38"/>
      <c r="I58" s="33"/>
    </row>
    <row r="59" spans="1:9" x14ac:dyDescent="0.2">
      <c r="A59" s="16" t="s">
        <v>46</v>
      </c>
      <c r="H59" s="38"/>
      <c r="I59" s="33"/>
    </row>
    <row r="60" spans="1:9" x14ac:dyDescent="0.2">
      <c r="A60" s="17" t="s">
        <v>47</v>
      </c>
      <c r="H60" s="38"/>
      <c r="I60" s="33"/>
    </row>
    <row r="61" spans="1:9" x14ac:dyDescent="0.2">
      <c r="A61" s="25" t="s">
        <v>48</v>
      </c>
      <c r="B61" s="21">
        <v>93.1</v>
      </c>
      <c r="C61" s="21">
        <v>83</v>
      </c>
      <c r="D61" s="21">
        <v>116</v>
      </c>
      <c r="E61" s="21">
        <v>122.7</v>
      </c>
      <c r="F61" s="21">
        <v>182.22</v>
      </c>
      <c r="G61" s="21">
        <v>215.82</v>
      </c>
      <c r="H61" s="38">
        <f t="shared" si="0"/>
        <v>0.18439249259137303</v>
      </c>
      <c r="I61" s="33">
        <f t="shared" si="1"/>
        <v>1.3181525241675618</v>
      </c>
    </row>
    <row r="62" spans="1:9" x14ac:dyDescent="0.2">
      <c r="A62" s="25" t="s">
        <v>49</v>
      </c>
      <c r="B62" s="21">
        <v>0</v>
      </c>
      <c r="C62" s="21">
        <v>4.5999999999999996</v>
      </c>
      <c r="D62" s="21">
        <v>6</v>
      </c>
      <c r="E62" s="21">
        <v>5.6689999999999996</v>
      </c>
      <c r="F62" s="21">
        <v>7.14</v>
      </c>
      <c r="G62" s="21">
        <v>7.7</v>
      </c>
      <c r="H62" s="38">
        <f t="shared" si="0"/>
        <v>7.8431372549019676E-2</v>
      </c>
      <c r="I62" s="33" t="e">
        <f t="shared" si="1"/>
        <v>#DIV/0!</v>
      </c>
    </row>
    <row r="63" spans="1:9" x14ac:dyDescent="0.2">
      <c r="A63" s="25" t="s">
        <v>50</v>
      </c>
      <c r="B63" s="21">
        <v>3.4</v>
      </c>
      <c r="C63" s="21">
        <v>2.5</v>
      </c>
      <c r="D63" s="21">
        <v>2.5</v>
      </c>
      <c r="E63" s="21">
        <v>2.5</v>
      </c>
      <c r="F63" s="21">
        <v>2.44</v>
      </c>
      <c r="G63" s="21">
        <v>0.6</v>
      </c>
      <c r="H63" s="38">
        <f t="shared" si="0"/>
        <v>-0.75409836065573765</v>
      </c>
      <c r="I63" s="33">
        <f t="shared" si="1"/>
        <v>-0.82352941176470584</v>
      </c>
    </row>
    <row r="64" spans="1:9" x14ac:dyDescent="0.2">
      <c r="A64" s="25" t="s">
        <v>16</v>
      </c>
      <c r="B64" s="21">
        <f>65.8+13.1</f>
        <v>78.899999999999991</v>
      </c>
      <c r="C64" s="21">
        <v>66.599999999999994</v>
      </c>
      <c r="D64" s="21">
        <v>81.400000000000006</v>
      </c>
      <c r="E64" s="21">
        <v>82.2</v>
      </c>
      <c r="F64" s="21">
        <v>93.8</v>
      </c>
      <c r="G64" s="21">
        <v>100.8</v>
      </c>
      <c r="H64" s="38">
        <f t="shared" si="0"/>
        <v>7.4626865671641798E-2</v>
      </c>
      <c r="I64" s="33">
        <f t="shared" si="1"/>
        <v>0.27756653992395447</v>
      </c>
    </row>
    <row r="65" spans="1:9" s="22" customFormat="1" x14ac:dyDescent="0.2">
      <c r="A65" s="26" t="s">
        <v>51</v>
      </c>
      <c r="B65" s="22">
        <f t="shared" ref="B65:F65" si="15">SUM(B61:B64)</f>
        <v>175.39999999999998</v>
      </c>
      <c r="C65" s="22">
        <f t="shared" si="15"/>
        <v>156.69999999999999</v>
      </c>
      <c r="D65" s="22">
        <f t="shared" si="15"/>
        <v>205.9</v>
      </c>
      <c r="E65" s="22">
        <f t="shared" si="15"/>
        <v>213.06900000000002</v>
      </c>
      <c r="F65" s="22">
        <f t="shared" si="15"/>
        <v>285.59999999999997</v>
      </c>
      <c r="G65" s="22">
        <f>SUM(G61:G64)</f>
        <v>324.91999999999996</v>
      </c>
      <c r="H65" s="38">
        <f t="shared" si="0"/>
        <v>0.13767507002801119</v>
      </c>
      <c r="I65" s="33">
        <f t="shared" si="1"/>
        <v>0.85245153933865447</v>
      </c>
    </row>
    <row r="66" spans="1:9" x14ac:dyDescent="0.2">
      <c r="A66" s="12" t="s">
        <v>52</v>
      </c>
      <c r="B66" s="21">
        <v>136.5</v>
      </c>
      <c r="C66" s="21">
        <v>78.12</v>
      </c>
      <c r="D66" s="21">
        <v>189.93</v>
      </c>
      <c r="E66" s="21">
        <v>36.299999999999997</v>
      </c>
      <c r="F66" s="21">
        <v>232.65</v>
      </c>
      <c r="G66" s="21">
        <v>222.2</v>
      </c>
      <c r="H66" s="38">
        <f t="shared" si="0"/>
        <v>-4.4917257683215202E-2</v>
      </c>
      <c r="I66" s="33">
        <f t="shared" si="1"/>
        <v>0.62783882783882772</v>
      </c>
    </row>
    <row r="67" spans="1:9" x14ac:dyDescent="0.2">
      <c r="A67" s="12" t="s">
        <v>53</v>
      </c>
      <c r="B67" s="21">
        <v>0</v>
      </c>
      <c r="C67" s="21">
        <v>6.8</v>
      </c>
      <c r="D67" s="21">
        <v>24.23</v>
      </c>
      <c r="E67" s="21">
        <v>19.8</v>
      </c>
      <c r="F67" s="21">
        <v>20.53</v>
      </c>
      <c r="G67" s="21">
        <v>16.2</v>
      </c>
      <c r="H67" s="38">
        <f t="shared" si="0"/>
        <v>-0.21091086215294699</v>
      </c>
      <c r="I67" s="33" t="e">
        <f t="shared" si="1"/>
        <v>#DIV/0!</v>
      </c>
    </row>
    <row r="68" spans="1:9" x14ac:dyDescent="0.2">
      <c r="A68" s="12" t="s">
        <v>54</v>
      </c>
      <c r="B68" s="21">
        <v>7.2</v>
      </c>
      <c r="C68" s="21">
        <v>8.1</v>
      </c>
      <c r="D68" s="21">
        <v>8.1999999999999993</v>
      </c>
      <c r="E68" s="21">
        <v>6.8</v>
      </c>
      <c r="F68" s="21">
        <v>3.63</v>
      </c>
      <c r="G68" s="21">
        <v>3.2</v>
      </c>
      <c r="H68" s="38">
        <f t="shared" si="0"/>
        <v>-0.11845730027548201</v>
      </c>
      <c r="I68" s="33">
        <f t="shared" si="1"/>
        <v>-0.55555555555555558</v>
      </c>
    </row>
    <row r="69" spans="1:9" x14ac:dyDescent="0.2">
      <c r="A69" s="12" t="s">
        <v>16</v>
      </c>
      <c r="B69" s="21">
        <f>1.2+3.1</f>
        <v>4.3</v>
      </c>
      <c r="C69" s="21">
        <f>1.4+3.7</f>
        <v>5.0999999999999996</v>
      </c>
      <c r="D69" s="21">
        <v>8.1999999999999993</v>
      </c>
      <c r="E69" s="21">
        <v>5.6</v>
      </c>
      <c r="F69" s="21">
        <v>24.6</v>
      </c>
      <c r="G69" s="21">
        <v>23.1</v>
      </c>
      <c r="H69" s="38">
        <f t="shared" si="0"/>
        <v>-6.097560975609756E-2</v>
      </c>
      <c r="I69" s="33">
        <f t="shared" si="1"/>
        <v>4.3720930232558146</v>
      </c>
    </row>
    <row r="70" spans="1:9" s="22" customFormat="1" x14ac:dyDescent="0.2">
      <c r="A70" s="26" t="s">
        <v>55</v>
      </c>
      <c r="B70" s="22">
        <f t="shared" ref="B70:F70" si="16">SUM(B65:B69)</f>
        <v>323.39999999999998</v>
      </c>
      <c r="C70" s="22">
        <f t="shared" si="16"/>
        <v>254.82</v>
      </c>
      <c r="D70" s="22">
        <f t="shared" si="16"/>
        <v>436.46000000000004</v>
      </c>
      <c r="E70" s="22">
        <f t="shared" si="16"/>
        <v>281.56900000000007</v>
      </c>
      <c r="F70" s="22">
        <f t="shared" si="16"/>
        <v>567.01</v>
      </c>
      <c r="G70" s="22">
        <f>SUM(G65:G69)</f>
        <v>589.62</v>
      </c>
      <c r="H70" s="38">
        <f t="shared" ref="H70:H79" si="17">(G70-F70)/F70</f>
        <v>3.987583993227635E-2</v>
      </c>
      <c r="I70" s="33">
        <f t="shared" ref="I70:I77" si="18">(G70-B70)/B70</f>
        <v>0.82319109461966622</v>
      </c>
    </row>
    <row r="71" spans="1:9" x14ac:dyDescent="0.2">
      <c r="H71" s="38"/>
      <c r="I71" s="33"/>
    </row>
    <row r="72" spans="1:9" x14ac:dyDescent="0.2">
      <c r="A72" s="13" t="s">
        <v>56</v>
      </c>
      <c r="B72" s="21">
        <f t="shared" ref="B72:F72" si="19">B57-B70</f>
        <v>479.69999999999993</v>
      </c>
      <c r="C72" s="21">
        <f t="shared" si="19"/>
        <v>472.58</v>
      </c>
      <c r="D72" s="21">
        <f t="shared" si="19"/>
        <v>586.38</v>
      </c>
      <c r="E72" s="21">
        <f t="shared" si="19"/>
        <v>653.84099999999978</v>
      </c>
      <c r="F72" s="21">
        <f t="shared" si="19"/>
        <v>672.27800000000025</v>
      </c>
      <c r="G72" s="21">
        <f>G57-G70</f>
        <v>644.87</v>
      </c>
      <c r="H72" s="38">
        <f t="shared" si="17"/>
        <v>-4.0768848601323016E-2</v>
      </c>
      <c r="I72" s="33">
        <f t="shared" si="18"/>
        <v>0.34431936627058596</v>
      </c>
    </row>
    <row r="73" spans="1:9" x14ac:dyDescent="0.2">
      <c r="A73" s="13" t="s">
        <v>57</v>
      </c>
      <c r="B73" s="21">
        <f t="shared" ref="B73:G73" si="20">B7-B8+B9</f>
        <v>1547.5760000000002</v>
      </c>
      <c r="C73" s="21">
        <f t="shared" si="20"/>
        <v>1399.107</v>
      </c>
      <c r="D73" s="21">
        <f t="shared" si="20"/>
        <v>2076.35</v>
      </c>
      <c r="E73" s="21">
        <f t="shared" si="20"/>
        <v>2759.3500000000004</v>
      </c>
      <c r="F73" s="21">
        <f t="shared" si="20"/>
        <v>2268.4050000000002</v>
      </c>
      <c r="G73" s="21">
        <f t="shared" si="20"/>
        <v>1806.2159999999999</v>
      </c>
      <c r="H73" s="38">
        <f t="shared" si="17"/>
        <v>-0.20375065299186004</v>
      </c>
      <c r="I73" s="33">
        <f t="shared" si="18"/>
        <v>0.1671258794398463</v>
      </c>
    </row>
    <row r="74" spans="1:9" x14ac:dyDescent="0.2">
      <c r="A74" s="13" t="s">
        <v>58</v>
      </c>
      <c r="B74" s="27">
        <f t="shared" ref="B74:G74" si="21">B42/B6</f>
        <v>1.1600276243093897</v>
      </c>
      <c r="C74" s="27">
        <f t="shared" si="21"/>
        <v>1.1252552552552506</v>
      </c>
      <c r="D74" s="27">
        <f t="shared" si="21"/>
        <v>1.8099999999999987</v>
      </c>
      <c r="E74" s="27">
        <f t="shared" si="21"/>
        <v>2.7880000000000038</v>
      </c>
      <c r="F74" s="27">
        <f t="shared" si="21"/>
        <v>0.72785074626865909</v>
      </c>
      <c r="G74" s="27">
        <f t="shared" si="21"/>
        <v>1.2226586102719068</v>
      </c>
      <c r="H74" s="38">
        <f t="shared" si="17"/>
        <v>0.67982050789930459</v>
      </c>
      <c r="I74" s="33">
        <f t="shared" si="18"/>
        <v>5.3990943534473028E-2</v>
      </c>
    </row>
    <row r="75" spans="1:9" x14ac:dyDescent="0.2">
      <c r="A75" s="13" t="s">
        <v>59</v>
      </c>
      <c r="B75" s="28">
        <f t="shared" ref="B75:G75" si="22">(B23-B25)/B23</f>
        <v>0.29077860644324482</v>
      </c>
      <c r="C75" s="28">
        <f t="shared" si="22"/>
        <v>0.29677794471772273</v>
      </c>
      <c r="D75" s="28">
        <f t="shared" si="22"/>
        <v>0.29364931608861827</v>
      </c>
      <c r="E75" s="28">
        <f t="shared" si="22"/>
        <v>0.2902601710257916</v>
      </c>
      <c r="F75" s="28">
        <f t="shared" si="22"/>
        <v>0.22708827299474657</v>
      </c>
      <c r="G75" s="28">
        <f t="shared" si="22"/>
        <v>0.23935905900931873</v>
      </c>
      <c r="H75" s="38">
        <f t="shared" si="17"/>
        <v>5.4035313460929026E-2</v>
      </c>
      <c r="I75" s="33">
        <f t="shared" si="18"/>
        <v>-0.17683401149376629</v>
      </c>
    </row>
    <row r="76" spans="1:9" x14ac:dyDescent="0.2">
      <c r="A76" s="13" t="s">
        <v>60</v>
      </c>
      <c r="B76" s="28">
        <f t="shared" ref="B76:G76" si="23">B42/B23</f>
        <v>4.0049020542849971E-2</v>
      </c>
      <c r="C76" s="28">
        <f t="shared" si="23"/>
        <v>3.8560726120155438E-2</v>
      </c>
      <c r="D76" s="28">
        <f t="shared" si="23"/>
        <v>6.5412372827527251E-2</v>
      </c>
      <c r="E76" s="28">
        <f t="shared" si="23"/>
        <v>8.9277145517216439E-2</v>
      </c>
      <c r="F76" s="28">
        <f t="shared" si="23"/>
        <v>2.0242649451739158E-2</v>
      </c>
      <c r="G76" s="28">
        <f t="shared" si="23"/>
        <v>2.7547665561674314E-2</v>
      </c>
      <c r="H76" s="38">
        <f t="shared" si="17"/>
        <v>0.36087252942610937</v>
      </c>
      <c r="I76" s="33">
        <f t="shared" si="18"/>
        <v>-0.31215132883961499</v>
      </c>
    </row>
    <row r="77" spans="1:9" x14ac:dyDescent="0.2">
      <c r="A77" s="13" t="s">
        <v>61</v>
      </c>
      <c r="B77" s="19">
        <f t="shared" ref="B77:F77" si="24">B50/B65</f>
        <v>2.5262257696693275</v>
      </c>
      <c r="C77" s="19">
        <f t="shared" si="24"/>
        <v>2.3854499042756863</v>
      </c>
      <c r="D77" s="19">
        <f t="shared" si="24"/>
        <v>3.1259834871296746</v>
      </c>
      <c r="E77" s="19">
        <f t="shared" si="24"/>
        <v>2.6558532681901159</v>
      </c>
      <c r="F77" s="19">
        <f t="shared" si="24"/>
        <v>2.394425770308124</v>
      </c>
      <c r="G77" s="19">
        <f>G50/G65</f>
        <v>2.1162132217161149</v>
      </c>
      <c r="H77" s="38">
        <f t="shared" si="17"/>
        <v>-0.11619176173342287</v>
      </c>
      <c r="I77" s="33">
        <f t="shared" si="18"/>
        <v>-0.16230241686073907</v>
      </c>
    </row>
    <row r="78" spans="1:9" x14ac:dyDescent="0.2">
      <c r="A78" s="13" t="s">
        <v>62</v>
      </c>
      <c r="B78" s="20" t="s">
        <v>64</v>
      </c>
      <c r="C78" s="19">
        <f>(C25/((C48+B48)/2))</f>
        <v>5.9164415584415586</v>
      </c>
      <c r="D78" s="19">
        <f>(D25/((D48+C48)/2))</f>
        <v>5.3548360315483601</v>
      </c>
      <c r="E78" s="19">
        <f>(E25/((E48+D48)/2))</f>
        <v>5.2678254700248317</v>
      </c>
      <c r="F78" s="19">
        <f>(F25/((F48+E48)/2))</f>
        <v>4.9292120673041291</v>
      </c>
      <c r="G78" s="19">
        <f>(G25/((G48+F48)/2))</f>
        <v>5.269151333968332</v>
      </c>
      <c r="H78" s="38">
        <f t="shared" si="17"/>
        <v>6.8964220249124228E-2</v>
      </c>
      <c r="I78" s="33" t="s">
        <v>69</v>
      </c>
    </row>
    <row r="79" spans="1:9" x14ac:dyDescent="0.2">
      <c r="A79" s="13" t="s">
        <v>63</v>
      </c>
      <c r="B79" s="20" t="s">
        <v>64</v>
      </c>
      <c r="C79" s="21">
        <f t="shared" ref="C79:F79" si="25">365/C78</f>
        <v>61.69248802588428</v>
      </c>
      <c r="D79" s="21">
        <f t="shared" si="25"/>
        <v>68.162684692785945</v>
      </c>
      <c r="E79" s="21">
        <f t="shared" si="25"/>
        <v>69.288552188552188</v>
      </c>
      <c r="F79" s="21">
        <f t="shared" si="25"/>
        <v>74.048345864661641</v>
      </c>
      <c r="G79" s="21">
        <f>365/G78</f>
        <v>69.271117275940753</v>
      </c>
      <c r="H79" s="38">
        <f t="shared" si="17"/>
        <v>-6.4514993993954189E-2</v>
      </c>
      <c r="I79" s="33" t="s">
        <v>69</v>
      </c>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5" ma:contentTypeDescription="Create a new document." ma:contentTypeScope="" ma:versionID="261b12fca7bc9c5c5c2d0436e15db421">
  <xsd:schema xmlns:xsd="http://www.w3.org/2001/XMLSchema" xmlns:xs="http://www.w3.org/2001/XMLSchema" xmlns:p="http://schemas.microsoft.com/office/2006/metadata/properties" xmlns:ns3="36567613-e428-4167-ab55-a4f66cede826" targetNamespace="http://schemas.microsoft.com/office/2006/metadata/properties" ma:root="true" ma:fieldsID="bbca712fc0d44d4f9b946949b284e53f"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AF3359-AA7B-4C3F-BB32-4122371AAA35}">
  <ds:schemaRefs>
    <ds:schemaRef ds:uri="http://purl.org/dc/dcmitype/"/>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terms/"/>
    <ds:schemaRef ds:uri="http://www.w3.org/XML/1998/namespace"/>
    <ds:schemaRef ds:uri="http://schemas.openxmlformats.org/package/2006/metadata/core-properties"/>
    <ds:schemaRef ds:uri="36567613-e428-4167-ab55-a4f66cede826"/>
  </ds:schemaRefs>
</ds:datastoreItem>
</file>

<file path=customXml/itemProps2.xml><?xml version="1.0" encoding="utf-8"?>
<ds:datastoreItem xmlns:ds="http://schemas.openxmlformats.org/officeDocument/2006/customXml" ds:itemID="{7206FF7D-9685-43E1-9DA0-4D0C5CF17F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Gonzalez Herrera, Abraham</dc:creator>
  <cp:keywords/>
  <dc:description/>
  <cp:lastModifiedBy>Abraham Gonzalez Herrera</cp:lastModifiedBy>
  <cp:revision/>
  <dcterms:created xsi:type="dcterms:W3CDTF">2023-02-21T16:55:27Z</dcterms:created>
  <dcterms:modified xsi:type="dcterms:W3CDTF">2024-05-14T21:20:35Z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