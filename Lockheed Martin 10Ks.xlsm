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
    </mc:Choice>
  </mc:AlternateContent>
  <xr:revisionPtr revIDLastSave="427" documentId="8_{359103B4-C8F1-42A4-8874-F9003DF0C4C2}" xr6:coauthVersionLast="47" xr6:coauthVersionMax="47" xr10:uidLastSave="{59AD18E9-CDAE-418C-83AB-2B1965891745}"/>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1" l="1"/>
  <c r="F7" i="1"/>
  <c r="F8" i="1"/>
  <c r="F9" i="1"/>
  <c r="F12" i="1"/>
  <c r="F13" i="1"/>
  <c r="F14" i="1"/>
  <c r="F15" i="1"/>
  <c r="F16" i="1"/>
  <c r="F17" i="1"/>
  <c r="F18" i="1"/>
  <c r="F21" i="1"/>
  <c r="F22" i="1"/>
  <c r="F23" i="1"/>
  <c r="F24" i="1"/>
  <c r="F25" i="1"/>
  <c r="F27" i="1"/>
  <c r="F28" i="1"/>
  <c r="F29" i="1"/>
  <c r="F30" i="1"/>
  <c r="F31" i="1"/>
  <c r="F32" i="1"/>
  <c r="F33" i="1"/>
  <c r="F34" i="1"/>
  <c r="F38" i="1"/>
  <c r="F39" i="1"/>
  <c r="F40" i="1"/>
  <c r="F41" i="1"/>
  <c r="F42" i="1"/>
  <c r="F43" i="1"/>
  <c r="F44" i="1"/>
  <c r="F45" i="1"/>
  <c r="F46" i="1"/>
  <c r="F47" i="1"/>
  <c r="F48" i="1"/>
  <c r="F49" i="1"/>
  <c r="F50" i="1"/>
  <c r="F54" i="1"/>
  <c r="F55" i="1"/>
  <c r="F56" i="1"/>
  <c r="F57" i="1"/>
  <c r="F58" i="1"/>
  <c r="F59" i="1"/>
  <c r="F60" i="1"/>
  <c r="F61" i="1"/>
  <c r="F62" i="1"/>
  <c r="F63" i="1"/>
  <c r="F64" i="1"/>
  <c r="F65" i="1"/>
  <c r="F67" i="1"/>
  <c r="F68" i="1"/>
  <c r="F69" i="1"/>
  <c r="F70" i="1"/>
  <c r="F71" i="1"/>
  <c r="F72" i="1"/>
  <c r="F73" i="1"/>
  <c r="F74" i="1"/>
  <c r="F75" i="1"/>
  <c r="F5" i="1"/>
  <c r="H6" i="1"/>
  <c r="H9" i="1"/>
  <c r="H12" i="1"/>
  <c r="H13" i="1"/>
  <c r="H14" i="1"/>
  <c r="H15" i="1"/>
  <c r="H16" i="1"/>
  <c r="H17" i="1"/>
  <c r="H21" i="1"/>
  <c r="H22" i="1"/>
  <c r="H23" i="1"/>
  <c r="H24" i="1"/>
  <c r="H28" i="1"/>
  <c r="H29" i="1"/>
  <c r="H30" i="1"/>
  <c r="H32" i="1"/>
  <c r="H34" i="1"/>
  <c r="H38" i="1"/>
  <c r="H39" i="1"/>
  <c r="H40" i="1"/>
  <c r="H41" i="1"/>
  <c r="H42" i="1"/>
  <c r="H44" i="1"/>
  <c r="H45" i="1"/>
  <c r="H46" i="1"/>
  <c r="H47" i="1"/>
  <c r="H48" i="1"/>
  <c r="H49" i="1"/>
  <c r="H54" i="1"/>
  <c r="H55" i="1"/>
  <c r="H56" i="1"/>
  <c r="H57" i="1"/>
  <c r="H58" i="1"/>
  <c r="H60" i="1"/>
  <c r="H61" i="1"/>
  <c r="H62" i="1"/>
  <c r="H63" i="1"/>
  <c r="H64" i="1"/>
  <c r="H5" i="1"/>
  <c r="J6" i="1"/>
  <c r="J5" i="1"/>
  <c r="J15" i="1"/>
  <c r="J16" i="1"/>
  <c r="J17" i="1"/>
  <c r="J21" i="1"/>
  <c r="J22" i="1"/>
  <c r="J23" i="1"/>
  <c r="J24" i="1"/>
  <c r="J28" i="1"/>
  <c r="J29" i="1"/>
  <c r="J32" i="1"/>
  <c r="J34" i="1"/>
  <c r="J38" i="1"/>
  <c r="J39" i="1"/>
  <c r="J40" i="1"/>
  <c r="J41" i="1"/>
  <c r="J42" i="1"/>
  <c r="J44" i="1"/>
  <c r="J45" i="1"/>
  <c r="J46" i="1"/>
  <c r="J47" i="1"/>
  <c r="J48" i="1"/>
  <c r="J49" i="1"/>
  <c r="J50" i="1"/>
  <c r="J54" i="1"/>
  <c r="J55" i="1"/>
  <c r="J56" i="1"/>
  <c r="J57" i="1"/>
  <c r="J58" i="1"/>
  <c r="J60" i="1"/>
  <c r="J61" i="1"/>
  <c r="J62" i="1"/>
  <c r="J63" i="1"/>
  <c r="J64" i="1"/>
  <c r="J14" i="1"/>
  <c r="I30" i="1"/>
  <c r="G30" i="1"/>
  <c r="M7" i="1"/>
  <c r="L7" i="1"/>
  <c r="K7" i="1"/>
  <c r="I7" i="1"/>
  <c r="J7" i="1" s="1"/>
  <c r="G7" i="1"/>
  <c r="H7" i="1" s="1"/>
  <c r="E7" i="1"/>
  <c r="D7" i="1"/>
  <c r="C7" i="1"/>
  <c r="B7" i="1"/>
  <c r="M59" i="1"/>
  <c r="M65" i="1" s="1"/>
  <c r="L59" i="1"/>
  <c r="L65" i="1" s="1"/>
  <c r="K59" i="1"/>
  <c r="K65" i="1" s="1"/>
  <c r="I59" i="1"/>
  <c r="I65" i="1" s="1"/>
  <c r="G59" i="1"/>
  <c r="G65" i="1" s="1"/>
  <c r="J65" i="1" s="1"/>
  <c r="E59" i="1"/>
  <c r="E65" i="1" s="1"/>
  <c r="D59" i="1"/>
  <c r="D65" i="1" s="1"/>
  <c r="M43" i="1"/>
  <c r="M50" i="1" s="1"/>
  <c r="L43" i="1"/>
  <c r="K43" i="1"/>
  <c r="I43" i="1"/>
  <c r="I50" i="1" s="1"/>
  <c r="G43" i="1"/>
  <c r="G50" i="1" s="1"/>
  <c r="E43" i="1"/>
  <c r="D43" i="1"/>
  <c r="M25" i="1"/>
  <c r="L25" i="1"/>
  <c r="K25" i="1"/>
  <c r="I25" i="1"/>
  <c r="J25" i="1" s="1"/>
  <c r="G25" i="1"/>
  <c r="H25" i="1" s="1"/>
  <c r="E25" i="1"/>
  <c r="D25" i="1"/>
  <c r="M18" i="1"/>
  <c r="M75" i="1" s="1"/>
  <c r="L18" i="1"/>
  <c r="L74" i="1" s="1"/>
  <c r="K18" i="1"/>
  <c r="K73" i="1" s="1"/>
  <c r="I18" i="1"/>
  <c r="I72" i="1" s="1"/>
  <c r="G18" i="1"/>
  <c r="G75" i="1" s="1"/>
  <c r="E18" i="1"/>
  <c r="E74" i="1" s="1"/>
  <c r="D18" i="1"/>
  <c r="D73" i="1" s="1"/>
  <c r="M9" i="1"/>
  <c r="L9" i="1"/>
  <c r="K9" i="1"/>
  <c r="I9" i="1"/>
  <c r="G9" i="1"/>
  <c r="E9" i="1"/>
  <c r="D9" i="1"/>
  <c r="M8" i="1"/>
  <c r="L8" i="1"/>
  <c r="K8" i="1"/>
  <c r="I8" i="1"/>
  <c r="G8" i="1"/>
  <c r="E8" i="1"/>
  <c r="H8" i="1" s="1"/>
  <c r="D8" i="1"/>
  <c r="C59" i="1"/>
  <c r="C65" i="1" s="1"/>
  <c r="C43" i="1"/>
  <c r="C25" i="1"/>
  <c r="C18" i="1"/>
  <c r="C75" i="1" s="1"/>
  <c r="C9" i="1"/>
  <c r="C8" i="1"/>
  <c r="B9" i="1"/>
  <c r="B8" i="1"/>
  <c r="B59" i="1"/>
  <c r="B65" i="1" s="1"/>
  <c r="B43" i="1"/>
  <c r="B50" i="1" s="1"/>
  <c r="B25" i="1"/>
  <c r="B18" i="1"/>
  <c r="J8" i="1" l="1"/>
  <c r="H65" i="1"/>
  <c r="J30" i="1"/>
  <c r="H43" i="1"/>
  <c r="J9" i="1"/>
  <c r="K72" i="1"/>
  <c r="H59" i="1"/>
  <c r="H18" i="1"/>
  <c r="J43" i="1"/>
  <c r="B27" i="1"/>
  <c r="B31" i="1" s="1"/>
  <c r="B33" i="1" s="1"/>
  <c r="B69" i="1" s="1"/>
  <c r="J59" i="1"/>
  <c r="J18" i="1"/>
  <c r="L70" i="1"/>
  <c r="K70" i="1"/>
  <c r="G71" i="1"/>
  <c r="E70" i="1"/>
  <c r="D70" i="1"/>
  <c r="D68" i="1"/>
  <c r="K50" i="1"/>
  <c r="K67" i="1" s="1"/>
  <c r="M71" i="1"/>
  <c r="B72" i="1"/>
  <c r="B73" i="1"/>
  <c r="D75" i="1"/>
  <c r="G70" i="1"/>
  <c r="H70" i="1" s="1"/>
  <c r="B74" i="1"/>
  <c r="D27" i="1"/>
  <c r="D31" i="1" s="1"/>
  <c r="D33" i="1" s="1"/>
  <c r="D69" i="1" s="1"/>
  <c r="G67" i="1"/>
  <c r="M67" i="1"/>
  <c r="L50" i="1"/>
  <c r="L67" i="1" s="1"/>
  <c r="E68" i="1"/>
  <c r="M70" i="1"/>
  <c r="L72" i="1"/>
  <c r="I75" i="1"/>
  <c r="J75" i="1" s="1"/>
  <c r="L27" i="1"/>
  <c r="L31" i="1" s="1"/>
  <c r="L33" i="1" s="1"/>
  <c r="L69" i="1" s="1"/>
  <c r="B75" i="1"/>
  <c r="E27" i="1"/>
  <c r="D50" i="1"/>
  <c r="D67" i="1" s="1"/>
  <c r="K68" i="1"/>
  <c r="D72" i="1"/>
  <c r="E73" i="1"/>
  <c r="K75" i="1"/>
  <c r="B67" i="1"/>
  <c r="C70" i="1"/>
  <c r="K27" i="1"/>
  <c r="K31" i="1" s="1"/>
  <c r="K33" i="1" s="1"/>
  <c r="K69" i="1" s="1"/>
  <c r="E50" i="1"/>
  <c r="L68" i="1"/>
  <c r="E72" i="1"/>
  <c r="L73" i="1"/>
  <c r="C50" i="1"/>
  <c r="C67" i="1" s="1"/>
  <c r="C27" i="1"/>
  <c r="C31" i="1" s="1"/>
  <c r="C33" i="1" s="1"/>
  <c r="C69" i="1" s="1"/>
  <c r="C72" i="1"/>
  <c r="C73" i="1"/>
  <c r="C68" i="1"/>
  <c r="I67" i="1"/>
  <c r="I71" i="1"/>
  <c r="M74" i="1"/>
  <c r="I70" i="1"/>
  <c r="J70" i="1" s="1"/>
  <c r="G73" i="1"/>
  <c r="H73" i="1" s="1"/>
  <c r="I74" i="1"/>
  <c r="C74" i="1"/>
  <c r="G27" i="1"/>
  <c r="M27" i="1"/>
  <c r="M31" i="1" s="1"/>
  <c r="M33" i="1" s="1"/>
  <c r="M69" i="1" s="1"/>
  <c r="G68" i="1"/>
  <c r="H68" i="1" s="1"/>
  <c r="M68" i="1"/>
  <c r="G72" i="1"/>
  <c r="H72" i="1" s="1"/>
  <c r="M72" i="1"/>
  <c r="I73" i="1"/>
  <c r="D74" i="1"/>
  <c r="K74" i="1"/>
  <c r="E75" i="1"/>
  <c r="L75" i="1"/>
  <c r="G74" i="1"/>
  <c r="H74" i="1" s="1"/>
  <c r="M73" i="1"/>
  <c r="I27" i="1"/>
  <c r="I68" i="1"/>
  <c r="B71" i="1"/>
  <c r="B68" i="1"/>
  <c r="B70" i="1"/>
  <c r="A4" i="1" a="1"/>
  <c r="A4" i="1" s="1"/>
  <c r="E31" i="1" l="1"/>
  <c r="H27" i="1"/>
  <c r="E67" i="1"/>
  <c r="H50" i="1"/>
  <c r="J74" i="1"/>
  <c r="H67" i="1"/>
  <c r="H75" i="1"/>
  <c r="J68" i="1"/>
  <c r="J72" i="1"/>
  <c r="J71" i="1"/>
  <c r="J67" i="1"/>
  <c r="I31" i="1"/>
  <c r="J27" i="1"/>
  <c r="G31" i="1"/>
  <c r="H31" i="1" s="1"/>
  <c r="K71" i="1"/>
  <c r="J73" i="1"/>
  <c r="D71" i="1"/>
  <c r="L71" i="1"/>
  <c r="E71" i="1"/>
  <c r="H71" i="1" s="1"/>
  <c r="C71" i="1"/>
  <c r="E33" i="1" l="1"/>
  <c r="G33" i="1"/>
  <c r="H33" i="1" s="1"/>
  <c r="I33" i="1"/>
  <c r="J31" i="1"/>
  <c r="E69" i="1" l="1"/>
  <c r="I69" i="1"/>
  <c r="J33" i="1"/>
  <c r="G69" i="1"/>
  <c r="H69" i="1" s="1"/>
  <c r="J69"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<sst xmlns="http://schemas.openxmlformats.org/spreadsheetml/2006/main" count="69" uniqueCount="61">
  <si>
    <t>Reported Date</t>
  </si>
  <si>
    <t>Cash</t>
  </si>
  <si>
    <t>Debt</t>
  </si>
  <si>
    <t>Revenues</t>
  </si>
  <si>
    <t>Interest expense</t>
  </si>
  <si>
    <t>Net income</t>
  </si>
  <si>
    <t>Other</t>
  </si>
  <si>
    <t>Income from operations</t>
  </si>
  <si>
    <t>Income before income taxes</t>
  </si>
  <si>
    <t>Year</t>
  </si>
  <si>
    <t>Assets</t>
  </si>
  <si>
    <t>Current assets</t>
  </si>
  <si>
    <t>Total current assets</t>
  </si>
  <si>
    <t>Goodwill</t>
  </si>
  <si>
    <t>Total assets</t>
  </si>
  <si>
    <t>Liabilities</t>
  </si>
  <si>
    <t>Current liabilities</t>
  </si>
  <si>
    <t>Long-term debt</t>
  </si>
  <si>
    <t>Total liabilities</t>
  </si>
  <si>
    <t>Price</t>
  </si>
  <si>
    <t>Shares outstanding</t>
  </si>
  <si>
    <t>Market cap</t>
  </si>
  <si>
    <t>Income tax expense</t>
  </si>
  <si>
    <t>Intangible assets</t>
  </si>
  <si>
    <t>Accounts payable</t>
  </si>
  <si>
    <t>Total current liabilities</t>
  </si>
  <si>
    <t>Equity</t>
  </si>
  <si>
    <t>Net income %</t>
  </si>
  <si>
    <t>Gross profit %</t>
  </si>
  <si>
    <t>Current ratio</t>
  </si>
  <si>
    <t>Cash to assets ratio</t>
  </si>
  <si>
    <t>Aeronautics</t>
  </si>
  <si>
    <t>Missiles &amp; fire control</t>
  </si>
  <si>
    <t>Rotary &amp; mission systems</t>
  </si>
  <si>
    <t>Space</t>
  </si>
  <si>
    <t>Total revenues</t>
  </si>
  <si>
    <t>Costs of sales</t>
  </si>
  <si>
    <t>Products</t>
  </si>
  <si>
    <t>Services</t>
  </si>
  <si>
    <t>Severance charges</t>
  </si>
  <si>
    <t>Other unallocated, net</t>
  </si>
  <si>
    <t>Total cost of sales</t>
  </si>
  <si>
    <t>Other income (loss)</t>
  </si>
  <si>
    <t>Other non-operating income (expense)</t>
  </si>
  <si>
    <t>Discontinued operations</t>
  </si>
  <si>
    <t>Account receivables</t>
  </si>
  <si>
    <t>Inventories</t>
  </si>
  <si>
    <t>Property, plant &amp; equipment, net</t>
  </si>
  <si>
    <t>Deferred income taxes</t>
  </si>
  <si>
    <t>Salaries, benefits &amp; payroll taxes</t>
  </si>
  <si>
    <t>Current maturities of long-term debt</t>
  </si>
  <si>
    <t>Accrued pensions</t>
  </si>
  <si>
    <t>Other postretirement benefit liabilities</t>
  </si>
  <si>
    <t>Aeronautics to revenue</t>
  </si>
  <si>
    <t>Missiles &amp; fire control to revenue</t>
  </si>
  <si>
    <t>Rotary &amp; mission systems to revenue</t>
  </si>
  <si>
    <t>Space to revenue</t>
  </si>
  <si>
    <t>Contract assets</t>
  </si>
  <si>
    <t>Contract liabilities</t>
  </si>
  <si>
    <t>% Change</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</si>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</sst>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_(* #,##0.000_);_(* \(#,##0.000\);_(* &quot;-&quot;??_);_(@_)"/>
  </numFmts>
  <fonts count="9"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cellStyleXfs>
  <cellXfs count="25">
    <xf numFmtId="0" fontId="0" fillId="0" borderId="0" xfId="0"/>
    <xf numFmtId="14" fontId="4" fillId="2" borderId="0" xfId="0" applyNumberFormat="1" applyFont="1" applyFill="1" applyAlignment="1">
      <alignment horizontal="center" vertical="center"/>
    </xf>
    <xf numFmtId="0" fontId="5" fillId="0" borderId="0" xfId="0" applyFont="1"/>
    <xf numFmtId="0" fontId="4" fillId="2" borderId="0" xfId="0" applyFont="1" applyFill="1" applyAlignment="1">
      <alignment horizontal="center" vertical="center"/>
    </xf>
    <xf numFmtId="0" fontId="4" fillId="2" borderId="0" xfId="0" applyFont="1" applyFill="1" applyAlignment="1">
      <alignment vertical="center"/>
    </xf>
    <xf numFmtId="164" fontId="5" fillId="0" borderId="0" xfId="1" applyNumberFormat="1" applyFont="1"/>
    <xf numFmtId="0" fontId="4" fillId="2" borderId="0" xfId="0" applyFont="1" applyFill="1" applyAlignment="1">
      <alignment horizontal="center"/>
    </xf>
    <xf numFmtId="0" fontId="7" fillId="0" borderId="0" xfId="0" applyFont="1"/>
    <xf numFmtId="164" fontId="7" fillId="0" borderId="0" xfId="1" applyNumberFormat="1" applyFont="1"/>
    <xf numFmtId="0" fontId="3" fillId="0" borderId="0" xfId="0" applyFont="1"/>
    <xf numFmtId="44" fontId="5" fillId="0" borderId="0" xfId="3" applyFont="1"/>
    <xf numFmtId="9" fontId="5" fillId="0" borderId="0" xfId="2" applyFont="1"/>
    <xf numFmtId="165" fontId="5" fillId="0" borderId="0" xfId="1" applyNumberFormat="1" applyFont="1"/>
    <xf numFmtId="164" fontId="2" fillId="0" borderId="0" xfId="1" applyNumberFormat="1" applyFont="1"/>
    <xf numFmtId="44" fontId="2" fillId="0" borderId="0" xfId="3" applyFont="1"/>
    <xf numFmtId="164" fontId="7" fillId="0" borderId="0" xfId="1" applyNumberFormat="1" applyFont="1" applyAlignment="1">
      <alignment horizontal="left" indent="1"/>
    </xf>
    <xf numFmtId="164" fontId="2" fillId="0" borderId="0" xfId="1" applyNumberFormat="1" applyFont="1" applyAlignment="1">
      <alignment horizontal="left" indent="1"/>
    </xf>
    <xf numFmtId="164" fontId="7" fillId="0" borderId="0" xfId="1" applyNumberFormat="1" applyFont="1" applyAlignment="1">
      <alignment horizontal="left" indent="2"/>
    </xf>
    <xf numFmtId="164" fontId="2" fillId="0" borderId="0" xfId="1" applyNumberFormat="1" applyFont="1" applyAlignment="1">
      <alignment horizontal="left" indent="2"/>
    </xf>
    <xf numFmtId="164" fontId="7" fillId="0" borderId="0" xfId="1" applyNumberFormat="1" applyFont="1" applyAlignment="1">
      <alignment horizontal="left" indent="3"/>
    </xf>
    <xf numFmtId="0" fontId="2" fillId="0" borderId="0" xfId="0" applyFont="1"/>
    <xf numFmtId="164" fontId="2" fillId="0" borderId="0" xfId="1" applyNumberFormat="1" applyFont="1" applyAlignment="1">
      <alignment horizontal="left"/>
    </xf>
    <xf numFmtId="164" fontId="1" fillId="0" borderId="0" xfId="1" applyNumberFormat="1" applyFont="1" applyAlignment="1">
      <alignment horizontal="left" indent="2"/>
    </xf>
    <xf numFmtId="164" fontId="1" fillId="0" borderId="0" xfId="1" applyNumberFormat="1" applyFont="1"/>
    <xf numFmtId="9" fontId="8" fillId="0" borderId="0" xfId="2" applyFont="1" applyAlignment="1">
      <alignment horizontal="center"/>
    </xf>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https://www.bing.com/financeapi/forcetrigger?t=a1wzw7&amp;q=XNYS%3aLMT&amp;form=skydnc</v>
    <v>Learn more on Bing</v>
  </rv>
  <rv s="1">
    <v>en-US</v>
    <v>a1wzw7</v>
    <v>268435456</v>
    <v>1</v>
    <v>Powered by Refinitiv</v>
    <v>0</v>
    <v>LOCKHEED MARTIN CORPORATION (XNYS:LMT)</v>
    <v>2</v>
    <v>3</v>
    <v>Finance</v>
    <v>4</v>
    <v>508.1</v>
    <v>381.55</v>
    <v>0.65769999999999995</v>
    <v>3.9049999999999998</v>
    <v>9.1820000000000009E-3</v>
    <v>USD</v>
    <v>Lockheed Martin Corporation is a security and aerospace company. It operates through four segments. Aeronautics segment is engaged in the research, design, development, manufacture,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various military and commercial helicopters, surface ships, sea and land-based missile defense systems, radar systems, sea and air-based mission and combat systems, command and control mission solutions, cyber solutions, and simulation and training solutions. Space segment is engaged in the research and development, design, engineering and production of satellites, space transportation systems, strike and defensive systems.</v>
    <v>116000</v>
    <v>New York Stock Exchange</v>
    <v>XNYS</v>
    <v>XNYS</v>
    <v>6801 ROCKLEDGE DR, BETHESDA, MD, 20817 US</v>
    <v>430.85</v>
    <v>Aerospace &amp; Defense</v>
    <v>Stock</v>
    <v>45189.807975358592</v>
    <v>0</v>
    <v>426.72</v>
    <v>107106400000</v>
    <v>LOCKHEED MARTIN CORPORATION</v>
    <v>LOCKHEED MARTIN CORPORATION</v>
    <v>426.72</v>
    <v>15.5448</v>
    <v>425.31</v>
    <v>429.21499999999997</v>
    <v>251831500</v>
    <v>LMT</v>
    <v>LOCKHEED MARTIN CORPORATION (XNYS:LMT)</v>
    <v>638227</v>
    <v>1009697</v>
    <v>1994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L77"/>
  <sheetViews>
    <sheetView tabSelected="1" topLeftCell="A51" zoomScale="115" zoomScaleNormal="115" workbookViewId="0">
      <pane xSplit="1" topLeftCell="B1" activePane="topRight" state="frozen"/>
      <selection pane="topRight" activeCell="I70" sqref="I70:I71"/>
    </sheetView>
  </sheetViews>
  <sheetFormatPr defaultColWidth="12.7109375" defaultRowHeight="12.75" x14ac:dyDescent="0.2"/>
  <cols>
    <col min="1" max="1" width="42.7109375" style="2" customWidth="1"/>
    <col min="2" max="5" width="12.7109375" style="5" customWidth="1"/>
    <col min="6" max="6" width="10.7109375" style="5" customWidth="1"/>
    <col min="7" max="7" width="12.7109375" style="5" customWidth="1"/>
    <col min="8" max="8" width="10.7109375" style="5" customWidth="1"/>
    <col min="9" max="9" width="12.7109375" style="5" customWidth="1"/>
    <col min="10" max="10" width="10.7109375" style="5" customWidth="1"/>
    <col min="11" max="25" width="12.7109375" style="5" customWidth="1"/>
    <col min="26" max="16384" width="12.7109375" style="5"/>
  </cols>
  <sheetData>
    <row r="1" spans="1:38" s="6" customFormat="1" ht="15" customHeight="1" x14ac:dyDescent="0.2">
      <c r="A1" s="4" t="s">
        <v>0</v>
      </c>
      <c r="B1" s="1">
        <v>43137</v>
      </c>
      <c r="C1" s="1">
        <v>43504</v>
      </c>
      <c r="D1" s="1">
        <v>43868</v>
      </c>
      <c r="E1" s="1">
        <v>44224</v>
      </c>
      <c r="F1" s="1" t="s">
        <v>59</v>
      </c>
      <c r="G1" s="1">
        <v>44586</v>
      </c>
      <c r="H1" s="1" t="s">
        <v>59</v>
      </c>
      <c r="I1" s="1">
        <v>44952</v>
      </c>
      <c r="J1" s="1" t="s">
        <v>59</v>
      </c>
      <c r="K1" s="1"/>
      <c r="L1" s="1"/>
      <c r="M1" s="1"/>
      <c r="N1" s="1"/>
      <c r="O1" s="1"/>
      <c r="P1" s="1"/>
      <c r="Q1" s="1"/>
      <c r="R1" s="1"/>
      <c r="S1" s="1"/>
      <c r="T1" s="1"/>
      <c r="U1" s="1"/>
      <c r="V1" s="1"/>
      <c r="W1" s="1"/>
      <c r="X1" s="1"/>
      <c r="Y1" s="1"/>
      <c r="Z1" s="1"/>
      <c r="AA1" s="1"/>
      <c r="AB1" s="1"/>
      <c r="AC1" s="1"/>
      <c r="AD1" s="1"/>
      <c r="AE1" s="3"/>
      <c r="AF1" s="3"/>
      <c r="AG1" s="3"/>
      <c r="AH1" s="3"/>
      <c r="AI1" s="3"/>
      <c r="AJ1" s="3"/>
      <c r="AK1" s="3"/>
      <c r="AL1" s="3"/>
    </row>
    <row r="2" spans="1:38" s="6" customFormat="1" ht="15" customHeight="1" x14ac:dyDescent="0.2">
      <c r="A2" s="4" t="s">
        <v>9</v>
      </c>
      <c r="B2" s="3">
        <v>2017</v>
      </c>
      <c r="C2" s="3">
        <v>2018</v>
      </c>
      <c r="D2" s="3">
        <v>2019</v>
      </c>
      <c r="E2" s="3">
        <v>2020</v>
      </c>
      <c r="F2" s="3" t="s">
        <v>60</v>
      </c>
      <c r="G2" s="3">
        <v>2021</v>
      </c>
      <c r="H2" s="3" t="s">
        <v>60</v>
      </c>
      <c r="I2" s="3">
        <v>2022</v>
      </c>
      <c r="J2" s="3" t="s">
        <v>60</v>
      </c>
      <c r="K2" s="3">
        <v>2023</v>
      </c>
      <c r="L2" s="3">
        <v>2024</v>
      </c>
      <c r="M2" s="3">
        <v>2025</v>
      </c>
      <c r="N2" s="3"/>
      <c r="O2" s="3"/>
      <c r="P2" s="3"/>
      <c r="Q2" s="3"/>
      <c r="R2" s="3"/>
      <c r="S2" s="3"/>
      <c r="T2" s="3"/>
      <c r="U2" s="3"/>
      <c r="V2" s="3"/>
      <c r="W2" s="3"/>
      <c r="X2" s="3"/>
      <c r="Y2" s="3"/>
      <c r="Z2" s="3"/>
      <c r="AA2" s="3"/>
      <c r="AB2" s="3"/>
      <c r="AC2" s="3"/>
      <c r="AD2" s="3"/>
      <c r="AE2" s="3"/>
      <c r="AF2" s="3"/>
      <c r="AG2" s="3"/>
      <c r="AH2" s="3"/>
      <c r="AI2" s="3"/>
      <c r="AJ2" s="3"/>
      <c r="AK2" s="3"/>
      <c r="AL2" s="3"/>
    </row>
    <row r="3" spans="1:38" x14ac:dyDescent="0.2">
      <c r="A3" s="13" t="e" vm="1">
        <v>#VALUE!</v>
      </c>
    </row>
    <row r="4" spans="1:38" x14ac:dyDescent="0.2">
      <c r="A4" s="10" cm="1">
        <f t="array" ref="A4">_FV(A3,"Price")</f>
        <v>429.21499999999997</v>
      </c>
    </row>
    <row r="5" spans="1:38" s="10" customFormat="1" x14ac:dyDescent="0.2">
      <c r="A5" s="14" t="s">
        <v>19</v>
      </c>
      <c r="B5" s="10">
        <v>337.59</v>
      </c>
      <c r="C5" s="10">
        <v>301.5</v>
      </c>
      <c r="D5" s="10">
        <v>439.17</v>
      </c>
      <c r="E5" s="10">
        <v>327.93</v>
      </c>
      <c r="F5" s="24">
        <f>(E5-D5)/D5</f>
        <v>-0.25329599016326254</v>
      </c>
      <c r="G5" s="10">
        <v>387.17</v>
      </c>
      <c r="H5" s="24">
        <f>(G5-E5)/E5</f>
        <v>0.18064830909035468</v>
      </c>
      <c r="I5" s="10">
        <v>459.81</v>
      </c>
      <c r="J5" s="24">
        <f>(I5-G5)/G5</f>
        <v>0.1876178422914998</v>
      </c>
    </row>
    <row r="6" spans="1:38" x14ac:dyDescent="0.2">
      <c r="A6" s="13" t="s">
        <v>20</v>
      </c>
      <c r="B6" s="5">
        <v>290.60000000000002</v>
      </c>
      <c r="C6" s="5">
        <v>286.8</v>
      </c>
      <c r="D6" s="5">
        <v>283.8</v>
      </c>
      <c r="E6" s="5">
        <v>281</v>
      </c>
      <c r="F6" s="24">
        <f t="shared" ref="F6:F69" si="0">(E6-D6)/D6</f>
        <v>-9.8661028893587428E-3</v>
      </c>
      <c r="G6" s="5">
        <v>277.39999999999998</v>
      </c>
      <c r="H6" s="24">
        <f>(G6-E6)/E6</f>
        <v>-1.2811387900355953E-2</v>
      </c>
      <c r="I6" s="5">
        <v>264.60000000000002</v>
      </c>
      <c r="J6" s="24">
        <f t="shared" ref="J6:J9" si="1">(I6-G6)/G6</f>
        <v>-4.6142754145637906E-2</v>
      </c>
    </row>
    <row r="7" spans="1:38" x14ac:dyDescent="0.2">
      <c r="A7" s="13" t="s">
        <v>21</v>
      </c>
      <c r="B7" s="5">
        <f>B5*B6</f>
        <v>98103.653999999995</v>
      </c>
      <c r="C7" s="5">
        <f>C5*C6</f>
        <v>86470.2</v>
      </c>
      <c r="D7" s="5">
        <f t="shared" ref="D7:M7" si="2">D5*D6</f>
        <v>124636.44600000001</v>
      </c>
      <c r="E7" s="5">
        <f t="shared" si="2"/>
        <v>92148.33</v>
      </c>
      <c r="F7" s="24">
        <f t="shared" si="0"/>
        <v>-0.26066304875220853</v>
      </c>
      <c r="G7" s="5">
        <f t="shared" si="2"/>
        <v>107400.958</v>
      </c>
      <c r="H7" s="24">
        <f>(G7-E7)/E7</f>
        <v>0.16552256562869883</v>
      </c>
      <c r="I7" s="5">
        <f t="shared" si="2"/>
        <v>121665.72600000001</v>
      </c>
      <c r="J7" s="24">
        <f t="shared" si="1"/>
        <v>0.13281788417567011</v>
      </c>
      <c r="K7" s="5">
        <f t="shared" si="2"/>
        <v>0</v>
      </c>
      <c r="L7" s="5">
        <f t="shared" si="2"/>
        <v>0</v>
      </c>
      <c r="M7" s="5">
        <f t="shared" si="2"/>
        <v>0</v>
      </c>
    </row>
    <row r="8" spans="1:38" x14ac:dyDescent="0.2">
      <c r="A8" s="13" t="s">
        <v>1</v>
      </c>
      <c r="B8" s="5">
        <f>B38</f>
        <v>2861</v>
      </c>
      <c r="C8" s="5">
        <f>C38</f>
        <v>772</v>
      </c>
      <c r="D8" s="5">
        <f t="shared" ref="D8:M8" si="3">D38</f>
        <v>1514</v>
      </c>
      <c r="E8" s="5">
        <f t="shared" si="3"/>
        <v>3160</v>
      </c>
      <c r="F8" s="24">
        <f t="shared" si="0"/>
        <v>1.0871862615587846</v>
      </c>
      <c r="G8" s="5">
        <f t="shared" si="3"/>
        <v>3604</v>
      </c>
      <c r="H8" s="24">
        <f>(G8-E8)/E8</f>
        <v>0.14050632911392405</v>
      </c>
      <c r="I8" s="5">
        <f t="shared" si="3"/>
        <v>2547</v>
      </c>
      <c r="J8" s="24">
        <f t="shared" si="1"/>
        <v>-0.29328523862375139</v>
      </c>
      <c r="K8" s="5">
        <f t="shared" si="3"/>
        <v>0</v>
      </c>
      <c r="L8" s="5">
        <f t="shared" si="3"/>
        <v>0</v>
      </c>
      <c r="M8" s="5">
        <f t="shared" si="3"/>
        <v>0</v>
      </c>
    </row>
    <row r="9" spans="1:38" x14ac:dyDescent="0.2">
      <c r="A9" s="13" t="s">
        <v>2</v>
      </c>
      <c r="B9" s="5">
        <f>B57+B61</f>
        <v>14263</v>
      </c>
      <c r="C9" s="5">
        <f>C57+C61</f>
        <v>14104</v>
      </c>
      <c r="D9" s="5">
        <f t="shared" ref="D9:M9" si="4">D57+D61</f>
        <v>12654</v>
      </c>
      <c r="E9" s="5">
        <f t="shared" si="4"/>
        <v>12169</v>
      </c>
      <c r="F9" s="24">
        <f t="shared" si="0"/>
        <v>-3.8327801485696221E-2</v>
      </c>
      <c r="G9" s="5">
        <f t="shared" si="4"/>
        <v>11676</v>
      </c>
      <c r="H9" s="24">
        <f>(G9-E9)/E9</f>
        <v>-4.0512778371271263E-2</v>
      </c>
      <c r="I9" s="5">
        <f t="shared" si="4"/>
        <v>15429</v>
      </c>
      <c r="J9" s="24">
        <f t="shared" si="1"/>
        <v>0.32142857142857145</v>
      </c>
      <c r="K9" s="5">
        <f t="shared" si="4"/>
        <v>0</v>
      </c>
      <c r="L9" s="5">
        <f t="shared" si="4"/>
        <v>0</v>
      </c>
      <c r="M9" s="5">
        <f t="shared" si="4"/>
        <v>0</v>
      </c>
    </row>
    <row r="10" spans="1:38" x14ac:dyDescent="0.2">
      <c r="A10" s="5"/>
      <c r="F10" s="24"/>
      <c r="H10" s="24"/>
      <c r="J10" s="23"/>
    </row>
    <row r="11" spans="1:38" x14ac:dyDescent="0.2">
      <c r="A11" s="8" t="s">
        <v>3</v>
      </c>
      <c r="F11" s="24"/>
      <c r="H11" s="24"/>
      <c r="J11" s="23"/>
    </row>
    <row r="12" spans="1:38" hidden="1" x14ac:dyDescent="0.2">
      <c r="A12" s="5"/>
      <c r="F12" s="24" t="e">
        <f t="shared" si="0"/>
        <v>#DIV/0!</v>
      </c>
      <c r="H12" s="24" t="e">
        <f t="shared" ref="H12:H18" si="5">(G12-E12)/E12</f>
        <v>#DIV/0!</v>
      </c>
      <c r="J12" s="23"/>
    </row>
    <row r="13" spans="1:38" hidden="1" x14ac:dyDescent="0.2">
      <c r="A13" s="5"/>
      <c r="F13" s="24" t="e">
        <f t="shared" si="0"/>
        <v>#DIV/0!</v>
      </c>
      <c r="H13" s="24" t="e">
        <f t="shared" si="5"/>
        <v>#DIV/0!</v>
      </c>
      <c r="J13" s="23"/>
    </row>
    <row r="14" spans="1:38" x14ac:dyDescent="0.2">
      <c r="A14" s="16" t="s">
        <v>31</v>
      </c>
      <c r="B14" s="5">
        <v>20148</v>
      </c>
      <c r="C14" s="5">
        <v>21242</v>
      </c>
      <c r="D14" s="5">
        <v>23693</v>
      </c>
      <c r="E14" s="5">
        <v>26266</v>
      </c>
      <c r="F14" s="24">
        <f t="shared" si="0"/>
        <v>0.10859747604777782</v>
      </c>
      <c r="G14" s="5">
        <v>26748</v>
      </c>
      <c r="H14" s="24">
        <f t="shared" si="5"/>
        <v>1.8350719561410187E-2</v>
      </c>
      <c r="I14" s="5">
        <v>26987</v>
      </c>
      <c r="J14" s="24">
        <f>(I14-G14)/G14</f>
        <v>8.9352474951398236E-3</v>
      </c>
    </row>
    <row r="15" spans="1:38" x14ac:dyDescent="0.2">
      <c r="A15" s="16" t="s">
        <v>32</v>
      </c>
      <c r="B15" s="5">
        <v>7212</v>
      </c>
      <c r="C15" s="5">
        <v>8462</v>
      </c>
      <c r="D15" s="5">
        <v>10131</v>
      </c>
      <c r="E15" s="5">
        <v>11257</v>
      </c>
      <c r="F15" s="24">
        <f t="shared" si="0"/>
        <v>0.11114401342414372</v>
      </c>
      <c r="G15" s="5">
        <v>11693</v>
      </c>
      <c r="H15" s="24">
        <f t="shared" si="5"/>
        <v>3.8731455982943946E-2</v>
      </c>
      <c r="I15" s="5">
        <v>11317</v>
      </c>
      <c r="J15" s="24">
        <f>(I15-G15)/G15</f>
        <v>-3.2155990763704782E-2</v>
      </c>
    </row>
    <row r="16" spans="1:38" x14ac:dyDescent="0.2">
      <c r="A16" s="16" t="s">
        <v>33</v>
      </c>
      <c r="B16" s="5">
        <v>14215</v>
      </c>
      <c r="C16" s="5">
        <v>14250</v>
      </c>
      <c r="D16" s="5">
        <v>15128</v>
      </c>
      <c r="E16" s="5">
        <v>15995</v>
      </c>
      <c r="F16" s="24">
        <f t="shared" si="0"/>
        <v>5.7310946589106293E-2</v>
      </c>
      <c r="G16" s="5">
        <v>16789</v>
      </c>
      <c r="H16" s="24">
        <f t="shared" si="5"/>
        <v>4.9640512660206318E-2</v>
      </c>
      <c r="I16" s="5">
        <v>16148</v>
      </c>
      <c r="J16" s="24">
        <f>(I16-G16)/G16</f>
        <v>-3.8179760557507894E-2</v>
      </c>
    </row>
    <row r="17" spans="1:13" x14ac:dyDescent="0.2">
      <c r="A17" s="16" t="s">
        <v>34</v>
      </c>
      <c r="B17" s="5">
        <v>9473</v>
      </c>
      <c r="C17" s="5">
        <v>9808</v>
      </c>
      <c r="D17" s="5">
        <v>10860</v>
      </c>
      <c r="E17" s="5">
        <v>11880</v>
      </c>
      <c r="F17" s="24">
        <f t="shared" si="0"/>
        <v>9.3922651933701654E-2</v>
      </c>
      <c r="G17" s="5">
        <v>11814</v>
      </c>
      <c r="H17" s="24">
        <f t="shared" si="5"/>
        <v>-5.5555555555555558E-3</v>
      </c>
      <c r="I17" s="5">
        <v>11532</v>
      </c>
      <c r="J17" s="24">
        <f>(I17-G17)/G17</f>
        <v>-2.3869984763839513E-2</v>
      </c>
    </row>
    <row r="18" spans="1:13" s="8" customFormat="1" x14ac:dyDescent="0.2">
      <c r="A18" s="17" t="s">
        <v>35</v>
      </c>
      <c r="B18" s="8">
        <f>SUM(B14:B17)</f>
        <v>51048</v>
      </c>
      <c r="C18" s="8">
        <f t="shared" ref="C18" si="6">SUM(C14:C17)</f>
        <v>53762</v>
      </c>
      <c r="D18" s="8">
        <f t="shared" ref="D18" si="7">SUM(D14:D17)</f>
        <v>59812</v>
      </c>
      <c r="E18" s="8">
        <f t="shared" ref="E18" si="8">SUM(E14:E17)</f>
        <v>65398</v>
      </c>
      <c r="F18" s="24">
        <f t="shared" si="0"/>
        <v>9.3392630241423122E-2</v>
      </c>
      <c r="G18" s="8">
        <f t="shared" ref="G18" si="9">SUM(G14:G17)</f>
        <v>67044</v>
      </c>
      <c r="H18" s="24">
        <f t="shared" si="5"/>
        <v>2.5168965411786294E-2</v>
      </c>
      <c r="I18" s="8">
        <f t="shared" ref="I18" si="10">SUM(I14:I17)</f>
        <v>65984</v>
      </c>
      <c r="J18" s="24">
        <f>(I18-G18)/G18</f>
        <v>-1.581051249925422E-2</v>
      </c>
      <c r="K18" s="8">
        <f t="shared" ref="K18" si="11">SUM(K14:K17)</f>
        <v>0</v>
      </c>
      <c r="L18" s="8">
        <f t="shared" ref="L18" si="12">SUM(L14:L17)</f>
        <v>0</v>
      </c>
      <c r="M18" s="8">
        <f t="shared" ref="M18" si="13">SUM(M14:M17)</f>
        <v>0</v>
      </c>
    </row>
    <row r="19" spans="1:13" s="8" customFormat="1" x14ac:dyDescent="0.2">
      <c r="F19" s="24"/>
      <c r="H19" s="24"/>
      <c r="J19" s="24"/>
    </row>
    <row r="20" spans="1:13" x14ac:dyDescent="0.2">
      <c r="A20" s="8" t="s">
        <v>36</v>
      </c>
      <c r="F20" s="24"/>
      <c r="H20" s="24"/>
      <c r="J20" s="24"/>
    </row>
    <row r="21" spans="1:13" x14ac:dyDescent="0.2">
      <c r="A21" s="16" t="s">
        <v>37</v>
      </c>
      <c r="B21" s="5">
        <v>39750</v>
      </c>
      <c r="C21" s="5">
        <v>40293</v>
      </c>
      <c r="D21" s="5">
        <v>44589</v>
      </c>
      <c r="E21" s="5">
        <v>48996</v>
      </c>
      <c r="F21" s="24">
        <f t="shared" si="0"/>
        <v>9.883603579358137E-2</v>
      </c>
      <c r="G21" s="5">
        <v>50273</v>
      </c>
      <c r="H21" s="24">
        <f>(G21-E21)/E21</f>
        <v>2.6063352110376359E-2</v>
      </c>
      <c r="I21" s="5">
        <v>49577</v>
      </c>
      <c r="J21" s="24">
        <f>(I21-G21)/G21</f>
        <v>-1.3844409523998966E-2</v>
      </c>
    </row>
    <row r="22" spans="1:13" x14ac:dyDescent="0.2">
      <c r="A22" s="16" t="s">
        <v>38</v>
      </c>
      <c r="B22" s="5">
        <v>6405</v>
      </c>
      <c r="C22" s="5">
        <v>7738</v>
      </c>
      <c r="D22" s="5">
        <v>8731</v>
      </c>
      <c r="E22" s="5">
        <v>9371</v>
      </c>
      <c r="F22" s="24">
        <f t="shared" si="0"/>
        <v>7.3302027259191382E-2</v>
      </c>
      <c r="G22" s="5">
        <v>9463</v>
      </c>
      <c r="H22" s="24">
        <f>(G22-E22)/E22</f>
        <v>9.8175221427809194E-3</v>
      </c>
      <c r="I22" s="5">
        <v>9280</v>
      </c>
      <c r="J22" s="24">
        <f>(I22-G22)/G22</f>
        <v>-1.933847617034767E-2</v>
      </c>
    </row>
    <row r="23" spans="1:13" x14ac:dyDescent="0.2">
      <c r="A23" s="16" t="s">
        <v>39</v>
      </c>
      <c r="B23" s="5">
        <v>0</v>
      </c>
      <c r="C23" s="5">
        <v>96</v>
      </c>
      <c r="D23" s="5">
        <v>0</v>
      </c>
      <c r="E23" s="5">
        <v>27</v>
      </c>
      <c r="F23" s="24" t="e">
        <f t="shared" si="0"/>
        <v>#DIV/0!</v>
      </c>
      <c r="G23" s="5">
        <v>36</v>
      </c>
      <c r="H23" s="24">
        <f>(G23-E23)/E23</f>
        <v>0.33333333333333331</v>
      </c>
      <c r="I23" s="5">
        <v>100</v>
      </c>
      <c r="J23" s="24">
        <f>(I23-G23)/G23</f>
        <v>1.7777777777777777</v>
      </c>
    </row>
    <row r="24" spans="1:13" x14ac:dyDescent="0.2">
      <c r="A24" s="16" t="s">
        <v>40</v>
      </c>
      <c r="B24" s="5">
        <v>-655</v>
      </c>
      <c r="C24" s="5">
        <v>-1639</v>
      </c>
      <c r="D24" s="5">
        <v>-1875</v>
      </c>
      <c r="E24" s="5">
        <v>-1650</v>
      </c>
      <c r="F24" s="24">
        <f t="shared" si="0"/>
        <v>-0.12</v>
      </c>
      <c r="G24" s="5">
        <v>-1789</v>
      </c>
      <c r="H24" s="24">
        <f>(G24-E24)/E24</f>
        <v>8.4242424242424244E-2</v>
      </c>
      <c r="I24" s="5">
        <v>-1260</v>
      </c>
      <c r="J24" s="24">
        <f>(I24-G24)/G24</f>
        <v>-0.29569591950810509</v>
      </c>
    </row>
    <row r="25" spans="1:13" s="8" customFormat="1" x14ac:dyDescent="0.2">
      <c r="A25" s="17" t="s">
        <v>41</v>
      </c>
      <c r="B25" s="8">
        <f>SUM(B21:B24)</f>
        <v>45500</v>
      </c>
      <c r="C25" s="8">
        <f t="shared" ref="C25" si="14">SUM(C21:C24)</f>
        <v>46488</v>
      </c>
      <c r="D25" s="8">
        <f t="shared" ref="D25" si="15">SUM(D21:D24)</f>
        <v>51445</v>
      </c>
      <c r="E25" s="8">
        <f t="shared" ref="E25" si="16">SUM(E21:E24)</f>
        <v>56744</v>
      </c>
      <c r="F25" s="24">
        <f t="shared" si="0"/>
        <v>0.10300320730877636</v>
      </c>
      <c r="G25" s="8">
        <f t="shared" ref="G25" si="17">SUM(G21:G24)</f>
        <v>57983</v>
      </c>
      <c r="H25" s="24">
        <f>(G25-E25)/E25</f>
        <v>2.1834907655434936E-2</v>
      </c>
      <c r="I25" s="8">
        <f t="shared" ref="I25" si="18">SUM(I21:I24)</f>
        <v>57697</v>
      </c>
      <c r="J25" s="24">
        <f>(I25-G25)/G25</f>
        <v>-4.9324802097166411E-3</v>
      </c>
      <c r="K25" s="8">
        <f t="shared" ref="K25" si="19">SUM(K21:K24)</f>
        <v>0</v>
      </c>
      <c r="L25" s="8">
        <f t="shared" ref="L25" si="20">SUM(L21:L24)</f>
        <v>0</v>
      </c>
      <c r="M25" s="8">
        <f t="shared" ref="M25" si="21">SUM(M21:M24)</f>
        <v>0</v>
      </c>
    </row>
    <row r="26" spans="1:13" s="8" customFormat="1" x14ac:dyDescent="0.2">
      <c r="F26" s="24"/>
      <c r="H26" s="24"/>
      <c r="J26" s="24"/>
    </row>
    <row r="27" spans="1:13" x14ac:dyDescent="0.2">
      <c r="A27" s="13" t="s">
        <v>7</v>
      </c>
      <c r="B27" s="5">
        <f>B18-B25</f>
        <v>5548</v>
      </c>
      <c r="C27" s="5">
        <f>C18-C25</f>
        <v>7274</v>
      </c>
      <c r="D27" s="5">
        <f t="shared" ref="D27:M27" si="22">D18-D25</f>
        <v>8367</v>
      </c>
      <c r="E27" s="5">
        <f t="shared" si="22"/>
        <v>8654</v>
      </c>
      <c r="F27" s="24">
        <f t="shared" si="0"/>
        <v>3.430142225409346E-2</v>
      </c>
      <c r="G27" s="5">
        <f t="shared" si="22"/>
        <v>9061</v>
      </c>
      <c r="H27" s="24">
        <f t="shared" ref="H27:H34" si="23">(G27-E27)/E27</f>
        <v>4.7030275017333027E-2</v>
      </c>
      <c r="I27" s="5">
        <f t="shared" si="22"/>
        <v>8287</v>
      </c>
      <c r="J27" s="24">
        <f t="shared" ref="J27:J34" si="24">(I27-G27)/G27</f>
        <v>-8.5421035205827167E-2</v>
      </c>
      <c r="K27" s="5">
        <f t="shared" si="22"/>
        <v>0</v>
      </c>
      <c r="L27" s="5">
        <f t="shared" si="22"/>
        <v>0</v>
      </c>
      <c r="M27" s="5">
        <f t="shared" si="22"/>
        <v>0</v>
      </c>
    </row>
    <row r="28" spans="1:13" x14ac:dyDescent="0.2">
      <c r="A28" s="13" t="s">
        <v>42</v>
      </c>
      <c r="B28" s="5">
        <v>373</v>
      </c>
      <c r="C28" s="5">
        <v>60</v>
      </c>
      <c r="D28" s="5">
        <v>178</v>
      </c>
      <c r="E28" s="5">
        <v>-10</v>
      </c>
      <c r="F28" s="24">
        <f t="shared" si="0"/>
        <v>-1.0561797752808988</v>
      </c>
      <c r="G28" s="5">
        <v>62</v>
      </c>
      <c r="H28" s="24">
        <f t="shared" si="23"/>
        <v>-7.2</v>
      </c>
      <c r="I28" s="5">
        <v>61</v>
      </c>
      <c r="J28" s="24">
        <f t="shared" si="24"/>
        <v>-1.6129032258064516E-2</v>
      </c>
    </row>
    <row r="29" spans="1:13" x14ac:dyDescent="0.2">
      <c r="A29" s="13" t="s">
        <v>4</v>
      </c>
      <c r="B29" s="5">
        <v>-651</v>
      </c>
      <c r="C29" s="5">
        <v>-668</v>
      </c>
      <c r="D29" s="5">
        <v>-653</v>
      </c>
      <c r="E29" s="5">
        <v>-591</v>
      </c>
      <c r="F29" s="24">
        <f t="shared" si="0"/>
        <v>-9.4946401225114857E-2</v>
      </c>
      <c r="G29" s="5">
        <v>-569</v>
      </c>
      <c r="H29" s="24">
        <f t="shared" si="23"/>
        <v>-3.7225042301184431E-2</v>
      </c>
      <c r="I29" s="5">
        <v>-623</v>
      </c>
      <c r="J29" s="24">
        <f t="shared" si="24"/>
        <v>9.4903339191564143E-2</v>
      </c>
    </row>
    <row r="30" spans="1:13" x14ac:dyDescent="0.2">
      <c r="A30" s="13" t="s">
        <v>43</v>
      </c>
      <c r="B30" s="5">
        <v>-1</v>
      </c>
      <c r="C30" s="5">
        <v>-828</v>
      </c>
      <c r="D30" s="5">
        <v>-651</v>
      </c>
      <c r="E30" s="5">
        <v>182</v>
      </c>
      <c r="F30" s="24">
        <f t="shared" si="0"/>
        <v>-1.2795698924731183</v>
      </c>
      <c r="G30" s="5">
        <f>288-1292</f>
        <v>-1004</v>
      </c>
      <c r="H30" s="24">
        <f t="shared" si="23"/>
        <v>-6.5164835164835164</v>
      </c>
      <c r="I30" s="5">
        <f>-74-971</f>
        <v>-1045</v>
      </c>
      <c r="J30" s="24">
        <f t="shared" si="24"/>
        <v>4.0836653386454182E-2</v>
      </c>
    </row>
    <row r="31" spans="1:13" x14ac:dyDescent="0.2">
      <c r="A31" s="16" t="s">
        <v>8</v>
      </c>
      <c r="B31" s="5">
        <f>SUM(B27:B30)</f>
        <v>5269</v>
      </c>
      <c r="C31" s="5">
        <f>SUM(C27:C30)</f>
        <v>5838</v>
      </c>
      <c r="D31" s="5">
        <f t="shared" ref="D31:M31" si="25">SUM(D27:D30)</f>
        <v>7241</v>
      </c>
      <c r="E31" s="5">
        <f t="shared" si="25"/>
        <v>8235</v>
      </c>
      <c r="F31" s="24">
        <f t="shared" si="0"/>
        <v>0.13727385720204391</v>
      </c>
      <c r="G31" s="5">
        <f t="shared" si="25"/>
        <v>7550</v>
      </c>
      <c r="H31" s="24">
        <f t="shared" si="23"/>
        <v>-8.3181542197935637E-2</v>
      </c>
      <c r="I31" s="5">
        <f t="shared" si="25"/>
        <v>6680</v>
      </c>
      <c r="J31" s="24">
        <f t="shared" si="24"/>
        <v>-0.1152317880794702</v>
      </c>
      <c r="K31" s="5">
        <f t="shared" si="25"/>
        <v>0</v>
      </c>
      <c r="L31" s="5">
        <f t="shared" si="25"/>
        <v>0</v>
      </c>
      <c r="M31" s="5">
        <f t="shared" si="25"/>
        <v>0</v>
      </c>
    </row>
    <row r="32" spans="1:13" x14ac:dyDescent="0.2">
      <c r="A32" s="16" t="s">
        <v>22</v>
      </c>
      <c r="B32" s="5">
        <v>3340</v>
      </c>
      <c r="C32" s="5">
        <v>792</v>
      </c>
      <c r="D32" s="5">
        <v>1011</v>
      </c>
      <c r="E32" s="5">
        <v>1347</v>
      </c>
      <c r="F32" s="24">
        <f t="shared" si="0"/>
        <v>0.33234421364985162</v>
      </c>
      <c r="G32" s="5">
        <v>1235</v>
      </c>
      <c r="H32" s="24">
        <f t="shared" si="23"/>
        <v>-8.3147735708982928E-2</v>
      </c>
      <c r="I32" s="5">
        <v>948</v>
      </c>
      <c r="J32" s="24">
        <f t="shared" si="24"/>
        <v>-0.23238866396761135</v>
      </c>
    </row>
    <row r="33" spans="1:13" s="8" customFormat="1" x14ac:dyDescent="0.2">
      <c r="A33" s="17" t="s">
        <v>5</v>
      </c>
      <c r="B33" s="8">
        <f>B31-B32</f>
        <v>1929</v>
      </c>
      <c r="C33" s="8">
        <f>C31-C32</f>
        <v>5046</v>
      </c>
      <c r="D33" s="8">
        <f t="shared" ref="D33:M33" si="26">D31-D32</f>
        <v>6230</v>
      </c>
      <c r="E33" s="8">
        <f t="shared" si="26"/>
        <v>6888</v>
      </c>
      <c r="F33" s="24">
        <f t="shared" si="0"/>
        <v>0.10561797752808989</v>
      </c>
      <c r="G33" s="8">
        <f t="shared" si="26"/>
        <v>6315</v>
      </c>
      <c r="H33" s="24">
        <f t="shared" si="23"/>
        <v>-8.3188153310104526E-2</v>
      </c>
      <c r="I33" s="8">
        <f t="shared" si="26"/>
        <v>5732</v>
      </c>
      <c r="J33" s="24">
        <f t="shared" si="24"/>
        <v>-9.2319873317498025E-2</v>
      </c>
      <c r="K33" s="8">
        <f t="shared" si="26"/>
        <v>0</v>
      </c>
      <c r="L33" s="8">
        <f t="shared" si="26"/>
        <v>0</v>
      </c>
      <c r="M33" s="8">
        <f t="shared" si="26"/>
        <v>0</v>
      </c>
    </row>
    <row r="34" spans="1:13" s="13" customFormat="1" x14ac:dyDescent="0.2">
      <c r="A34" s="13" t="s">
        <v>44</v>
      </c>
      <c r="B34" s="13">
        <v>73</v>
      </c>
      <c r="C34" s="13">
        <v>0</v>
      </c>
      <c r="D34" s="13">
        <v>0</v>
      </c>
      <c r="E34" s="13">
        <v>55</v>
      </c>
      <c r="F34" s="24" t="e">
        <f t="shared" si="0"/>
        <v>#DIV/0!</v>
      </c>
      <c r="G34" s="13">
        <v>0</v>
      </c>
      <c r="H34" s="24">
        <f t="shared" si="23"/>
        <v>-1</v>
      </c>
      <c r="I34" s="13">
        <v>0</v>
      </c>
      <c r="J34" s="24" t="e">
        <f t="shared" si="24"/>
        <v>#DIV/0!</v>
      </c>
    </row>
    <row r="35" spans="1:13" x14ac:dyDescent="0.2">
      <c r="A35" s="5"/>
      <c r="F35" s="24"/>
      <c r="H35" s="24"/>
      <c r="J35" s="24"/>
    </row>
    <row r="36" spans="1:13" x14ac:dyDescent="0.2">
      <c r="A36" s="8" t="s">
        <v>10</v>
      </c>
      <c r="F36" s="24"/>
      <c r="H36" s="24"/>
      <c r="J36" s="24"/>
    </row>
    <row r="37" spans="1:13" x14ac:dyDescent="0.2">
      <c r="A37" s="15" t="s">
        <v>11</v>
      </c>
      <c r="F37" s="24"/>
      <c r="H37" s="24"/>
      <c r="J37" s="24"/>
    </row>
    <row r="38" spans="1:13" x14ac:dyDescent="0.2">
      <c r="A38" s="18" t="s">
        <v>1</v>
      </c>
      <c r="B38" s="5">
        <v>2861</v>
      </c>
      <c r="C38" s="5">
        <v>772</v>
      </c>
      <c r="D38" s="5">
        <v>1514</v>
      </c>
      <c r="E38" s="5">
        <v>3160</v>
      </c>
      <c r="F38" s="24">
        <f t="shared" si="0"/>
        <v>1.0871862615587846</v>
      </c>
      <c r="G38" s="5">
        <v>3604</v>
      </c>
      <c r="H38" s="24">
        <f t="shared" ref="H38:H50" si="27">(G38-E38)/E38</f>
        <v>0.14050632911392405</v>
      </c>
      <c r="I38" s="5">
        <v>2547</v>
      </c>
      <c r="J38" s="24">
        <f t="shared" ref="J38:J50" si="28">(I38-G38)/G38</f>
        <v>-0.29328523862375139</v>
      </c>
    </row>
    <row r="39" spans="1:13" x14ac:dyDescent="0.2">
      <c r="A39" s="18" t="s">
        <v>45</v>
      </c>
      <c r="B39" s="5">
        <v>2265</v>
      </c>
      <c r="C39" s="5">
        <v>2444</v>
      </c>
      <c r="D39" s="5">
        <v>2337</v>
      </c>
      <c r="E39" s="5">
        <v>1978</v>
      </c>
      <c r="F39" s="24">
        <f t="shared" si="0"/>
        <v>-0.15361574668378264</v>
      </c>
      <c r="G39" s="5">
        <v>1963</v>
      </c>
      <c r="H39" s="24">
        <f t="shared" si="27"/>
        <v>-7.5834175935288167E-3</v>
      </c>
      <c r="I39" s="5">
        <v>2505</v>
      </c>
      <c r="J39" s="24">
        <f t="shared" si="28"/>
        <v>0.27610799796230262</v>
      </c>
    </row>
    <row r="40" spans="1:13" x14ac:dyDescent="0.2">
      <c r="A40" s="18" t="s">
        <v>57</v>
      </c>
      <c r="B40" s="5">
        <v>7992</v>
      </c>
      <c r="C40" s="5">
        <v>9472</v>
      </c>
      <c r="D40" s="5">
        <v>9094</v>
      </c>
      <c r="E40" s="5">
        <v>9545</v>
      </c>
      <c r="F40" s="24">
        <f t="shared" si="0"/>
        <v>4.9593138332966788E-2</v>
      </c>
      <c r="G40" s="5">
        <v>10579</v>
      </c>
      <c r="H40" s="24">
        <f t="shared" si="27"/>
        <v>0.10832896804609743</v>
      </c>
      <c r="I40" s="5">
        <v>12318</v>
      </c>
      <c r="J40" s="24">
        <f t="shared" si="28"/>
        <v>0.16438226675489176</v>
      </c>
    </row>
    <row r="41" spans="1:13" x14ac:dyDescent="0.2">
      <c r="A41" s="18" t="s">
        <v>46</v>
      </c>
      <c r="B41" s="5">
        <v>2878</v>
      </c>
      <c r="C41" s="5">
        <v>2997</v>
      </c>
      <c r="D41" s="5">
        <v>3619</v>
      </c>
      <c r="E41" s="5">
        <v>3545</v>
      </c>
      <c r="F41" s="24">
        <f t="shared" si="0"/>
        <v>-2.0447637468914065E-2</v>
      </c>
      <c r="G41" s="5">
        <v>2981</v>
      </c>
      <c r="H41" s="24">
        <f t="shared" si="27"/>
        <v>-0.15909732016925246</v>
      </c>
      <c r="I41" s="5">
        <v>3088</v>
      </c>
      <c r="J41" s="24">
        <f t="shared" si="28"/>
        <v>3.5893995303589402E-2</v>
      </c>
    </row>
    <row r="42" spans="1:13" x14ac:dyDescent="0.2">
      <c r="A42" s="18" t="s">
        <v>6</v>
      </c>
      <c r="B42" s="5">
        <v>1509</v>
      </c>
      <c r="C42" s="5">
        <v>418</v>
      </c>
      <c r="D42" s="5">
        <v>531</v>
      </c>
      <c r="E42" s="5">
        <v>1150</v>
      </c>
      <c r="F42" s="24">
        <f t="shared" si="0"/>
        <v>1.1657250470809792</v>
      </c>
      <c r="G42" s="5">
        <v>688</v>
      </c>
      <c r="H42" s="24">
        <f t="shared" si="27"/>
        <v>-0.4017391304347826</v>
      </c>
      <c r="I42" s="5">
        <v>533</v>
      </c>
      <c r="J42" s="24">
        <f t="shared" si="28"/>
        <v>-0.22529069767441862</v>
      </c>
    </row>
    <row r="43" spans="1:13" s="8" customFormat="1" x14ac:dyDescent="0.2">
      <c r="A43" s="19" t="s">
        <v>12</v>
      </c>
      <c r="B43" s="8">
        <f>SUM(B38:B42)</f>
        <v>17505</v>
      </c>
      <c r="C43" s="8">
        <f>SUM(C38:C42)</f>
        <v>16103</v>
      </c>
      <c r="D43" s="8">
        <f t="shared" ref="D43:M43" si="29">SUM(D38:D42)</f>
        <v>17095</v>
      </c>
      <c r="E43" s="8">
        <f t="shared" si="29"/>
        <v>19378</v>
      </c>
      <c r="F43" s="24">
        <f t="shared" si="0"/>
        <v>0.13354782100029247</v>
      </c>
      <c r="G43" s="8">
        <f t="shared" si="29"/>
        <v>19815</v>
      </c>
      <c r="H43" s="24">
        <f t="shared" si="27"/>
        <v>2.2551346888223758E-2</v>
      </c>
      <c r="I43" s="8">
        <f t="shared" si="29"/>
        <v>20991</v>
      </c>
      <c r="J43" s="24">
        <f t="shared" si="28"/>
        <v>5.9348978046934141E-2</v>
      </c>
      <c r="K43" s="8">
        <f t="shared" si="29"/>
        <v>0</v>
      </c>
      <c r="L43" s="8">
        <f t="shared" si="29"/>
        <v>0</v>
      </c>
      <c r="M43" s="8">
        <f t="shared" si="29"/>
        <v>0</v>
      </c>
    </row>
    <row r="44" spans="1:13" s="13" customFormat="1" x14ac:dyDescent="0.2">
      <c r="A44" s="16" t="s">
        <v>47</v>
      </c>
      <c r="B44" s="13">
        <v>5775</v>
      </c>
      <c r="C44" s="13">
        <v>6124</v>
      </c>
      <c r="D44" s="13">
        <v>6591</v>
      </c>
      <c r="E44" s="13">
        <v>7213</v>
      </c>
      <c r="F44" s="24">
        <f t="shared" si="0"/>
        <v>9.4371112122591416E-2</v>
      </c>
      <c r="G44" s="13">
        <v>7597</v>
      </c>
      <c r="H44" s="24">
        <f t="shared" si="27"/>
        <v>5.3237210591986689E-2</v>
      </c>
      <c r="I44" s="13">
        <v>7975</v>
      </c>
      <c r="J44" s="24">
        <f t="shared" si="28"/>
        <v>4.9756482822166645E-2</v>
      </c>
    </row>
    <row r="45" spans="1:13" s="13" customFormat="1" x14ac:dyDescent="0.2">
      <c r="A45" s="16" t="s">
        <v>13</v>
      </c>
      <c r="B45" s="13">
        <v>10807</v>
      </c>
      <c r="C45" s="13">
        <v>10769</v>
      </c>
      <c r="D45" s="13">
        <v>10604</v>
      </c>
      <c r="E45" s="13">
        <v>10806</v>
      </c>
      <c r="F45" s="24">
        <f t="shared" si="0"/>
        <v>1.904941531497548E-2</v>
      </c>
      <c r="G45" s="13">
        <v>10813</v>
      </c>
      <c r="H45" s="24">
        <f t="shared" si="27"/>
        <v>6.477882657782713E-4</v>
      </c>
      <c r="I45" s="13">
        <v>10780</v>
      </c>
      <c r="J45" s="24">
        <f t="shared" si="28"/>
        <v>-3.0518819938962359E-3</v>
      </c>
    </row>
    <row r="46" spans="1:13" s="13" customFormat="1" hidden="1" x14ac:dyDescent="0.2">
      <c r="A46" s="16"/>
      <c r="F46" s="24" t="e">
        <f t="shared" si="0"/>
        <v>#DIV/0!</v>
      </c>
      <c r="H46" s="24" t="e">
        <f t="shared" si="27"/>
        <v>#DIV/0!</v>
      </c>
      <c r="J46" s="24" t="e">
        <f t="shared" si="28"/>
        <v>#DIV/0!</v>
      </c>
    </row>
    <row r="47" spans="1:13" s="13" customFormat="1" x14ac:dyDescent="0.2">
      <c r="A47" s="16" t="s">
        <v>23</v>
      </c>
      <c r="B47" s="13">
        <v>3797</v>
      </c>
      <c r="C47" s="13">
        <v>3494</v>
      </c>
      <c r="D47" s="13">
        <v>3213</v>
      </c>
      <c r="E47" s="13">
        <v>3012</v>
      </c>
      <c r="F47" s="24">
        <f t="shared" si="0"/>
        <v>-6.2558356676003735E-2</v>
      </c>
      <c r="G47" s="13">
        <v>2706</v>
      </c>
      <c r="H47" s="24">
        <f t="shared" si="27"/>
        <v>-0.10159362549800798</v>
      </c>
      <c r="I47" s="13">
        <v>2459</v>
      </c>
      <c r="J47" s="24">
        <f t="shared" si="28"/>
        <v>-9.1278640059127863E-2</v>
      </c>
    </row>
    <row r="48" spans="1:13" s="13" customFormat="1" x14ac:dyDescent="0.2">
      <c r="A48" s="16" t="s">
        <v>48</v>
      </c>
      <c r="B48" s="13">
        <v>3111</v>
      </c>
      <c r="C48" s="13">
        <v>3208</v>
      </c>
      <c r="D48" s="13">
        <v>3319</v>
      </c>
      <c r="E48" s="13">
        <v>3475</v>
      </c>
      <c r="F48" s="24">
        <f t="shared" si="0"/>
        <v>4.7002109068996684E-2</v>
      </c>
      <c r="G48" s="13">
        <v>2290</v>
      </c>
      <c r="H48" s="24">
        <f t="shared" si="27"/>
        <v>-0.34100719424460429</v>
      </c>
      <c r="I48" s="13">
        <v>3744</v>
      </c>
      <c r="J48" s="24">
        <f t="shared" si="28"/>
        <v>0.63493449781659383</v>
      </c>
    </row>
    <row r="49" spans="1:13" s="13" customFormat="1" x14ac:dyDescent="0.2">
      <c r="A49" s="16" t="s">
        <v>6</v>
      </c>
      <c r="B49" s="13">
        <v>5570</v>
      </c>
      <c r="C49" s="13">
        <v>5178</v>
      </c>
      <c r="D49" s="13">
        <v>6706</v>
      </c>
      <c r="E49" s="13">
        <v>6826</v>
      </c>
      <c r="F49" s="24">
        <f t="shared" si="0"/>
        <v>1.7894422904861318E-2</v>
      </c>
      <c r="G49" s="13">
        <v>7652</v>
      </c>
      <c r="H49" s="24">
        <f t="shared" si="27"/>
        <v>0.12100791092880164</v>
      </c>
      <c r="I49" s="13">
        <v>6931</v>
      </c>
      <c r="J49" s="24">
        <f t="shared" si="28"/>
        <v>-9.4223732357553575E-2</v>
      </c>
    </row>
    <row r="50" spans="1:13" s="8" customFormat="1" x14ac:dyDescent="0.2">
      <c r="A50" s="19" t="s">
        <v>14</v>
      </c>
      <c r="B50" s="8">
        <f>SUM(B43:B49)</f>
        <v>46565</v>
      </c>
      <c r="C50" s="8">
        <f>SUM(C43:C49)</f>
        <v>44876</v>
      </c>
      <c r="D50" s="8">
        <f t="shared" ref="D50:M50" si="30">SUM(D43:D49)</f>
        <v>47528</v>
      </c>
      <c r="E50" s="8">
        <f t="shared" si="30"/>
        <v>50710</v>
      </c>
      <c r="F50" s="24">
        <f t="shared" si="0"/>
        <v>6.6950008416091569E-2</v>
      </c>
      <c r="G50" s="8">
        <f t="shared" si="30"/>
        <v>50873</v>
      </c>
      <c r="H50" s="24">
        <f t="shared" si="27"/>
        <v>3.2143561427726286E-3</v>
      </c>
      <c r="I50" s="8">
        <f t="shared" si="30"/>
        <v>52880</v>
      </c>
      <c r="J50" s="24">
        <f t="shared" si="28"/>
        <v>3.9451182356063139E-2</v>
      </c>
      <c r="K50" s="8">
        <f t="shared" si="30"/>
        <v>0</v>
      </c>
      <c r="L50" s="8">
        <f t="shared" si="30"/>
        <v>0</v>
      </c>
      <c r="M50" s="8">
        <f t="shared" si="30"/>
        <v>0</v>
      </c>
    </row>
    <row r="51" spans="1:13" x14ac:dyDescent="0.2">
      <c r="A51" s="13"/>
      <c r="F51" s="24"/>
      <c r="H51" s="24"/>
      <c r="J51" s="24"/>
    </row>
    <row r="52" spans="1:13" s="8" customFormat="1" x14ac:dyDescent="0.2">
      <c r="A52" s="8" t="s">
        <v>15</v>
      </c>
      <c r="F52" s="24"/>
      <c r="H52" s="24"/>
      <c r="J52" s="24"/>
    </row>
    <row r="53" spans="1:13" x14ac:dyDescent="0.2">
      <c r="A53" s="15" t="s">
        <v>16</v>
      </c>
      <c r="F53" s="24"/>
      <c r="H53" s="24"/>
      <c r="J53" s="24"/>
    </row>
    <row r="54" spans="1:13" x14ac:dyDescent="0.2">
      <c r="A54" s="18" t="s">
        <v>24</v>
      </c>
      <c r="B54" s="5">
        <v>1467</v>
      </c>
      <c r="C54" s="5">
        <v>2402</v>
      </c>
      <c r="D54" s="5">
        <v>1281</v>
      </c>
      <c r="E54" s="5">
        <v>880</v>
      </c>
      <c r="F54" s="24">
        <f t="shared" si="0"/>
        <v>-0.31303669008587043</v>
      </c>
      <c r="G54" s="5">
        <v>780</v>
      </c>
      <c r="H54" s="24">
        <f t="shared" ref="H54:H65" si="31">(G54-E54)/E54</f>
        <v>-0.11363636363636363</v>
      </c>
      <c r="I54" s="5">
        <v>2117</v>
      </c>
      <c r="J54" s="24">
        <f t="shared" ref="J54:J65" si="32">(I54-G54)/G54</f>
        <v>1.714102564102564</v>
      </c>
    </row>
    <row r="55" spans="1:13" x14ac:dyDescent="0.2">
      <c r="A55" s="22" t="s">
        <v>58</v>
      </c>
      <c r="B55" s="5">
        <v>6752</v>
      </c>
      <c r="C55" s="5">
        <v>6491</v>
      </c>
      <c r="D55" s="5">
        <v>7054</v>
      </c>
      <c r="E55" s="5">
        <v>7545</v>
      </c>
      <c r="F55" s="24">
        <f t="shared" si="0"/>
        <v>6.960589736319818E-2</v>
      </c>
      <c r="G55" s="5">
        <v>8107</v>
      </c>
      <c r="H55" s="24">
        <f t="shared" si="31"/>
        <v>7.4486414844267726E-2</v>
      </c>
      <c r="I55" s="5">
        <v>8488</v>
      </c>
      <c r="J55" s="24">
        <f t="shared" si="32"/>
        <v>4.6996422844455411E-2</v>
      </c>
    </row>
    <row r="56" spans="1:13" x14ac:dyDescent="0.2">
      <c r="A56" s="18" t="s">
        <v>49</v>
      </c>
      <c r="B56" s="5">
        <v>1785</v>
      </c>
      <c r="C56" s="5">
        <v>2122</v>
      </c>
      <c r="D56" s="5">
        <v>2466</v>
      </c>
      <c r="E56" s="5">
        <v>3163</v>
      </c>
      <c r="F56" s="24">
        <f t="shared" si="0"/>
        <v>0.28264395782643958</v>
      </c>
      <c r="G56" s="5">
        <v>3108</v>
      </c>
      <c r="H56" s="24">
        <f t="shared" si="31"/>
        <v>-1.7388555169143217E-2</v>
      </c>
      <c r="I56" s="5">
        <v>3075</v>
      </c>
      <c r="J56" s="24">
        <f t="shared" si="32"/>
        <v>-1.0617760617760617E-2</v>
      </c>
    </row>
    <row r="57" spans="1:13" x14ac:dyDescent="0.2">
      <c r="A57" s="18" t="s">
        <v>50</v>
      </c>
      <c r="B57" s="5">
        <v>750</v>
      </c>
      <c r="C57" s="5">
        <v>1500</v>
      </c>
      <c r="D57" s="5">
        <v>1250</v>
      </c>
      <c r="E57" s="5">
        <v>500</v>
      </c>
      <c r="F57" s="24">
        <f t="shared" si="0"/>
        <v>-0.6</v>
      </c>
      <c r="G57" s="5">
        <v>6</v>
      </c>
      <c r="H57" s="24">
        <f t="shared" si="31"/>
        <v>-0.98799999999999999</v>
      </c>
      <c r="I57" s="5">
        <v>0</v>
      </c>
      <c r="J57" s="24">
        <f t="shared" si="32"/>
        <v>-1</v>
      </c>
    </row>
    <row r="58" spans="1:13" x14ac:dyDescent="0.2">
      <c r="A58" s="18" t="s">
        <v>6</v>
      </c>
      <c r="B58" s="5">
        <v>1883</v>
      </c>
      <c r="C58" s="5">
        <v>1883</v>
      </c>
      <c r="D58" s="5">
        <v>1921</v>
      </c>
      <c r="E58" s="5">
        <v>1845</v>
      </c>
      <c r="F58" s="24">
        <f t="shared" si="0"/>
        <v>-3.9562727745965642E-2</v>
      </c>
      <c r="G58" s="5">
        <v>1996</v>
      </c>
      <c r="H58" s="24">
        <f t="shared" si="31"/>
        <v>8.1842818428184277E-2</v>
      </c>
      <c r="I58" s="5">
        <v>2207</v>
      </c>
      <c r="J58" s="24">
        <f t="shared" si="32"/>
        <v>0.10571142284569138</v>
      </c>
    </row>
    <row r="59" spans="1:13" s="8" customFormat="1" x14ac:dyDescent="0.2">
      <c r="A59" s="19" t="s">
        <v>25</v>
      </c>
      <c r="B59" s="8">
        <f>SUM(B54:B58)</f>
        <v>12637</v>
      </c>
      <c r="C59" s="8">
        <f>SUM(C54:C58)</f>
        <v>14398</v>
      </c>
      <c r="D59" s="8">
        <f t="shared" ref="D59:M59" si="33">SUM(D54:D58)</f>
        <v>13972</v>
      </c>
      <c r="E59" s="8">
        <f t="shared" si="33"/>
        <v>13933</v>
      </c>
      <c r="F59" s="24">
        <f t="shared" si="0"/>
        <v>-2.7912968794732321E-3</v>
      </c>
      <c r="G59" s="8">
        <f t="shared" si="33"/>
        <v>13997</v>
      </c>
      <c r="H59" s="24">
        <f t="shared" si="31"/>
        <v>4.5934113256297995E-3</v>
      </c>
      <c r="I59" s="8">
        <f t="shared" si="33"/>
        <v>15887</v>
      </c>
      <c r="J59" s="24">
        <f t="shared" si="32"/>
        <v>0.1350289347717368</v>
      </c>
      <c r="K59" s="8">
        <f t="shared" si="33"/>
        <v>0</v>
      </c>
      <c r="L59" s="8">
        <f t="shared" si="33"/>
        <v>0</v>
      </c>
      <c r="M59" s="8">
        <f t="shared" si="33"/>
        <v>0</v>
      </c>
    </row>
    <row r="60" spans="1:13" hidden="1" x14ac:dyDescent="0.2">
      <c r="A60" s="13"/>
      <c r="F60" s="24" t="e">
        <f t="shared" si="0"/>
        <v>#DIV/0!</v>
      </c>
      <c r="H60" s="24" t="e">
        <f t="shared" si="31"/>
        <v>#DIV/0!</v>
      </c>
      <c r="J60" s="24" t="e">
        <f t="shared" si="32"/>
        <v>#DIV/0!</v>
      </c>
    </row>
    <row r="61" spans="1:13" s="13" customFormat="1" x14ac:dyDescent="0.2">
      <c r="A61" s="16" t="s">
        <v>17</v>
      </c>
      <c r="B61" s="13">
        <v>13513</v>
      </c>
      <c r="C61" s="13">
        <v>12604</v>
      </c>
      <c r="D61" s="13">
        <v>11404</v>
      </c>
      <c r="E61" s="13">
        <v>11669</v>
      </c>
      <c r="F61" s="24">
        <f t="shared" si="0"/>
        <v>2.3237460540161348E-2</v>
      </c>
      <c r="G61" s="13">
        <v>11670</v>
      </c>
      <c r="H61" s="24">
        <f t="shared" si="31"/>
        <v>8.5697146285028703E-5</v>
      </c>
      <c r="I61" s="13">
        <v>15429</v>
      </c>
      <c r="J61" s="24">
        <f t="shared" si="32"/>
        <v>0.32210796915167095</v>
      </c>
    </row>
    <row r="62" spans="1:13" s="13" customFormat="1" x14ac:dyDescent="0.2">
      <c r="A62" s="16" t="s">
        <v>51</v>
      </c>
      <c r="B62" s="13">
        <v>15703</v>
      </c>
      <c r="C62" s="13">
        <v>11410</v>
      </c>
      <c r="D62" s="13">
        <v>13234</v>
      </c>
      <c r="E62" s="13">
        <v>12874</v>
      </c>
      <c r="F62" s="24">
        <f t="shared" si="0"/>
        <v>-2.7202659815626418E-2</v>
      </c>
      <c r="G62" s="13">
        <v>8319</v>
      </c>
      <c r="H62" s="24">
        <f t="shared" si="31"/>
        <v>-0.3538138884573559</v>
      </c>
      <c r="I62" s="13">
        <v>5472</v>
      </c>
      <c r="J62" s="24">
        <f t="shared" si="32"/>
        <v>-0.34222863324918862</v>
      </c>
    </row>
    <row r="63" spans="1:13" s="13" customFormat="1" x14ac:dyDescent="0.2">
      <c r="A63" s="16" t="s">
        <v>52</v>
      </c>
      <c r="B63" s="13">
        <v>719</v>
      </c>
      <c r="C63" s="13">
        <v>704</v>
      </c>
      <c r="D63" s="13">
        <v>337</v>
      </c>
      <c r="E63" s="13">
        <v>0</v>
      </c>
      <c r="F63" s="24">
        <f t="shared" si="0"/>
        <v>-1</v>
      </c>
      <c r="G63" s="13">
        <v>0</v>
      </c>
      <c r="H63" s="24" t="e">
        <f t="shared" si="31"/>
        <v>#DIV/0!</v>
      </c>
      <c r="I63" s="13">
        <v>0</v>
      </c>
      <c r="J63" s="24" t="e">
        <f t="shared" si="32"/>
        <v>#DIV/0!</v>
      </c>
    </row>
    <row r="64" spans="1:13" s="13" customFormat="1" x14ac:dyDescent="0.2">
      <c r="A64" s="16" t="s">
        <v>6</v>
      </c>
      <c r="B64" s="13">
        <v>4558</v>
      </c>
      <c r="C64" s="13">
        <v>4311</v>
      </c>
      <c r="D64" s="13">
        <v>5410</v>
      </c>
      <c r="E64" s="13">
        <v>6196</v>
      </c>
      <c r="F64" s="24">
        <f t="shared" si="0"/>
        <v>0.14528650646950092</v>
      </c>
      <c r="G64" s="13">
        <v>5928</v>
      </c>
      <c r="H64" s="24">
        <f t="shared" si="31"/>
        <v>-4.3253712072304711E-2</v>
      </c>
      <c r="I64" s="13">
        <v>6826</v>
      </c>
      <c r="J64" s="24">
        <f t="shared" si="32"/>
        <v>0.15148448043184884</v>
      </c>
    </row>
    <row r="65" spans="1:13" s="8" customFormat="1" x14ac:dyDescent="0.2">
      <c r="A65" s="19" t="s">
        <v>18</v>
      </c>
      <c r="B65" s="8">
        <f>SUM(B59:B64)</f>
        <v>47130</v>
      </c>
      <c r="C65" s="8">
        <f>SUM(C59:C64)</f>
        <v>43427</v>
      </c>
      <c r="D65" s="8">
        <f t="shared" ref="D65:M65" si="34">SUM(D59:D64)</f>
        <v>44357</v>
      </c>
      <c r="E65" s="8">
        <f t="shared" si="34"/>
        <v>44672</v>
      </c>
      <c r="F65" s="24">
        <f t="shared" si="0"/>
        <v>7.1014721464481368E-3</v>
      </c>
      <c r="G65" s="8">
        <f t="shared" si="34"/>
        <v>39914</v>
      </c>
      <c r="H65" s="24">
        <f t="shared" si="31"/>
        <v>-0.10650967048710602</v>
      </c>
      <c r="I65" s="8">
        <f t="shared" si="34"/>
        <v>43614</v>
      </c>
      <c r="J65" s="24">
        <f t="shared" si="32"/>
        <v>9.2699303502530445E-2</v>
      </c>
      <c r="K65" s="8">
        <f t="shared" si="34"/>
        <v>0</v>
      </c>
      <c r="L65" s="8">
        <f t="shared" si="34"/>
        <v>0</v>
      </c>
      <c r="M65" s="8">
        <f t="shared" si="34"/>
        <v>0</v>
      </c>
    </row>
    <row r="66" spans="1:13" x14ac:dyDescent="0.2">
      <c r="A66" s="20"/>
      <c r="F66" s="24"/>
      <c r="H66" s="24"/>
      <c r="J66" s="24"/>
    </row>
    <row r="67" spans="1:13" s="8" customFormat="1" x14ac:dyDescent="0.2">
      <c r="A67" s="7" t="s">
        <v>26</v>
      </c>
      <c r="B67" s="8">
        <f>B50-B65</f>
        <v>-565</v>
      </c>
      <c r="C67" s="8">
        <f>C50-C65</f>
        <v>1449</v>
      </c>
      <c r="D67" s="8">
        <f t="shared" ref="D67:M67" si="35">D50-D65</f>
        <v>3171</v>
      </c>
      <c r="E67" s="8">
        <f t="shared" si="35"/>
        <v>6038</v>
      </c>
      <c r="F67" s="24">
        <f t="shared" si="0"/>
        <v>0.90413118889940081</v>
      </c>
      <c r="G67" s="8">
        <f t="shared" si="35"/>
        <v>10959</v>
      </c>
      <c r="H67" s="24">
        <f>(G67-E67)/E67</f>
        <v>0.81500496853262672</v>
      </c>
      <c r="I67" s="8">
        <f t="shared" si="35"/>
        <v>9266</v>
      </c>
      <c r="J67" s="24">
        <f t="shared" ref="J67:J75" si="36">(I67-G67)/G67</f>
        <v>-0.15448489825714026</v>
      </c>
      <c r="K67" s="8">
        <f t="shared" si="35"/>
        <v>0</v>
      </c>
      <c r="L67" s="8">
        <f t="shared" si="35"/>
        <v>0</v>
      </c>
      <c r="M67" s="8">
        <f t="shared" si="35"/>
        <v>0</v>
      </c>
    </row>
    <row r="68" spans="1:13" x14ac:dyDescent="0.2">
      <c r="A68" s="9" t="s">
        <v>28</v>
      </c>
      <c r="B68" s="11">
        <f>(B18-B25)/B18</f>
        <v>0.10868202476100924</v>
      </c>
      <c r="C68" s="11">
        <f>(C18-C25)/C18</f>
        <v>0.13530002604069788</v>
      </c>
      <c r="D68" s="11">
        <f t="shared" ref="D68:M68" si="37">(D18-D25)/D18</f>
        <v>0.13988831672574065</v>
      </c>
      <c r="E68" s="11">
        <f t="shared" si="37"/>
        <v>0.1323282057555277</v>
      </c>
      <c r="F68" s="24">
        <f t="shared" si="0"/>
        <v>-5.4043905503809823E-2</v>
      </c>
      <c r="G68" s="11">
        <f t="shared" si="37"/>
        <v>0.13515005071296463</v>
      </c>
      <c r="H68" s="24">
        <f>(G68-E68)/E68</f>
        <v>2.1324591694760808E-2</v>
      </c>
      <c r="I68" s="11">
        <f t="shared" si="37"/>
        <v>0.12559105237633367</v>
      </c>
      <c r="J68" s="24">
        <f t="shared" si="36"/>
        <v>-7.0728780982351386E-2</v>
      </c>
      <c r="K68" s="11" t="e">
        <f t="shared" si="37"/>
        <v>#DIV/0!</v>
      </c>
      <c r="L68" s="11" t="e">
        <f t="shared" si="37"/>
        <v>#DIV/0!</v>
      </c>
      <c r="M68" s="11" t="e">
        <f t="shared" si="37"/>
        <v>#DIV/0!</v>
      </c>
    </row>
    <row r="69" spans="1:13" x14ac:dyDescent="0.2">
      <c r="A69" s="9" t="s">
        <v>27</v>
      </c>
      <c r="B69" s="11">
        <f>B33/B18</f>
        <v>3.7787964268923363E-2</v>
      </c>
      <c r="C69" s="11">
        <f>C33/C18</f>
        <v>9.3858115397492656E-2</v>
      </c>
      <c r="D69" s="11">
        <f t="shared" ref="D69:M69" si="38">D33/D18</f>
        <v>0.10415970039456965</v>
      </c>
      <c r="E69" s="11">
        <f t="shared" si="38"/>
        <v>0.10532432184470474</v>
      </c>
      <c r="F69" s="24">
        <f t="shared" si="0"/>
        <v>1.1181113671826613E-2</v>
      </c>
      <c r="G69" s="11">
        <f t="shared" si="38"/>
        <v>9.4191873993198491E-2</v>
      </c>
      <c r="H69" s="24">
        <f>(G69-E69)/E69</f>
        <v>-0.10569683864587766</v>
      </c>
      <c r="I69" s="11">
        <f t="shared" si="38"/>
        <v>8.6869544131910767E-2</v>
      </c>
      <c r="J69" s="24">
        <f t="shared" si="36"/>
        <v>-7.7738445482212856E-2</v>
      </c>
      <c r="K69" s="11" t="e">
        <f t="shared" si="38"/>
        <v>#DIV/0!</v>
      </c>
      <c r="L69" s="11" t="e">
        <f t="shared" si="38"/>
        <v>#DIV/0!</v>
      </c>
      <c r="M69" s="11" t="e">
        <f t="shared" si="38"/>
        <v>#DIV/0!</v>
      </c>
    </row>
    <row r="70" spans="1:13" x14ac:dyDescent="0.2">
      <c r="A70" s="9" t="s">
        <v>29</v>
      </c>
      <c r="B70" s="12">
        <f>B43/B59</f>
        <v>1.3852180106037826</v>
      </c>
      <c r="C70" s="12">
        <f>C43/C59</f>
        <v>1.1184192248923461</v>
      </c>
      <c r="D70" s="12">
        <f t="shared" ref="D70:M70" si="39">D43/D59</f>
        <v>1.2235184655024334</v>
      </c>
      <c r="E70" s="12">
        <f t="shared" si="39"/>
        <v>1.3907988229383479</v>
      </c>
      <c r="F70" s="24">
        <f t="shared" ref="F70:F75" si="40">(E70-D70)/D70</f>
        <v>0.13672074607163484</v>
      </c>
      <c r="G70" s="12">
        <f t="shared" si="39"/>
        <v>1.4156604986782881</v>
      </c>
      <c r="H70" s="24">
        <f t="shared" ref="H70:H75" si="41">(G70-E70)/E70</f>
        <v>1.7875824547661651E-2</v>
      </c>
      <c r="I70" s="12">
        <f t="shared" si="39"/>
        <v>1.3212689620444389</v>
      </c>
      <c r="J70" s="24">
        <f t="shared" si="36"/>
        <v>-6.6676676167751095E-2</v>
      </c>
      <c r="K70" s="12" t="e">
        <f t="shared" si="39"/>
        <v>#DIV/0!</v>
      </c>
      <c r="L70" s="12" t="e">
        <f t="shared" si="39"/>
        <v>#DIV/0!</v>
      </c>
      <c r="M70" s="12" t="e">
        <f t="shared" si="39"/>
        <v>#DIV/0!</v>
      </c>
    </row>
    <row r="71" spans="1:13" x14ac:dyDescent="0.2">
      <c r="A71" s="9" t="s">
        <v>30</v>
      </c>
      <c r="B71" s="12">
        <f>B8/B50</f>
        <v>6.1440996456566088E-2</v>
      </c>
      <c r="C71" s="12">
        <f>C8/C50</f>
        <v>1.7202959265531687E-2</v>
      </c>
      <c r="D71" s="12">
        <f t="shared" ref="D71:M71" si="42">D8/D50</f>
        <v>3.1854906581383603E-2</v>
      </c>
      <c r="E71" s="12">
        <f t="shared" si="42"/>
        <v>6.2315125221849732E-2</v>
      </c>
      <c r="F71" s="24">
        <f t="shared" si="40"/>
        <v>0.95621748450731459</v>
      </c>
      <c r="G71" s="12">
        <f t="shared" si="42"/>
        <v>7.0843079826233959E-2</v>
      </c>
      <c r="H71" s="24">
        <f t="shared" si="41"/>
        <v>0.13685208164187473</v>
      </c>
      <c r="I71" s="12">
        <f t="shared" si="42"/>
        <v>4.8165658093797276E-2</v>
      </c>
      <c r="J71" s="24">
        <f t="shared" si="36"/>
        <v>-0.3201077901759854</v>
      </c>
      <c r="K71" s="12" t="e">
        <f t="shared" si="42"/>
        <v>#DIV/0!</v>
      </c>
      <c r="L71" s="12" t="e">
        <f t="shared" si="42"/>
        <v>#DIV/0!</v>
      </c>
      <c r="M71" s="12" t="e">
        <f t="shared" si="42"/>
        <v>#DIV/0!</v>
      </c>
    </row>
    <row r="72" spans="1:13" x14ac:dyDescent="0.2">
      <c r="A72" s="21" t="s">
        <v>53</v>
      </c>
      <c r="B72" s="11">
        <f>B14/B18</f>
        <v>0.39468735307945463</v>
      </c>
      <c r="C72" s="11">
        <f>C14/C18</f>
        <v>0.39511178899594507</v>
      </c>
      <c r="D72" s="11">
        <f t="shared" ref="D72:M72" si="43">D14/D18</f>
        <v>0.39612452350698857</v>
      </c>
      <c r="E72" s="11">
        <f t="shared" si="43"/>
        <v>0.40163307746414262</v>
      </c>
      <c r="F72" s="24">
        <f t="shared" si="40"/>
        <v>1.3906116966416159E-2</v>
      </c>
      <c r="G72" s="11">
        <f t="shared" si="43"/>
        <v>0.39896187578306785</v>
      </c>
      <c r="H72" s="24">
        <f t="shared" si="41"/>
        <v>-6.6508508162235374E-3</v>
      </c>
      <c r="I72" s="11">
        <f t="shared" si="43"/>
        <v>0.40899308923375366</v>
      </c>
      <c r="J72" s="24">
        <f t="shared" si="36"/>
        <v>2.5143288267824849E-2</v>
      </c>
      <c r="K72" s="11" t="e">
        <f t="shared" si="43"/>
        <v>#DIV/0!</v>
      </c>
      <c r="L72" s="11" t="e">
        <f t="shared" si="43"/>
        <v>#DIV/0!</v>
      </c>
      <c r="M72" s="11" t="e">
        <f t="shared" si="43"/>
        <v>#DIV/0!</v>
      </c>
    </row>
    <row r="73" spans="1:13" x14ac:dyDescent="0.2">
      <c r="A73" s="21" t="s">
        <v>54</v>
      </c>
      <c r="B73" s="11">
        <f>B15/B18</f>
        <v>0.14127879642689234</v>
      </c>
      <c r="C73" s="11">
        <f>C15/C18</f>
        <v>0.15739741825080913</v>
      </c>
      <c r="D73" s="11">
        <f t="shared" ref="D73:M73" si="44">D15/D18</f>
        <v>0.16938072627566375</v>
      </c>
      <c r="E73" s="11">
        <f t="shared" si="44"/>
        <v>0.17213064619713142</v>
      </c>
      <c r="F73" s="24">
        <f t="shared" si="40"/>
        <v>1.6235140691227345E-2</v>
      </c>
      <c r="G73" s="11">
        <f t="shared" si="44"/>
        <v>0.17440785156016944</v>
      </c>
      <c r="H73" s="24">
        <f t="shared" si="41"/>
        <v>1.3229517307627297E-2</v>
      </c>
      <c r="I73" s="11">
        <f t="shared" si="44"/>
        <v>0.17151127546071776</v>
      </c>
      <c r="J73" s="24">
        <f t="shared" si="36"/>
        <v>-1.6608060207956767E-2</v>
      </c>
      <c r="K73" s="11" t="e">
        <f t="shared" si="44"/>
        <v>#DIV/0!</v>
      </c>
      <c r="L73" s="11" t="e">
        <f t="shared" si="44"/>
        <v>#DIV/0!</v>
      </c>
      <c r="M73" s="11" t="e">
        <f t="shared" si="44"/>
        <v>#DIV/0!</v>
      </c>
    </row>
    <row r="74" spans="1:13" x14ac:dyDescent="0.2">
      <c r="A74" s="21" t="s">
        <v>55</v>
      </c>
      <c r="B74" s="11">
        <f>B16/B18</f>
        <v>0.27846340698950006</v>
      </c>
      <c r="C74" s="11">
        <f>C16/C18</f>
        <v>0.26505710353037459</v>
      </c>
      <c r="D74" s="11">
        <f t="shared" ref="D74:M74" si="45">D16/D18</f>
        <v>0.25292583428074633</v>
      </c>
      <c r="E74" s="11">
        <f t="shared" si="45"/>
        <v>0.24457934493409583</v>
      </c>
      <c r="F74" s="24">
        <f t="shared" si="40"/>
        <v>-3.2999750185210182E-2</v>
      </c>
      <c r="G74" s="11">
        <f t="shared" si="45"/>
        <v>0.25041763617922558</v>
      </c>
      <c r="H74" s="24">
        <f t="shared" si="41"/>
        <v>2.3870745285964057E-2</v>
      </c>
      <c r="I74" s="11">
        <f t="shared" si="45"/>
        <v>0.24472599418040736</v>
      </c>
      <c r="J74" s="24">
        <f t="shared" si="36"/>
        <v>-2.2728598854533846E-2</v>
      </c>
      <c r="K74" s="11" t="e">
        <f t="shared" si="45"/>
        <v>#DIV/0!</v>
      </c>
      <c r="L74" s="11" t="e">
        <f t="shared" si="45"/>
        <v>#DIV/0!</v>
      </c>
      <c r="M74" s="11" t="e">
        <f t="shared" si="45"/>
        <v>#DIV/0!</v>
      </c>
    </row>
    <row r="75" spans="1:13" x14ac:dyDescent="0.2">
      <c r="A75" s="21" t="s">
        <v>56</v>
      </c>
      <c r="B75" s="11">
        <f>B17/B18</f>
        <v>0.18557044350415294</v>
      </c>
      <c r="C75" s="11">
        <f>C17/C18</f>
        <v>0.18243368922287118</v>
      </c>
      <c r="D75" s="11">
        <f t="shared" ref="D75:M75" si="46">D17/D18</f>
        <v>0.18156891593660135</v>
      </c>
      <c r="E75" s="11">
        <f t="shared" si="46"/>
        <v>0.1816569314046301</v>
      </c>
      <c r="F75" s="24">
        <f t="shared" si="40"/>
        <v>4.8474964767363573E-4</v>
      </c>
      <c r="G75" s="11">
        <f t="shared" si="46"/>
        <v>0.17621263647753713</v>
      </c>
      <c r="H75" s="24">
        <f t="shared" si="41"/>
        <v>-2.9970201990069556E-2</v>
      </c>
      <c r="I75" s="11">
        <f t="shared" si="46"/>
        <v>0.17476964112512125</v>
      </c>
      <c r="J75" s="24">
        <f t="shared" si="36"/>
        <v>-8.1889436606881697E-3</v>
      </c>
      <c r="K75" s="11" t="e">
        <f t="shared" si="46"/>
        <v>#DIV/0!</v>
      </c>
      <c r="L75" s="11" t="e">
        <f t="shared" si="46"/>
        <v>#DIV/0!</v>
      </c>
      <c r="M75" s="11" t="e">
        <f t="shared" si="46"/>
        <v>#DIV/0!</v>
      </c>
    </row>
    <row r="76" spans="1:13" x14ac:dyDescent="0.2">
      <c r="A76" s="5"/>
    </row>
    <row r="77" spans="1:13" x14ac:dyDescent="0.2">
      <c r="A77" s="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36567613-e428-4167-ab55-a4f66cede826"/>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29E13D9A-DD22-4523-8FC5-AAF3D3956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cp:lastModifiedBy>
  <dcterms:created xsi:type="dcterms:W3CDTF">2023-02-21T16:55:27Z</dcterms:created>
  <dcterms:modified xsi:type="dcterms:W3CDTF">2023-09-20T19:24:23Z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