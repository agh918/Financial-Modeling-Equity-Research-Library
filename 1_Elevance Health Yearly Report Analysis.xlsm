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21D85CC0-D782-46FF-9273-C16F77914FAB}" xr6:coauthVersionLast="47" xr6:coauthVersionMax="47" xr10:uidLastSave="{00000000-0000-0000-0000-000000000000}"/>
  <bookViews>
    <workbookView xWindow="-120" yWindow="-120" windowWidth="29040" windowHeight="15720" xr2:uid="{57DEA323-E204-44E7-AD7B-E92EB4E4853D}"/>
  </bookViews>
  <sheets>
    <sheet name="Statements" sheetId="1" r:id="rId1"/>
    <sheet name="Analysis" sheetId="2" r:id="rId2"/>
    <sheet name="Notes" sheetId="3" r:id="rId3"/>
  </sheets>
  <definedNames>
    <definedName name="_xleta.LN" hidden="1" xlm="1">#NAME?</definedName>
    <definedName name="_xleta.STDE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42" i="1" l="1"/>
  <c r="W42" i="1"/>
  <c r="V42" i="1"/>
  <c r="X41" i="1"/>
  <c r="W41" i="1"/>
  <c r="V41" i="1"/>
  <c r="X40" i="1"/>
  <c r="W40" i="1"/>
  <c r="V40" i="1"/>
  <c r="X39" i="1"/>
  <c r="W39" i="1"/>
  <c r="V39" i="1"/>
  <c r="X37" i="1"/>
  <c r="W37" i="1"/>
  <c r="V37" i="1"/>
  <c r="X36" i="1"/>
  <c r="W36" i="1"/>
  <c r="V36" i="1"/>
  <c r="X35" i="1"/>
  <c r="W35" i="1"/>
  <c r="V35" i="1"/>
  <c r="X34" i="1"/>
  <c r="W34" i="1"/>
  <c r="V34" i="1"/>
  <c r="X33" i="1"/>
  <c r="W33" i="1"/>
  <c r="V33" i="1"/>
  <c r="X32" i="1"/>
  <c r="W32" i="1"/>
  <c r="V32" i="1"/>
  <c r="X31" i="1"/>
  <c r="W31" i="1"/>
  <c r="V31" i="1"/>
  <c r="X30" i="1"/>
  <c r="W30" i="1"/>
  <c r="V30" i="1"/>
  <c r="X25" i="1"/>
  <c r="W25" i="1"/>
  <c r="V25" i="1"/>
  <c r="X24" i="1"/>
  <c r="W24" i="1"/>
  <c r="V24" i="1"/>
  <c r="X23" i="1"/>
  <c r="W23" i="1"/>
  <c r="V23" i="1"/>
  <c r="X22" i="1"/>
  <c r="W22" i="1"/>
  <c r="V22" i="1"/>
  <c r="X21" i="1"/>
  <c r="W21" i="1"/>
  <c r="V21" i="1"/>
  <c r="X20" i="1"/>
  <c r="W20" i="1"/>
  <c r="V20" i="1"/>
  <c r="X18" i="1"/>
  <c r="W18" i="1"/>
  <c r="V18" i="1"/>
  <c r="X17" i="1"/>
  <c r="W17" i="1"/>
  <c r="V17" i="1"/>
  <c r="X16" i="1"/>
  <c r="W16" i="1"/>
  <c r="V16" i="1"/>
  <c r="X15" i="1"/>
  <c r="W15" i="1"/>
  <c r="V15" i="1"/>
  <c r="X14" i="1"/>
  <c r="W14" i="1"/>
  <c r="V14" i="1"/>
  <c r="X13" i="1"/>
  <c r="W13" i="1"/>
  <c r="V13" i="1"/>
  <c r="X12" i="1"/>
  <c r="W12" i="1"/>
  <c r="V12" i="1"/>
  <c r="X11" i="1"/>
  <c r="W11" i="1"/>
  <c r="V11" i="1"/>
  <c r="L55" i="1"/>
  <c r="K55" i="1"/>
  <c r="J55" i="1"/>
  <c r="L40" i="1"/>
  <c r="K40" i="1"/>
  <c r="J40" i="1"/>
  <c r="L38" i="1"/>
  <c r="K38" i="1"/>
  <c r="J38" i="1"/>
  <c r="L35" i="1"/>
  <c r="K35" i="1"/>
  <c r="J35" i="1"/>
  <c r="L31" i="1"/>
  <c r="K31" i="1"/>
  <c r="J31" i="1"/>
  <c r="L30" i="1"/>
  <c r="K30" i="1"/>
  <c r="J30" i="1"/>
  <c r="L29" i="1"/>
  <c r="K29" i="1"/>
  <c r="J29" i="1"/>
  <c r="L28" i="1"/>
  <c r="K28" i="1"/>
  <c r="J28" i="1"/>
  <c r="L27" i="1"/>
  <c r="K27" i="1"/>
  <c r="J27" i="1"/>
  <c r="K22" i="1"/>
  <c r="J22" i="1"/>
  <c r="L21" i="1"/>
  <c r="K21" i="1"/>
  <c r="J21" i="1"/>
  <c r="L19" i="1"/>
  <c r="K19" i="1"/>
  <c r="J19" i="1"/>
  <c r="K18" i="1"/>
  <c r="J18" i="1"/>
  <c r="L17" i="1"/>
  <c r="K17" i="1"/>
  <c r="J17" i="1"/>
  <c r="L16" i="1"/>
  <c r="K16" i="1"/>
  <c r="J16" i="1"/>
  <c r="K14" i="1"/>
  <c r="J14" i="1"/>
  <c r="K13" i="1"/>
  <c r="J13" i="1"/>
  <c r="K12" i="1"/>
  <c r="J12" i="1"/>
  <c r="L11" i="1"/>
  <c r="K11" i="1"/>
  <c r="J11" i="1"/>
  <c r="U47" i="1"/>
  <c r="U46" i="1"/>
  <c r="U38" i="1"/>
  <c r="U19" i="1"/>
  <c r="U50" i="1" s="1"/>
  <c r="I56" i="1"/>
  <c r="I53" i="1"/>
  <c r="L53" i="1" s="1"/>
  <c r="I52" i="1"/>
  <c r="L52" i="1" s="1"/>
  <c r="I51" i="1"/>
  <c r="L51" i="1" s="1"/>
  <c r="I50" i="1"/>
  <c r="L50" i="1" s="1"/>
  <c r="I41" i="1"/>
  <c r="I32" i="1"/>
  <c r="I15" i="1"/>
  <c r="L15" i="1" s="1"/>
  <c r="E80" i="2"/>
  <c r="F80" i="2" s="1"/>
  <c r="G80" i="2" s="1"/>
  <c r="H80" i="2" s="1"/>
  <c r="H51" i="2"/>
  <c r="G51" i="2"/>
  <c r="F51" i="2"/>
  <c r="E51" i="2"/>
  <c r="D51" i="2"/>
  <c r="C51" i="2"/>
  <c r="J51" i="2" s="1"/>
  <c r="H50" i="2"/>
  <c r="G50" i="2"/>
  <c r="F50" i="2"/>
  <c r="E50" i="2"/>
  <c r="D50" i="2"/>
  <c r="C50" i="2"/>
  <c r="J50" i="2" s="1"/>
  <c r="H49" i="2"/>
  <c r="G49" i="2"/>
  <c r="F49" i="2"/>
  <c r="E49" i="2"/>
  <c r="D49" i="2"/>
  <c r="C49" i="2"/>
  <c r="J49" i="2" s="1"/>
  <c r="H48" i="2"/>
  <c r="G48" i="2"/>
  <c r="F48" i="2"/>
  <c r="E48" i="2"/>
  <c r="D48" i="2"/>
  <c r="C48" i="2"/>
  <c r="E47" i="2"/>
  <c r="F47" i="2" s="1"/>
  <c r="G47" i="2" s="1"/>
  <c r="H47" i="2" s="1"/>
  <c r="N37" i="2"/>
  <c r="N35" i="2"/>
  <c r="N29" i="2"/>
  <c r="N27" i="2"/>
  <c r="N21" i="2"/>
  <c r="N19" i="2"/>
  <c r="O37" i="2"/>
  <c r="S37" i="2"/>
  <c r="R37" i="2"/>
  <c r="Q37" i="2"/>
  <c r="P37" i="2"/>
  <c r="U37" i="2" s="1"/>
  <c r="S35" i="2"/>
  <c r="R35" i="2"/>
  <c r="Q35" i="2"/>
  <c r="P35" i="2"/>
  <c r="O35" i="2"/>
  <c r="P34" i="2"/>
  <c r="Q34" i="2" s="1"/>
  <c r="R34" i="2" s="1"/>
  <c r="S34" i="2" s="1"/>
  <c r="S29" i="2"/>
  <c r="R29" i="2"/>
  <c r="Q29" i="2"/>
  <c r="P29" i="2"/>
  <c r="O29" i="2"/>
  <c r="U29" i="2" s="1"/>
  <c r="S27" i="2"/>
  <c r="R27" i="2"/>
  <c r="Q27" i="2"/>
  <c r="P27" i="2"/>
  <c r="O27" i="2"/>
  <c r="P26" i="2"/>
  <c r="Q26" i="2" s="1"/>
  <c r="R26" i="2" s="1"/>
  <c r="S26" i="2" s="1"/>
  <c r="S21" i="2"/>
  <c r="R21" i="2"/>
  <c r="Q21" i="2"/>
  <c r="P21" i="2"/>
  <c r="O21" i="2"/>
  <c r="U21" i="2" s="1"/>
  <c r="S19" i="2"/>
  <c r="R19" i="2"/>
  <c r="Q19" i="2"/>
  <c r="P19" i="2"/>
  <c r="O19" i="2"/>
  <c r="P18" i="2"/>
  <c r="Q18" i="2" s="1"/>
  <c r="R18" i="2" s="1"/>
  <c r="S18" i="2" s="1"/>
  <c r="R13" i="2"/>
  <c r="Q13" i="2"/>
  <c r="P13" i="2"/>
  <c r="O13" i="2"/>
  <c r="S13" i="2"/>
  <c r="R11" i="2"/>
  <c r="Q11" i="2"/>
  <c r="P11" i="2"/>
  <c r="O11" i="2"/>
  <c r="S11" i="2"/>
  <c r="P10" i="2"/>
  <c r="Q10" i="2" s="1"/>
  <c r="R10" i="2" s="1"/>
  <c r="S10" i="2" s="1"/>
  <c r="C6" i="2"/>
  <c r="G6" i="2"/>
  <c r="F6" i="2"/>
  <c r="E6" i="2"/>
  <c r="D6" i="2"/>
  <c r="H6" i="2"/>
  <c r="H42" i="2"/>
  <c r="G42" i="2"/>
  <c r="F42" i="2"/>
  <c r="E42" i="2"/>
  <c r="D42" i="2"/>
  <c r="C42" i="2"/>
  <c r="C40" i="2"/>
  <c r="D40" i="2"/>
  <c r="E40" i="2"/>
  <c r="F40" i="2"/>
  <c r="G40" i="2"/>
  <c r="H40" i="2"/>
  <c r="G41" i="2"/>
  <c r="F41" i="2"/>
  <c r="E41" i="2"/>
  <c r="D41" i="2"/>
  <c r="C41" i="2"/>
  <c r="H41" i="2"/>
  <c r="C31" i="2"/>
  <c r="D31" i="2"/>
  <c r="E31" i="2"/>
  <c r="G32" i="2"/>
  <c r="F32" i="2"/>
  <c r="E32" i="2"/>
  <c r="D32" i="2"/>
  <c r="C32" i="2"/>
  <c r="H32" i="2"/>
  <c r="F31" i="2"/>
  <c r="F83" i="2" s="1"/>
  <c r="G31" i="2"/>
  <c r="H31" i="2"/>
  <c r="C23" i="2"/>
  <c r="D23" i="2"/>
  <c r="E23" i="2"/>
  <c r="F23" i="2"/>
  <c r="G23" i="2"/>
  <c r="H23" i="2"/>
  <c r="G24" i="2"/>
  <c r="F24" i="2"/>
  <c r="E24" i="2"/>
  <c r="D24" i="2"/>
  <c r="C24" i="2"/>
  <c r="H24" i="2"/>
  <c r="C15" i="2"/>
  <c r="C81" i="2" s="1"/>
  <c r="D15" i="2"/>
  <c r="E15" i="2"/>
  <c r="G16" i="2"/>
  <c r="F16" i="2"/>
  <c r="E16" i="2"/>
  <c r="D16" i="2"/>
  <c r="C16" i="2"/>
  <c r="H16" i="2"/>
  <c r="F15" i="2"/>
  <c r="G15" i="2"/>
  <c r="H15" i="2"/>
  <c r="E8" i="2"/>
  <c r="F8" i="2" s="1"/>
  <c r="G8" i="2" s="1"/>
  <c r="H8" i="2" s="1"/>
  <c r="G56" i="1"/>
  <c r="F56" i="1"/>
  <c r="E56" i="1"/>
  <c r="D56" i="1"/>
  <c r="C56" i="1"/>
  <c r="H56" i="1"/>
  <c r="G83" i="2" l="1"/>
  <c r="R28" i="2"/>
  <c r="T28" i="2" s="1"/>
  <c r="H83" i="2"/>
  <c r="S28" i="2"/>
  <c r="C82" i="2"/>
  <c r="N20" i="2"/>
  <c r="D82" i="2"/>
  <c r="O20" i="2"/>
  <c r="D81" i="2"/>
  <c r="O12" i="2"/>
  <c r="E81" i="2"/>
  <c r="P12" i="2"/>
  <c r="F81" i="2"/>
  <c r="Q12" i="2"/>
  <c r="G81" i="2"/>
  <c r="R12" i="2"/>
  <c r="H81" i="2"/>
  <c r="S12" i="2"/>
  <c r="J81" i="2"/>
  <c r="T35" i="2"/>
  <c r="U35" i="2"/>
  <c r="U11" i="2"/>
  <c r="T11" i="2"/>
  <c r="C84" i="2"/>
  <c r="N36" i="2"/>
  <c r="D84" i="2"/>
  <c r="O36" i="2"/>
  <c r="E84" i="2"/>
  <c r="P36" i="2"/>
  <c r="F84" i="2"/>
  <c r="Q36" i="2"/>
  <c r="G84" i="2"/>
  <c r="R36" i="2"/>
  <c r="H84" i="2"/>
  <c r="S36" i="2"/>
  <c r="C83" i="2"/>
  <c r="N28" i="2"/>
  <c r="D83" i="2"/>
  <c r="O28" i="2"/>
  <c r="E83" i="2"/>
  <c r="P28" i="2"/>
  <c r="Q28" i="2"/>
  <c r="E82" i="2"/>
  <c r="J82" i="2" s="1"/>
  <c r="P20" i="2"/>
  <c r="F82" i="2"/>
  <c r="Q20" i="2"/>
  <c r="G82" i="2"/>
  <c r="R20" i="2"/>
  <c r="H82" i="2"/>
  <c r="S20" i="2"/>
  <c r="I48" i="2"/>
  <c r="J48" i="2"/>
  <c r="T27" i="2"/>
  <c r="U27" i="2"/>
  <c r="U19" i="2"/>
  <c r="T19" i="2"/>
  <c r="T13" i="2"/>
  <c r="U13" i="2"/>
  <c r="J84" i="2"/>
  <c r="I81" i="2"/>
  <c r="U43" i="1"/>
  <c r="U51" i="1"/>
  <c r="L56" i="1"/>
  <c r="J56" i="1"/>
  <c r="K56" i="1"/>
  <c r="U26" i="1"/>
  <c r="U58" i="1"/>
  <c r="U48" i="1"/>
  <c r="U45" i="1"/>
  <c r="I20" i="1"/>
  <c r="I45" i="1"/>
  <c r="I54" i="1"/>
  <c r="I83" i="2"/>
  <c r="J83" i="2"/>
  <c r="I82" i="2"/>
  <c r="I84" i="2"/>
  <c r="I50" i="2"/>
  <c r="I49" i="2"/>
  <c r="I51" i="2"/>
  <c r="U36" i="2"/>
  <c r="T37" i="2"/>
  <c r="T29" i="2"/>
  <c r="T21" i="2"/>
  <c r="J6" i="2"/>
  <c r="I6" i="2"/>
  <c r="E2" i="2"/>
  <c r="F2" i="2" s="1"/>
  <c r="G2" i="2" s="1"/>
  <c r="H2" i="2" s="1"/>
  <c r="E54" i="1"/>
  <c r="D54" i="1"/>
  <c r="C54" i="1"/>
  <c r="G53" i="1"/>
  <c r="K53" i="1" s="1"/>
  <c r="F53" i="1"/>
  <c r="G52" i="1"/>
  <c r="K52" i="1" s="1"/>
  <c r="F52" i="1"/>
  <c r="G51" i="1"/>
  <c r="K51" i="1" s="1"/>
  <c r="F51" i="1"/>
  <c r="G50" i="1"/>
  <c r="K50" i="1" s="1"/>
  <c r="F50" i="1"/>
  <c r="H53" i="1"/>
  <c r="J53" i="1" s="1"/>
  <c r="H52" i="1"/>
  <c r="J52" i="1" s="1"/>
  <c r="H51" i="1"/>
  <c r="J51" i="1" s="1"/>
  <c r="H50" i="1"/>
  <c r="J50" i="1" s="1"/>
  <c r="T47" i="1"/>
  <c r="V47" i="1" s="1"/>
  <c r="S47" i="1"/>
  <c r="W47" i="1" s="1"/>
  <c r="R47" i="1"/>
  <c r="Q47" i="1"/>
  <c r="P47" i="1"/>
  <c r="O47" i="1"/>
  <c r="X47" i="1" s="1"/>
  <c r="T46" i="1"/>
  <c r="V46" i="1" s="1"/>
  <c r="S46" i="1"/>
  <c r="W46" i="1" s="1"/>
  <c r="R46" i="1"/>
  <c r="Q46" i="1"/>
  <c r="P46" i="1"/>
  <c r="O46" i="1"/>
  <c r="X46" i="1" s="1"/>
  <c r="G41" i="1"/>
  <c r="K41" i="1" s="1"/>
  <c r="F41" i="1"/>
  <c r="E41" i="1"/>
  <c r="D41" i="1"/>
  <c r="C41" i="1"/>
  <c r="L41" i="1" s="1"/>
  <c r="H41" i="1"/>
  <c r="J41" i="1" s="1"/>
  <c r="H15" i="1"/>
  <c r="G15" i="1"/>
  <c r="F15" i="1"/>
  <c r="F54" i="1" s="1"/>
  <c r="E20" i="1"/>
  <c r="D20" i="1"/>
  <c r="D24" i="1" s="1"/>
  <c r="C20" i="1"/>
  <c r="C32" i="1"/>
  <c r="L32" i="1" s="1"/>
  <c r="D32" i="1"/>
  <c r="E32" i="1"/>
  <c r="F32" i="1"/>
  <c r="G32" i="1"/>
  <c r="K32" i="1" s="1"/>
  <c r="H32" i="1"/>
  <c r="J32" i="1" s="1"/>
  <c r="S19" i="1"/>
  <c r="S58" i="1" s="1"/>
  <c r="R19" i="1"/>
  <c r="R58" i="1" s="1"/>
  <c r="Q19" i="1"/>
  <c r="Q58" i="1" s="1"/>
  <c r="P19" i="1"/>
  <c r="P58" i="1" s="1"/>
  <c r="O19" i="1"/>
  <c r="O58" i="1" s="1"/>
  <c r="S38" i="1"/>
  <c r="R38" i="1"/>
  <c r="R43" i="1" s="1"/>
  <c r="Q38" i="1"/>
  <c r="Q43" i="1" s="1"/>
  <c r="P38" i="1"/>
  <c r="P43" i="1" s="1"/>
  <c r="O38" i="1"/>
  <c r="T38" i="1"/>
  <c r="V38" i="1" s="1"/>
  <c r="T19" i="1"/>
  <c r="T58" i="1" s="1"/>
  <c r="T20" i="2" l="1"/>
  <c r="T12" i="2"/>
  <c r="U12" i="2"/>
  <c r="T36" i="2"/>
  <c r="U28" i="2"/>
  <c r="U20" i="2"/>
  <c r="L20" i="1"/>
  <c r="U53" i="1"/>
  <c r="I47" i="1"/>
  <c r="I46" i="1"/>
  <c r="I24" i="1"/>
  <c r="D5" i="3" s="1"/>
  <c r="I44" i="1"/>
  <c r="I42" i="1"/>
  <c r="L54" i="1"/>
  <c r="U52" i="1"/>
  <c r="U55" i="1"/>
  <c r="H54" i="1"/>
  <c r="J54" i="1" s="1"/>
  <c r="J15" i="1"/>
  <c r="G54" i="1"/>
  <c r="K54" i="1" s="1"/>
  <c r="K15" i="1"/>
  <c r="S26" i="1"/>
  <c r="W26" i="1" s="1"/>
  <c r="W19" i="1"/>
  <c r="W58" i="1"/>
  <c r="R26" i="1"/>
  <c r="R45" i="1" s="1"/>
  <c r="Q26" i="1"/>
  <c r="Q45" i="1" s="1"/>
  <c r="P26" i="1"/>
  <c r="O26" i="1"/>
  <c r="O45" i="1" s="1"/>
  <c r="X45" i="1" s="1"/>
  <c r="X58" i="1"/>
  <c r="X19" i="1"/>
  <c r="S51" i="1"/>
  <c r="W51" i="1" s="1"/>
  <c r="W38" i="1"/>
  <c r="O43" i="1"/>
  <c r="X43" i="1" s="1"/>
  <c r="X38" i="1"/>
  <c r="V19" i="1"/>
  <c r="V58" i="1"/>
  <c r="R48" i="1"/>
  <c r="H20" i="1"/>
  <c r="P48" i="1"/>
  <c r="E24" i="1"/>
  <c r="E34" i="1" s="1"/>
  <c r="E57" i="1" s="1"/>
  <c r="E46" i="1"/>
  <c r="S48" i="1"/>
  <c r="W48" i="1" s="1"/>
  <c r="Q48" i="1"/>
  <c r="O48" i="1"/>
  <c r="X48" i="1" s="1"/>
  <c r="D34" i="1"/>
  <c r="D57" i="1" s="1"/>
  <c r="C24" i="1"/>
  <c r="C34" i="1" s="1"/>
  <c r="C57" i="1" s="1"/>
  <c r="C47" i="1"/>
  <c r="C46" i="1"/>
  <c r="C44" i="1"/>
  <c r="T51" i="1"/>
  <c r="V51" i="1" s="1"/>
  <c r="T26" i="1"/>
  <c r="V26" i="1" s="1"/>
  <c r="D46" i="1"/>
  <c r="O50" i="1"/>
  <c r="X50" i="1" s="1"/>
  <c r="Q50" i="1"/>
  <c r="T43" i="1"/>
  <c r="V43" i="1" s="1"/>
  <c r="D44" i="1"/>
  <c r="R50" i="1"/>
  <c r="T48" i="1"/>
  <c r="V48" i="1" s="1"/>
  <c r="S50" i="1"/>
  <c r="W50" i="1" s="1"/>
  <c r="P50" i="1"/>
  <c r="F20" i="1"/>
  <c r="G20" i="1"/>
  <c r="K20" i="1" s="1"/>
  <c r="D47" i="1"/>
  <c r="T50" i="1"/>
  <c r="V50" i="1" s="1"/>
  <c r="E44" i="1"/>
  <c r="C42" i="1"/>
  <c r="E47" i="1"/>
  <c r="O51" i="1"/>
  <c r="X51" i="1" s="1"/>
  <c r="D42" i="1"/>
  <c r="P51" i="1"/>
  <c r="E42" i="1"/>
  <c r="C45" i="1"/>
  <c r="L45" i="1" s="1"/>
  <c r="Q51" i="1"/>
  <c r="D45" i="1"/>
  <c r="R51" i="1"/>
  <c r="S43" i="1"/>
  <c r="W43" i="1" s="1"/>
  <c r="E45" i="1"/>
  <c r="C4" i="1" a="1"/>
  <c r="P54" i="1" l="1"/>
  <c r="P45" i="1"/>
  <c r="X26" i="1"/>
  <c r="O54" i="1"/>
  <c r="X53" i="1"/>
  <c r="L47" i="1"/>
  <c r="K47" i="1"/>
  <c r="L46" i="1"/>
  <c r="I34" i="1"/>
  <c r="L24" i="1"/>
  <c r="U57" i="1"/>
  <c r="U54" i="1"/>
  <c r="L44" i="1"/>
  <c r="L42" i="1"/>
  <c r="H24" i="1"/>
  <c r="J24" i="1" s="1"/>
  <c r="H45" i="1"/>
  <c r="J45" i="1" s="1"/>
  <c r="H42" i="1"/>
  <c r="J42" i="1" s="1"/>
  <c r="H47" i="1"/>
  <c r="J47" i="1" s="1"/>
  <c r="H44" i="1"/>
  <c r="J44" i="1" s="1"/>
  <c r="H46" i="1"/>
  <c r="J46" i="1" s="1"/>
  <c r="J20" i="1"/>
  <c r="E3" i="2"/>
  <c r="Q54" i="1"/>
  <c r="E36" i="1"/>
  <c r="E48" i="1"/>
  <c r="E49" i="1"/>
  <c r="D48" i="1"/>
  <c r="E39" i="1"/>
  <c r="E43" i="1"/>
  <c r="E52" i="2" s="1"/>
  <c r="D36" i="1"/>
  <c r="D49" i="1"/>
  <c r="E5" i="2" s="1"/>
  <c r="C3" i="2"/>
  <c r="D3" i="2"/>
  <c r="G45" i="1"/>
  <c r="K45" i="1" s="1"/>
  <c r="O57" i="1"/>
  <c r="F45" i="1"/>
  <c r="S45" i="1"/>
  <c r="O55" i="1"/>
  <c r="X55" i="1" s="1"/>
  <c r="O53" i="1"/>
  <c r="O52" i="1"/>
  <c r="X52" i="1" s="1"/>
  <c r="Q55" i="1"/>
  <c r="Q53" i="1"/>
  <c r="Q57" i="1"/>
  <c r="Q52" i="1"/>
  <c r="R52" i="1"/>
  <c r="R55" i="1"/>
  <c r="R53" i="1"/>
  <c r="F24" i="1"/>
  <c r="F42" i="1"/>
  <c r="F47" i="1"/>
  <c r="F44" i="1"/>
  <c r="F46" i="1"/>
  <c r="C36" i="1"/>
  <c r="C49" i="1"/>
  <c r="C48" i="1"/>
  <c r="T45" i="1"/>
  <c r="V45" i="1" s="1"/>
  <c r="G24" i="1"/>
  <c r="K24" i="1" s="1"/>
  <c r="G42" i="1"/>
  <c r="K42" i="1" s="1"/>
  <c r="G47" i="1"/>
  <c r="G44" i="1"/>
  <c r="K44" i="1" s="1"/>
  <c r="G46" i="1"/>
  <c r="K46" i="1" s="1"/>
  <c r="C6" i="1"/>
  <c r="Q56" i="1" l="1"/>
  <c r="P53" i="1"/>
  <c r="P52" i="1"/>
  <c r="P55" i="1"/>
  <c r="P57" i="1"/>
  <c r="Q49" i="1"/>
  <c r="E4" i="2"/>
  <c r="E85" i="2"/>
  <c r="P49" i="1"/>
  <c r="D85" i="2"/>
  <c r="I57" i="1"/>
  <c r="D6" i="3"/>
  <c r="D9" i="3"/>
  <c r="I36" i="1"/>
  <c r="D7" i="3" s="1"/>
  <c r="I48" i="1"/>
  <c r="I49" i="1"/>
  <c r="L34" i="1"/>
  <c r="X57" i="1"/>
  <c r="X54" i="1"/>
  <c r="H34" i="1"/>
  <c r="T54" i="1"/>
  <c r="V54" i="1" s="1"/>
  <c r="S52" i="1"/>
  <c r="W52" i="1" s="1"/>
  <c r="W45" i="1"/>
  <c r="D43" i="1"/>
  <c r="D39" i="1"/>
  <c r="S53" i="1"/>
  <c r="W53" i="1" s="1"/>
  <c r="S55" i="1"/>
  <c r="W55" i="1" s="1"/>
  <c r="F34" i="1"/>
  <c r="R57" i="1"/>
  <c r="R54" i="1"/>
  <c r="F3" i="2"/>
  <c r="C5" i="2"/>
  <c r="D5" i="2"/>
  <c r="O49" i="1"/>
  <c r="D4" i="2"/>
  <c r="C4" i="2"/>
  <c r="C85" i="2"/>
  <c r="T55" i="1"/>
  <c r="V55" i="1" s="1"/>
  <c r="T57" i="1"/>
  <c r="V57" i="1" s="1"/>
  <c r="T53" i="1"/>
  <c r="V53" i="1" s="1"/>
  <c r="T52" i="1"/>
  <c r="V52" i="1" s="1"/>
  <c r="H3" i="2"/>
  <c r="S57" i="1"/>
  <c r="W57" i="1" s="1"/>
  <c r="S54" i="1"/>
  <c r="W54" i="1" s="1"/>
  <c r="G3" i="2"/>
  <c r="G34" i="1"/>
  <c r="G57" i="1" s="1"/>
  <c r="C39" i="1"/>
  <c r="C43" i="1"/>
  <c r="K57" i="1" l="1"/>
  <c r="D8" i="3"/>
  <c r="L57" i="1"/>
  <c r="J34" i="1"/>
  <c r="H57" i="1"/>
  <c r="J57" i="1" s="1"/>
  <c r="F49" i="1"/>
  <c r="F5" i="2" s="1"/>
  <c r="F48" i="1"/>
  <c r="F36" i="1"/>
  <c r="F57" i="1"/>
  <c r="I39" i="1"/>
  <c r="I43" i="1"/>
  <c r="L36" i="1"/>
  <c r="L48" i="1"/>
  <c r="U49" i="1"/>
  <c r="D11" i="3" s="1"/>
  <c r="L49" i="1"/>
  <c r="H48" i="1"/>
  <c r="J48" i="1" s="1"/>
  <c r="H36" i="1"/>
  <c r="J36" i="1" s="1"/>
  <c r="H49" i="1"/>
  <c r="J49" i="1" s="1"/>
  <c r="K34" i="1"/>
  <c r="D52" i="2"/>
  <c r="P56" i="1"/>
  <c r="I3" i="2"/>
  <c r="J3" i="2"/>
  <c r="C52" i="2"/>
  <c r="O56" i="1"/>
  <c r="G36" i="1"/>
  <c r="G48" i="1"/>
  <c r="K48" i="1" s="1"/>
  <c r="G49" i="1"/>
  <c r="K49" i="1" s="1"/>
  <c r="R49" i="1" l="1"/>
  <c r="F85" i="2"/>
  <c r="F4" i="2"/>
  <c r="F39" i="1"/>
  <c r="D10" i="3" s="1"/>
  <c r="F43" i="1"/>
  <c r="L39" i="1"/>
  <c r="U56" i="1"/>
  <c r="L43" i="1"/>
  <c r="X49" i="1"/>
  <c r="T49" i="1"/>
  <c r="V49" i="1" s="1"/>
  <c r="H85" i="2"/>
  <c r="H43" i="1"/>
  <c r="J43" i="1" s="1"/>
  <c r="H39" i="1"/>
  <c r="J39" i="1" s="1"/>
  <c r="G39" i="1"/>
  <c r="K39" i="1" s="1"/>
  <c r="K36" i="1"/>
  <c r="G4" i="2"/>
  <c r="G85" i="2"/>
  <c r="H4" i="2"/>
  <c r="G5" i="2"/>
  <c r="H5" i="2"/>
  <c r="G43" i="1"/>
  <c r="K43" i="1" s="1"/>
  <c r="S49" i="1"/>
  <c r="W49" i="1" s="1"/>
  <c r="P95" i="2" l="1"/>
  <c r="F52" i="2"/>
  <c r="R56" i="1"/>
  <c r="X56" i="1"/>
  <c r="H52" i="2"/>
  <c r="T56" i="1"/>
  <c r="V56" i="1" s="1"/>
  <c r="J4" i="2"/>
  <c r="I4" i="2"/>
  <c r="I85" i="2"/>
  <c r="J85" i="2"/>
  <c r="O95" i="2"/>
  <c r="I5" i="2"/>
  <c r="J5" i="2"/>
  <c r="G52" i="2"/>
  <c r="S56" i="1"/>
  <c r="W56" i="1" s="1"/>
  <c r="O62" i="2" l="1"/>
  <c r="I52" i="2"/>
  <c r="P62" i="2"/>
  <c r="J52"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<sst xmlns="http://schemas.openxmlformats.org/spreadsheetml/2006/main" count="259" uniqueCount="140">
  <si>
    <t>Price</t>
  </si>
  <si>
    <t>Shares outstanding</t>
  </si>
  <si>
    <t>Mkt cap</t>
  </si>
  <si>
    <t>Revenues</t>
  </si>
  <si>
    <t>1Y</t>
  </si>
  <si>
    <t>2Y</t>
  </si>
  <si>
    <t>Assets</t>
  </si>
  <si>
    <t>Current</t>
  </si>
  <si>
    <t>2019</t>
  </si>
  <si>
    <t>2020</t>
  </si>
  <si>
    <t>2021</t>
  </si>
  <si>
    <t>2022</t>
  </si>
  <si>
    <t>2023</t>
  </si>
  <si>
    <t>2024</t>
  </si>
  <si>
    <t>.</t>
  </si>
  <si>
    <t>CarelonRX</t>
  </si>
  <si>
    <t>Carelon Services</t>
  </si>
  <si>
    <t>Corp &amp; other</t>
  </si>
  <si>
    <t>Eliminations</t>
  </si>
  <si>
    <t>Total Revenue</t>
  </si>
  <si>
    <t>Elevance Health Notes:</t>
  </si>
  <si>
    <t>Organized into three core go-to-market brands; Anthem Blue Cross/Blue Shield, Wellpoint, and Carelon</t>
  </si>
  <si>
    <r>
      <t xml:space="preserve">ambulatory infusion centers after acquiring </t>
    </r>
    <r>
      <rPr>
        <i/>
        <sz val="12"/>
        <color theme="1"/>
        <rFont val="Arial"/>
        <family val="2"/>
      </rPr>
      <t xml:space="preserve">Paragon Healthcare </t>
    </r>
    <r>
      <rPr>
        <sz val="12"/>
        <color theme="1"/>
        <rFont val="Arial"/>
        <family val="2"/>
      </rPr>
      <t>in March 2024.</t>
    </r>
  </si>
  <si>
    <r>
      <rPr>
        <sz val="12"/>
        <color rgb="FFFF0000"/>
        <rFont val="Arial"/>
        <family val="2"/>
      </rPr>
      <t>CarelonRX</t>
    </r>
    <r>
      <rPr>
        <sz val="12"/>
        <color theme="1"/>
        <rFont val="Arial"/>
        <family val="2"/>
      </rPr>
      <t xml:space="preserve"> segment includes pharmacy business and services for their affiliated health plan customers (also outside of plans holders). Additionally, this segment includes </t>
    </r>
  </si>
  <si>
    <r>
      <t xml:space="preserve">1 - </t>
    </r>
    <r>
      <rPr>
        <sz val="12"/>
        <color rgb="FFFF0000"/>
        <rFont val="Arial"/>
        <family val="2"/>
      </rPr>
      <t>Blue Cross</t>
    </r>
    <r>
      <rPr>
        <sz val="12"/>
        <color theme="1"/>
        <rFont val="Arial"/>
        <family val="2"/>
      </rPr>
      <t xml:space="preserve"> or </t>
    </r>
    <r>
      <rPr>
        <sz val="12"/>
        <color rgb="FFFF0000"/>
        <rFont val="Arial"/>
        <family val="2"/>
      </rPr>
      <t>Blue Shield</t>
    </r>
    <r>
      <rPr>
        <sz val="12"/>
        <color theme="1"/>
        <rFont val="Arial"/>
        <family val="2"/>
      </rPr>
      <t xml:space="preserve"> are their licensed health care plans</t>
    </r>
  </si>
  <si>
    <r>
      <t xml:space="preserve">2 - </t>
    </r>
    <r>
      <rPr>
        <sz val="12"/>
        <color rgb="FFFF0000"/>
        <rFont val="Arial"/>
        <family val="2"/>
      </rPr>
      <t>Wellpoint</t>
    </r>
    <r>
      <rPr>
        <sz val="12"/>
        <color theme="1"/>
        <rFont val="Arial"/>
        <family val="2"/>
      </rPr>
      <t xml:space="preserve"> unites select non-BCBSA licensed Medicare, Medicaid and commercial plans under the name</t>
    </r>
  </si>
  <si>
    <r>
      <t xml:space="preserve">3 - </t>
    </r>
    <r>
      <rPr>
        <sz val="12"/>
        <color rgb="FFFF0000"/>
        <rFont val="Arial"/>
        <family val="2"/>
      </rPr>
      <t>Carelon</t>
    </r>
    <r>
      <rPr>
        <sz val="12"/>
        <color theme="1"/>
        <rFont val="Arial"/>
        <family val="2"/>
      </rPr>
      <t xml:space="preserve"> is a brand that brings together their healthcare related services and capabilities, like CarelonRX and Carelon Services businesses</t>
    </r>
  </si>
  <si>
    <t>Health Benefits:</t>
  </si>
  <si>
    <t>Commercial</t>
  </si>
  <si>
    <t>Medicare</t>
  </si>
  <si>
    <t>Medicaid</t>
  </si>
  <si>
    <t>Federal Employee Program</t>
  </si>
  <si>
    <t>Net investment income</t>
  </si>
  <si>
    <t>Net losses on financial instruments</t>
  </si>
  <si>
    <t>Gain on sale of business</t>
  </si>
  <si>
    <t>Total Operating Revenue</t>
  </si>
  <si>
    <t>Expenses</t>
  </si>
  <si>
    <t>Benefit expense</t>
  </si>
  <si>
    <t>Cost of products sold</t>
  </si>
  <si>
    <t>Operating expense</t>
  </si>
  <si>
    <t>Interest expense</t>
  </si>
  <si>
    <t>Amortization of intangibles</t>
  </si>
  <si>
    <t>Total Expenses</t>
  </si>
  <si>
    <t>EBT</t>
  </si>
  <si>
    <t>Taxes</t>
  </si>
  <si>
    <t>Net income</t>
  </si>
  <si>
    <t>EPS</t>
  </si>
  <si>
    <t>Mkt price</t>
  </si>
  <si>
    <t>Cash</t>
  </si>
  <si>
    <t>Fixed maturity securities</t>
  </si>
  <si>
    <t>Equity securities</t>
  </si>
  <si>
    <t>Premium receivables</t>
  </si>
  <si>
    <t>Self-funded receivables</t>
  </si>
  <si>
    <t>Other receivables</t>
  </si>
  <si>
    <t>Other</t>
  </si>
  <si>
    <t>Assets held for sale</t>
  </si>
  <si>
    <t>PPE, net</t>
  </si>
  <si>
    <t>Goodwill</t>
  </si>
  <si>
    <t>Other intangibles</t>
  </si>
  <si>
    <t>Liabilities</t>
  </si>
  <si>
    <t>LT other invested assets</t>
  </si>
  <si>
    <t>LT fixed maturity securities</t>
  </si>
  <si>
    <t>Medical claims payable</t>
  </si>
  <si>
    <t>Other policyholder liabilities</t>
  </si>
  <si>
    <t>AP &amp; accrued expenses</t>
  </si>
  <si>
    <t>ST borrowings</t>
  </si>
  <si>
    <t>LT debt, current</t>
  </si>
  <si>
    <t>Liabilities held for sale</t>
  </si>
  <si>
    <t>LT debt</t>
  </si>
  <si>
    <t>Reserves for future policy benefits</t>
  </si>
  <si>
    <t>Deferred tax liabilities</t>
  </si>
  <si>
    <t>Total liabilities</t>
  </si>
  <si>
    <t>Total current</t>
  </si>
  <si>
    <t>Total assets</t>
  </si>
  <si>
    <t>Unearned income</t>
  </si>
  <si>
    <t>Equity</t>
  </si>
  <si>
    <t>Operating margin</t>
  </si>
  <si>
    <t>Net margin</t>
  </si>
  <si>
    <t>Total Gov Business</t>
  </si>
  <si>
    <t>n/a</t>
  </si>
  <si>
    <t>Commercial rev to Ops Total</t>
  </si>
  <si>
    <t>Gov rev to Ops Total</t>
  </si>
  <si>
    <t>CarelonRX rev to Ops Total</t>
  </si>
  <si>
    <t>Carelon services rev to Ops Total</t>
  </si>
  <si>
    <t>Debt</t>
  </si>
  <si>
    <t>EV</t>
  </si>
  <si>
    <t>EBITDA</t>
  </si>
  <si>
    <t>NOPAT</t>
  </si>
  <si>
    <t>EV/EBITDA</t>
  </si>
  <si>
    <t>Current ratio</t>
  </si>
  <si>
    <t>Quick ratio</t>
  </si>
  <si>
    <t>Medicaid to Total Health Benefits Rev</t>
  </si>
  <si>
    <t>Federal Employee Program to Total Health Benefits Rev</t>
  </si>
  <si>
    <t>Health Benefits margin</t>
  </si>
  <si>
    <t>D/E</t>
  </si>
  <si>
    <t>Adj. D/E</t>
  </si>
  <si>
    <t>Asset turnover</t>
  </si>
  <si>
    <t>Equity multiplier</t>
  </si>
  <si>
    <t>ROE</t>
  </si>
  <si>
    <t>μ</t>
  </si>
  <si>
    <t>σ</t>
  </si>
  <si>
    <t>Elevance</t>
  </si>
  <si>
    <t>YoY % Growth, Rev</t>
  </si>
  <si>
    <t>YoY % Growth, EBITDA</t>
  </si>
  <si>
    <t>YoY % Growth, NOPAT</t>
  </si>
  <si>
    <t>Premiums</t>
  </si>
  <si>
    <t>Premiums rev</t>
  </si>
  <si>
    <t>Premiums turnover</t>
  </si>
  <si>
    <t>Medicare to Total Health Benefits Rev</t>
  </si>
  <si>
    <t>Commercial to Total Health Benefits Rev</t>
  </si>
  <si>
    <t>Competitors</t>
  </si>
  <si>
    <t>Cigna Group (CI)</t>
  </si>
  <si>
    <t>Molina Healthcare (MOH)</t>
  </si>
  <si>
    <t>UnitedHealth Group (UNH)</t>
  </si>
  <si>
    <t>Centene Corp (CNC)</t>
  </si>
  <si>
    <t>Competitor notes:</t>
  </si>
  <si>
    <t>Total Rev</t>
  </si>
  <si>
    <t>YoY % Growth, Premiums</t>
  </si>
  <si>
    <t xml:space="preserve"> - Cigna is much more focused on pharmacy services than premiums. In 2018-19, the group acquired/merged with another company, which spiked all statements and can</t>
  </si>
  <si>
    <t xml:space="preserve"> be seen with Revenue surging to $153.57b in 2019 from $48.65b in 2018.</t>
  </si>
  <si>
    <t>Molina Healthcare</t>
  </si>
  <si>
    <t>UnitedHealth</t>
  </si>
  <si>
    <t>Centene</t>
  </si>
  <si>
    <t>Cigna</t>
  </si>
  <si>
    <t>Net Margin Comparison</t>
  </si>
  <si>
    <t>Adj. Operating Margin Comparison</t>
  </si>
  <si>
    <t>EV turnover</t>
  </si>
  <si>
    <t>2025</t>
  </si>
  <si>
    <t>IC</t>
  </si>
  <si>
    <t>Screening Score</t>
  </si>
  <si>
    <t>Column1</t>
  </si>
  <si>
    <t>Revenue (CAGR)</t>
  </si>
  <si>
    <t>EBITDA Margin</t>
  </si>
  <si>
    <t>ROIC</t>
  </si>
  <si>
    <t>Debt-to-EBITDA</t>
  </si>
  <si>
    <t>EPS σ</t>
  </si>
  <si>
    <t>EV-to-EBITDA</t>
  </si>
  <si>
    <t>Industry</t>
  </si>
  <si>
    <t>Healthcare</t>
  </si>
  <si>
    <t>6Y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</si>
</sst>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409]* #,##0.00_);_([$$-409]* \(#,##0.00\);_([$$-409]* &quot;-&quot;??_);_(@_)"/>
    <numFmt numFmtId="165" formatCode="_(* #,##0.0_);_(* \(#,##0.0\);_(* &quot;-&quot;??_);_(@_)"/>
    <numFmt numFmtId="166" formatCode="_(* #,##0_);_(* \(#,##0\);_(* &quot;-&quot;??_);_(@_)"/>
    <numFmt numFmtId="167" formatCode="0.0%"/>
    <numFmt numFmtId="168" formatCode="0.000%"/>
    <numFmt numFmtId="169" formatCode="_(* #,##0.000_);_(* \(#,##0.000\);_(* &quot;-&quot;??_);_(@_)"/>
    <numFmt numFmtId="170" formatCode="0.000"/>
  </numFmts>
  <fonts count="30" x14ac:knownFonts="1">
    <font>
      <sz val="11"/>
      <color theme="1"/>
      <name val="Aptos Narrow"/>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Aptos Narrow"/>
      <family val="2"/>
      <scheme val="minor"/>
    </font>
    <font>
      <sz val="10"/>
      <color theme="1"/>
      <name val="Arial"/>
      <family val="2"/>
    </font>
    <font>
      <b/>
      <sz val="10"/>
      <color theme="1"/>
      <name val="Arial"/>
      <family val="2"/>
    </font>
    <font>
      <sz val="10"/>
      <color theme="4"/>
      <name val="Arial"/>
      <family val="2"/>
    </font>
    <font>
      <sz val="12"/>
      <color theme="1"/>
      <name val="Arial"/>
      <family val="2"/>
    </font>
    <font>
      <b/>
      <sz val="16"/>
      <color theme="1"/>
      <name val="Arial"/>
      <family val="2"/>
    </font>
    <font>
      <i/>
      <sz val="12"/>
      <color theme="1"/>
      <name val="Arial"/>
      <family val="2"/>
    </font>
    <font>
      <sz val="12"/>
      <color rgb="FFFF0000"/>
      <name val="Arial"/>
      <family val="2"/>
    </font>
    <font>
      <sz val="10"/>
      <color theme="0"/>
      <name val="Arial"/>
      <family val="2"/>
    </font>
    <font>
      <i/>
      <sz val="10"/>
      <color theme="1"/>
      <name val="Arial"/>
      <family val="2"/>
    </font>
    <font>
      <b/>
      <i/>
      <sz val="10"/>
      <color theme="1"/>
      <name val="Arial"/>
      <family val="2"/>
    </font>
    <font>
      <sz val="10"/>
      <color rgb="FFC00000"/>
      <name val="Arial"/>
      <family val="2"/>
    </font>
    <font>
      <b/>
      <sz val="12"/>
      <color theme="1"/>
      <name val="Arial"/>
      <family val="2"/>
    </font>
    <font>
      <sz val="12"/>
      <color theme="4"/>
      <name val="Arial"/>
      <family val="2"/>
    </font>
    <font>
      <sz val="12"/>
      <color theme="0"/>
      <name val="Arial"/>
      <family val="2"/>
    </font>
    <font>
      <b/>
      <sz val="10"/>
      <color theme="0"/>
      <name val="Arial"/>
      <family val="2"/>
    </font>
  </fonts>
  <fills count="6">
    <fill>
      <patternFill patternType="none"/>
    </fill>
    <fill>
      <patternFill patternType="gray125"/>
    </fill>
    <fill>
      <patternFill patternType="solid">
        <fgColor rgb="FFFFFF00"/>
        <bgColor indexed="64"/>
      </patternFill>
    </fill>
    <fill>
      <patternFill patternType="solid">
        <fgColor rgb="FF94DCF8"/>
        <bgColor indexed="64"/>
      </patternFill>
    </fill>
    <fill>
      <patternFill patternType="solid">
        <fgColor rgb="FFB5E6A2"/>
        <bgColor indexed="64"/>
      </patternFill>
    </fill>
    <fill>
      <patternFill patternType="solid">
        <fgColor rgb="FFFF0000"/>
        <bgColor indexed="64"/>
      </patternFill>
    </fill>
  </fills>
  <borders count="10">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diagonal/>
    </border>
    <border>
      <left/>
      <right/>
      <top/>
      <bottom style="medium">
        <color indexed="64"/>
      </bottom>
      <diagonal/>
    </border>
    <border>
      <left/>
      <right style="thin">
        <color indexed="64"/>
      </right>
      <top/>
      <bottom style="medium">
        <color indexed="64"/>
      </bottom>
      <diagonal/>
    </border>
  </borders>
  <cellStyleXfs count="4">
    <xf numFmtId="0" fontId="0" fillId="0" borderId="0"/>
    <xf numFmtId="43" fontId="14" fillId="0" borderId="0" applyFon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166">
    <xf numFmtId="0" fontId="0" fillId="0" borderId="0" xfId="0"/>
    <xf numFmtId="0" fontId="15" fillId="0" borderId="0" xfId="0" applyFont="1"/>
    <xf numFmtId="164" fontId="15" fillId="0" borderId="0" xfId="0" applyNumberFormat="1" applyFont="1"/>
    <xf numFmtId="0" fontId="16" fillId="0" borderId="1" xfId="0" applyFont="1" applyBorder="1"/>
    <xf numFmtId="0" fontId="16" fillId="0" borderId="2" xfId="0" applyFont="1" applyBorder="1"/>
    <xf numFmtId="0" fontId="16" fillId="0" borderId="0" xfId="0" applyFont="1"/>
    <xf numFmtId="0" fontId="16" fillId="2" borderId="1" xfId="0" applyFont="1" applyFill="1" applyBorder="1" applyAlignment="1">
      <alignment horizontal="center"/>
    </xf>
    <xf numFmtId="0" fontId="16" fillId="3" borderId="1" xfId="0" applyFont="1" applyFill="1" applyBorder="1" applyAlignment="1">
      <alignment horizontal="center"/>
    </xf>
    <xf numFmtId="0" fontId="16" fillId="4" borderId="1" xfId="0" applyFont="1" applyFill="1" applyBorder="1" applyAlignment="1">
      <alignment horizontal="center"/>
    </xf>
    <xf numFmtId="0" fontId="15" fillId="2" borderId="0" xfId="0" applyFont="1" applyFill="1"/>
    <xf numFmtId="0" fontId="15" fillId="3" borderId="0" xfId="0" applyFont="1" applyFill="1"/>
    <xf numFmtId="0" fontId="15" fillId="4" borderId="0" xfId="0" applyFont="1" applyFill="1"/>
    <xf numFmtId="0" fontId="17" fillId="0" borderId="3" xfId="0" applyFont="1" applyBorder="1"/>
    <xf numFmtId="165" fontId="15" fillId="0" borderId="0" xfId="1" applyNumberFormat="1" applyFont="1" applyBorder="1"/>
    <xf numFmtId="166" fontId="12" fillId="0" borderId="0" xfId="1" applyNumberFormat="1" applyFont="1" applyBorder="1"/>
    <xf numFmtId="0" fontId="11" fillId="0" borderId="0" xfId="0" applyFont="1"/>
    <xf numFmtId="0" fontId="18" fillId="0" borderId="0" xfId="0" applyFont="1"/>
    <xf numFmtId="0" fontId="19" fillId="0" borderId="0" xfId="0" applyFont="1"/>
    <xf numFmtId="166" fontId="15" fillId="0" borderId="0" xfId="1" applyNumberFormat="1" applyFont="1"/>
    <xf numFmtId="0" fontId="11" fillId="0" borderId="2" xfId="0" applyFont="1" applyBorder="1" applyAlignment="1">
      <alignment horizontal="left" indent="1"/>
    </xf>
    <xf numFmtId="166" fontId="0" fillId="0" borderId="0" xfId="1" applyNumberFormat="1" applyFont="1"/>
    <xf numFmtId="166" fontId="15" fillId="0" borderId="0" xfId="1" applyNumberFormat="1" applyFont="1" applyBorder="1"/>
    <xf numFmtId="166" fontId="16" fillId="0" borderId="0" xfId="1" applyNumberFormat="1" applyFont="1" applyBorder="1"/>
    <xf numFmtId="166" fontId="11" fillId="0" borderId="0" xfId="1" applyNumberFormat="1" applyFont="1" applyBorder="1"/>
    <xf numFmtId="166" fontId="11" fillId="0" borderId="0" xfId="1" applyNumberFormat="1" applyFont="1"/>
    <xf numFmtId="166" fontId="13" fillId="0" borderId="0" xfId="1" applyNumberFormat="1" applyFont="1" applyBorder="1"/>
    <xf numFmtId="0" fontId="16" fillId="0" borderId="4" xfId="0" applyFont="1" applyBorder="1" applyAlignment="1">
      <alignment horizontal="left"/>
    </xf>
    <xf numFmtId="0" fontId="10" fillId="0" borderId="2" xfId="0" applyFont="1" applyBorder="1" applyAlignment="1">
      <alignment horizontal="left" indent="1"/>
    </xf>
    <xf numFmtId="0" fontId="9" fillId="0" borderId="0" xfId="0" applyFont="1"/>
    <xf numFmtId="0" fontId="9" fillId="0" borderId="2" xfId="0" applyFont="1" applyBorder="1" applyAlignment="1">
      <alignment horizontal="left" indent="1"/>
    </xf>
    <xf numFmtId="166" fontId="16" fillId="0" borderId="5" xfId="1" applyNumberFormat="1" applyFont="1" applyBorder="1"/>
    <xf numFmtId="0" fontId="16" fillId="0" borderId="6" xfId="0" applyFont="1" applyBorder="1" applyAlignment="1">
      <alignment horizontal="left" indent="2"/>
    </xf>
    <xf numFmtId="0" fontId="18" fillId="0" borderId="0" xfId="0" applyFont="1" applyAlignment="1">
      <alignment horizontal="left" indent="3"/>
    </xf>
    <xf numFmtId="166" fontId="9" fillId="0" borderId="0" xfId="1" applyNumberFormat="1" applyFont="1" applyBorder="1"/>
    <xf numFmtId="0" fontId="9" fillId="0" borderId="2" xfId="0" applyFont="1" applyBorder="1" applyAlignment="1">
      <alignment horizontal="left" indent="2"/>
    </xf>
    <xf numFmtId="0" fontId="9" fillId="0" borderId="2" xfId="0" applyFont="1" applyBorder="1" applyAlignment="1">
      <alignment horizontal="left"/>
    </xf>
    <xf numFmtId="0" fontId="16" fillId="0" borderId="2" xfId="0" applyFont="1" applyBorder="1" applyAlignment="1">
      <alignment horizontal="left"/>
    </xf>
    <xf numFmtId="0" fontId="9" fillId="0" borderId="2" xfId="0" applyFont="1" applyBorder="1"/>
    <xf numFmtId="44" fontId="9" fillId="0" borderId="0" xfId="2" applyFont="1" applyBorder="1"/>
    <xf numFmtId="166" fontId="9" fillId="0" borderId="0" xfId="1" applyNumberFormat="1" applyFont="1" applyBorder="1" applyAlignment="1">
      <alignment horizontal="left" indent="1"/>
    </xf>
    <xf numFmtId="0" fontId="9" fillId="0" borderId="2" xfId="0" quotePrefix="1" applyFont="1" applyBorder="1"/>
    <xf numFmtId="0" fontId="15" fillId="0" borderId="2" xfId="0" applyFont="1" applyBorder="1"/>
    <xf numFmtId="0" fontId="8" fillId="0" borderId="2" xfId="0" applyFont="1" applyBorder="1"/>
    <xf numFmtId="0" fontId="7" fillId="2" borderId="0" xfId="0" applyFont="1" applyFill="1"/>
    <xf numFmtId="0" fontId="7" fillId="3" borderId="0" xfId="0" applyFont="1" applyFill="1"/>
    <xf numFmtId="0" fontId="7" fillId="4" borderId="0" xfId="0" applyFont="1" applyFill="1"/>
    <xf numFmtId="9" fontId="7" fillId="2" borderId="0" xfId="3" applyFont="1" applyFill="1" applyBorder="1"/>
    <xf numFmtId="9" fontId="7" fillId="3" borderId="0" xfId="3" applyFont="1" applyFill="1" applyBorder="1"/>
    <xf numFmtId="9" fontId="7" fillId="4" borderId="0" xfId="3" applyFont="1" applyFill="1" applyBorder="1"/>
    <xf numFmtId="0" fontId="7" fillId="0" borderId="0" xfId="0" applyFont="1"/>
    <xf numFmtId="0" fontId="7" fillId="0" borderId="2" xfId="0" applyFont="1" applyBorder="1" applyAlignment="1">
      <alignment horizontal="left" indent="3"/>
    </xf>
    <xf numFmtId="0" fontId="16" fillId="0" borderId="6" xfId="0" applyFont="1" applyBorder="1" applyAlignment="1">
      <alignment horizontal="left" indent="4"/>
    </xf>
    <xf numFmtId="0" fontId="7" fillId="0" borderId="4" xfId="0" applyFont="1" applyBorder="1" applyAlignment="1">
      <alignment horizontal="left" indent="3"/>
    </xf>
    <xf numFmtId="166" fontId="9" fillId="0" borderId="7" xfId="1" applyNumberFormat="1" applyFont="1" applyBorder="1"/>
    <xf numFmtId="0" fontId="7" fillId="0" borderId="4" xfId="0" applyFont="1" applyBorder="1" applyAlignment="1">
      <alignment horizontal="left"/>
    </xf>
    <xf numFmtId="0" fontId="7" fillId="0" borderId="2" xfId="0" applyFont="1" applyBorder="1" applyAlignment="1">
      <alignment horizontal="left"/>
    </xf>
    <xf numFmtId="166" fontId="7" fillId="0" borderId="7" xfId="1" applyNumberFormat="1" applyFont="1" applyBorder="1"/>
    <xf numFmtId="166" fontId="7" fillId="0" borderId="0" xfId="1" applyNumberFormat="1" applyFont="1" applyBorder="1"/>
    <xf numFmtId="165" fontId="11" fillId="0" borderId="0" xfId="1" applyNumberFormat="1" applyFont="1" applyBorder="1"/>
    <xf numFmtId="44" fontId="15" fillId="0" borderId="0" xfId="2" applyFont="1" applyBorder="1"/>
    <xf numFmtId="44" fontId="7" fillId="0" borderId="0" xfId="2" applyFont="1" applyBorder="1"/>
    <xf numFmtId="168" fontId="12" fillId="0" borderId="0" xfId="3" applyNumberFormat="1" applyFont="1" applyBorder="1"/>
    <xf numFmtId="165" fontId="7" fillId="0" borderId="0" xfId="1" applyNumberFormat="1" applyFont="1" applyBorder="1"/>
    <xf numFmtId="167" fontId="7" fillId="0" borderId="0" xfId="3" applyNumberFormat="1" applyFont="1" applyBorder="1"/>
    <xf numFmtId="168" fontId="7" fillId="0" borderId="0" xfId="3" applyNumberFormat="1" applyFont="1" applyBorder="1"/>
    <xf numFmtId="0" fontId="7" fillId="0" borderId="2" xfId="0" applyFont="1" applyBorder="1"/>
    <xf numFmtId="167" fontId="7" fillId="0" borderId="7" xfId="3" applyNumberFormat="1" applyFont="1" applyBorder="1"/>
    <xf numFmtId="166" fontId="7" fillId="0" borderId="0" xfId="1" applyNumberFormat="1" applyFont="1"/>
    <xf numFmtId="0" fontId="6" fillId="0" borderId="2" xfId="0" applyFont="1" applyBorder="1"/>
    <xf numFmtId="166" fontId="6" fillId="0" borderId="0" xfId="1" applyNumberFormat="1" applyFont="1" applyBorder="1"/>
    <xf numFmtId="167" fontId="6" fillId="0" borderId="0" xfId="3" applyNumberFormat="1" applyFont="1" applyBorder="1"/>
    <xf numFmtId="165" fontId="6" fillId="0" borderId="0" xfId="1" applyNumberFormat="1" applyFont="1" applyBorder="1"/>
    <xf numFmtId="169" fontId="6" fillId="0" borderId="0" xfId="1" applyNumberFormat="1" applyFont="1" applyBorder="1"/>
    <xf numFmtId="0" fontId="7" fillId="0" borderId="4" xfId="0" applyFont="1" applyBorder="1"/>
    <xf numFmtId="0" fontId="6" fillId="0" borderId="2" xfId="0" applyFont="1" applyBorder="1" applyAlignment="1">
      <alignment wrapText="1"/>
    </xf>
    <xf numFmtId="166" fontId="6" fillId="0" borderId="7" xfId="1" applyNumberFormat="1" applyFont="1" applyBorder="1"/>
    <xf numFmtId="167" fontId="6" fillId="0" borderId="7" xfId="3" applyNumberFormat="1" applyFont="1" applyBorder="1"/>
    <xf numFmtId="168" fontId="6" fillId="0" borderId="0" xfId="3" applyNumberFormat="1" applyFont="1" applyBorder="1"/>
    <xf numFmtId="0" fontId="6" fillId="0" borderId="4" xfId="0" applyFont="1" applyBorder="1"/>
    <xf numFmtId="168" fontId="6" fillId="0" borderId="7" xfId="3" applyNumberFormat="1" applyFont="1" applyBorder="1"/>
    <xf numFmtId="169" fontId="6" fillId="0" borderId="7" xfId="1" applyNumberFormat="1" applyFont="1" applyBorder="1"/>
    <xf numFmtId="168" fontId="11" fillId="0" borderId="0" xfId="3" applyNumberFormat="1" applyFont="1"/>
    <xf numFmtId="0" fontId="6" fillId="0" borderId="0" xfId="1" applyNumberFormat="1" applyFont="1" applyAlignment="1">
      <alignment horizontal="center"/>
    </xf>
    <xf numFmtId="0" fontId="11" fillId="0" borderId="0" xfId="0" applyFont="1" applyAlignment="1">
      <alignment horizontal="center"/>
    </xf>
    <xf numFmtId="168" fontId="11" fillId="0" borderId="0" xfId="0" applyNumberFormat="1" applyFont="1"/>
    <xf numFmtId="168" fontId="11" fillId="0" borderId="7" xfId="3" applyNumberFormat="1" applyFont="1" applyBorder="1"/>
    <xf numFmtId="0" fontId="5" fillId="0" borderId="2" xfId="0" applyFont="1" applyBorder="1"/>
    <xf numFmtId="166" fontId="5" fillId="0" borderId="0" xfId="1" applyNumberFormat="1" applyFont="1" applyBorder="1"/>
    <xf numFmtId="165" fontId="5" fillId="0" borderId="0" xfId="1" applyNumberFormat="1" applyFont="1" applyBorder="1"/>
    <xf numFmtId="0" fontId="5" fillId="0" borderId="2" xfId="0" applyFont="1" applyBorder="1" applyAlignment="1">
      <alignment wrapText="1"/>
    </xf>
    <xf numFmtId="0" fontId="5" fillId="0" borderId="4" xfId="0" applyFont="1" applyBorder="1" applyAlignment="1">
      <alignment wrapText="1"/>
    </xf>
    <xf numFmtId="0" fontId="18" fillId="0" borderId="0" xfId="0" applyFont="1" applyAlignment="1">
      <alignment horizontal="left" indent="2"/>
    </xf>
    <xf numFmtId="0" fontId="16" fillId="0" borderId="1" xfId="1" applyNumberFormat="1" applyFont="1" applyBorder="1"/>
    <xf numFmtId="0" fontId="16" fillId="0" borderId="3" xfId="0" applyFont="1" applyBorder="1"/>
    <xf numFmtId="0" fontId="5" fillId="0" borderId="2" xfId="0" applyFont="1" applyBorder="1" applyAlignment="1">
      <alignment horizontal="left" indent="1"/>
    </xf>
    <xf numFmtId="0" fontId="5" fillId="0" borderId="2" xfId="0" applyFont="1" applyBorder="1" applyAlignment="1">
      <alignment horizontal="left" indent="3"/>
    </xf>
    <xf numFmtId="0" fontId="23" fillId="0" borderId="2" xfId="0" applyFont="1" applyBorder="1"/>
    <xf numFmtId="0" fontId="5" fillId="0" borderId="9" xfId="0" applyFont="1" applyBorder="1" applyAlignment="1">
      <alignment horizontal="left" indent="3"/>
    </xf>
    <xf numFmtId="168" fontId="11" fillId="0" borderId="8" xfId="3" applyNumberFormat="1" applyFont="1" applyBorder="1"/>
    <xf numFmtId="168" fontId="11" fillId="0" borderId="0" xfId="3" applyNumberFormat="1" applyFont="1" applyBorder="1"/>
    <xf numFmtId="168" fontId="11" fillId="2" borderId="7" xfId="0" applyNumberFormat="1" applyFont="1" applyFill="1" applyBorder="1"/>
    <xf numFmtId="168" fontId="11" fillId="2" borderId="7" xfId="3" applyNumberFormat="1" applyFont="1" applyFill="1" applyBorder="1"/>
    <xf numFmtId="168" fontId="11" fillId="2" borderId="0" xfId="0" applyNumberFormat="1" applyFont="1" applyFill="1"/>
    <xf numFmtId="168" fontId="5" fillId="0" borderId="7" xfId="3" applyNumberFormat="1" applyFont="1" applyBorder="1"/>
    <xf numFmtId="168" fontId="22" fillId="0" borderId="0" xfId="0" applyNumberFormat="1" applyFont="1"/>
    <xf numFmtId="168" fontId="11" fillId="2" borderId="0" xfId="3" applyNumberFormat="1" applyFont="1" applyFill="1" applyBorder="1"/>
    <xf numFmtId="0" fontId="4" fillId="0" borderId="0" xfId="0" applyFont="1"/>
    <xf numFmtId="0" fontId="16" fillId="0" borderId="0" xfId="1" applyNumberFormat="1" applyFont="1"/>
    <xf numFmtId="0" fontId="16" fillId="2" borderId="0" xfId="1" applyNumberFormat="1" applyFont="1" applyFill="1" applyAlignment="1">
      <alignment horizontal="center"/>
    </xf>
    <xf numFmtId="0" fontId="16" fillId="2" borderId="0" xfId="0" applyFont="1" applyFill="1" applyAlignment="1">
      <alignment horizontal="center"/>
    </xf>
    <xf numFmtId="0" fontId="24" fillId="0" borderId="2" xfId="0" applyFont="1" applyBorder="1"/>
    <xf numFmtId="0" fontId="3" fillId="0" borderId="4" xfId="0" applyFont="1" applyBorder="1"/>
    <xf numFmtId="0" fontId="3" fillId="0" borderId="2" xfId="0" applyFont="1" applyBorder="1"/>
    <xf numFmtId="0" fontId="3" fillId="0" borderId="0" xfId="0" applyFont="1"/>
    <xf numFmtId="0" fontId="16" fillId="0" borderId="0" xfId="1" applyNumberFormat="1" applyFont="1" applyFill="1" applyAlignment="1">
      <alignment horizontal="center"/>
    </xf>
    <xf numFmtId="0" fontId="16" fillId="0" borderId="0" xfId="0" applyFont="1" applyAlignment="1">
      <alignment horizontal="center"/>
    </xf>
    <xf numFmtId="168" fontId="22" fillId="0" borderId="0" xfId="3" applyNumberFormat="1" applyFont="1"/>
    <xf numFmtId="0" fontId="25" fillId="0" borderId="2" xfId="0" applyFont="1" applyBorder="1"/>
    <xf numFmtId="168" fontId="25" fillId="0" borderId="0" xfId="3" applyNumberFormat="1" applyFont="1" applyBorder="1"/>
    <xf numFmtId="0" fontId="2" fillId="0" borderId="2" xfId="0" applyFont="1" applyBorder="1"/>
    <xf numFmtId="169" fontId="2" fillId="0" borderId="0" xfId="1" applyNumberFormat="1" applyFont="1" applyBorder="1"/>
    <xf numFmtId="166" fontId="1" fillId="0" borderId="0" xfId="1" applyNumberFormat="1" applyFont="1"/>
    <xf numFmtId="166" fontId="1" fillId="0" borderId="0" xfId="1" applyNumberFormat="1" applyFont="1" applyBorder="1"/>
    <xf numFmtId="166" fontId="1" fillId="0" borderId="7" xfId="1" applyNumberFormat="1" applyFont="1" applyBorder="1"/>
    <xf numFmtId="166" fontId="1" fillId="0" borderId="0" xfId="1" applyNumberFormat="1" applyFont="1" applyBorder="1" applyAlignment="1">
      <alignment horizontal="left" indent="1"/>
    </xf>
    <xf numFmtId="44" fontId="1" fillId="0" borderId="0" xfId="2" applyFont="1" applyBorder="1"/>
    <xf numFmtId="167" fontId="15" fillId="2" borderId="0" xfId="3" applyNumberFormat="1" applyFont="1" applyFill="1"/>
    <xf numFmtId="167" fontId="15" fillId="3" borderId="0" xfId="3" applyNumberFormat="1" applyFont="1" applyFill="1"/>
    <xf numFmtId="167" fontId="15" fillId="4" borderId="0" xfId="3" applyNumberFormat="1" applyFont="1" applyFill="1"/>
    <xf numFmtId="167" fontId="15" fillId="2" borderId="0" xfId="3" applyNumberFormat="1" applyFont="1" applyFill="1" applyAlignment="1">
      <alignment horizontal="right"/>
    </xf>
    <xf numFmtId="167" fontId="15" fillId="3" borderId="0" xfId="3" applyNumberFormat="1" applyFont="1" applyFill="1" applyAlignment="1">
      <alignment horizontal="right"/>
    </xf>
    <xf numFmtId="167" fontId="1" fillId="4" borderId="0" xfId="3" applyNumberFormat="1" applyFont="1" applyFill="1" applyAlignment="1">
      <alignment horizontal="right"/>
    </xf>
    <xf numFmtId="167" fontId="15" fillId="4" borderId="0" xfId="3" applyNumberFormat="1" applyFont="1" applyFill="1" applyAlignment="1">
      <alignment horizontal="right"/>
    </xf>
    <xf numFmtId="167" fontId="16" fillId="2" borderId="5" xfId="3" applyNumberFormat="1" applyFont="1" applyFill="1" applyBorder="1" applyAlignment="1">
      <alignment horizontal="right"/>
    </xf>
    <xf numFmtId="167" fontId="16" fillId="3" borderId="5" xfId="3" applyNumberFormat="1" applyFont="1" applyFill="1" applyBorder="1" applyAlignment="1">
      <alignment horizontal="right"/>
    </xf>
    <xf numFmtId="167" fontId="16" fillId="4" borderId="5" xfId="3" applyNumberFormat="1" applyFont="1" applyFill="1" applyBorder="1" applyAlignment="1">
      <alignment horizontal="right"/>
    </xf>
    <xf numFmtId="167" fontId="16" fillId="3" borderId="0" xfId="3" applyNumberFormat="1" applyFont="1" applyFill="1"/>
    <xf numFmtId="167" fontId="16" fillId="4" borderId="0" xfId="3" applyNumberFormat="1" applyFont="1" applyFill="1"/>
    <xf numFmtId="167" fontId="16" fillId="2" borderId="5" xfId="3" applyNumberFormat="1" applyFont="1" applyFill="1" applyBorder="1"/>
    <xf numFmtId="167" fontId="16" fillId="3" borderId="5" xfId="3" applyNumberFormat="1" applyFont="1" applyFill="1" applyBorder="1"/>
    <xf numFmtId="167" fontId="16" fillId="4" borderId="5" xfId="3" applyNumberFormat="1" applyFont="1" applyFill="1" applyBorder="1"/>
    <xf numFmtId="167" fontId="7" fillId="2" borderId="0" xfId="3" applyNumberFormat="1" applyFont="1" applyFill="1" applyBorder="1"/>
    <xf numFmtId="167" fontId="7" fillId="3" borderId="0" xfId="3" applyNumberFormat="1" applyFont="1" applyFill="1" applyBorder="1"/>
    <xf numFmtId="167" fontId="7" fillId="4" borderId="0" xfId="3" applyNumberFormat="1" applyFont="1" applyFill="1" applyBorder="1"/>
    <xf numFmtId="167" fontId="16" fillId="2" borderId="0" xfId="3" applyNumberFormat="1" applyFont="1" applyFill="1" applyBorder="1"/>
    <xf numFmtId="167" fontId="16" fillId="3" borderId="0" xfId="3" applyNumberFormat="1" applyFont="1" applyFill="1" applyBorder="1"/>
    <xf numFmtId="0" fontId="1" fillId="0" borderId="2" xfId="0" applyFont="1" applyBorder="1"/>
    <xf numFmtId="0" fontId="26" fillId="0" borderId="0" xfId="0" applyFont="1"/>
    <xf numFmtId="0" fontId="27" fillId="0" borderId="0" xfId="0" applyFont="1"/>
    <xf numFmtId="0" fontId="28" fillId="0" borderId="0" xfId="0" applyFont="1" applyAlignment="1">
      <alignment horizontal="right"/>
    </xf>
    <xf numFmtId="10" fontId="18" fillId="0" borderId="0" xfId="3" applyNumberFormat="1" applyFont="1"/>
    <xf numFmtId="170" fontId="18" fillId="0" borderId="0" xfId="0" applyNumberFormat="1" applyFont="1"/>
    <xf numFmtId="2" fontId="18" fillId="0" borderId="0" xfId="0" applyNumberFormat="1" applyFont="1"/>
    <xf numFmtId="0" fontId="18" fillId="0" borderId="0" xfId="0" applyFont="1" applyAlignment="1">
      <alignment horizontal="right"/>
    </xf>
    <xf numFmtId="167" fontId="29" fillId="5" borderId="0" xfId="3" applyNumberFormat="1" applyFont="1" applyFill="1"/>
    <xf numFmtId="167" fontId="29" fillId="5" borderId="0" xfId="3" applyNumberFormat="1" applyFont="1" applyFill="1" applyAlignment="1">
      <alignment horizontal="right"/>
    </xf>
    <xf numFmtId="167" fontId="29" fillId="5" borderId="5" xfId="3" applyNumberFormat="1" applyFont="1" applyFill="1" applyBorder="1" applyAlignment="1">
      <alignment horizontal="right"/>
    </xf>
    <xf numFmtId="167" fontId="29" fillId="5" borderId="5" xfId="3" applyNumberFormat="1" applyFont="1" applyFill="1" applyBorder="1"/>
    <xf numFmtId="167" fontId="15" fillId="2" borderId="1" xfId="3" applyNumberFormat="1" applyFont="1" applyFill="1" applyBorder="1"/>
    <xf numFmtId="167" fontId="15" fillId="3" borderId="1" xfId="3" applyNumberFormat="1" applyFont="1" applyFill="1" applyBorder="1"/>
    <xf numFmtId="167" fontId="15" fillId="4" borderId="1" xfId="3" applyNumberFormat="1" applyFont="1" applyFill="1" applyBorder="1"/>
    <xf numFmtId="167" fontId="29" fillId="5" borderId="0" xfId="3" applyNumberFormat="1" applyFont="1" applyFill="1" applyBorder="1"/>
    <xf numFmtId="167" fontId="7" fillId="2" borderId="1" xfId="3" applyNumberFormat="1" applyFont="1" applyFill="1" applyBorder="1"/>
    <xf numFmtId="167" fontId="7" fillId="3" borderId="1" xfId="3" applyNumberFormat="1" applyFont="1" applyFill="1" applyBorder="1"/>
    <xf numFmtId="167" fontId="7" fillId="4" borderId="1" xfId="3" applyNumberFormat="1" applyFont="1" applyFill="1" applyBorder="1"/>
    <xf numFmtId="168" fontId="11" fillId="0" borderId="0" xfId="3" applyNumberFormat="1" applyFont="1" applyFill="1" applyBorder="1"/>
  </cellXfs>
  <cellStyles count="4">
    <cellStyle name="Comma" xfId="1" builtinId="3"/>
    <cellStyle name="Currency" xfId="2" builtinId="4"/>
    <cellStyle name="Normal" xfId="0" builtinId="0"/>
    <cellStyle name="Percent" xfId="3" builtinId="5"/>
  </cellStyles>
  <dxfs count="27">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s>
  <tableStyles count="0" defaultTableStyle="TableStyleMedium2" defaultPivotStyle="PivotStyleLight16"/>
  <colors>
    <mruColors>
      <color rgb="FFB5E6A2"/>
      <color rgb="FFB5E600"/>
      <color rgb="FF94DCF8"/>
      <color rgb="FF94D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ustomXml" Target="../customXml/item1.xml"/><Relationship Id="rId10" Type="http://schemas.microsoft.com/office/2017/06/relationships/richStyles" Target="richData/richStyles.xml"/><Relationship Id="rId19" Type="http://schemas.microsoft.com/office/2006/relationships/vbaProject" Target="vbaProject.bin"/><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Analysis!$B$48</c:f>
              <c:strCache>
                <c:ptCount val="1"/>
                <c:pt idx="0">
                  <c:v>Cigna</c:v>
                </c:pt>
              </c:strCache>
            </c:strRef>
          </c:tx>
          <c:spPr>
            <a:ln w="19050" cap="rnd">
              <a:solidFill>
                <a:schemeClr val="accent1"/>
              </a:solidFill>
              <a:round/>
            </a:ln>
            <a:effectLst/>
          </c:spPr>
          <c:marker>
            <c:symbol val="none"/>
          </c:marker>
          <c:xVal>
            <c:numRef>
              <c:f>Analysis!$C$47:$H$47</c:f>
              <c:numCache>
                <c:formatCode>General</c:formatCode>
                <c:ptCount val="6"/>
                <c:pt idx="0">
                  <c:v>2019</c:v>
                </c:pt>
                <c:pt idx="1">
                  <c:v>2020</c:v>
                </c:pt>
                <c:pt idx="2">
                  <c:v>2021</c:v>
                </c:pt>
                <c:pt idx="3">
                  <c:v>2022</c:v>
                </c:pt>
                <c:pt idx="4">
                  <c:v>2023</c:v>
                </c:pt>
                <c:pt idx="5">
                  <c:v>2024</c:v>
                </c:pt>
              </c:numCache>
            </c:numRef>
          </c:xVal>
          <c:yVal>
            <c:numRef>
              <c:f>Analysis!$C$48:$H$48</c:f>
              <c:numCache>
                <c:formatCode>0.000%</c:formatCode>
                <c:ptCount val="6"/>
                <c:pt idx="0">
                  <c:v>3.3340713439172734E-2</c:v>
                </c:pt>
                <c:pt idx="1">
                  <c:v>5.2923610201931412E-2</c:v>
                </c:pt>
                <c:pt idx="2">
                  <c:v>3.1106745252128355E-2</c:v>
                </c:pt>
                <c:pt idx="3">
                  <c:v>3.756966064325995E-2</c:v>
                </c:pt>
                <c:pt idx="4">
                  <c:v>2.751133075563977E-2</c:v>
                </c:pt>
                <c:pt idx="5">
                  <c:v>1.5288057267492442E-2</c:v>
                </c:pt>
              </c:numCache>
            </c:numRef>
          </c:yVal>
          <c:smooth val="0"/>
          <c:extLst>
            <c:ext xmlns:c16="http://schemas.microsoft.com/office/drawing/2014/chart" uri="{C3380CC4-5D6E-409C-BE32-E72D297353CC}">
              <c16:uniqueId val="{00000000-3652-44B6-98FE-3750B18D5274}"/>
            </c:ext>
          </c:extLst>
        </c:ser>
        <c:ser>
          <c:idx val="1"/>
          <c:order val="1"/>
          <c:tx>
            <c:strRef>
              <c:f>Analysis!$B$49</c:f>
              <c:strCache>
                <c:ptCount val="1"/>
                <c:pt idx="0">
                  <c:v>Molina Healthcare</c:v>
                </c:pt>
              </c:strCache>
            </c:strRef>
          </c:tx>
          <c:spPr>
            <a:ln w="19050" cap="rnd">
              <a:solidFill>
                <a:schemeClr val="accent2"/>
              </a:solidFill>
              <a:round/>
            </a:ln>
            <a:effectLst/>
          </c:spPr>
          <c:marker>
            <c:symbol val="none"/>
          </c:marker>
          <c:xVal>
            <c:numRef>
              <c:f>Analysis!$C$47:$H$47</c:f>
              <c:numCache>
                <c:formatCode>General</c:formatCode>
                <c:ptCount val="6"/>
                <c:pt idx="0">
                  <c:v>2019</c:v>
                </c:pt>
                <c:pt idx="1">
                  <c:v>2020</c:v>
                </c:pt>
                <c:pt idx="2">
                  <c:v>2021</c:v>
                </c:pt>
                <c:pt idx="3">
                  <c:v>2022</c:v>
                </c:pt>
                <c:pt idx="4">
                  <c:v>2023</c:v>
                </c:pt>
                <c:pt idx="5">
                  <c:v>2024</c:v>
                </c:pt>
              </c:numCache>
            </c:numRef>
          </c:xVal>
          <c:yVal>
            <c:numRef>
              <c:f>Analysis!$C$49:$H$49</c:f>
              <c:numCache>
                <c:formatCode>0.000%</c:formatCode>
                <c:ptCount val="6"/>
                <c:pt idx="0">
                  <c:v>4.3793451779666051E-2</c:v>
                </c:pt>
                <c:pt idx="1">
                  <c:v>3.46496421768007E-2</c:v>
                </c:pt>
                <c:pt idx="2">
                  <c:v>2.372979006877678E-2</c:v>
                </c:pt>
                <c:pt idx="3">
                  <c:v>2.4770125727153314E-2</c:v>
                </c:pt>
                <c:pt idx="4">
                  <c:v>3.2020427330359237E-2</c:v>
                </c:pt>
                <c:pt idx="5">
                  <c:v>2.900369003690037E-2</c:v>
                </c:pt>
              </c:numCache>
            </c:numRef>
          </c:yVal>
          <c:smooth val="0"/>
          <c:extLst>
            <c:ext xmlns:c16="http://schemas.microsoft.com/office/drawing/2014/chart" uri="{C3380CC4-5D6E-409C-BE32-E72D297353CC}">
              <c16:uniqueId val="{00000001-3652-44B6-98FE-3750B18D5274}"/>
            </c:ext>
          </c:extLst>
        </c:ser>
        <c:ser>
          <c:idx val="2"/>
          <c:order val="2"/>
          <c:tx>
            <c:strRef>
              <c:f>Analysis!$B$50</c:f>
              <c:strCache>
                <c:ptCount val="1"/>
                <c:pt idx="0">
                  <c:v>UnitedHealth</c:v>
                </c:pt>
              </c:strCache>
            </c:strRef>
          </c:tx>
          <c:spPr>
            <a:ln w="19050" cap="rnd">
              <a:solidFill>
                <a:schemeClr val="accent3"/>
              </a:solidFill>
              <a:round/>
            </a:ln>
            <a:effectLst/>
          </c:spPr>
          <c:marker>
            <c:symbol val="none"/>
          </c:marker>
          <c:xVal>
            <c:numRef>
              <c:f>Analysis!$C$47:$H$47</c:f>
              <c:numCache>
                <c:formatCode>General</c:formatCode>
                <c:ptCount val="6"/>
                <c:pt idx="0">
                  <c:v>2019</c:v>
                </c:pt>
                <c:pt idx="1">
                  <c:v>2020</c:v>
                </c:pt>
                <c:pt idx="2">
                  <c:v>2021</c:v>
                </c:pt>
                <c:pt idx="3">
                  <c:v>2022</c:v>
                </c:pt>
                <c:pt idx="4">
                  <c:v>2023</c:v>
                </c:pt>
                <c:pt idx="5">
                  <c:v>2024</c:v>
                </c:pt>
              </c:numCache>
            </c:numRef>
          </c:xVal>
          <c:yVal>
            <c:numRef>
              <c:f>Analysis!$C$50:$H$50</c:f>
              <c:numCache>
                <c:formatCode>0.000%</c:formatCode>
                <c:ptCount val="6"/>
                <c:pt idx="0">
                  <c:v>5.8801181061716667E-2</c:v>
                </c:pt>
                <c:pt idx="1">
                  <c:v>6.1324331786840686E-2</c:v>
                </c:pt>
                <c:pt idx="2">
                  <c:v>6.1655719635462125E-2</c:v>
                </c:pt>
                <c:pt idx="3">
                  <c:v>6.3668782892504369E-2</c:v>
                </c:pt>
                <c:pt idx="4">
                  <c:v>6.2278336589330019E-2</c:v>
                </c:pt>
                <c:pt idx="5">
                  <c:v>3.8078535417884571E-2</c:v>
                </c:pt>
              </c:numCache>
            </c:numRef>
          </c:yVal>
          <c:smooth val="0"/>
          <c:extLst>
            <c:ext xmlns:c16="http://schemas.microsoft.com/office/drawing/2014/chart" uri="{C3380CC4-5D6E-409C-BE32-E72D297353CC}">
              <c16:uniqueId val="{00000002-3652-44B6-98FE-3750B18D5274}"/>
            </c:ext>
          </c:extLst>
        </c:ser>
        <c:ser>
          <c:idx val="3"/>
          <c:order val="3"/>
          <c:tx>
            <c:strRef>
              <c:f>Analysis!$B$51</c:f>
              <c:strCache>
                <c:ptCount val="1"/>
                <c:pt idx="0">
                  <c:v>Centene</c:v>
                </c:pt>
              </c:strCache>
            </c:strRef>
          </c:tx>
          <c:spPr>
            <a:ln w="19050" cap="rnd">
              <a:solidFill>
                <a:schemeClr val="accent4"/>
              </a:solidFill>
              <a:round/>
            </a:ln>
            <a:effectLst/>
          </c:spPr>
          <c:marker>
            <c:symbol val="none"/>
          </c:marker>
          <c:xVal>
            <c:numRef>
              <c:f>Analysis!$C$47:$H$47</c:f>
              <c:numCache>
                <c:formatCode>General</c:formatCode>
                <c:ptCount val="6"/>
                <c:pt idx="0">
                  <c:v>2019</c:v>
                </c:pt>
                <c:pt idx="1">
                  <c:v>2020</c:v>
                </c:pt>
                <c:pt idx="2">
                  <c:v>2021</c:v>
                </c:pt>
                <c:pt idx="3">
                  <c:v>2022</c:v>
                </c:pt>
                <c:pt idx="4">
                  <c:v>2023</c:v>
                </c:pt>
                <c:pt idx="5">
                  <c:v>2024</c:v>
                </c:pt>
              </c:numCache>
            </c:numRef>
          </c:xVal>
          <c:yVal>
            <c:numRef>
              <c:f>Analysis!$C$51:$H$51</c:f>
              <c:numCache>
                <c:formatCode>0.000%</c:formatCode>
                <c:ptCount val="6"/>
                <c:pt idx="0">
                  <c:v>1.7537748362116318E-2</c:v>
                </c:pt>
                <c:pt idx="1">
                  <c:v>1.6145434909778159E-2</c:v>
                </c:pt>
                <c:pt idx="2">
                  <c:v>1.0604689558825865E-2</c:v>
                </c:pt>
                <c:pt idx="3">
                  <c:v>8.3156343611420509E-3</c:v>
                </c:pt>
                <c:pt idx="4">
                  <c:v>1.7526087831739166E-2</c:v>
                </c:pt>
                <c:pt idx="5">
                  <c:v>2.0199790275401513E-2</c:v>
                </c:pt>
              </c:numCache>
            </c:numRef>
          </c:yVal>
          <c:smooth val="0"/>
          <c:extLst>
            <c:ext xmlns:c16="http://schemas.microsoft.com/office/drawing/2014/chart" uri="{C3380CC4-5D6E-409C-BE32-E72D297353CC}">
              <c16:uniqueId val="{00000003-3652-44B6-98FE-3750B18D5274}"/>
            </c:ext>
          </c:extLst>
        </c:ser>
        <c:ser>
          <c:idx val="4"/>
          <c:order val="4"/>
          <c:tx>
            <c:v>Elevance</c:v>
          </c:tx>
          <c:spPr>
            <a:ln w="19050" cap="rnd">
              <a:solidFill>
                <a:schemeClr val="accent5"/>
              </a:solidFill>
              <a:round/>
            </a:ln>
            <a:effectLst/>
          </c:spPr>
          <c:marker>
            <c:symbol val="none"/>
          </c:marker>
          <c:xVal>
            <c:numRef>
              <c:f>Analysis!$C$47:$H$47</c:f>
              <c:numCache>
                <c:formatCode>General</c:formatCode>
                <c:ptCount val="6"/>
                <c:pt idx="0">
                  <c:v>2019</c:v>
                </c:pt>
                <c:pt idx="1">
                  <c:v>2020</c:v>
                </c:pt>
                <c:pt idx="2">
                  <c:v>2021</c:v>
                </c:pt>
                <c:pt idx="3">
                  <c:v>2022</c:v>
                </c:pt>
                <c:pt idx="4">
                  <c:v>2023</c:v>
                </c:pt>
                <c:pt idx="5">
                  <c:v>2024</c:v>
                </c:pt>
              </c:numCache>
            </c:numRef>
          </c:xVal>
          <c:yVal>
            <c:numRef>
              <c:f>Analysis!$C$52:$H$52</c:f>
              <c:numCache>
                <c:formatCode>0.000%</c:formatCode>
                <c:ptCount val="6"/>
                <c:pt idx="0">
                  <c:v>4.6126682851467669E-2</c:v>
                </c:pt>
                <c:pt idx="1">
                  <c:v>3.7516308762831609E-2</c:v>
                </c:pt>
                <c:pt idx="2">
                  <c:v>4.3963098406653252E-2</c:v>
                </c:pt>
                <c:pt idx="3">
                  <c:v>3.7600178805198121E-2</c:v>
                </c:pt>
                <c:pt idx="4">
                  <c:v>3.4965565542196798E-2</c:v>
                </c:pt>
                <c:pt idx="5">
                  <c:v>3.373236691505048E-2</c:v>
                </c:pt>
              </c:numCache>
            </c:numRef>
          </c:yVal>
          <c:smooth val="0"/>
          <c:extLst>
            <c:ext xmlns:c16="http://schemas.microsoft.com/office/drawing/2014/chart" uri="{C3380CC4-5D6E-409C-BE32-E72D297353CC}">
              <c16:uniqueId val="{00000005-3652-44B6-98FE-3750B18D5274}"/>
            </c:ext>
          </c:extLst>
        </c:ser>
        <c:ser>
          <c:idx val="5"/>
          <c:order val="5"/>
          <c:tx>
            <c:v>MEAN</c:v>
          </c:tx>
          <c:spPr>
            <a:ln w="12700" cap="rnd">
              <a:solidFill>
                <a:srgbClr val="FF0000"/>
              </a:solidFill>
              <a:prstDash val="sysDash"/>
              <a:round/>
            </a:ln>
            <a:effectLst/>
          </c:spPr>
          <c:marker>
            <c:symbol val="none"/>
          </c:marker>
          <c:xVal>
            <c:numRef>
              <c:f>Analysis!$C$47:$H$47</c:f>
              <c:numCache>
                <c:formatCode>General</c:formatCode>
                <c:ptCount val="6"/>
                <c:pt idx="0">
                  <c:v>2019</c:v>
                </c:pt>
                <c:pt idx="1">
                  <c:v>2020</c:v>
                </c:pt>
                <c:pt idx="2">
                  <c:v>2021</c:v>
                </c:pt>
                <c:pt idx="3">
                  <c:v>2022</c:v>
                </c:pt>
                <c:pt idx="4">
                  <c:v>2023</c:v>
                </c:pt>
                <c:pt idx="5">
                  <c:v>2024</c:v>
                </c:pt>
              </c:numCache>
            </c:numRef>
          </c:xVal>
          <c:yVal>
            <c:numRef>
              <c:f>Analysis!$C$53:$H$53</c:f>
              <c:numCache>
                <c:formatCode>0.000%</c:formatCode>
                <c:ptCount val="6"/>
                <c:pt idx="0">
                  <c:v>3.5191590621514016E-2</c:v>
                </c:pt>
                <c:pt idx="1">
                  <c:v>3.5191590621514016E-2</c:v>
                </c:pt>
                <c:pt idx="2">
                  <c:v>3.5191590621514016E-2</c:v>
                </c:pt>
                <c:pt idx="3">
                  <c:v>3.5191590621514016E-2</c:v>
                </c:pt>
                <c:pt idx="4">
                  <c:v>3.5191590621514016E-2</c:v>
                </c:pt>
                <c:pt idx="5">
                  <c:v>3.5191590621514016E-2</c:v>
                </c:pt>
              </c:numCache>
            </c:numRef>
          </c:yVal>
          <c:smooth val="0"/>
          <c:extLst>
            <c:ext xmlns:c16="http://schemas.microsoft.com/office/drawing/2014/chart" uri="{C3380CC4-5D6E-409C-BE32-E72D297353CC}">
              <c16:uniqueId val="{00000007-3652-44B6-98FE-3750B18D5274}"/>
            </c:ext>
          </c:extLst>
        </c:ser>
        <c:dLbls>
          <c:showLegendKey val="0"/>
          <c:showVal val="0"/>
          <c:showCatName val="0"/>
          <c:showSerName val="0"/>
          <c:showPercent val="0"/>
          <c:showBubbleSize val="0"/>
        </c:dLbls>
        <c:axId val="912954367"/>
        <c:axId val="1954926560"/>
      </c:scatterChart>
      <c:valAx>
        <c:axId val="912954367"/>
        <c:scaling>
          <c:orientation val="minMax"/>
          <c:max val="2024"/>
          <c:min val="2019"/>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954926560"/>
        <c:crosses val="autoZero"/>
        <c:crossBetween val="midCat"/>
        <c:majorUnit val="1"/>
      </c:valAx>
      <c:valAx>
        <c:axId val="195492656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12954367"/>
        <c:crosses val="autoZero"/>
        <c:crossBetween val="midCat"/>
      </c:valAx>
      <c:spPr>
        <a:noFill/>
        <a:ln>
          <a:noFill/>
        </a:ln>
        <a:effectLst/>
      </c:spPr>
    </c:plotArea>
    <c:legend>
      <c:legendPos val="b"/>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9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Analysis!$B$81</c:f>
              <c:strCache>
                <c:ptCount val="1"/>
                <c:pt idx="0">
                  <c:v>Cigna</c:v>
                </c:pt>
              </c:strCache>
            </c:strRef>
          </c:tx>
          <c:spPr>
            <a:ln w="19050" cap="rnd">
              <a:solidFill>
                <a:schemeClr val="accent1"/>
              </a:solidFill>
              <a:round/>
            </a:ln>
            <a:effectLst/>
          </c:spPr>
          <c:marker>
            <c:symbol val="none"/>
          </c:marker>
          <c:xVal>
            <c:numRef>
              <c:f>Analysis!$C$80:$H$80</c:f>
              <c:numCache>
                <c:formatCode>General</c:formatCode>
                <c:ptCount val="6"/>
                <c:pt idx="0">
                  <c:v>2019</c:v>
                </c:pt>
                <c:pt idx="1">
                  <c:v>2020</c:v>
                </c:pt>
                <c:pt idx="2">
                  <c:v>2021</c:v>
                </c:pt>
                <c:pt idx="3">
                  <c:v>2022</c:v>
                </c:pt>
                <c:pt idx="4">
                  <c:v>2023</c:v>
                </c:pt>
                <c:pt idx="5">
                  <c:v>2024</c:v>
                </c:pt>
              </c:numCache>
            </c:numRef>
          </c:xVal>
          <c:yVal>
            <c:numRef>
              <c:f>Analysis!$C$81:$H$81</c:f>
              <c:numCache>
                <c:formatCode>0.000%</c:formatCode>
                <c:ptCount val="6"/>
                <c:pt idx="0">
                  <c:v>7.1799747339905975E-2</c:v>
                </c:pt>
                <c:pt idx="1">
                  <c:v>6.3185391612271741E-2</c:v>
                </c:pt>
                <c:pt idx="2">
                  <c:v>5.7060627994347364E-2</c:v>
                </c:pt>
                <c:pt idx="3">
                  <c:v>5.7202051872943416E-2</c:v>
                </c:pt>
                <c:pt idx="4">
                  <c:v>5.3030497016874505E-2</c:v>
                </c:pt>
                <c:pt idx="5">
                  <c:v>4.4998199262709364E-2</c:v>
                </c:pt>
              </c:numCache>
            </c:numRef>
          </c:yVal>
          <c:smooth val="0"/>
          <c:extLst>
            <c:ext xmlns:c16="http://schemas.microsoft.com/office/drawing/2014/chart" uri="{C3380CC4-5D6E-409C-BE32-E72D297353CC}">
              <c16:uniqueId val="{00000000-FDE7-4D90-913A-BDDDC882A77C}"/>
            </c:ext>
          </c:extLst>
        </c:ser>
        <c:ser>
          <c:idx val="1"/>
          <c:order val="1"/>
          <c:tx>
            <c:strRef>
              <c:f>Analysis!$B$82</c:f>
              <c:strCache>
                <c:ptCount val="1"/>
                <c:pt idx="0">
                  <c:v>Molina Healthcare</c:v>
                </c:pt>
              </c:strCache>
            </c:strRef>
          </c:tx>
          <c:spPr>
            <a:ln w="19050" cap="rnd">
              <a:solidFill>
                <a:schemeClr val="accent2"/>
              </a:solidFill>
              <a:round/>
            </a:ln>
            <a:effectLst/>
          </c:spPr>
          <c:marker>
            <c:symbol val="none"/>
          </c:marker>
          <c:xVal>
            <c:numRef>
              <c:f>Analysis!$C$80:$H$80</c:f>
              <c:numCache>
                <c:formatCode>General</c:formatCode>
                <c:ptCount val="6"/>
                <c:pt idx="0">
                  <c:v>2019</c:v>
                </c:pt>
                <c:pt idx="1">
                  <c:v>2020</c:v>
                </c:pt>
                <c:pt idx="2">
                  <c:v>2021</c:v>
                </c:pt>
                <c:pt idx="3">
                  <c:v>2022</c:v>
                </c:pt>
                <c:pt idx="4">
                  <c:v>2023</c:v>
                </c:pt>
                <c:pt idx="5">
                  <c:v>2024</c:v>
                </c:pt>
              </c:numCache>
            </c:numRef>
          </c:xVal>
          <c:yVal>
            <c:numRef>
              <c:f>Analysis!$C$82:$H$82</c:f>
              <c:numCache>
                <c:formatCode>0.000%</c:formatCode>
                <c:ptCount val="6"/>
                <c:pt idx="0">
                  <c:v>6.7324261691128415E-2</c:v>
                </c:pt>
                <c:pt idx="1">
                  <c:v>6.0031920918498689E-2</c:v>
                </c:pt>
                <c:pt idx="2">
                  <c:v>4.1446112851535773E-2</c:v>
                </c:pt>
                <c:pt idx="3">
                  <c:v>4.2190529805466941E-2</c:v>
                </c:pt>
                <c:pt idx="4">
                  <c:v>5.1185724348438599E-2</c:v>
                </c:pt>
                <c:pt idx="5">
                  <c:v>4.6568265682656824E-2</c:v>
                </c:pt>
              </c:numCache>
            </c:numRef>
          </c:yVal>
          <c:smooth val="0"/>
          <c:extLst>
            <c:ext xmlns:c16="http://schemas.microsoft.com/office/drawing/2014/chart" uri="{C3380CC4-5D6E-409C-BE32-E72D297353CC}">
              <c16:uniqueId val="{00000001-FDE7-4D90-913A-BDDDC882A77C}"/>
            </c:ext>
          </c:extLst>
        </c:ser>
        <c:ser>
          <c:idx val="2"/>
          <c:order val="2"/>
          <c:tx>
            <c:strRef>
              <c:f>Analysis!$B$83</c:f>
              <c:strCache>
                <c:ptCount val="1"/>
                <c:pt idx="0">
                  <c:v>UnitedHealth</c:v>
                </c:pt>
              </c:strCache>
            </c:strRef>
          </c:tx>
          <c:spPr>
            <a:ln w="19050" cap="rnd">
              <a:solidFill>
                <a:schemeClr val="accent3"/>
              </a:solidFill>
              <a:round/>
            </a:ln>
            <a:effectLst/>
          </c:spPr>
          <c:marker>
            <c:symbol val="none"/>
          </c:marker>
          <c:xVal>
            <c:numRef>
              <c:f>Analysis!$C$80:$H$80</c:f>
              <c:numCache>
                <c:formatCode>General</c:formatCode>
                <c:ptCount val="6"/>
                <c:pt idx="0">
                  <c:v>2019</c:v>
                </c:pt>
                <c:pt idx="1">
                  <c:v>2020</c:v>
                </c:pt>
                <c:pt idx="2">
                  <c:v>2021</c:v>
                </c:pt>
                <c:pt idx="3">
                  <c:v>2022</c:v>
                </c:pt>
                <c:pt idx="4">
                  <c:v>2023</c:v>
                </c:pt>
                <c:pt idx="5">
                  <c:v>2024</c:v>
                </c:pt>
              </c:numCache>
            </c:numRef>
          </c:xVal>
          <c:yVal>
            <c:numRef>
              <c:f>Analysis!$C$83:$H$83</c:f>
              <c:numCache>
                <c:formatCode>0.000%</c:formatCode>
                <c:ptCount val="6"/>
                <c:pt idx="0">
                  <c:v>9.2523383783114116E-2</c:v>
                </c:pt>
                <c:pt idx="1">
                  <c:v>9.8374043812538642E-2</c:v>
                </c:pt>
                <c:pt idx="2">
                  <c:v>9.4135196125133436E-2</c:v>
                </c:pt>
                <c:pt idx="3">
                  <c:v>9.8207069304853747E-2</c:v>
                </c:pt>
                <c:pt idx="4">
                  <c:v>9.7760627734633579E-2</c:v>
                </c:pt>
                <c:pt idx="5">
                  <c:v>9.0901823232853174E-2</c:v>
                </c:pt>
              </c:numCache>
            </c:numRef>
          </c:yVal>
          <c:smooth val="0"/>
          <c:extLst>
            <c:ext xmlns:c16="http://schemas.microsoft.com/office/drawing/2014/chart" uri="{C3380CC4-5D6E-409C-BE32-E72D297353CC}">
              <c16:uniqueId val="{00000002-FDE7-4D90-913A-BDDDC882A77C}"/>
            </c:ext>
          </c:extLst>
        </c:ser>
        <c:ser>
          <c:idx val="3"/>
          <c:order val="3"/>
          <c:tx>
            <c:strRef>
              <c:f>Analysis!$B$84</c:f>
              <c:strCache>
                <c:ptCount val="1"/>
                <c:pt idx="0">
                  <c:v>Centene</c:v>
                </c:pt>
              </c:strCache>
            </c:strRef>
          </c:tx>
          <c:spPr>
            <a:ln w="19050" cap="rnd">
              <a:solidFill>
                <a:schemeClr val="accent4"/>
              </a:solidFill>
              <a:round/>
            </a:ln>
            <a:effectLst/>
          </c:spPr>
          <c:marker>
            <c:symbol val="none"/>
          </c:marker>
          <c:xVal>
            <c:numRef>
              <c:f>Analysis!$C$80:$H$80</c:f>
              <c:numCache>
                <c:formatCode>General</c:formatCode>
                <c:ptCount val="6"/>
                <c:pt idx="0">
                  <c:v>2019</c:v>
                </c:pt>
                <c:pt idx="1">
                  <c:v>2020</c:v>
                </c:pt>
                <c:pt idx="2">
                  <c:v>2021</c:v>
                </c:pt>
                <c:pt idx="3">
                  <c:v>2022</c:v>
                </c:pt>
                <c:pt idx="4">
                  <c:v>2023</c:v>
                </c:pt>
                <c:pt idx="5">
                  <c:v>2024</c:v>
                </c:pt>
              </c:numCache>
            </c:numRef>
          </c:xVal>
          <c:yVal>
            <c:numRef>
              <c:f>Analysis!$C$84:$H$84</c:f>
              <c:numCache>
                <c:formatCode>0.000%</c:formatCode>
                <c:ptCount val="6"/>
                <c:pt idx="0">
                  <c:v>3.0948967697852329E-2</c:v>
                </c:pt>
                <c:pt idx="1">
                  <c:v>3.8590649327273546E-2</c:v>
                </c:pt>
                <c:pt idx="2">
                  <c:v>2.4757505040402597E-2</c:v>
                </c:pt>
                <c:pt idx="3">
                  <c:v>1.9018035656222544E-2</c:v>
                </c:pt>
                <c:pt idx="4">
                  <c:v>2.7422255988675252E-2</c:v>
                </c:pt>
                <c:pt idx="5">
                  <c:v>2.7080228857368875E-2</c:v>
                </c:pt>
              </c:numCache>
            </c:numRef>
          </c:yVal>
          <c:smooth val="0"/>
          <c:extLst>
            <c:ext xmlns:c16="http://schemas.microsoft.com/office/drawing/2014/chart" uri="{C3380CC4-5D6E-409C-BE32-E72D297353CC}">
              <c16:uniqueId val="{00000003-FDE7-4D90-913A-BDDDC882A77C}"/>
            </c:ext>
          </c:extLst>
        </c:ser>
        <c:ser>
          <c:idx val="4"/>
          <c:order val="4"/>
          <c:tx>
            <c:strRef>
              <c:f>Analysis!$B$85</c:f>
              <c:strCache>
                <c:ptCount val="1"/>
                <c:pt idx="0">
                  <c:v>Elevance</c:v>
                </c:pt>
              </c:strCache>
            </c:strRef>
          </c:tx>
          <c:spPr>
            <a:ln w="19050" cap="rnd">
              <a:solidFill>
                <a:schemeClr val="accent5"/>
              </a:solidFill>
              <a:round/>
            </a:ln>
            <a:effectLst/>
          </c:spPr>
          <c:marker>
            <c:symbol val="none"/>
          </c:marker>
          <c:xVal>
            <c:numRef>
              <c:f>Analysis!$C$80:$H$80</c:f>
              <c:numCache>
                <c:formatCode>General</c:formatCode>
                <c:ptCount val="6"/>
                <c:pt idx="0">
                  <c:v>2019</c:v>
                </c:pt>
                <c:pt idx="1">
                  <c:v>2020</c:v>
                </c:pt>
                <c:pt idx="2">
                  <c:v>2021</c:v>
                </c:pt>
                <c:pt idx="3">
                  <c:v>2022</c:v>
                </c:pt>
                <c:pt idx="4">
                  <c:v>2023</c:v>
                </c:pt>
                <c:pt idx="5">
                  <c:v>2024</c:v>
                </c:pt>
              </c:numCache>
            </c:numRef>
          </c:xVal>
          <c:yVal>
            <c:numRef>
              <c:f>Analysis!$C$85:$H$85</c:f>
              <c:numCache>
                <c:formatCode>0.000%</c:formatCode>
                <c:ptCount val="6"/>
                <c:pt idx="0">
                  <c:v>6.7851419688522541E-2</c:v>
                </c:pt>
                <c:pt idx="1">
                  <c:v>6.0877842237849457E-2</c:v>
                </c:pt>
                <c:pt idx="2">
                  <c:v>6.6251199157524213E-2</c:v>
                </c:pt>
                <c:pt idx="3">
                  <c:v>5.8865225581915134E-2</c:v>
                </c:pt>
                <c:pt idx="4">
                  <c:v>5.6204038753355903E-2</c:v>
                </c:pt>
                <c:pt idx="5">
                  <c:v>5.4623723949359076E-2</c:v>
                </c:pt>
              </c:numCache>
            </c:numRef>
          </c:yVal>
          <c:smooth val="0"/>
          <c:extLst>
            <c:ext xmlns:c16="http://schemas.microsoft.com/office/drawing/2014/chart" uri="{C3380CC4-5D6E-409C-BE32-E72D297353CC}">
              <c16:uniqueId val="{00000004-FDE7-4D90-913A-BDDDC882A77C}"/>
            </c:ext>
          </c:extLst>
        </c:ser>
        <c:ser>
          <c:idx val="5"/>
          <c:order val="5"/>
          <c:tx>
            <c:v>mean</c:v>
          </c:tx>
          <c:spPr>
            <a:ln w="12700" cap="rnd">
              <a:solidFill>
                <a:srgbClr val="FF0000"/>
              </a:solidFill>
              <a:prstDash val="dash"/>
              <a:round/>
            </a:ln>
            <a:effectLst/>
          </c:spPr>
          <c:marker>
            <c:symbol val="none"/>
          </c:marker>
          <c:xVal>
            <c:numRef>
              <c:f>Analysis!$C$80:$H$80</c:f>
              <c:numCache>
                <c:formatCode>General</c:formatCode>
                <c:ptCount val="6"/>
                <c:pt idx="0">
                  <c:v>2019</c:v>
                </c:pt>
                <c:pt idx="1">
                  <c:v>2020</c:v>
                </c:pt>
                <c:pt idx="2">
                  <c:v>2021</c:v>
                </c:pt>
                <c:pt idx="3">
                  <c:v>2022</c:v>
                </c:pt>
                <c:pt idx="4">
                  <c:v>2023</c:v>
                </c:pt>
                <c:pt idx="5">
                  <c:v>2024</c:v>
                </c:pt>
              </c:numCache>
            </c:numRef>
          </c:xVal>
          <c:yVal>
            <c:numRef>
              <c:f>Analysis!$C$86:$H$86</c:f>
              <c:numCache>
                <c:formatCode>0.000%</c:formatCode>
                <c:ptCount val="6"/>
                <c:pt idx="0">
                  <c:v>5.8680552210874197E-2</c:v>
                </c:pt>
                <c:pt idx="1">
                  <c:v>5.8680552210874197E-2</c:v>
                </c:pt>
                <c:pt idx="2">
                  <c:v>5.8680552210874197E-2</c:v>
                </c:pt>
                <c:pt idx="3">
                  <c:v>5.8680552210874197E-2</c:v>
                </c:pt>
                <c:pt idx="4">
                  <c:v>5.8680552210874197E-2</c:v>
                </c:pt>
                <c:pt idx="5">
                  <c:v>5.8680552210874197E-2</c:v>
                </c:pt>
              </c:numCache>
            </c:numRef>
          </c:yVal>
          <c:smooth val="0"/>
          <c:extLst>
            <c:ext xmlns:c16="http://schemas.microsoft.com/office/drawing/2014/chart" uri="{C3380CC4-5D6E-409C-BE32-E72D297353CC}">
              <c16:uniqueId val="{00000005-FDE7-4D90-913A-BDDDC882A77C}"/>
            </c:ext>
          </c:extLst>
        </c:ser>
        <c:dLbls>
          <c:showLegendKey val="0"/>
          <c:showVal val="0"/>
          <c:showCatName val="0"/>
          <c:showSerName val="0"/>
          <c:showPercent val="0"/>
          <c:showBubbleSize val="0"/>
        </c:dLbls>
        <c:axId val="679146976"/>
        <c:axId val="679147456"/>
      </c:scatterChart>
      <c:valAx>
        <c:axId val="679146976"/>
        <c:scaling>
          <c:orientation val="minMax"/>
          <c:max val="2024"/>
          <c:min val="2019"/>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79147456"/>
        <c:crosses val="autoZero"/>
        <c:crossBetween val="midCat"/>
        <c:majorUnit val="1"/>
      </c:valAx>
      <c:valAx>
        <c:axId val="67914745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79146976"/>
        <c:crosses val="autoZero"/>
        <c:crossBetween val="midCat"/>
      </c:valAx>
      <c:spPr>
        <a:noFill/>
        <a:ln>
          <a:noFill/>
        </a:ln>
        <a:effectLst/>
      </c:spPr>
    </c:plotArea>
    <c:legend>
      <c:legendPos val="b"/>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9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114300</xdr:colOff>
      <xdr:row>0</xdr:row>
      <xdr:rowOff>74637</xdr:rowOff>
    </xdr:from>
    <xdr:to>
      <xdr:col>7</xdr:col>
      <xdr:colOff>95250</xdr:colOff>
      <xdr:row>5</xdr:row>
      <xdr:rowOff>123824</xdr:rowOff>
    </xdr:to>
    <xdr:pic>
      <xdr:nvPicPr>
        <xdr:cNvPr id="2" name="Picture 1">
          <a:extLst>
            <a:ext uri="{FF2B5EF4-FFF2-40B4-BE49-F238E27FC236}">
              <a16:creationId xmlns:a16="http://schemas.microsoft.com/office/drawing/2014/main" id="{04A766D0-D69C-615E-85E2-AFED5A5F408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33825" y="74637"/>
          <a:ext cx="2095500" cy="9159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712303</xdr:colOff>
      <xdr:row>52</xdr:row>
      <xdr:rowOff>73713</xdr:rowOff>
    </xdr:from>
    <xdr:to>
      <xdr:col>11</xdr:col>
      <xdr:colOff>505239</xdr:colOff>
      <xdr:row>74</xdr:row>
      <xdr:rowOff>0</xdr:rowOff>
    </xdr:to>
    <xdr:graphicFrame macro="">
      <xdr:nvGraphicFramePr>
        <xdr:cNvPr id="2" name="Chart 1">
          <a:extLst>
            <a:ext uri="{FF2B5EF4-FFF2-40B4-BE49-F238E27FC236}">
              <a16:creationId xmlns:a16="http://schemas.microsoft.com/office/drawing/2014/main" id="{C0ACF9C3-D8A4-A3A8-3D5E-C83B561FDE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8283</xdr:colOff>
      <xdr:row>85</xdr:row>
      <xdr:rowOff>99390</xdr:rowOff>
    </xdr:from>
    <xdr:to>
      <xdr:col>11</xdr:col>
      <xdr:colOff>472108</xdr:colOff>
      <xdr:row>110</xdr:row>
      <xdr:rowOff>157369</xdr:rowOff>
    </xdr:to>
    <xdr:graphicFrame macro="">
      <xdr:nvGraphicFramePr>
        <xdr:cNvPr id="3" name="Chart 2">
          <a:extLst>
            <a:ext uri="{FF2B5EF4-FFF2-40B4-BE49-F238E27FC236}">
              <a16:creationId xmlns:a16="http://schemas.microsoft.com/office/drawing/2014/main" id="{BD137A9F-E247-FA56-A583-096073EF5B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https://www.bing.com/financeapi/forcetrigger?t=a1njmw&amp;q=XNYS%3aELV&amp;form=skydnc</v>
    <v>Learn more on Bing</v>
  </rv>
  <rv s="1">
    <v>en-US</v>
    <v>a1njmw</v>
    <v>268435456</v>
    <v>1</v>
    <v>Powered by Refinitiv</v>
    <v>0</v>
    <v>ELEVANCE HEALTH, INC. (XNYS:ELV)</v>
    <v>2</v>
    <v>3</v>
    <v>Finance</v>
    <v>4</v>
    <v>426.98</v>
    <v>273.70999999999998</v>
    <v>0.67320000000000002</v>
    <v>-7.15</v>
    <v>0</v>
    <v>-1.8092999999999998E-2</v>
    <v>0</v>
    <v>USD</v>
    <v>Elevance Health, Inc. is a health company. It operates as a health insurer in the United States. The Company operates through four segments: Health Benefits, CarelonRx, Carelon Services and Corporate &amp; Other. The Health Benefits segment offers a comprehensive suite of health plans and services to its Individual, Employer Group risk-based, Employer Group fee-based, BlueCard, Medicare, Medicaid and Federal Employee Program (FEP) members. The Health Benefits segment also offers health products on a full-risk basis. The CarelonRx segment includes its pharmacy services business. CarelonRx markets and offers pharmacy services to its affiliated health plan customers, as well as to external customers outside of the health plans. The Carelon Services segment integrates physical, behavioral, pharmacy, and social services by offering an array of healthcare-related services and capabilities to internal and external customers through its Carelon Health and Carelon Insights businesses.</v>
    <v>96129</v>
    <v>New York Stock Exchange</v>
    <v>XNYS</v>
    <v>XNYS</v>
    <v>220 Virginia Avenue, INDIANAPOLIS, IN, 46204 US</v>
    <v>395</v>
    <v>Healthcare Providers &amp; Services</v>
    <v>Stock</v>
    <v>46202.898631017968</v>
    <v>0</v>
    <v>386.81</v>
    <v>84265526072</v>
    <v>ELEVANCE HEALTH, INC.</v>
    <v>ELEVANCE HEALTH, INC.</v>
    <v>393.16</v>
    <v>16.507400000000001</v>
    <v>395.18</v>
    <v>388.03</v>
    <v>388.03</v>
    <v>217162400</v>
    <v>ELV</v>
    <v>ELEVANCE HEALTH, INC. (XNYS:ELV)</v>
    <v>1222742</v>
    <v>1758176</v>
    <v>2001</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14" formatCode="0.00%"/>
    </x:dxf>
    <x:dxf>
      <x:numFmt numFmtId="3" formatCode="#,##0"/>
    </x:dxf>
    <x:dxf>
      <x:numFmt numFmtId="4" formatCode="#,##0.00"/>
    </x:dxf>
    <x:dxf>
      <x:numFmt numFmtId="1" formatCode="0"/>
    </x:dxf>
    <x:dxf>
      <x:numFmt numFmtId="27" formatCode="m/d/yyyy\ h:mm"/>
    </x:dxf>
  </dxfs>
  <richProperties>
    <rPr n="NumberFormat" t="s"/>
    <rPr n="IsTitleField" t="b"/>
  </richProperties>
  <richStyles>
    <rSty dxfid="1">
      <rpv i="0">_([$$-en-US]* #,##0.00_);_([$$-en-US]* (#,##0.00);_([$$-en-US]* "-"??_);_(@_)</rpv>
    </rSty>
    <rSty dxfid="4">
      <rpv i="0">#,##0.00</rpv>
    </rSty>
    <rSty>
      <rpv i="1">1</rpv>
    </rSty>
    <rSty dxfid="3">
      <rpv i="0">#,##0</rpv>
    </rSty>
    <rSty dxfid="2"/>
    <rSty dxfid="1">
      <rpv i="0">_([$$-en-US]* #,##0_);_([$$-en-US]* (#,##0);_([$$-en-US]* "-"_);_(@_)</rpv>
    </rSty>
    <rSty dxfid="6"/>
    <rSty dxfid="5">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836D17-CF5B-4D77-8F3B-A3DD174F8D54}" name="Table1" displayName="Table1" ref="B8:I57" totalsRowShown="0" headerRowDxfId="26" dataDxfId="24" headerRowBorderDxfId="25" dataCellStyle="Comma">
  <autoFilter ref="B8:I57" xr:uid="{23836D17-CF5B-4D77-8F3B-A3DD174F8D54}"/>
  <tableColumns count="8">
    <tableColumn id="1" xr3:uid="{C56CB535-0884-4EB6-8247-BC7076E0F9ED}" name="." dataDxfId="23"/>
    <tableColumn id="2" xr3:uid="{5CB05335-81A4-4F9E-91AE-D7275C95F89C}" name="2019" dataDxfId="22" dataCellStyle="Comma"/>
    <tableColumn id="3" xr3:uid="{A67758F4-C8A9-49AB-B402-3C6C6623F38E}" name="2020" dataDxfId="21" dataCellStyle="Comma"/>
    <tableColumn id="4" xr3:uid="{D2EB0291-4E53-45C5-9A55-496776298FCF}" name="2021" dataDxfId="20" dataCellStyle="Comma"/>
    <tableColumn id="5" xr3:uid="{8BBF933F-D97B-42BA-9EF9-C011F65930FC}" name="2022" dataDxfId="19" dataCellStyle="Comma"/>
    <tableColumn id="6" xr3:uid="{5B24A045-0943-4881-8988-3CC50E6754BD}" name="2023" dataDxfId="18" dataCellStyle="Comma"/>
    <tableColumn id="7" xr3:uid="{0F4D0575-18E6-42CA-A6D9-2FCC3DD18D8B}" name="2024" dataDxfId="17" dataCellStyle="Comma"/>
    <tableColumn id="8" xr3:uid="{45C58064-8D7D-4BED-8214-B7F5804E4FE4}" name="2025" dataDxfId="16"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0BF547-D843-4B46-A130-6CFC2B9CD1F8}" name="Table2" displayName="Table2" ref="N8:U58" totalsRowShown="0" headerRowDxfId="15" dataDxfId="13" headerRowBorderDxfId="14" dataCellStyle="Comma">
  <autoFilter ref="N8:U58" xr:uid="{120BF547-D843-4B46-A130-6CFC2B9CD1F8}"/>
  <tableColumns count="8">
    <tableColumn id="1" xr3:uid="{DB29C79D-FAB6-484C-9815-A2E8E1E77194}" name="." dataDxfId="12"/>
    <tableColumn id="2" xr3:uid="{3C41FD2C-CF3B-45B9-83D3-DF70DA3F9D5A}" name="2019" dataDxfId="11" dataCellStyle="Comma"/>
    <tableColumn id="3" xr3:uid="{2DFCE98E-C0C8-42EE-BB58-7255714974F0}" name="2020" dataDxfId="10" dataCellStyle="Comma"/>
    <tableColumn id="4" xr3:uid="{44C5D0A9-3EFA-4FEC-93F4-6F50F976863F}" name="2021" dataDxfId="9" dataCellStyle="Comma"/>
    <tableColumn id="5" xr3:uid="{4743886E-940B-4EE9-A1FC-1D090FB5B393}" name="2022" dataDxfId="8" dataCellStyle="Comma"/>
    <tableColumn id="6" xr3:uid="{64A6DC66-AB43-4E0F-8986-3CD831887B8C}" name="2023" dataDxfId="7" dataCellStyle="Comma"/>
    <tableColumn id="7" xr3:uid="{3B18363B-4162-4DCB-B417-6622816301E4}" name="2024" dataDxfId="6" dataCellStyle="Comma"/>
    <tableColumn id="8" xr3:uid="{E6D1C639-DDCC-4216-A1A9-6AAE6EFA81DA}" name="2025" dataDxfId="5"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C92B8C3-D977-4237-8534-697E1A05E651}" name="Table810" displayName="Table810" ref="B4:D12" totalsRowShown="0" headerRowDxfId="4" dataDxfId="3">
  <autoFilter ref="B4:D12" xr:uid="{CC92B8C3-D977-4237-8534-697E1A05E651}">
    <filterColumn colId="0" hiddenButton="1"/>
    <filterColumn colId="1" hiddenButton="1"/>
    <filterColumn colId="2" hiddenButton="1"/>
  </autoFilter>
  <tableColumns count="3">
    <tableColumn id="1" xr3:uid="{88FB812B-18EC-407C-A223-297EE4973742}" name="Screening Score" dataDxfId="2"/>
    <tableColumn id="2" xr3:uid="{AFD8BCE6-FAE8-43EE-8302-FDFCA856CB4F}" name="Column1" dataDxfId="1"/>
    <tableColumn id="3" xr3:uid="{AC04C1A7-A8E9-4BF7-A5EB-F3A0C1897883}" name="202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32568-5640-4B84-AC29-1C6BDB0C1A0A}">
  <sheetPr>
    <pageSetUpPr fitToPage="1"/>
  </sheetPr>
  <dimension ref="A1:X58"/>
  <sheetViews>
    <sheetView tabSelected="1" topLeftCell="A6" zoomScale="115" zoomScaleNormal="115" workbookViewId="0">
      <selection sqref="A1:A1048576"/>
    </sheetView>
  </sheetViews>
  <sheetFormatPr defaultColWidth="10.5703125" defaultRowHeight="12.75" x14ac:dyDescent="0.2"/>
  <cols>
    <col min="1" max="1" width="3.85546875" style="1" customWidth="1"/>
    <col min="2" max="2" width="27.85546875" style="1" customWidth="1"/>
    <col min="3" max="3" width="10.5703125" style="62" customWidth="1"/>
    <col min="4" max="9" width="10.5703125" style="62"/>
    <col min="10" max="12" width="10.5703125" style="1"/>
    <col min="13" max="13" width="5.5703125" style="1" customWidth="1"/>
    <col min="14" max="14" width="28.7109375" style="1" customWidth="1"/>
    <col min="15" max="21" width="10.5703125" style="13"/>
    <col min="22" max="24" width="10.5703125" style="49"/>
    <col min="25" max="16384" width="10.5703125" style="1"/>
  </cols>
  <sheetData>
    <row r="1" spans="2:24" x14ac:dyDescent="0.2">
      <c r="C1" s="1"/>
      <c r="D1" s="1"/>
      <c r="E1" s="1"/>
      <c r="F1" s="1"/>
      <c r="G1" s="1"/>
      <c r="H1" s="1"/>
      <c r="I1" s="1"/>
      <c r="O1" s="1"/>
      <c r="P1" s="1"/>
      <c r="Q1" s="1"/>
      <c r="R1" s="1"/>
      <c r="S1" s="1"/>
      <c r="T1" s="1"/>
      <c r="U1" s="1"/>
      <c r="V1" s="1"/>
      <c r="W1" s="1"/>
      <c r="X1" s="1"/>
    </row>
    <row r="2" spans="2:24" ht="15" x14ac:dyDescent="0.25">
      <c r="C2" s="1"/>
      <c r="D2" s="1"/>
      <c r="E2"/>
      <c r="F2" s="1"/>
      <c r="G2" s="1"/>
      <c r="H2" s="1"/>
      <c r="I2" s="1"/>
      <c r="O2" s="1"/>
      <c r="P2" s="1"/>
      <c r="Q2" s="1"/>
      <c r="R2" s="1"/>
      <c r="S2" s="1"/>
      <c r="T2" s="1"/>
      <c r="U2" s="1"/>
      <c r="V2" s="1"/>
      <c r="W2" s="1"/>
      <c r="X2" s="1"/>
    </row>
    <row r="3" spans="2:24" ht="15" x14ac:dyDescent="0.25">
      <c r="B3" s="28" t="e" vm="1">
        <v>#VALUE!</v>
      </c>
      <c r="C3" s="1"/>
      <c r="D3" s="1"/>
      <c r="E3" s="1"/>
      <c r="F3" s="1"/>
      <c r="G3" s="1"/>
      <c r="H3"/>
      <c r="I3"/>
      <c r="O3" s="1"/>
      <c r="P3" s="1"/>
      <c r="Q3" s="1"/>
      <c r="R3" s="1"/>
      <c r="S3" s="1"/>
      <c r="T3" s="1"/>
      <c r="U3" s="1"/>
      <c r="V3" s="1"/>
      <c r="W3" s="1"/>
      <c r="X3" s="1"/>
    </row>
    <row r="4" spans="2:24" x14ac:dyDescent="0.2">
      <c r="B4" s="1" t="s">
        <v>0</v>
      </c>
      <c r="C4" s="2" cm="1">
        <f t="array" aca="1" ref="C4" ca="1">_FV(B3,"Price")</f>
        <v>388.03</v>
      </c>
      <c r="D4" s="1"/>
      <c r="E4" s="1"/>
      <c r="F4" s="1"/>
      <c r="G4" s="1"/>
      <c r="H4" s="1"/>
      <c r="I4" s="1"/>
      <c r="O4" s="1"/>
      <c r="P4" s="1"/>
      <c r="Q4" s="1"/>
      <c r="R4" s="1"/>
      <c r="S4" s="1"/>
      <c r="T4" s="1"/>
      <c r="U4" s="1"/>
      <c r="V4" s="1"/>
      <c r="W4" s="1"/>
      <c r="X4" s="1"/>
    </row>
    <row r="5" spans="2:24" x14ac:dyDescent="0.2">
      <c r="B5" s="1" t="s">
        <v>1</v>
      </c>
      <c r="C5" s="18">
        <v>232.9</v>
      </c>
      <c r="D5" s="1"/>
      <c r="E5" s="1"/>
      <c r="F5" s="1"/>
      <c r="G5" s="1"/>
      <c r="H5" s="1"/>
      <c r="I5" s="1"/>
      <c r="O5" s="1"/>
      <c r="P5" s="1"/>
      <c r="Q5" s="1"/>
      <c r="R5" s="1"/>
      <c r="S5" s="1"/>
      <c r="T5" s="1"/>
      <c r="U5" s="1"/>
      <c r="V5" s="1"/>
      <c r="W5" s="1"/>
      <c r="X5" s="1"/>
    </row>
    <row r="6" spans="2:24" x14ac:dyDescent="0.2">
      <c r="B6" s="1" t="s">
        <v>2</v>
      </c>
      <c r="C6" s="18">
        <f ca="1">C4*C5</f>
        <v>90372.186999999991</v>
      </c>
      <c r="D6" s="1"/>
      <c r="E6" s="1"/>
      <c r="F6" s="1"/>
      <c r="G6" s="1"/>
      <c r="H6" s="1"/>
      <c r="I6" s="1"/>
      <c r="O6" s="1"/>
      <c r="P6" s="1"/>
      <c r="Q6" s="1"/>
      <c r="R6" s="1"/>
      <c r="S6" s="1"/>
      <c r="T6" s="1"/>
      <c r="U6" s="1"/>
      <c r="V6" s="1"/>
      <c r="W6" s="1"/>
      <c r="X6" s="1"/>
    </row>
    <row r="7" spans="2:24" x14ac:dyDescent="0.2">
      <c r="C7" s="1"/>
      <c r="D7" s="1"/>
      <c r="E7" s="1"/>
      <c r="F7" s="1"/>
      <c r="G7" s="1"/>
      <c r="H7" s="1"/>
      <c r="I7" s="1"/>
      <c r="O7" s="1"/>
      <c r="P7" s="1"/>
      <c r="Q7" s="1"/>
      <c r="R7" s="1"/>
      <c r="S7" s="1"/>
      <c r="T7" s="1"/>
      <c r="U7" s="1"/>
      <c r="V7" s="1"/>
      <c r="W7" s="1"/>
      <c r="X7" s="1"/>
    </row>
    <row r="8" spans="2:24" x14ac:dyDescent="0.2">
      <c r="B8" s="12" t="s">
        <v>14</v>
      </c>
      <c r="C8" s="3" t="s">
        <v>8</v>
      </c>
      <c r="D8" s="3" t="s">
        <v>9</v>
      </c>
      <c r="E8" s="3" t="s">
        <v>10</v>
      </c>
      <c r="F8" s="3" t="s">
        <v>11</v>
      </c>
      <c r="G8" s="3" t="s">
        <v>12</v>
      </c>
      <c r="H8" s="3" t="s">
        <v>13</v>
      </c>
      <c r="I8" s="3" t="s">
        <v>127</v>
      </c>
      <c r="J8" s="6" t="s">
        <v>4</v>
      </c>
      <c r="K8" s="7" t="s">
        <v>5</v>
      </c>
      <c r="L8" s="8" t="s">
        <v>139</v>
      </c>
      <c r="N8" s="12" t="s">
        <v>14</v>
      </c>
      <c r="O8" s="3" t="s">
        <v>8</v>
      </c>
      <c r="P8" s="3" t="s">
        <v>9</v>
      </c>
      <c r="Q8" s="3" t="s">
        <v>10</v>
      </c>
      <c r="R8" s="3" t="s">
        <v>11</v>
      </c>
      <c r="S8" s="3" t="s">
        <v>12</v>
      </c>
      <c r="T8" s="3" t="s">
        <v>13</v>
      </c>
      <c r="U8" s="3" t="s">
        <v>127</v>
      </c>
      <c r="V8" s="6" t="s">
        <v>4</v>
      </c>
      <c r="W8" s="7" t="s">
        <v>5</v>
      </c>
      <c r="X8" s="8" t="s">
        <v>139</v>
      </c>
    </row>
    <row r="9" spans="2:24" ht="15" x14ac:dyDescent="0.25">
      <c r="B9" s="26" t="s">
        <v>3</v>
      </c>
      <c r="C9" s="18"/>
      <c r="D9" s="20"/>
      <c r="E9" s="18"/>
      <c r="F9" s="18"/>
      <c r="G9" s="18"/>
      <c r="H9" s="18"/>
      <c r="I9" s="121"/>
      <c r="J9" s="9"/>
      <c r="K9" s="10"/>
      <c r="L9" s="11"/>
      <c r="N9" s="26" t="s">
        <v>6</v>
      </c>
      <c r="O9" s="18"/>
      <c r="P9" s="20"/>
      <c r="Q9" s="18"/>
      <c r="R9" s="18"/>
      <c r="S9" s="18"/>
      <c r="T9" s="18"/>
      <c r="U9" s="121"/>
      <c r="V9" s="43"/>
      <c r="W9" s="44"/>
      <c r="X9" s="45"/>
    </row>
    <row r="10" spans="2:24" x14ac:dyDescent="0.2">
      <c r="B10" s="29" t="s">
        <v>27</v>
      </c>
      <c r="C10" s="21"/>
      <c r="D10" s="21"/>
      <c r="E10" s="21"/>
      <c r="F10" s="21"/>
      <c r="G10" s="21"/>
      <c r="H10" s="21"/>
      <c r="I10" s="122"/>
      <c r="J10" s="9"/>
      <c r="K10" s="10"/>
      <c r="L10" s="11"/>
      <c r="N10" s="4" t="s">
        <v>7</v>
      </c>
      <c r="O10" s="21"/>
      <c r="P10" s="21"/>
      <c r="Q10" s="21"/>
      <c r="R10" s="21"/>
      <c r="S10" s="21"/>
      <c r="T10" s="21"/>
      <c r="U10" s="122"/>
      <c r="V10" s="46"/>
      <c r="W10" s="47"/>
      <c r="X10" s="48"/>
    </row>
    <row r="11" spans="2:24" x14ac:dyDescent="0.2">
      <c r="B11" s="34" t="s">
        <v>28</v>
      </c>
      <c r="C11" s="33">
        <v>37421</v>
      </c>
      <c r="D11" s="33">
        <v>36699</v>
      </c>
      <c r="E11" s="33">
        <v>38809</v>
      </c>
      <c r="F11" s="33">
        <v>41674</v>
      </c>
      <c r="G11" s="33">
        <v>43266</v>
      </c>
      <c r="H11" s="33">
        <v>46816</v>
      </c>
      <c r="I11" s="122">
        <v>50401</v>
      </c>
      <c r="J11" s="154">
        <f>LN(Table1[[#This Row],[2025]]/Table1[[#This Row],[2024]])</f>
        <v>7.3785991312614999E-2</v>
      </c>
      <c r="K11" s="154">
        <f>LN(Table1[[#This Row],[2025]]/Table1[[#This Row],[2023]])</f>
        <v>0.1526439089876514</v>
      </c>
      <c r="L11" s="154">
        <f>LN(Table1[[#This Row],[2025]]/Table1[[#This Row],[2019]])</f>
        <v>0.29777897198427833</v>
      </c>
      <c r="N11" s="29" t="s">
        <v>48</v>
      </c>
      <c r="O11" s="21">
        <v>4937</v>
      </c>
      <c r="P11" s="21">
        <v>5741</v>
      </c>
      <c r="Q11" s="21">
        <v>4880</v>
      </c>
      <c r="R11" s="21">
        <v>7387</v>
      </c>
      <c r="S11" s="21">
        <v>6526</v>
      </c>
      <c r="T11" s="21">
        <v>8288</v>
      </c>
      <c r="U11" s="122">
        <v>9491</v>
      </c>
      <c r="V11" s="161">
        <f>LN(Table2[[#This Row],[2025]]/Table2[[#This Row],[2024]])</f>
        <v>0.13553529563122799</v>
      </c>
      <c r="W11" s="161">
        <f>LN(Table2[[#This Row],[2025]]/Table2[[#This Row],[2023]])</f>
        <v>0.37454978297722619</v>
      </c>
      <c r="X11" s="161">
        <f>LN(Table2[[#This Row],[2025]]/Table2[[#This Row],[2019]])</f>
        <v>0.65358612187162934</v>
      </c>
    </row>
    <row r="12" spans="2:24" x14ac:dyDescent="0.2">
      <c r="B12" s="52" t="s">
        <v>29</v>
      </c>
      <c r="C12" s="56" t="s">
        <v>79</v>
      </c>
      <c r="D12" s="53" t="s">
        <v>79</v>
      </c>
      <c r="E12" s="53" t="s">
        <v>79</v>
      </c>
      <c r="F12" s="53">
        <v>31604</v>
      </c>
      <c r="G12" s="53">
        <v>35067</v>
      </c>
      <c r="H12" s="53">
        <v>36795</v>
      </c>
      <c r="I12" s="123">
        <v>44752</v>
      </c>
      <c r="J12" s="155">
        <f>LN(Table1[[#This Row],[2025]]/Table1[[#This Row],[2024]])</f>
        <v>0.1957741700810415</v>
      </c>
      <c r="K12" s="130">
        <f>LN(Table1[[#This Row],[2025]]/Table1[[#This Row],[2023]])</f>
        <v>0.24387561916586104</v>
      </c>
      <c r="L12" s="131" t="s">
        <v>79</v>
      </c>
      <c r="N12" s="29" t="s">
        <v>49</v>
      </c>
      <c r="O12" s="21">
        <v>19676</v>
      </c>
      <c r="P12" s="21">
        <v>23433</v>
      </c>
      <c r="Q12" s="21">
        <v>26267</v>
      </c>
      <c r="R12" s="21">
        <v>25952</v>
      </c>
      <c r="S12" s="21">
        <v>29614</v>
      </c>
      <c r="T12" s="21">
        <v>25201</v>
      </c>
      <c r="U12" s="122">
        <v>25884</v>
      </c>
      <c r="V12" s="141">
        <f>LN(Table2[[#This Row],[2025]]/Table2[[#This Row],[2024]])</f>
        <v>2.6741340925290569E-2</v>
      </c>
      <c r="W12" s="142">
        <f>LN(Table2[[#This Row],[2025]]/Table2[[#This Row],[2023]])</f>
        <v>-0.13462220529150751</v>
      </c>
      <c r="X12" s="143">
        <f>LN(Table2[[#This Row],[2025]]/Table2[[#This Row],[2019]])</f>
        <v>0.27422539826192632</v>
      </c>
    </row>
    <row r="13" spans="2:24" x14ac:dyDescent="0.2">
      <c r="B13" s="50" t="s">
        <v>30</v>
      </c>
      <c r="C13" s="33" t="s">
        <v>79</v>
      </c>
      <c r="D13" s="33" t="s">
        <v>79</v>
      </c>
      <c r="E13" s="33" t="s">
        <v>79</v>
      </c>
      <c r="F13" s="33">
        <v>52886</v>
      </c>
      <c r="G13" s="33">
        <v>56601</v>
      </c>
      <c r="H13" s="33">
        <v>51937</v>
      </c>
      <c r="I13" s="122">
        <v>56620</v>
      </c>
      <c r="J13" s="129">
        <f>LN(Table1[[#This Row],[2025]]/Table1[[#This Row],[2024]])</f>
        <v>8.6330834069901413E-2</v>
      </c>
      <c r="K13" s="130">
        <f>LN(Table1[[#This Row],[2025]]/Table1[[#This Row],[2023]])</f>
        <v>3.3562678616786041E-4</v>
      </c>
      <c r="L13" s="131" t="s">
        <v>79</v>
      </c>
      <c r="N13" s="29" t="s">
        <v>50</v>
      </c>
      <c r="O13" s="21">
        <v>1009</v>
      </c>
      <c r="P13" s="21">
        <v>1559</v>
      </c>
      <c r="Q13" s="21">
        <v>1881</v>
      </c>
      <c r="R13" s="21">
        <v>953</v>
      </c>
      <c r="S13" s="21">
        <v>229</v>
      </c>
      <c r="T13" s="21">
        <v>1192</v>
      </c>
      <c r="U13" s="122">
        <v>740</v>
      </c>
      <c r="V13" s="161">
        <f>LN(Table2[[#This Row],[2025]]/Table2[[#This Row],[2024]])</f>
        <v>-0.47673766142707957</v>
      </c>
      <c r="W13" s="161">
        <f>LN(Table2[[#This Row],[2025]]/Table2[[#This Row],[2023]])</f>
        <v>1.1729281826439757</v>
      </c>
      <c r="X13" s="143">
        <f>LN(Table2[[#This Row],[2025]]/Table2[[#This Row],[2019]])</f>
        <v>-0.3100648341553936</v>
      </c>
    </row>
    <row r="14" spans="2:24" x14ac:dyDescent="0.2">
      <c r="B14" s="50" t="s">
        <v>31</v>
      </c>
      <c r="C14" s="33" t="s">
        <v>79</v>
      </c>
      <c r="D14" s="33" t="s">
        <v>79</v>
      </c>
      <c r="E14" s="33" t="s">
        <v>79</v>
      </c>
      <c r="F14" s="33">
        <v>12320</v>
      </c>
      <c r="G14" s="33">
        <v>13637</v>
      </c>
      <c r="H14" s="33">
        <v>14727</v>
      </c>
      <c r="I14" s="122">
        <v>15321</v>
      </c>
      <c r="J14" s="129">
        <f>LN(Table1[[#This Row],[2025]]/Table1[[#This Row],[2024]])</f>
        <v>3.9541892589591329E-2</v>
      </c>
      <c r="K14" s="130">
        <f>LN(Table1[[#This Row],[2025]]/Table1[[#This Row],[2023]])</f>
        <v>0.11643774945791965</v>
      </c>
      <c r="L14" s="131" t="s">
        <v>79</v>
      </c>
      <c r="N14" s="29" t="s">
        <v>51</v>
      </c>
      <c r="O14" s="21">
        <v>5014</v>
      </c>
      <c r="P14" s="21">
        <v>5279</v>
      </c>
      <c r="Q14" s="21">
        <v>5681</v>
      </c>
      <c r="R14" s="21">
        <v>7083</v>
      </c>
      <c r="S14" s="21">
        <v>7902</v>
      </c>
      <c r="T14" s="21">
        <v>8011</v>
      </c>
      <c r="U14" s="122">
        <v>10073</v>
      </c>
      <c r="V14" s="161">
        <f>LN(Table2[[#This Row],[2025]]/Table2[[#This Row],[2024]])</f>
        <v>0.22904297972756424</v>
      </c>
      <c r="W14" s="142">
        <f>LN(Table2[[#This Row],[2025]]/Table2[[#This Row],[2023]])</f>
        <v>0.24274268497134507</v>
      </c>
      <c r="X14" s="143">
        <f>LN(Table2[[#This Row],[2025]]/Table2[[#This Row],[2019]])</f>
        <v>0.69762457722444249</v>
      </c>
    </row>
    <row r="15" spans="2:24" ht="13.5" thickBot="1" x14ac:dyDescent="0.25">
      <c r="B15" s="51" t="s">
        <v>78</v>
      </c>
      <c r="C15" s="30">
        <v>62632</v>
      </c>
      <c r="D15" s="30">
        <v>71572</v>
      </c>
      <c r="E15" s="30">
        <v>82919</v>
      </c>
      <c r="F15" s="30">
        <f>SUM(F12:F14)</f>
        <v>96810</v>
      </c>
      <c r="G15" s="30">
        <f t="shared" ref="G15:I15" si="0">SUM(G12:G14)</f>
        <v>105305</v>
      </c>
      <c r="H15" s="30">
        <f t="shared" si="0"/>
        <v>103459</v>
      </c>
      <c r="I15" s="30">
        <f t="shared" si="0"/>
        <v>116693</v>
      </c>
      <c r="J15" s="156">
        <f>LN(Table1[[#This Row],[2025]]/Table1[[#This Row],[2024]])</f>
        <v>0.12037115567400522</v>
      </c>
      <c r="K15" s="134">
        <f>LN(Table1[[#This Row],[2025]]/Table1[[#This Row],[2023]])</f>
        <v>0.10268565323798064</v>
      </c>
      <c r="L15" s="156">
        <f>LN(Table1[[#This Row],[2025]]/Table1[[#This Row],[2019]])</f>
        <v>0.62227022502581408</v>
      </c>
      <c r="N15" s="29" t="s">
        <v>52</v>
      </c>
      <c r="O15" s="33">
        <v>2570</v>
      </c>
      <c r="P15" s="33">
        <v>2849</v>
      </c>
      <c r="Q15" s="33">
        <v>4010</v>
      </c>
      <c r="R15" s="33">
        <v>4663</v>
      </c>
      <c r="S15" s="33">
        <v>4558</v>
      </c>
      <c r="T15" s="33">
        <v>5044</v>
      </c>
      <c r="U15" s="122">
        <v>5162</v>
      </c>
      <c r="V15" s="141">
        <f>LN(Table2[[#This Row],[2025]]/Table2[[#This Row],[2024]])</f>
        <v>2.3124683193748916E-2</v>
      </c>
      <c r="W15" s="142">
        <f>LN(Table2[[#This Row],[2025]]/Table2[[#This Row],[2023]])</f>
        <v>0.12444017047292953</v>
      </c>
      <c r="X15" s="143">
        <f>LN(Table2[[#This Row],[2025]]/Table2[[#This Row],[2019]])</f>
        <v>0.69741820238929364</v>
      </c>
    </row>
    <row r="16" spans="2:24" x14ac:dyDescent="0.2">
      <c r="B16" s="29" t="s">
        <v>15</v>
      </c>
      <c r="C16" s="21">
        <v>5402</v>
      </c>
      <c r="D16" s="21">
        <v>21911</v>
      </c>
      <c r="E16" s="21">
        <v>25431</v>
      </c>
      <c r="F16" s="21">
        <v>28526</v>
      </c>
      <c r="G16" s="21">
        <v>33835</v>
      </c>
      <c r="H16" s="21">
        <v>35961</v>
      </c>
      <c r="I16" s="122">
        <v>43400</v>
      </c>
      <c r="J16" s="155">
        <f>LN(Table1[[#This Row],[2025]]/Table1[[#This Row],[2024]])</f>
        <v>0.18802442321328672</v>
      </c>
      <c r="K16" s="130">
        <f>LN(Table1[[#This Row],[2025]]/Table1[[#This Row],[2023]])</f>
        <v>0.24896367142217035</v>
      </c>
      <c r="L16" s="132">
        <f>LN(Table1[[#This Row],[2025]]/Table1[[#This Row],[2019]])</f>
        <v>2.0836901857359353</v>
      </c>
      <c r="N16" s="29" t="s">
        <v>53</v>
      </c>
      <c r="O16" s="21">
        <v>2807</v>
      </c>
      <c r="P16" s="21">
        <v>2830</v>
      </c>
      <c r="Q16" s="21">
        <v>3749</v>
      </c>
      <c r="R16" s="21">
        <v>4298</v>
      </c>
      <c r="S16" s="21">
        <v>5405</v>
      </c>
      <c r="T16" s="21">
        <v>6016</v>
      </c>
      <c r="U16" s="122">
        <v>6307</v>
      </c>
      <c r="V16" s="141">
        <f>LN(Table2[[#This Row],[2025]]/Table2[[#This Row],[2024]])</f>
        <v>4.7237541033975552E-2</v>
      </c>
      <c r="W16" s="142">
        <f>LN(Table2[[#This Row],[2025]]/Table2[[#This Row],[2023]])</f>
        <v>0.15433567659034261</v>
      </c>
      <c r="X16" s="143">
        <f>LN(Table2[[#This Row],[2025]]/Table2[[#This Row],[2019]])</f>
        <v>0.8095438303017688</v>
      </c>
    </row>
    <row r="17" spans="1:24" x14ac:dyDescent="0.2">
      <c r="B17" s="29" t="s">
        <v>16</v>
      </c>
      <c r="C17" s="23">
        <v>2293</v>
      </c>
      <c r="D17" s="23">
        <v>6057</v>
      </c>
      <c r="E17" s="21">
        <v>10250</v>
      </c>
      <c r="F17" s="23">
        <v>12860</v>
      </c>
      <c r="G17" s="23">
        <v>14147</v>
      </c>
      <c r="H17" s="23">
        <v>17961</v>
      </c>
      <c r="I17" s="122">
        <v>28316</v>
      </c>
      <c r="J17" s="155">
        <f>LN(Table1[[#This Row],[2025]]/Table1[[#This Row],[2024]])</f>
        <v>0.45522427530061815</v>
      </c>
      <c r="K17" s="155">
        <f>LN(Table1[[#This Row],[2025]]/Table1[[#This Row],[2023]])</f>
        <v>0.69392442843514546</v>
      </c>
      <c r="L17" s="132">
        <f>LN(Table1[[#This Row],[2025]]/Table1[[#This Row],[2019]])</f>
        <v>2.5135660120361756</v>
      </c>
      <c r="N17" s="29" t="s">
        <v>54</v>
      </c>
      <c r="O17" s="21">
        <v>3020</v>
      </c>
      <c r="P17" s="21">
        <v>4060</v>
      </c>
      <c r="Q17" s="21">
        <v>4654</v>
      </c>
      <c r="R17" s="21">
        <v>5281</v>
      </c>
      <c r="S17" s="21">
        <v>5795</v>
      </c>
      <c r="T17" s="21">
        <v>4700</v>
      </c>
      <c r="U17" s="122">
        <v>5344</v>
      </c>
      <c r="V17" s="161">
        <f>LN(Table2[[#This Row],[2025]]/Table2[[#This Row],[2024]])</f>
        <v>0.12841192751833161</v>
      </c>
      <c r="W17" s="142">
        <f>LN(Table2[[#This Row],[2025]]/Table2[[#This Row],[2023]])</f>
        <v>-8.1021040557370486E-2</v>
      </c>
      <c r="X17" s="143">
        <f>LN(Table2[[#This Row],[2025]]/Table2[[#This Row],[2019]])</f>
        <v>0.57071760484756628</v>
      </c>
    </row>
    <row r="18" spans="1:24" x14ac:dyDescent="0.2">
      <c r="B18" s="29" t="s">
        <v>17</v>
      </c>
      <c r="C18" s="23">
        <v>0</v>
      </c>
      <c r="D18" s="23">
        <v>0</v>
      </c>
      <c r="E18" s="23">
        <v>0</v>
      </c>
      <c r="F18" s="23">
        <v>399</v>
      </c>
      <c r="G18" s="23">
        <v>479</v>
      </c>
      <c r="H18" s="23">
        <v>309</v>
      </c>
      <c r="I18" s="122">
        <v>463</v>
      </c>
      <c r="J18" s="155">
        <f>LN(Table1[[#This Row],[2025]]/Table1[[#This Row],[2024]])</f>
        <v>0.40438577718848867</v>
      </c>
      <c r="K18" s="130">
        <f>LN(Table1[[#This Row],[2025]]/Table1[[#This Row],[2023]])</f>
        <v>-3.3973543324681117E-2</v>
      </c>
      <c r="L18" s="131" t="s">
        <v>79</v>
      </c>
      <c r="N18" s="29" t="s">
        <v>55</v>
      </c>
      <c r="O18" s="21">
        <v>0</v>
      </c>
      <c r="P18" s="21">
        <v>0</v>
      </c>
      <c r="Q18" s="21">
        <v>0</v>
      </c>
      <c r="R18" s="21">
        <v>0</v>
      </c>
      <c r="S18" s="21">
        <v>0</v>
      </c>
      <c r="T18" s="21">
        <v>490</v>
      </c>
      <c r="U18" s="122">
        <v>0</v>
      </c>
      <c r="V18" s="141" t="e">
        <f>LN(Table2[[#This Row],[2025]]/Table2[[#This Row],[2024]])</f>
        <v>#NUM!</v>
      </c>
      <c r="W18" s="142" t="e">
        <f>LN(Table2[[#This Row],[2025]]/Table2[[#This Row],[2023]])</f>
        <v>#DIV/0!</v>
      </c>
      <c r="X18" s="143" t="e">
        <f>LN(Table2[[#This Row],[2025]]/Table2[[#This Row],[2019]])</f>
        <v>#DIV/0!</v>
      </c>
    </row>
    <row r="19" spans="1:24" ht="13.5" thickBot="1" x14ac:dyDescent="0.25">
      <c r="B19" s="29" t="s">
        <v>18</v>
      </c>
      <c r="C19" s="23">
        <v>-4607</v>
      </c>
      <c r="D19" s="23">
        <v>-15431</v>
      </c>
      <c r="E19" s="23">
        <v>-20466</v>
      </c>
      <c r="F19" s="23">
        <v>-24609</v>
      </c>
      <c r="G19" s="23">
        <v>-26823</v>
      </c>
      <c r="H19" s="23">
        <v>-29302</v>
      </c>
      <c r="I19" s="122">
        <v>-41689</v>
      </c>
      <c r="J19" s="155">
        <f>LN(Table1[[#This Row],[2025]]/Table1[[#This Row],[2024]])</f>
        <v>0.35258153195837977</v>
      </c>
      <c r="K19" s="130">
        <f>LN(Table1[[#This Row],[2025]]/Table1[[#This Row],[2023]])</f>
        <v>0.44097757661621029</v>
      </c>
      <c r="L19" s="132">
        <f>LN(Table1[[#This Row],[2025]]/Table1[[#This Row],[2019]])</f>
        <v>2.2026604190837209</v>
      </c>
      <c r="N19" s="31" t="s">
        <v>72</v>
      </c>
      <c r="O19" s="30">
        <f t="shared" ref="O19:S19" si="1">SUM(O11:O18)</f>
        <v>39033</v>
      </c>
      <c r="P19" s="30">
        <f t="shared" si="1"/>
        <v>45751</v>
      </c>
      <c r="Q19" s="30">
        <f t="shared" si="1"/>
        <v>51122</v>
      </c>
      <c r="R19" s="30">
        <f t="shared" si="1"/>
        <v>55617</v>
      </c>
      <c r="S19" s="30">
        <f t="shared" si="1"/>
        <v>60029</v>
      </c>
      <c r="T19" s="30">
        <f>SUM(T11:T18)</f>
        <v>58942</v>
      </c>
      <c r="U19" s="30">
        <f>SUM(U11:U18)</f>
        <v>63001</v>
      </c>
      <c r="V19" s="138">
        <f>LN(Table2[[#This Row],[2025]]/Table2[[#This Row],[2024]])</f>
        <v>6.6596689734556805E-2</v>
      </c>
      <c r="W19" s="139">
        <f>LN(Table2[[#This Row],[2025]]/Table2[[#This Row],[2023]])</f>
        <v>4.8322820493928643E-2</v>
      </c>
      <c r="X19" s="157">
        <f>LN(Table2[[#This Row],[2025]]/Table2[[#This Row],[2019]])</f>
        <v>0.47874315709198217</v>
      </c>
    </row>
    <row r="20" spans="1:24" s="5" customFormat="1" ht="13.5" thickBot="1" x14ac:dyDescent="0.25">
      <c r="A20" s="1"/>
      <c r="B20" s="31" t="s">
        <v>35</v>
      </c>
      <c r="C20" s="30">
        <f t="shared" ref="C20" si="2">SUM(C11:C19)</f>
        <v>103141</v>
      </c>
      <c r="D20" s="30">
        <f>SUM(D15:D19)+D11</f>
        <v>120808</v>
      </c>
      <c r="E20" s="30">
        <f>SUM(E15:E19)+E11</f>
        <v>136943</v>
      </c>
      <c r="F20" s="30">
        <f t="shared" ref="F20:I20" si="3">SUM(F15:F19)+F11</f>
        <v>155660</v>
      </c>
      <c r="G20" s="30">
        <f t="shared" si="3"/>
        <v>170209</v>
      </c>
      <c r="H20" s="30">
        <f t="shared" si="3"/>
        <v>175204</v>
      </c>
      <c r="I20" s="30">
        <f t="shared" si="3"/>
        <v>197584</v>
      </c>
      <c r="J20" s="133">
        <f>LN(Table1[[#This Row],[2025]]/Table1[[#This Row],[2024]])</f>
        <v>0.12021280108357164</v>
      </c>
      <c r="K20" s="134">
        <f>LN(Table1[[#This Row],[2025]]/Table1[[#This Row],[2023]])</f>
        <v>0.14913671666831366</v>
      </c>
      <c r="L20" s="135">
        <f>LN(Table1[[#This Row],[2025]]/Table1[[#This Row],[2019]])</f>
        <v>0.6500668262402215</v>
      </c>
      <c r="M20" s="1"/>
      <c r="N20" s="35" t="s">
        <v>61</v>
      </c>
      <c r="O20" s="21">
        <v>505</v>
      </c>
      <c r="P20" s="21">
        <v>562</v>
      </c>
      <c r="Q20" s="21">
        <v>632</v>
      </c>
      <c r="R20" s="21">
        <v>752</v>
      </c>
      <c r="S20" s="21">
        <v>876</v>
      </c>
      <c r="T20" s="21">
        <v>1035</v>
      </c>
      <c r="U20" s="122">
        <v>1121</v>
      </c>
      <c r="V20" s="141">
        <f>LN(Table2[[#This Row],[2025]]/Table2[[#This Row],[2024]])</f>
        <v>7.9819717372690474E-2</v>
      </c>
      <c r="W20" s="142">
        <f>LN(Table2[[#This Row],[2025]]/Table2[[#This Row],[2023]])</f>
        <v>0.24661033213576844</v>
      </c>
      <c r="X20" s="143">
        <f>LN(Table2[[#This Row],[2025]]/Table2[[#This Row],[2019]])</f>
        <v>0.79741799379680023</v>
      </c>
    </row>
    <row r="21" spans="1:24" x14ac:dyDescent="0.2">
      <c r="B21" s="35" t="s">
        <v>32</v>
      </c>
      <c r="C21" s="23">
        <v>1005</v>
      </c>
      <c r="D21" s="23">
        <v>877</v>
      </c>
      <c r="E21" s="23">
        <v>1378</v>
      </c>
      <c r="F21" s="23">
        <v>1485</v>
      </c>
      <c r="G21" s="23">
        <v>1825</v>
      </c>
      <c r="H21" s="23">
        <v>2051</v>
      </c>
      <c r="I21" s="122">
        <v>2194</v>
      </c>
      <c r="J21" s="129">
        <f>LN(Table1[[#This Row],[2025]]/Table1[[#This Row],[2024]])</f>
        <v>6.7398882762795001E-2</v>
      </c>
      <c r="K21" s="130">
        <f>LN(Table1[[#This Row],[2025]]/Table1[[#This Row],[2023]])</f>
        <v>0.18414637481858367</v>
      </c>
      <c r="L21" s="132">
        <f>LN(Table1[[#This Row],[2025]]/Table1[[#This Row],[2019]])</f>
        <v>0.78073882034199937</v>
      </c>
      <c r="N21" s="35" t="s">
        <v>60</v>
      </c>
      <c r="O21" s="39">
        <v>4258</v>
      </c>
      <c r="P21" s="39">
        <v>4285</v>
      </c>
      <c r="Q21" s="39">
        <v>5225</v>
      </c>
      <c r="R21" s="39">
        <v>5685</v>
      </c>
      <c r="S21" s="39">
        <v>6107</v>
      </c>
      <c r="T21" s="39">
        <v>9749</v>
      </c>
      <c r="U21" s="124">
        <v>10839</v>
      </c>
      <c r="V21" s="161">
        <f>LN(Table2[[#This Row],[2025]]/Table2[[#This Row],[2024]])</f>
        <v>0.10598602518647832</v>
      </c>
      <c r="W21" s="161">
        <f>LN(Table2[[#This Row],[2025]]/Table2[[#This Row],[2023]])</f>
        <v>0.57371508659261505</v>
      </c>
      <c r="X21" s="161">
        <f>LN(Table2[[#This Row],[2025]]/Table2[[#This Row],[2019]])</f>
        <v>0.93435117436232518</v>
      </c>
    </row>
    <row r="22" spans="1:24" x14ac:dyDescent="0.2">
      <c r="B22" s="35" t="s">
        <v>33</v>
      </c>
      <c r="C22" s="23">
        <v>67</v>
      </c>
      <c r="D22" s="23">
        <v>182</v>
      </c>
      <c r="E22" s="23">
        <v>318</v>
      </c>
      <c r="F22" s="23">
        <v>-550</v>
      </c>
      <c r="G22" s="23">
        <v>-694</v>
      </c>
      <c r="H22" s="23">
        <v>-445</v>
      </c>
      <c r="I22" s="122">
        <v>-653</v>
      </c>
      <c r="J22" s="155">
        <f>LN(Table1[[#This Row],[2025]]/Table1[[#This Row],[2024]])</f>
        <v>0.38350284711019089</v>
      </c>
      <c r="K22" s="130">
        <f>LN(Table1[[#This Row],[2025]]/Table1[[#This Row],[2023]])</f>
        <v>-6.0894831230373481E-2</v>
      </c>
      <c r="L22" s="131" t="s">
        <v>79</v>
      </c>
      <c r="N22" s="35" t="s">
        <v>56</v>
      </c>
      <c r="O22" s="21">
        <v>3133</v>
      </c>
      <c r="P22" s="21">
        <v>3483</v>
      </c>
      <c r="Q22" s="21">
        <v>3919</v>
      </c>
      <c r="R22" s="21">
        <v>4316</v>
      </c>
      <c r="S22" s="21">
        <v>4359</v>
      </c>
      <c r="T22" s="21">
        <v>4652</v>
      </c>
      <c r="U22" s="122">
        <v>4679</v>
      </c>
      <c r="V22" s="141">
        <f>LN(Table2[[#This Row],[2025]]/Table2[[#This Row],[2024]])</f>
        <v>5.7871772276613153E-3</v>
      </c>
      <c r="W22" s="142">
        <f>LN(Table2[[#This Row],[2025]]/Table2[[#This Row],[2023]])</f>
        <v>7.0841738627823697E-2</v>
      </c>
      <c r="X22" s="143">
        <f>LN(Table2[[#This Row],[2025]]/Table2[[#This Row],[2019]])</f>
        <v>0.4010933999140246</v>
      </c>
    </row>
    <row r="23" spans="1:24" x14ac:dyDescent="0.2">
      <c r="B23" s="35" t="s">
        <v>34</v>
      </c>
      <c r="C23" s="23">
        <v>0</v>
      </c>
      <c r="D23" s="23">
        <v>0</v>
      </c>
      <c r="E23" s="23">
        <v>0</v>
      </c>
      <c r="F23" s="23">
        <v>0</v>
      </c>
      <c r="G23" s="23">
        <v>0</v>
      </c>
      <c r="H23" s="23">
        <v>201</v>
      </c>
      <c r="I23" s="122">
        <v>0</v>
      </c>
      <c r="J23" s="129" t="s">
        <v>79</v>
      </c>
      <c r="K23" s="130" t="s">
        <v>79</v>
      </c>
      <c r="L23" s="131" t="s">
        <v>79</v>
      </c>
      <c r="N23" s="35" t="s">
        <v>57</v>
      </c>
      <c r="O23" s="39">
        <v>20500</v>
      </c>
      <c r="P23" s="21">
        <v>21691</v>
      </c>
      <c r="Q23" s="39">
        <v>24228</v>
      </c>
      <c r="R23" s="39">
        <v>24383</v>
      </c>
      <c r="S23" s="39">
        <v>25317</v>
      </c>
      <c r="T23" s="39">
        <v>28277</v>
      </c>
      <c r="U23" s="124">
        <v>28344</v>
      </c>
      <c r="V23" s="141">
        <f>LN(Table2[[#This Row],[2025]]/Table2[[#This Row],[2024]])</f>
        <v>2.3666141986711164E-3</v>
      </c>
      <c r="W23" s="142">
        <f>LN(Table2[[#This Row],[2025]]/Table2[[#This Row],[2023]])</f>
        <v>0.11293926071923167</v>
      </c>
      <c r="X23" s="143">
        <f>LN(Table2[[#This Row],[2025]]/Table2[[#This Row],[2019]])</f>
        <v>0.32399048141880832</v>
      </c>
    </row>
    <row r="24" spans="1:24" ht="13.5" thickBot="1" x14ac:dyDescent="0.25">
      <c r="B24" s="31" t="s">
        <v>19</v>
      </c>
      <c r="C24" s="30">
        <f t="shared" ref="C24:G24" si="4">SUM(C20:C23)</f>
        <v>104213</v>
      </c>
      <c r="D24" s="30">
        <f t="shared" si="4"/>
        <v>121867</v>
      </c>
      <c r="E24" s="30">
        <f t="shared" si="4"/>
        <v>138639</v>
      </c>
      <c r="F24" s="30">
        <f t="shared" si="4"/>
        <v>156595</v>
      </c>
      <c r="G24" s="30">
        <f t="shared" si="4"/>
        <v>171340</v>
      </c>
      <c r="H24" s="30">
        <f>SUM(H20:H23)</f>
        <v>177011</v>
      </c>
      <c r="I24" s="30">
        <f>SUM(I20:I23)</f>
        <v>199125</v>
      </c>
      <c r="J24" s="157">
        <f>LN(Table1[[#This Row],[2025]]/Table1[[#This Row],[2024]])</f>
        <v>0.11772089069476623</v>
      </c>
      <c r="K24" s="139">
        <f>LN(Table1[[#This Row],[2025]]/Table1[[#This Row],[2023]])</f>
        <v>0.15028288169431464</v>
      </c>
      <c r="L24" s="157">
        <f>LN(Table1[[#This Row],[2025]]/Table1[[#This Row],[2019]])</f>
        <v>0.64749588661606172</v>
      </c>
      <c r="N24" s="37" t="s">
        <v>58</v>
      </c>
      <c r="O24" s="21">
        <v>8674</v>
      </c>
      <c r="P24" s="39">
        <v>9405</v>
      </c>
      <c r="Q24" s="21">
        <v>10615</v>
      </c>
      <c r="R24" s="21">
        <v>10315</v>
      </c>
      <c r="S24" s="21">
        <v>10273</v>
      </c>
      <c r="T24" s="21">
        <v>12094</v>
      </c>
      <c r="U24" s="122">
        <v>11200</v>
      </c>
      <c r="V24" s="161">
        <f>LN(Table2[[#This Row],[2025]]/Table2[[#This Row],[2024]])</f>
        <v>-7.6795683549972238E-2</v>
      </c>
      <c r="W24" s="142">
        <f>LN(Table2[[#This Row],[2025]]/Table2[[#This Row],[2023]])</f>
        <v>8.6394684066922259E-2</v>
      </c>
      <c r="X24" s="143">
        <f>LN(Table2[[#This Row],[2025]]/Table2[[#This Row],[2019]])</f>
        <v>0.25558373288787428</v>
      </c>
    </row>
    <row r="25" spans="1:24" x14ac:dyDescent="0.2">
      <c r="B25" s="19"/>
      <c r="C25" s="23"/>
      <c r="D25" s="23"/>
      <c r="E25" s="23"/>
      <c r="F25" s="23"/>
      <c r="G25" s="23"/>
      <c r="H25" s="23"/>
      <c r="I25" s="122"/>
      <c r="J25" s="9"/>
      <c r="K25" s="10"/>
      <c r="L25" s="11"/>
      <c r="N25" s="37" t="s">
        <v>54</v>
      </c>
      <c r="O25" s="21">
        <v>1350</v>
      </c>
      <c r="P25" s="21">
        <v>1438</v>
      </c>
      <c r="Q25" s="21">
        <v>1719</v>
      </c>
      <c r="R25" s="21">
        <v>1704</v>
      </c>
      <c r="S25" s="21">
        <v>1967</v>
      </c>
      <c r="T25" s="21">
        <v>2140</v>
      </c>
      <c r="U25" s="122">
        <v>2310</v>
      </c>
      <c r="V25" s="161">
        <f>LN(Table2[[#This Row],[2025]]/Table2[[#This Row],[2024]])</f>
        <v>7.6441695499942119E-2</v>
      </c>
      <c r="W25" s="161">
        <f>LN(Table2[[#This Row],[2025]]/Table2[[#This Row],[2023]])</f>
        <v>0.16073798512678014</v>
      </c>
      <c r="X25" s="143">
        <f>LN(Table2[[#This Row],[2025]]/Table2[[#This Row],[2019]])</f>
        <v>0.53714293208336406</v>
      </c>
    </row>
    <row r="26" spans="1:24" ht="13.5" thickBot="1" x14ac:dyDescent="0.25">
      <c r="B26" s="36" t="s">
        <v>36</v>
      </c>
      <c r="C26" s="23"/>
      <c r="D26" s="23"/>
      <c r="E26" s="23"/>
      <c r="F26" s="23"/>
      <c r="G26" s="23"/>
      <c r="H26" s="23"/>
      <c r="I26" s="122"/>
      <c r="J26" s="9"/>
      <c r="K26" s="10"/>
      <c r="L26" s="11"/>
      <c r="N26" s="31" t="s">
        <v>73</v>
      </c>
      <c r="O26" s="30">
        <f t="shared" ref="O26:S26" si="5">SUM(O19:O25)</f>
        <v>77453</v>
      </c>
      <c r="P26" s="30">
        <f t="shared" si="5"/>
        <v>86615</v>
      </c>
      <c r="Q26" s="30">
        <f t="shared" si="5"/>
        <v>97460</v>
      </c>
      <c r="R26" s="30">
        <f t="shared" si="5"/>
        <v>102772</v>
      </c>
      <c r="S26" s="30">
        <f t="shared" si="5"/>
        <v>108928</v>
      </c>
      <c r="T26" s="30">
        <f>SUM(T19:T25)</f>
        <v>116889</v>
      </c>
      <c r="U26" s="30">
        <f>SUM(U19:U25)</f>
        <v>121494</v>
      </c>
      <c r="V26" s="138">
        <f>LN(Table2[[#This Row],[2025]]/Table2[[#This Row],[2024]])</f>
        <v>3.8640112313861122E-2</v>
      </c>
      <c r="W26" s="139">
        <f>LN(Table2[[#This Row],[2025]]/Table2[[#This Row],[2023]])</f>
        <v>0.10917776533433299</v>
      </c>
      <c r="X26" s="157">
        <f>LN(Table2[[#This Row],[2025]]/Table2[[#This Row],[2019]])</f>
        <v>0.45019357806495008</v>
      </c>
    </row>
    <row r="27" spans="1:24" s="5" customFormat="1" x14ac:dyDescent="0.2">
      <c r="A27" s="1"/>
      <c r="B27" s="29" t="s">
        <v>37</v>
      </c>
      <c r="C27" s="23">
        <v>81786</v>
      </c>
      <c r="D27" s="23">
        <v>88045</v>
      </c>
      <c r="E27" s="23">
        <v>102645</v>
      </c>
      <c r="F27" s="23">
        <v>116642</v>
      </c>
      <c r="G27" s="23">
        <v>124330</v>
      </c>
      <c r="H27" s="23">
        <v>127567</v>
      </c>
      <c r="I27" s="122">
        <v>148223</v>
      </c>
      <c r="J27" s="154">
        <f>LN(Table1[[#This Row],[2025]]/Table1[[#This Row],[2024]])</f>
        <v>0.15007617972895734</v>
      </c>
      <c r="K27" s="154">
        <f>LN(Table1[[#This Row],[2025]]/Table1[[#This Row],[2023]])</f>
        <v>0.17577857553704784</v>
      </c>
      <c r="L27" s="154">
        <f>LN(Table1[[#This Row],[2025]]/Table1[[#This Row],[2019]])</f>
        <v>0.59461181668513308</v>
      </c>
      <c r="M27" s="1"/>
      <c r="N27" s="27"/>
      <c r="O27" s="21"/>
      <c r="P27" s="21"/>
      <c r="Q27" s="21"/>
      <c r="R27" s="21"/>
      <c r="S27" s="21"/>
      <c r="T27" s="21"/>
      <c r="U27" s="122"/>
      <c r="V27" s="46"/>
      <c r="W27" s="47"/>
      <c r="X27" s="48"/>
    </row>
    <row r="28" spans="1:24" x14ac:dyDescent="0.2">
      <c r="B28" s="29" t="s">
        <v>38</v>
      </c>
      <c r="C28" s="23">
        <v>1992</v>
      </c>
      <c r="D28" s="23">
        <v>8953</v>
      </c>
      <c r="E28" s="23">
        <v>10895</v>
      </c>
      <c r="F28" s="23">
        <v>13035</v>
      </c>
      <c r="G28" s="23">
        <v>17293</v>
      </c>
      <c r="H28" s="23">
        <v>19750</v>
      </c>
      <c r="I28" s="122">
        <v>21178</v>
      </c>
      <c r="J28" s="126">
        <f>LN(Table1[[#This Row],[2025]]/Table1[[#This Row],[2024]])</f>
        <v>6.9809415661131857E-2</v>
      </c>
      <c r="K28" s="127">
        <f>LN(Table1[[#This Row],[2025]]/Table1[[#This Row],[2023]])</f>
        <v>0.20266111166447751</v>
      </c>
      <c r="L28" s="128">
        <f>LN(Table1[[#This Row],[2025]]/Table1[[#This Row],[2019]])</f>
        <v>2.3638237478458564</v>
      </c>
      <c r="N28" s="36" t="s">
        <v>59</v>
      </c>
      <c r="O28" s="21"/>
      <c r="P28" s="21"/>
      <c r="Q28" s="21"/>
      <c r="R28" s="21"/>
      <c r="S28" s="21"/>
      <c r="T28" s="21"/>
      <c r="U28" s="122"/>
      <c r="V28" s="46"/>
      <c r="W28" s="47"/>
      <c r="X28" s="48"/>
    </row>
    <row r="29" spans="1:24" x14ac:dyDescent="0.2">
      <c r="B29" s="29" t="s">
        <v>39</v>
      </c>
      <c r="C29" s="23">
        <v>13364</v>
      </c>
      <c r="D29" s="23">
        <v>17450</v>
      </c>
      <c r="E29" s="23">
        <v>15914</v>
      </c>
      <c r="F29" s="23">
        <v>17700</v>
      </c>
      <c r="G29" s="23">
        <v>20087</v>
      </c>
      <c r="H29" s="23">
        <v>20025</v>
      </c>
      <c r="I29" s="122">
        <v>20984</v>
      </c>
      <c r="J29" s="126">
        <f>LN(Table1[[#This Row],[2025]]/Table1[[#This Row],[2024]])</f>
        <v>4.6778749610149634E-2</v>
      </c>
      <c r="K29" s="127">
        <f>LN(Table1[[#This Row],[2025]]/Table1[[#This Row],[2023]])</f>
        <v>4.3687402912161354E-2</v>
      </c>
      <c r="L29" s="128">
        <f>LN(Table1[[#This Row],[2025]]/Table1[[#This Row],[2019]])</f>
        <v>0.45119571807006242</v>
      </c>
      <c r="N29" s="36" t="s">
        <v>7</v>
      </c>
      <c r="O29" s="21"/>
      <c r="P29" s="21"/>
      <c r="Q29" s="21"/>
      <c r="R29" s="21"/>
      <c r="S29" s="21"/>
      <c r="T29" s="21"/>
      <c r="U29" s="122"/>
      <c r="V29" s="46"/>
      <c r="W29" s="47"/>
      <c r="X29" s="48"/>
    </row>
    <row r="30" spans="1:24" x14ac:dyDescent="0.2">
      <c r="B30" s="29" t="s">
        <v>40</v>
      </c>
      <c r="C30" s="23">
        <v>748</v>
      </c>
      <c r="D30" s="23">
        <v>820</v>
      </c>
      <c r="E30" s="23">
        <v>819</v>
      </c>
      <c r="F30" s="23">
        <v>851</v>
      </c>
      <c r="G30" s="23">
        <v>1030</v>
      </c>
      <c r="H30" s="23">
        <v>1185</v>
      </c>
      <c r="I30" s="122">
        <v>1402</v>
      </c>
      <c r="J30" s="154">
        <f>LN(Table1[[#This Row],[2025]]/Table1[[#This Row],[2024]])</f>
        <v>0.16815701402530378</v>
      </c>
      <c r="K30" s="154">
        <f>LN(Table1[[#This Row],[2025]]/Table1[[#This Row],[2023]])</f>
        <v>0.30834098637085389</v>
      </c>
      <c r="L30" s="154">
        <f>LN(Table1[[#This Row],[2025]]/Table1[[#This Row],[2019]])</f>
        <v>0.62825208962005807</v>
      </c>
      <c r="N30" s="29" t="s">
        <v>62</v>
      </c>
      <c r="O30" s="21">
        <v>8842</v>
      </c>
      <c r="P30" s="21">
        <v>11359</v>
      </c>
      <c r="Q30" s="21">
        <v>13518</v>
      </c>
      <c r="R30" s="21">
        <v>15596</v>
      </c>
      <c r="S30" s="21">
        <v>16111</v>
      </c>
      <c r="T30" s="21">
        <v>15746</v>
      </c>
      <c r="U30" s="122">
        <v>17084</v>
      </c>
      <c r="V30" s="161">
        <f>LN(Table2[[#This Row],[2025]]/Table2[[#This Row],[2024]])</f>
        <v>8.1555988216944555E-2</v>
      </c>
      <c r="W30" s="142">
        <f>LN(Table2[[#This Row],[2025]]/Table2[[#This Row],[2023]])</f>
        <v>5.8640084470370529E-2</v>
      </c>
      <c r="X30" s="143">
        <f>LN(Table2[[#This Row],[2025]]/Table2[[#This Row],[2019]])</f>
        <v>0.65862925757516866</v>
      </c>
    </row>
    <row r="31" spans="1:24" x14ac:dyDescent="0.2">
      <c r="B31" s="29" t="s">
        <v>41</v>
      </c>
      <c r="C31" s="23">
        <v>338</v>
      </c>
      <c r="D31" s="23">
        <v>361</v>
      </c>
      <c r="E31" s="23">
        <v>441</v>
      </c>
      <c r="F31" s="23">
        <v>767</v>
      </c>
      <c r="G31" s="23">
        <v>885</v>
      </c>
      <c r="H31" s="23">
        <v>580</v>
      </c>
      <c r="I31" s="122">
        <v>628</v>
      </c>
      <c r="J31" s="126">
        <f>LN(Table1[[#This Row],[2025]]/Table1[[#This Row],[2024]])</f>
        <v>7.9512062927733607E-2</v>
      </c>
      <c r="K31" s="127">
        <f>LN(Table1[[#This Row],[2025]]/Table1[[#This Row],[2023]])</f>
        <v>-0.34304747853973083</v>
      </c>
      <c r="L31" s="128">
        <f>LN(Table1[[#This Row],[2025]]/Table1[[#This Row],[2019]])</f>
        <v>0.61949427098517984</v>
      </c>
      <c r="N31" s="29" t="s">
        <v>63</v>
      </c>
      <c r="O31" s="21">
        <v>3050</v>
      </c>
      <c r="P31" s="21">
        <v>4590</v>
      </c>
      <c r="Q31" s="21">
        <v>5521</v>
      </c>
      <c r="R31" s="21">
        <v>5933</v>
      </c>
      <c r="S31" s="21">
        <v>5600</v>
      </c>
      <c r="T31" s="21">
        <v>4204</v>
      </c>
      <c r="U31" s="122">
        <v>3632</v>
      </c>
      <c r="V31" s="161">
        <f>LN(Table2[[#This Row],[2025]]/Table2[[#This Row],[2024]])</f>
        <v>-0.14625299227565783</v>
      </c>
      <c r="W31" s="161">
        <f>LN(Table2[[#This Row],[2025]]/Table2[[#This Row],[2023]])</f>
        <v>-0.43298313700205671</v>
      </c>
      <c r="X31" s="143">
        <f>LN(Table2[[#This Row],[2025]]/Table2[[#This Row],[2019]])</f>
        <v>0.17464187011972654</v>
      </c>
    </row>
    <row r="32" spans="1:24" s="15" customFormat="1" ht="13.5" thickBot="1" x14ac:dyDescent="0.25">
      <c r="A32" s="1"/>
      <c r="B32" s="31" t="s">
        <v>42</v>
      </c>
      <c r="C32" s="30">
        <f t="shared" ref="C32:G32" si="6">SUM(C27:C31)</f>
        <v>98228</v>
      </c>
      <c r="D32" s="30">
        <f t="shared" si="6"/>
        <v>115629</v>
      </c>
      <c r="E32" s="30">
        <f t="shared" si="6"/>
        <v>130714</v>
      </c>
      <c r="F32" s="30">
        <f t="shared" si="6"/>
        <v>148995</v>
      </c>
      <c r="G32" s="30">
        <f t="shared" si="6"/>
        <v>163625</v>
      </c>
      <c r="H32" s="30">
        <f>SUM(H27:H31)</f>
        <v>169107</v>
      </c>
      <c r="I32" s="30">
        <f>SUM(I27:I31)</f>
        <v>192415</v>
      </c>
      <c r="J32" s="157">
        <f>LN(Table1[[#This Row],[2025]]/Table1[[#This Row],[2024]])</f>
        <v>0.12912284709899433</v>
      </c>
      <c r="K32" s="139">
        <f>LN(Table1[[#This Row],[2025]]/Table1[[#This Row],[2023]])</f>
        <v>0.16207727354058082</v>
      </c>
      <c r="L32" s="157">
        <f>LN(Table1[[#This Row],[2025]]/Table1[[#This Row],[2019]])</f>
        <v>0.67236319066984507</v>
      </c>
      <c r="M32" s="1"/>
      <c r="N32" s="29" t="s">
        <v>74</v>
      </c>
      <c r="O32" s="23">
        <v>1017</v>
      </c>
      <c r="P32" s="23">
        <v>1259</v>
      </c>
      <c r="Q32" s="23">
        <v>1153</v>
      </c>
      <c r="R32" s="23">
        <v>1112</v>
      </c>
      <c r="S32" s="23">
        <v>1402</v>
      </c>
      <c r="T32" s="23">
        <v>1508</v>
      </c>
      <c r="U32" s="122">
        <v>1493</v>
      </c>
      <c r="V32" s="141">
        <f>LN(Table2[[#This Row],[2025]]/Table2[[#This Row],[2024]])</f>
        <v>-9.9967510287110387E-3</v>
      </c>
      <c r="W32" s="142">
        <f>LN(Table2[[#This Row],[2025]]/Table2[[#This Row],[2023]])</f>
        <v>6.288772994465501E-2</v>
      </c>
      <c r="X32" s="143">
        <f>LN(Table2[[#This Row],[2025]]/Table2[[#This Row],[2019]])</f>
        <v>0.38393040149063051</v>
      </c>
    </row>
    <row r="33" spans="1:24" s="5" customFormat="1" x14ac:dyDescent="0.2">
      <c r="A33" s="1"/>
      <c r="B33" s="34"/>
      <c r="C33" s="22"/>
      <c r="D33" s="22"/>
      <c r="E33" s="22"/>
      <c r="F33" s="22"/>
      <c r="G33" s="22"/>
      <c r="H33" s="22"/>
      <c r="I33" s="122"/>
      <c r="J33" s="9"/>
      <c r="K33" s="10"/>
      <c r="L33" s="11"/>
      <c r="M33" s="1"/>
      <c r="N33" s="29" t="s">
        <v>64</v>
      </c>
      <c r="O33" s="23">
        <v>4198</v>
      </c>
      <c r="P33" s="23">
        <v>5493</v>
      </c>
      <c r="Q33" s="23">
        <v>4970</v>
      </c>
      <c r="R33" s="23">
        <v>5607</v>
      </c>
      <c r="S33" s="23">
        <v>6910</v>
      </c>
      <c r="T33" s="21">
        <v>6927</v>
      </c>
      <c r="U33" s="122">
        <v>7322</v>
      </c>
      <c r="V33" s="141">
        <f>LN(Table2[[#This Row],[2025]]/Table2[[#This Row],[2024]])</f>
        <v>5.5456695657576556E-2</v>
      </c>
      <c r="W33" s="142">
        <f>LN(Table2[[#This Row],[2025]]/Table2[[#This Row],[2023]])</f>
        <v>5.7913876918466022E-2</v>
      </c>
      <c r="X33" s="143">
        <f>LN(Table2[[#This Row],[2025]]/Table2[[#This Row],[2019]])</f>
        <v>0.55627529329960324</v>
      </c>
    </row>
    <row r="34" spans="1:24" x14ac:dyDescent="0.2">
      <c r="B34" s="36" t="s">
        <v>43</v>
      </c>
      <c r="C34" s="22">
        <f t="shared" ref="C34:G34" si="7">C24-C32</f>
        <v>5985</v>
      </c>
      <c r="D34" s="22">
        <f t="shared" si="7"/>
        <v>6238</v>
      </c>
      <c r="E34" s="22">
        <f t="shared" si="7"/>
        <v>7925</v>
      </c>
      <c r="F34" s="22">
        <f t="shared" si="7"/>
        <v>7600</v>
      </c>
      <c r="G34" s="22">
        <f t="shared" si="7"/>
        <v>7715</v>
      </c>
      <c r="H34" s="22">
        <f>H24-H32</f>
        <v>7904</v>
      </c>
      <c r="I34" s="22">
        <f>I24-I32</f>
        <v>6710</v>
      </c>
      <c r="J34" s="154">
        <f>LN(Table1[[#This Row],[2025]]/Table1[[#This Row],[2024]])</f>
        <v>-0.16377000946197626</v>
      </c>
      <c r="K34" s="136">
        <f>LN(Table1[[#This Row],[2025]]/Table1[[#This Row],[2023]])</f>
        <v>-0.13956753483153372</v>
      </c>
      <c r="L34" s="137">
        <f>LN(Table1[[#This Row],[2025]]/Table1[[#This Row],[2019]])</f>
        <v>0.114342611973654</v>
      </c>
      <c r="N34" s="29" t="s">
        <v>65</v>
      </c>
      <c r="O34" s="21">
        <v>700</v>
      </c>
      <c r="P34" s="21">
        <v>0</v>
      </c>
      <c r="Q34" s="21">
        <v>275</v>
      </c>
      <c r="R34" s="21">
        <v>265</v>
      </c>
      <c r="S34" s="21">
        <v>225</v>
      </c>
      <c r="T34" s="33">
        <v>365</v>
      </c>
      <c r="U34" s="122">
        <v>150</v>
      </c>
      <c r="V34" s="161">
        <f>LN(Table2[[#This Row],[2025]]/Table2[[#This Row],[2024]])</f>
        <v>-0.88926205948623582</v>
      </c>
      <c r="W34" s="142">
        <f>LN(Table2[[#This Row],[2025]]/Table2[[#This Row],[2023]])</f>
        <v>-0.40546510810816444</v>
      </c>
      <c r="X34" s="143">
        <f>LN(Table2[[#This Row],[2025]]/Table2[[#This Row],[2019]])</f>
        <v>-1.5404450409471491</v>
      </c>
    </row>
    <row r="35" spans="1:24" x14ac:dyDescent="0.2">
      <c r="B35" s="29" t="s">
        <v>44</v>
      </c>
      <c r="C35" s="21">
        <v>1178</v>
      </c>
      <c r="D35" s="21">
        <v>1666</v>
      </c>
      <c r="E35" s="21">
        <v>1830</v>
      </c>
      <c r="F35" s="21">
        <v>1712</v>
      </c>
      <c r="G35" s="21">
        <v>1724</v>
      </c>
      <c r="H35" s="21">
        <v>1933</v>
      </c>
      <c r="I35" s="122">
        <v>1049</v>
      </c>
      <c r="J35" s="154">
        <f>LN(Table1[[#This Row],[2025]]/Table1[[#This Row],[2024]])</f>
        <v>-0.61123587081203368</v>
      </c>
      <c r="K35" s="127">
        <f>LN(Table1[[#This Row],[2025]]/Table1[[#This Row],[2023]])</f>
        <v>-0.49680984282734125</v>
      </c>
      <c r="L35" s="128">
        <f>LN(Table1[[#This Row],[2025]]/Table1[[#This Row],[2019]])</f>
        <v>-0.11598075581523482</v>
      </c>
      <c r="N35" s="29" t="s">
        <v>66</v>
      </c>
      <c r="O35" s="33">
        <v>1598</v>
      </c>
      <c r="P35" s="33">
        <v>700</v>
      </c>
      <c r="Q35" s="33">
        <v>1599</v>
      </c>
      <c r="R35" s="33">
        <v>1500</v>
      </c>
      <c r="S35" s="33">
        <v>1649</v>
      </c>
      <c r="T35" s="25">
        <v>1649</v>
      </c>
      <c r="U35" s="122">
        <v>1099</v>
      </c>
      <c r="V35" s="141">
        <f>LN(Table2[[#This Row],[2025]]/Table2[[#This Row],[2024]])</f>
        <v>-0.40576836815597761</v>
      </c>
      <c r="W35" s="142">
        <f>LN(Table2[[#This Row],[2025]]/Table2[[#This Row],[2023]])</f>
        <v>-0.40576836815597761</v>
      </c>
      <c r="X35" s="143">
        <f>LN(Table2[[#This Row],[2025]]/Table2[[#This Row],[2019]])</f>
        <v>-0.37435217192259856</v>
      </c>
    </row>
    <row r="36" spans="1:24" ht="13.5" thickBot="1" x14ac:dyDescent="0.25">
      <c r="B36" s="31" t="s">
        <v>45</v>
      </c>
      <c r="C36" s="30">
        <f t="shared" ref="C36:G36" si="8">C34-C35</f>
        <v>4807</v>
      </c>
      <c r="D36" s="30">
        <f t="shared" si="8"/>
        <v>4572</v>
      </c>
      <c r="E36" s="30">
        <f t="shared" si="8"/>
        <v>6095</v>
      </c>
      <c r="F36" s="30">
        <f t="shared" si="8"/>
        <v>5888</v>
      </c>
      <c r="G36" s="30">
        <f t="shared" si="8"/>
        <v>5991</v>
      </c>
      <c r="H36" s="30">
        <f>H34-H35</f>
        <v>5971</v>
      </c>
      <c r="I36" s="30">
        <f>I34-I35</f>
        <v>5661</v>
      </c>
      <c r="J36" s="138">
        <f>LN(Table1[[#This Row],[2025]]/Table1[[#This Row],[2024]])</f>
        <v>-5.331386251033246E-2</v>
      </c>
      <c r="K36" s="139">
        <f>LN(Table1[[#This Row],[2025]]/Table1[[#This Row],[2023]])</f>
        <v>-5.6657788047265054E-2</v>
      </c>
      <c r="L36" s="140">
        <f>LN(Table1[[#This Row],[2025]]/Table1[[#This Row],[2019]])</f>
        <v>0.16352736614269917</v>
      </c>
      <c r="N36" s="29" t="s">
        <v>54</v>
      </c>
      <c r="O36" s="25">
        <v>4127</v>
      </c>
      <c r="P36" s="25">
        <v>6052</v>
      </c>
      <c r="Q36" s="25">
        <v>7849</v>
      </c>
      <c r="R36" s="25">
        <v>9683</v>
      </c>
      <c r="S36" s="25">
        <v>9894</v>
      </c>
      <c r="T36" s="25">
        <v>10029</v>
      </c>
      <c r="U36" s="122">
        <v>10255</v>
      </c>
      <c r="V36" s="141">
        <f>LN(Table2[[#This Row],[2025]]/Table2[[#This Row],[2024]])</f>
        <v>2.2284495418272744E-2</v>
      </c>
      <c r="W36" s="142">
        <f>LN(Table2[[#This Row],[2025]]/Table2[[#This Row],[2023]])</f>
        <v>3.5836878718827174E-2</v>
      </c>
      <c r="X36" s="143">
        <f>LN(Table2[[#This Row],[2025]]/Table2[[#This Row],[2019]])</f>
        <v>0.91021464075389913</v>
      </c>
    </row>
    <row r="37" spans="1:24" x14ac:dyDescent="0.2">
      <c r="B37" s="29"/>
      <c r="C37" s="23"/>
      <c r="D37" s="23"/>
      <c r="E37" s="23"/>
      <c r="F37" s="23"/>
      <c r="G37" s="23"/>
      <c r="H37" s="23"/>
      <c r="I37" s="122"/>
      <c r="J37" s="9"/>
      <c r="K37" s="10"/>
      <c r="L37" s="11"/>
      <c r="N37" s="29" t="s">
        <v>67</v>
      </c>
      <c r="O37" s="25">
        <v>0</v>
      </c>
      <c r="P37" s="25">
        <v>0</v>
      </c>
      <c r="Q37" s="25">
        <v>0</v>
      </c>
      <c r="R37" s="25">
        <v>0</v>
      </c>
      <c r="S37" s="25">
        <v>0</v>
      </c>
      <c r="T37" s="25">
        <v>153</v>
      </c>
      <c r="U37" s="122">
        <v>0</v>
      </c>
      <c r="V37" s="141" t="e">
        <f>LN(Table2[[#This Row],[2025]]/Table2[[#This Row],[2024]])</f>
        <v>#NUM!</v>
      </c>
      <c r="W37" s="142" t="e">
        <f>LN(Table2[[#This Row],[2025]]/Table2[[#This Row],[2023]])</f>
        <v>#DIV/0!</v>
      </c>
      <c r="X37" s="143" t="e">
        <f>LN(Table2[[#This Row],[2025]]/Table2[[#This Row],[2019]])</f>
        <v>#DIV/0!</v>
      </c>
    </row>
    <row r="38" spans="1:24" ht="13.5" thickBot="1" x14ac:dyDescent="0.25">
      <c r="B38" s="35" t="s">
        <v>1</v>
      </c>
      <c r="C38" s="58">
        <v>260.3</v>
      </c>
      <c r="D38" s="58">
        <v>254.3</v>
      </c>
      <c r="E38" s="58">
        <v>246.8</v>
      </c>
      <c r="F38" s="58">
        <v>242.8</v>
      </c>
      <c r="G38" s="58">
        <v>237.4</v>
      </c>
      <c r="H38" s="58">
        <v>232.9</v>
      </c>
      <c r="I38" s="122">
        <v>224.6</v>
      </c>
      <c r="J38" s="126">
        <f>LN(Table1[[#This Row],[2025]]/Table1[[#This Row],[2024]])</f>
        <v>-3.6288134585952515E-2</v>
      </c>
      <c r="K38" s="127">
        <f>LN(Table1[[#This Row],[2025]]/Table1[[#This Row],[2023]])</f>
        <v>-5.5425439871224877E-2</v>
      </c>
      <c r="L38" s="128">
        <f>LN(Table1[[#This Row],[2025]]/Table1[[#This Row],[2019]])</f>
        <v>-0.14751376969617694</v>
      </c>
      <c r="N38" s="31" t="s">
        <v>72</v>
      </c>
      <c r="O38" s="30">
        <f t="shared" ref="O38:S38" si="9">SUM(O30:O37)</f>
        <v>23532</v>
      </c>
      <c r="P38" s="30">
        <f t="shared" si="9"/>
        <v>29453</v>
      </c>
      <c r="Q38" s="30">
        <f t="shared" si="9"/>
        <v>34885</v>
      </c>
      <c r="R38" s="30">
        <f t="shared" si="9"/>
        <v>39696</v>
      </c>
      <c r="S38" s="30">
        <f t="shared" si="9"/>
        <v>41791</v>
      </c>
      <c r="T38" s="30">
        <f>SUM(T30:T37)</f>
        <v>40581</v>
      </c>
      <c r="U38" s="30">
        <f>SUM(U30:U37)</f>
        <v>41035</v>
      </c>
      <c r="V38" s="138">
        <f>LN(Table2[[#This Row],[2025]]/Table2[[#This Row],[2024]])</f>
        <v>1.1125384306508551E-2</v>
      </c>
      <c r="W38" s="139">
        <f>LN(Table2[[#This Row],[2025]]/Table2[[#This Row],[2023]])</f>
        <v>-1.8255644261508816E-2</v>
      </c>
      <c r="X38" s="157">
        <f>LN(Table2[[#This Row],[2025]]/Table2[[#This Row],[2019]])</f>
        <v>0.55606416407946535</v>
      </c>
    </row>
    <row r="39" spans="1:24" x14ac:dyDescent="0.2">
      <c r="B39" s="35" t="s">
        <v>46</v>
      </c>
      <c r="C39" s="38">
        <f t="shared" ref="C39:F39" si="10">C36/C38</f>
        <v>18.467153284671532</v>
      </c>
      <c r="D39" s="38">
        <f t="shared" si="10"/>
        <v>17.978765237907982</v>
      </c>
      <c r="E39" s="38">
        <f t="shared" si="10"/>
        <v>24.696110210696919</v>
      </c>
      <c r="F39" s="38">
        <f t="shared" si="10"/>
        <v>24.250411861614495</v>
      </c>
      <c r="G39" s="38">
        <f>G36/G38</f>
        <v>25.235888795282225</v>
      </c>
      <c r="H39" s="38">
        <f>H36/H38</f>
        <v>25.637612709317303</v>
      </c>
      <c r="I39" s="38">
        <f>I36/I38</f>
        <v>25.204808548530721</v>
      </c>
      <c r="J39" s="126">
        <f>LN(Table1[[#This Row],[2025]]/Table1[[#This Row],[2024]])</f>
        <v>-1.7025727924379955E-2</v>
      </c>
      <c r="K39" s="127">
        <f>LN(Table1[[#This Row],[2025]]/Table1[[#This Row],[2023]])</f>
        <v>-1.2323481760402389E-3</v>
      </c>
      <c r="L39" s="128">
        <f>LN(Table1[[#This Row],[2025]]/Table1[[#This Row],[2019]])</f>
        <v>0.31104113583887616</v>
      </c>
      <c r="N39" s="37" t="s">
        <v>68</v>
      </c>
      <c r="O39" s="14">
        <v>17787</v>
      </c>
      <c r="P39" s="14">
        <v>19335</v>
      </c>
      <c r="Q39" s="14">
        <v>21157</v>
      </c>
      <c r="R39" s="14">
        <v>22349</v>
      </c>
      <c r="S39" s="14">
        <v>23246</v>
      </c>
      <c r="T39" s="14">
        <v>29218</v>
      </c>
      <c r="U39" s="122">
        <v>30797</v>
      </c>
      <c r="V39" s="141">
        <f>LN(Table2[[#This Row],[2025]]/Table2[[#This Row],[2024]])</f>
        <v>5.263232492786292E-2</v>
      </c>
      <c r="W39" s="142">
        <f>LN(Table2[[#This Row],[2025]]/Table2[[#This Row],[2023]])</f>
        <v>0.28128420841666885</v>
      </c>
      <c r="X39" s="143">
        <f>LN(Table2[[#This Row],[2025]]/Table2[[#This Row],[2019]])</f>
        <v>0.5489494292448448</v>
      </c>
    </row>
    <row r="40" spans="1:24" x14ac:dyDescent="0.2">
      <c r="B40" s="37" t="s">
        <v>47</v>
      </c>
      <c r="C40" s="59">
        <v>244.58</v>
      </c>
      <c r="D40" s="59">
        <v>277.5</v>
      </c>
      <c r="E40" s="59">
        <v>417.07</v>
      </c>
      <c r="F40" s="59">
        <v>477.84</v>
      </c>
      <c r="G40" s="59">
        <v>388.19</v>
      </c>
      <c r="H40" s="60">
        <v>348.38</v>
      </c>
      <c r="I40" s="125">
        <v>343.62</v>
      </c>
      <c r="J40" s="126">
        <f>LN(Table1[[#This Row],[2025]]/Table1[[#This Row],[2024]])</f>
        <v>-1.3757442415494703E-2</v>
      </c>
      <c r="K40" s="127">
        <f>LN(Table1[[#This Row],[2025]]/Table1[[#This Row],[2023]])</f>
        <v>-0.12195851485172826</v>
      </c>
      <c r="L40" s="128">
        <f>LN(Table1[[#This Row],[2025]]/Table1[[#This Row],[2019]])</f>
        <v>0.33999394187259707</v>
      </c>
      <c r="N40" s="35" t="s">
        <v>69</v>
      </c>
      <c r="O40" s="33">
        <v>759</v>
      </c>
      <c r="P40" s="33">
        <v>794</v>
      </c>
      <c r="Q40" s="33">
        <v>802</v>
      </c>
      <c r="R40" s="33">
        <v>737</v>
      </c>
      <c r="S40" s="33">
        <v>778</v>
      </c>
      <c r="T40" s="33">
        <v>190</v>
      </c>
      <c r="U40" s="122">
        <v>145</v>
      </c>
      <c r="V40" s="161">
        <f>LN(Table2[[#This Row],[2025]]/Table2[[#This Row],[2024]])</f>
        <v>-0.27029032973991168</v>
      </c>
      <c r="W40" s="161">
        <f>LN(Table2[[#This Row],[2025]]/Table2[[#This Row],[2023]])</f>
        <v>-1.6799927817578171</v>
      </c>
      <c r="X40" s="143">
        <f>LN(Table2[[#This Row],[2025]]/Table2[[#This Row],[2019]])</f>
        <v>-1.6552680349750555</v>
      </c>
    </row>
    <row r="41" spans="1:24" x14ac:dyDescent="0.2">
      <c r="B41" s="37" t="s">
        <v>2</v>
      </c>
      <c r="C41" s="57">
        <f t="shared" ref="C41:G41" si="11">C38*C40</f>
        <v>63664.174000000006</v>
      </c>
      <c r="D41" s="57">
        <f t="shared" si="11"/>
        <v>70568.25</v>
      </c>
      <c r="E41" s="57">
        <f t="shared" si="11"/>
        <v>102932.876</v>
      </c>
      <c r="F41" s="57">
        <f t="shared" si="11"/>
        <v>116019.552</v>
      </c>
      <c r="G41" s="57">
        <f t="shared" si="11"/>
        <v>92156.305999999997</v>
      </c>
      <c r="H41" s="57">
        <f>H38*H40</f>
        <v>81137.702000000005</v>
      </c>
      <c r="I41" s="57">
        <f t="shared" ref="I41" si="12">I38*I40</f>
        <v>77177.051999999996</v>
      </c>
      <c r="J41" s="126">
        <f>LN(Table1[[#This Row],[2025]]/Table1[[#This Row],[2024]])</f>
        <v>-5.0045577001447274E-2</v>
      </c>
      <c r="K41" s="127">
        <f>LN(Table1[[#This Row],[2025]]/Table1[[#This Row],[2023]])</f>
        <v>-0.17738395472295315</v>
      </c>
      <c r="L41" s="128">
        <f>LN(Table1[[#This Row],[2025]]/Table1[[#This Row],[2019]])</f>
        <v>0.19248017217642005</v>
      </c>
      <c r="N41" s="40" t="s">
        <v>70</v>
      </c>
      <c r="O41" s="23">
        <v>2227</v>
      </c>
      <c r="P41" s="23">
        <v>2019</v>
      </c>
      <c r="Q41" s="23">
        <v>2805</v>
      </c>
      <c r="R41" s="23">
        <v>2034</v>
      </c>
      <c r="S41" s="23">
        <v>1970</v>
      </c>
      <c r="T41" s="23">
        <v>2148</v>
      </c>
      <c r="U41" s="122">
        <v>2110</v>
      </c>
      <c r="V41" s="141">
        <f>LN(Table2[[#This Row],[2025]]/Table2[[#This Row],[2024]])</f>
        <v>-1.7849229158643135E-2</v>
      </c>
      <c r="W41" s="142">
        <f>LN(Table2[[#This Row],[2025]]/Table2[[#This Row],[2023]])</f>
        <v>6.8654404738077976E-2</v>
      </c>
      <c r="X41" s="143">
        <f>LN(Table2[[#This Row],[2025]]/Table2[[#This Row],[2019]])</f>
        <v>-5.3967440787255454E-2</v>
      </c>
    </row>
    <row r="42" spans="1:24" x14ac:dyDescent="0.2">
      <c r="B42" s="42" t="s">
        <v>76</v>
      </c>
      <c r="C42" s="61">
        <f>(C20-C27-C28-C29)/C20</f>
        <v>5.8163097119477224E-2</v>
      </c>
      <c r="D42" s="61">
        <f t="shared" ref="D42:H42" si="13">(D20-D27-D28-D29)/D20</f>
        <v>5.2645520164227536E-2</v>
      </c>
      <c r="E42" s="61">
        <f t="shared" si="13"/>
        <v>5.4686986556450497E-2</v>
      </c>
      <c r="F42" s="61">
        <f t="shared" si="13"/>
        <v>5.3212128999100605E-2</v>
      </c>
      <c r="G42" s="61">
        <f t="shared" si="13"/>
        <v>4.9932729761645978E-2</v>
      </c>
      <c r="H42" s="61">
        <f t="shared" si="13"/>
        <v>4.4873404716787288E-2</v>
      </c>
      <c r="I42" s="61">
        <f t="shared" ref="I42" si="14">(I20-I27-I28-I29)/I20</f>
        <v>3.6435136448295408E-2</v>
      </c>
      <c r="J42" s="154">
        <f>LN(Table1[[#This Row],[2025]]/Table1[[#This Row],[2024]])</f>
        <v>-0.20831170059607443</v>
      </c>
      <c r="K42" s="127">
        <f>LN(Table1[[#This Row],[2025]]/Table1[[#This Row],[2023]])</f>
        <v>-0.31514309869763696</v>
      </c>
      <c r="L42" s="154">
        <f>LN(Table1[[#This Row],[2025]]/Table1[[#This Row],[2019]])</f>
        <v>-0.46771748742401192</v>
      </c>
      <c r="N42" s="37" t="s">
        <v>54</v>
      </c>
      <c r="O42" s="33">
        <v>1420</v>
      </c>
      <c r="P42" s="33">
        <v>1815</v>
      </c>
      <c r="Q42" s="33">
        <v>1683</v>
      </c>
      <c r="R42" s="33">
        <v>1562</v>
      </c>
      <c r="S42" s="33">
        <v>1738</v>
      </c>
      <c r="T42" s="33">
        <v>3326</v>
      </c>
      <c r="U42" s="122">
        <v>3381</v>
      </c>
      <c r="V42" s="141">
        <f>LN(Table2[[#This Row],[2025]]/Table2[[#This Row],[2024]])</f>
        <v>1.640114295501301E-2</v>
      </c>
      <c r="W42" s="142">
        <f>LN(Table2[[#This Row],[2025]]/Table2[[#This Row],[2023]])</f>
        <v>0.66543649688254869</v>
      </c>
      <c r="X42" s="143">
        <f>LN(Table2[[#This Row],[2025]]/Table2[[#This Row],[2019]])</f>
        <v>0.86751465211257961</v>
      </c>
    </row>
    <row r="43" spans="1:24" ht="13.5" thickBot="1" x14ac:dyDescent="0.25">
      <c r="B43" s="55" t="s">
        <v>77</v>
      </c>
      <c r="C43" s="64">
        <f>C36/C24</f>
        <v>4.6126682851467669E-2</v>
      </c>
      <c r="D43" s="64">
        <f t="shared" ref="D43:H43" si="15">D36/D24</f>
        <v>3.7516308762831609E-2</v>
      </c>
      <c r="E43" s="64">
        <f t="shared" si="15"/>
        <v>4.3963098406653252E-2</v>
      </c>
      <c r="F43" s="64">
        <f t="shared" si="15"/>
        <v>3.7600178805198121E-2</v>
      </c>
      <c r="G43" s="64">
        <f t="shared" si="15"/>
        <v>3.4965565542196798E-2</v>
      </c>
      <c r="H43" s="64">
        <f t="shared" si="15"/>
        <v>3.373236691505048E-2</v>
      </c>
      <c r="I43" s="64">
        <f t="shared" ref="I43" si="16">I36/I24</f>
        <v>2.8429378531073447E-2</v>
      </c>
      <c r="J43" s="126">
        <f>LN(Table1[[#This Row],[2025]]/Table1[[#This Row],[2024]])</f>
        <v>-0.17103475320509881</v>
      </c>
      <c r="K43" s="127">
        <f>LN(Table1[[#This Row],[2025]]/Table1[[#This Row],[2023]])</f>
        <v>-0.20694066974157962</v>
      </c>
      <c r="L43" s="128">
        <f>LN(Table1[[#This Row],[2025]]/Table1[[#This Row],[2019]])</f>
        <v>-0.48396852047336247</v>
      </c>
      <c r="N43" s="31" t="s">
        <v>71</v>
      </c>
      <c r="O43" s="30">
        <f t="shared" ref="O43:S43" si="17">SUM(O38:O42)</f>
        <v>45725</v>
      </c>
      <c r="P43" s="30">
        <f t="shared" si="17"/>
        <v>53416</v>
      </c>
      <c r="Q43" s="30">
        <f t="shared" si="17"/>
        <v>61332</v>
      </c>
      <c r="R43" s="30">
        <f t="shared" si="17"/>
        <v>66378</v>
      </c>
      <c r="S43" s="30">
        <f t="shared" si="17"/>
        <v>69523</v>
      </c>
      <c r="T43" s="30">
        <f>SUM(T38:T42)</f>
        <v>75463</v>
      </c>
      <c r="U43" s="30">
        <f>SUM(U38:U42)</f>
        <v>77468</v>
      </c>
      <c r="V43" s="138">
        <f>LN(Table2[[#This Row],[2025]]/Table2[[#This Row],[2024]])</f>
        <v>2.6222477957371277E-2</v>
      </c>
      <c r="W43" s="139">
        <f>LN(Table2[[#This Row],[2025]]/Table2[[#This Row],[2023]])</f>
        <v>0.10820731478993284</v>
      </c>
      <c r="X43" s="157">
        <f>LN(Table2[[#This Row],[2025]]/Table2[[#This Row],[2019]])</f>
        <v>0.52721975358855599</v>
      </c>
    </row>
    <row r="44" spans="1:24" x14ac:dyDescent="0.2">
      <c r="B44" s="54" t="s">
        <v>80</v>
      </c>
      <c r="C44" s="66">
        <f>C11/C20</f>
        <v>0.36281401188664064</v>
      </c>
      <c r="D44" s="66">
        <f t="shared" ref="D44:H44" si="18">D11/D20</f>
        <v>0.30377955102311105</v>
      </c>
      <c r="E44" s="66">
        <f t="shared" si="18"/>
        <v>0.28339528124840263</v>
      </c>
      <c r="F44" s="66">
        <f t="shared" si="18"/>
        <v>0.26772452781703715</v>
      </c>
      <c r="G44" s="66">
        <f t="shared" si="18"/>
        <v>0.25419337402840037</v>
      </c>
      <c r="H44" s="66">
        <f t="shared" si="18"/>
        <v>0.26720851122120498</v>
      </c>
      <c r="I44" s="66">
        <f t="shared" ref="I44" si="19">I11/I20</f>
        <v>0.25508644424649768</v>
      </c>
      <c r="J44" s="154">
        <f>LN(Table1[[#This Row],[2025]]/Table1[[#This Row],[2024]])</f>
        <v>-4.6426809770956715E-2</v>
      </c>
      <c r="K44" s="127">
        <f>LN(Table1[[#This Row],[2025]]/Table1[[#This Row],[2023]])</f>
        <v>3.5071923193377248E-3</v>
      </c>
      <c r="L44" s="128">
        <f>LN(Table1[[#This Row],[2025]]/Table1[[#This Row],[2019]])</f>
        <v>-0.35228785425594333</v>
      </c>
      <c r="N44" s="41"/>
      <c r="O44" s="33"/>
      <c r="P44" s="33"/>
      <c r="Q44" s="33"/>
      <c r="R44" s="33"/>
      <c r="S44" s="33"/>
      <c r="T44" s="33"/>
      <c r="U44" s="122"/>
      <c r="V44" s="46"/>
      <c r="W44" s="47"/>
      <c r="X44" s="48"/>
    </row>
    <row r="45" spans="1:24" x14ac:dyDescent="0.2">
      <c r="B45" s="55" t="s">
        <v>81</v>
      </c>
      <c r="C45" s="63">
        <f>C15/C20</f>
        <v>0.60724639086299337</v>
      </c>
      <c r="D45" s="63">
        <f t="shared" ref="D45:H45" si="20">D15/D20</f>
        <v>0.59244420899278194</v>
      </c>
      <c r="E45" s="63">
        <f t="shared" si="20"/>
        <v>0.60550009858116149</v>
      </c>
      <c r="F45" s="63">
        <f t="shared" si="20"/>
        <v>0.62193241680585898</v>
      </c>
      <c r="G45" s="63">
        <f t="shared" si="20"/>
        <v>0.61868056330746313</v>
      </c>
      <c r="H45" s="63">
        <f t="shared" si="20"/>
        <v>0.59050592452227113</v>
      </c>
      <c r="I45" s="63">
        <f t="shared" ref="I45" si="21">I15/I20</f>
        <v>0.59059944125030361</v>
      </c>
      <c r="J45" s="126">
        <f>LN(Table1[[#This Row],[2025]]/Table1[[#This Row],[2024]])</f>
        <v>1.5835459043359769E-4</v>
      </c>
      <c r="K45" s="127">
        <f>LN(Table1[[#This Row],[2025]]/Table1[[#This Row],[2023]])</f>
        <v>-4.6451063430333055E-2</v>
      </c>
      <c r="L45" s="128">
        <f>LN(Table1[[#This Row],[2025]]/Table1[[#This Row],[2019]])</f>
        <v>-2.7796601214407666E-2</v>
      </c>
      <c r="N45" s="4" t="s">
        <v>75</v>
      </c>
      <c r="O45" s="22">
        <f t="shared" ref="O45:S45" si="22">O26-O43</f>
        <v>31728</v>
      </c>
      <c r="P45" s="22">
        <f t="shared" si="22"/>
        <v>33199</v>
      </c>
      <c r="Q45" s="22">
        <f t="shared" si="22"/>
        <v>36128</v>
      </c>
      <c r="R45" s="22">
        <f t="shared" si="22"/>
        <v>36394</v>
      </c>
      <c r="S45" s="22">
        <f t="shared" si="22"/>
        <v>39405</v>
      </c>
      <c r="T45" s="22">
        <f>T26-T43</f>
        <v>41426</v>
      </c>
      <c r="U45" s="22">
        <f>U26-U43</f>
        <v>44026</v>
      </c>
      <c r="V45" s="144">
        <f>LN(Table2[[#This Row],[2025]]/Table2[[#This Row],[2024]])</f>
        <v>6.0871665457808297E-2</v>
      </c>
      <c r="W45" s="145">
        <f>LN(Table2[[#This Row],[2025]]/Table2[[#This Row],[2023]])</f>
        <v>0.11088765668552675</v>
      </c>
      <c r="X45" s="161">
        <f>LN(Table2[[#This Row],[2025]]/Table2[[#This Row],[2019]])</f>
        <v>0.32758079671369933</v>
      </c>
    </row>
    <row r="46" spans="1:24" x14ac:dyDescent="0.2">
      <c r="B46" s="65" t="s">
        <v>82</v>
      </c>
      <c r="C46" s="63">
        <f>C16/C20</f>
        <v>5.2374904257278872E-2</v>
      </c>
      <c r="D46" s="63">
        <f t="shared" ref="D46:H46" si="23">D16/D20</f>
        <v>0.18137043904377192</v>
      </c>
      <c r="E46" s="63">
        <f t="shared" si="23"/>
        <v>0.18570500135092702</v>
      </c>
      <c r="F46" s="63">
        <f t="shared" si="23"/>
        <v>0.18325838365668765</v>
      </c>
      <c r="G46" s="63">
        <f t="shared" si="23"/>
        <v>0.19878502311863649</v>
      </c>
      <c r="H46" s="63">
        <f t="shared" si="23"/>
        <v>0.20525216319262118</v>
      </c>
      <c r="I46" s="63">
        <f t="shared" ref="I46" si="24">I16/I20</f>
        <v>0.21965341323184062</v>
      </c>
      <c r="J46" s="126">
        <f>LN(Table1[[#This Row],[2025]]/Table1[[#This Row],[2024]])</f>
        <v>6.7811622129714935E-2</v>
      </c>
      <c r="K46" s="127">
        <f>LN(Table1[[#This Row],[2025]]/Table1[[#This Row],[2023]])</f>
        <v>9.9826954753856723E-2</v>
      </c>
      <c r="L46" s="128">
        <f>LN(Table1[[#This Row],[2025]]/Table1[[#This Row],[2019]])</f>
        <v>1.4336233594957137</v>
      </c>
      <c r="N46" s="65" t="s">
        <v>48</v>
      </c>
      <c r="O46" s="57">
        <f>O11</f>
        <v>4937</v>
      </c>
      <c r="P46" s="57">
        <f t="shared" ref="P46:T46" si="25">P11</f>
        <v>5741</v>
      </c>
      <c r="Q46" s="57">
        <f t="shared" si="25"/>
        <v>4880</v>
      </c>
      <c r="R46" s="57">
        <f t="shared" si="25"/>
        <v>7387</v>
      </c>
      <c r="S46" s="57">
        <f t="shared" si="25"/>
        <v>6526</v>
      </c>
      <c r="T46" s="57">
        <f t="shared" si="25"/>
        <v>8288</v>
      </c>
      <c r="U46" s="57">
        <f t="shared" ref="U46" si="26">U11</f>
        <v>9491</v>
      </c>
      <c r="V46" s="161">
        <f>LN(Table2[[#This Row],[2025]]/Table2[[#This Row],[2024]])</f>
        <v>0.13553529563122799</v>
      </c>
      <c r="W46" s="161">
        <f>LN(Table2[[#This Row],[2025]]/Table2[[#This Row],[2023]])</f>
        <v>0.37454978297722619</v>
      </c>
      <c r="X46" s="161">
        <f>LN(Table2[[#This Row],[2025]]/Table2[[#This Row],[2019]])</f>
        <v>0.65358612187162934</v>
      </c>
    </row>
    <row r="47" spans="1:24" x14ac:dyDescent="0.2">
      <c r="B47" s="65" t="s">
        <v>83</v>
      </c>
      <c r="C47" s="63">
        <f>C17/C20</f>
        <v>2.2231702232865688E-2</v>
      </c>
      <c r="D47" s="63">
        <f t="shared" ref="D47:H47" si="27">D17/D20</f>
        <v>5.013740811866764E-2</v>
      </c>
      <c r="E47" s="63">
        <f t="shared" si="27"/>
        <v>7.4848659661318942E-2</v>
      </c>
      <c r="F47" s="63">
        <f t="shared" si="27"/>
        <v>8.2615957856867525E-2</v>
      </c>
      <c r="G47" s="63">
        <f t="shared" si="27"/>
        <v>8.3115463929639449E-2</v>
      </c>
      <c r="H47" s="63">
        <f t="shared" si="27"/>
        <v>0.10251478276751673</v>
      </c>
      <c r="I47" s="63">
        <f t="shared" ref="I47" si="28">I17/I20</f>
        <v>0.14331119928739169</v>
      </c>
      <c r="J47" s="154">
        <f>LN(Table1[[#This Row],[2025]]/Table1[[#This Row],[2024]])</f>
        <v>0.33501147421704636</v>
      </c>
      <c r="K47" s="154">
        <f>LN(Table1[[#This Row],[2025]]/Table1[[#This Row],[2023]])</f>
        <v>0.54478771176683183</v>
      </c>
      <c r="L47" s="154">
        <f>LN(Table1[[#This Row],[2025]]/Table1[[#This Row],[2019]])</f>
        <v>1.863499185795954</v>
      </c>
      <c r="N47" s="65" t="s">
        <v>84</v>
      </c>
      <c r="O47" s="67">
        <f>O34+O35+O39</f>
        <v>20085</v>
      </c>
      <c r="P47" s="67">
        <f t="shared" ref="P47:T47" si="29">P34+P35+P39</f>
        <v>20035</v>
      </c>
      <c r="Q47" s="67">
        <f t="shared" si="29"/>
        <v>23031</v>
      </c>
      <c r="R47" s="67">
        <f t="shared" si="29"/>
        <v>24114</v>
      </c>
      <c r="S47" s="67">
        <f t="shared" si="29"/>
        <v>25120</v>
      </c>
      <c r="T47" s="67">
        <f t="shared" si="29"/>
        <v>31232</v>
      </c>
      <c r="U47" s="67">
        <f t="shared" ref="U47" si="30">U34+U35+U39</f>
        <v>32046</v>
      </c>
      <c r="V47" s="141">
        <f>LN(Table2[[#This Row],[2025]]/Table2[[#This Row],[2024]])</f>
        <v>2.572916035500632E-2</v>
      </c>
      <c r="W47" s="142">
        <f>LN(Table2[[#This Row],[2025]]/Table2[[#This Row],[2023]])</f>
        <v>0.24350802898569035</v>
      </c>
      <c r="X47" s="161">
        <f>LN(Table2[[#This Row],[2025]]/Table2[[#This Row],[2019]])</f>
        <v>0.46719910277444271</v>
      </c>
    </row>
    <row r="48" spans="1:24" x14ac:dyDescent="0.2">
      <c r="B48" s="73" t="s">
        <v>86</v>
      </c>
      <c r="C48" s="56">
        <f>C34+C30+C31</f>
        <v>7071</v>
      </c>
      <c r="D48" s="56">
        <f t="shared" ref="D48:H48" si="31">D34+D30+D31</f>
        <v>7419</v>
      </c>
      <c r="E48" s="56">
        <f t="shared" si="31"/>
        <v>9185</v>
      </c>
      <c r="F48" s="56">
        <f t="shared" si="31"/>
        <v>9218</v>
      </c>
      <c r="G48" s="56">
        <f t="shared" si="31"/>
        <v>9630</v>
      </c>
      <c r="H48" s="56">
        <f t="shared" si="31"/>
        <v>9669</v>
      </c>
      <c r="I48" s="56">
        <f t="shared" ref="I48" si="32">I34+I30+I31</f>
        <v>8740</v>
      </c>
      <c r="J48" s="126">
        <f>LN(Table1[[#This Row],[2025]]/Table1[[#This Row],[2024]])</f>
        <v>-0.10101470183396637</v>
      </c>
      <c r="K48" s="127">
        <f>LN(Table1[[#This Row],[2025]]/Table1[[#This Row],[2023]])</f>
        <v>-9.6973036142590147E-2</v>
      </c>
      <c r="L48" s="128">
        <f>LN(Table1[[#This Row],[2025]]/Table1[[#This Row],[2019]])</f>
        <v>0.21190827704534038</v>
      </c>
      <c r="N48" s="65" t="s">
        <v>85</v>
      </c>
      <c r="O48" s="57">
        <f t="shared" ref="O48:T48" si="33">C41-O46+O47</f>
        <v>78812.173999999999</v>
      </c>
      <c r="P48" s="57">
        <f t="shared" si="33"/>
        <v>84862.25</v>
      </c>
      <c r="Q48" s="57">
        <f t="shared" si="33"/>
        <v>121083.876</v>
      </c>
      <c r="R48" s="57">
        <f t="shared" si="33"/>
        <v>132746.552</v>
      </c>
      <c r="S48" s="57">
        <f t="shared" si="33"/>
        <v>110750.306</v>
      </c>
      <c r="T48" s="57">
        <f t="shared" si="33"/>
        <v>104081.702</v>
      </c>
      <c r="U48" s="57">
        <f t="shared" ref="U48" si="34">I41-U46+U47</f>
        <v>99732.051999999996</v>
      </c>
      <c r="V48" s="141">
        <f>LN(Table2[[#This Row],[2025]]/Table2[[#This Row],[2024]])</f>
        <v>-4.26890771199799E-2</v>
      </c>
      <c r="W48" s="142">
        <f>LN(Table2[[#This Row],[2025]]/Table2[[#This Row],[2023]])</f>
        <v>-0.10479106214501339</v>
      </c>
      <c r="X48" s="143">
        <f>LN(Table2[[#This Row],[2025]]/Table2[[#This Row],[2019]])</f>
        <v>0.23541963243919795</v>
      </c>
    </row>
    <row r="49" spans="2:24" x14ac:dyDescent="0.2">
      <c r="B49" s="65" t="s">
        <v>87</v>
      </c>
      <c r="C49" s="57">
        <f>(C34+C30)*(1-(C35/C34))</f>
        <v>5407.7746031746037</v>
      </c>
      <c r="D49" s="57">
        <f t="shared" ref="D49:H49" si="35">(D34+D30)*(1-(D35/D34))</f>
        <v>5173.0003206155825</v>
      </c>
      <c r="E49" s="57">
        <f t="shared" si="35"/>
        <v>6724.8807570977924</v>
      </c>
      <c r="F49" s="57">
        <f t="shared" si="35"/>
        <v>6547.3010526315793</v>
      </c>
      <c r="G49" s="57">
        <f t="shared" si="35"/>
        <v>6790.8353856124431</v>
      </c>
      <c r="H49" s="57">
        <f t="shared" si="35"/>
        <v>6866.1967358299598</v>
      </c>
      <c r="I49" s="57">
        <f t="shared" ref="I49" si="36">(I34+I30)*(1-(I35/I34))</f>
        <v>6843.819970193741</v>
      </c>
      <c r="J49" s="126">
        <f>LN(Table1[[#This Row],[2025]]/Table1[[#This Row],[2024]])</f>
        <v>-3.2642973361622302E-3</v>
      </c>
      <c r="K49" s="127">
        <f>LN(Table1[[#This Row],[2025]]/Table1[[#This Row],[2023]])</f>
        <v>7.7720851625307811E-3</v>
      </c>
      <c r="L49" s="128">
        <f>LN(Table1[[#This Row],[2025]]/Table1[[#This Row],[2019]])</f>
        <v>0.23550839145472877</v>
      </c>
      <c r="N49" s="68" t="s">
        <v>88</v>
      </c>
      <c r="O49" s="71">
        <f t="shared" ref="O49:T49" si="37">O48/C48</f>
        <v>11.145831424126715</v>
      </c>
      <c r="P49" s="71">
        <f t="shared" si="37"/>
        <v>11.43850249359752</v>
      </c>
      <c r="Q49" s="71">
        <f t="shared" si="37"/>
        <v>13.182784540010887</v>
      </c>
      <c r="R49" s="71">
        <f t="shared" si="37"/>
        <v>14.400797569971793</v>
      </c>
      <c r="S49" s="71">
        <f t="shared" si="37"/>
        <v>11.500550986500519</v>
      </c>
      <c r="T49" s="71">
        <f t="shared" si="37"/>
        <v>10.764474299307064</v>
      </c>
      <c r="U49" s="71">
        <f t="shared" ref="U49" si="38">U48/I48</f>
        <v>11.410989931350114</v>
      </c>
      <c r="V49" s="141">
        <f>LN(Table2[[#This Row],[2025]]/Table2[[#This Row],[2024]])</f>
        <v>5.8325624713986411E-2</v>
      </c>
      <c r="W49" s="142">
        <f>LN(Table2[[#This Row],[2025]]/Table2[[#This Row],[2023]])</f>
        <v>-7.8180260024233623E-3</v>
      </c>
      <c r="X49" s="143">
        <f>LN(Table2[[#This Row],[2025]]/Table2[[#This Row],[2019]])</f>
        <v>2.3511355393857607E-2</v>
      </c>
    </row>
    <row r="50" spans="2:24" ht="25.5" x14ac:dyDescent="0.2">
      <c r="B50" s="90" t="s">
        <v>109</v>
      </c>
      <c r="C50" s="75" t="s">
        <v>79</v>
      </c>
      <c r="D50" s="75" t="s">
        <v>79</v>
      </c>
      <c r="E50" s="75" t="s">
        <v>79</v>
      </c>
      <c r="F50" s="76">
        <f t="shared" ref="F50:G50" si="39">F11/(SUM($H$11:$H$14))</f>
        <v>0.27731824987522874</v>
      </c>
      <c r="G50" s="76">
        <f t="shared" si="39"/>
        <v>0.2879121610380968</v>
      </c>
      <c r="H50" s="76">
        <f>H11/(SUM($H$11:$H$14))</f>
        <v>0.31153551821660291</v>
      </c>
      <c r="I50" s="76">
        <f t="shared" ref="I50:I53" si="40">I11/(SUM($H$11:$H$14))</f>
        <v>0.3353917817334886</v>
      </c>
      <c r="J50" s="126">
        <f>LN(Table1[[#This Row],[2025]]/Table1[[#This Row],[2024]])</f>
        <v>7.3785991312614999E-2</v>
      </c>
      <c r="K50" s="127">
        <f>LN(Table1[[#This Row],[2025]]/Table1[[#This Row],[2023]])</f>
        <v>0.1526439089876514</v>
      </c>
      <c r="L50" s="128" t="e">
        <f>LN(Table1[[#This Row],[2025]]/Table1[[#This Row],[2019]])</f>
        <v>#VALUE!</v>
      </c>
      <c r="N50" s="68" t="s">
        <v>89</v>
      </c>
      <c r="O50" s="72">
        <f>O19/O38</f>
        <v>1.6587200407955125</v>
      </c>
      <c r="P50" s="72">
        <f t="shared" ref="P50:T50" si="41">P19/P38</f>
        <v>1.5533561946151495</v>
      </c>
      <c r="Q50" s="72">
        <f t="shared" si="41"/>
        <v>1.4654436004013187</v>
      </c>
      <c r="R50" s="72">
        <f t="shared" si="41"/>
        <v>1.4010731559854896</v>
      </c>
      <c r="S50" s="72">
        <f t="shared" si="41"/>
        <v>1.4364097532961642</v>
      </c>
      <c r="T50" s="72">
        <f t="shared" si="41"/>
        <v>1.4524531184544491</v>
      </c>
      <c r="U50" s="72">
        <f t="shared" ref="U50" si="42">U19/U38</f>
        <v>1.5352991348848544</v>
      </c>
      <c r="V50" s="141">
        <f>LN(Table2[[#This Row],[2025]]/Table2[[#This Row],[2024]])</f>
        <v>5.5471305428048255E-2</v>
      </c>
      <c r="W50" s="142">
        <f>LN(Table2[[#This Row],[2025]]/Table2[[#This Row],[2023]])</f>
        <v>6.657846475543755E-2</v>
      </c>
      <c r="X50" s="143">
        <f>LN(Table2[[#This Row],[2025]]/Table2[[#This Row],[2019]])</f>
        <v>-7.7321006987483329E-2</v>
      </c>
    </row>
    <row r="51" spans="2:24" ht="25.5" x14ac:dyDescent="0.2">
      <c r="B51" s="89" t="s">
        <v>108</v>
      </c>
      <c r="C51" s="69" t="s">
        <v>79</v>
      </c>
      <c r="D51" s="69" t="s">
        <v>79</v>
      </c>
      <c r="E51" s="69" t="s">
        <v>79</v>
      </c>
      <c r="F51" s="70">
        <f t="shared" ref="F51:G51" si="43">F12/(SUM($H$11:$H$14))</f>
        <v>0.21030776909000165</v>
      </c>
      <c r="G51" s="70">
        <f t="shared" si="43"/>
        <v>0.23335218765596408</v>
      </c>
      <c r="H51" s="70">
        <f>H12/(SUM($H$11:$H$14))</f>
        <v>0.24485110630510731</v>
      </c>
      <c r="I51" s="70">
        <f t="shared" si="40"/>
        <v>0.29780069871901516</v>
      </c>
      <c r="J51" s="154">
        <f>LN(Table1[[#This Row],[2025]]/Table1[[#This Row],[2024]])</f>
        <v>0.1957741700810417</v>
      </c>
      <c r="K51" s="127">
        <f>LN(Table1[[#This Row],[2025]]/Table1[[#This Row],[2023]])</f>
        <v>0.24387561916586104</v>
      </c>
      <c r="L51" s="128" t="e">
        <f>LN(Table1[[#This Row],[2025]]/Table1[[#This Row],[2019]])</f>
        <v>#VALUE!</v>
      </c>
      <c r="N51" s="68" t="s">
        <v>90</v>
      </c>
      <c r="O51" s="72">
        <f>(O11+O14+O15+O16)/O38</f>
        <v>0.65136834948155697</v>
      </c>
      <c r="P51" s="72">
        <f t="shared" ref="P51:T51" si="44">(P11+P14+P15+P16)/P38</f>
        <v>0.56697110650867488</v>
      </c>
      <c r="Q51" s="72">
        <f t="shared" si="44"/>
        <v>0.52515407768381828</v>
      </c>
      <c r="R51" s="72">
        <f t="shared" si="44"/>
        <v>0.59026098347440548</v>
      </c>
      <c r="S51" s="72">
        <f t="shared" si="44"/>
        <v>0.58364241104544046</v>
      </c>
      <c r="T51" s="72">
        <f t="shared" si="44"/>
        <v>0.67418249919913265</v>
      </c>
      <c r="U51" s="72">
        <f t="shared" ref="U51" si="45">(U11+U14+U15+U16)/U38</f>
        <v>0.75625685390520292</v>
      </c>
      <c r="V51" s="161">
        <f>LN(Table2[[#This Row],[2025]]/Table2[[#This Row],[2024]])</f>
        <v>0.11488022773336554</v>
      </c>
      <c r="W51" s="161">
        <f>LN(Table2[[#This Row],[2025]]/Table2[[#This Row],[2023]])</f>
        <v>0.25909258688283415</v>
      </c>
      <c r="X51" s="143">
        <f>LN(Table2[[#This Row],[2025]]/Table2[[#This Row],[2019]])</f>
        <v>0.14930576911069454</v>
      </c>
    </row>
    <row r="52" spans="2:24" ht="25.5" x14ac:dyDescent="0.2">
      <c r="B52" s="74" t="s">
        <v>91</v>
      </c>
      <c r="C52" s="69" t="s">
        <v>79</v>
      </c>
      <c r="D52" s="69" t="s">
        <v>79</v>
      </c>
      <c r="E52" s="69" t="s">
        <v>79</v>
      </c>
      <c r="F52" s="70">
        <f t="shared" ref="F52:G52" si="46">F13/(SUM($H$11:$H$14))</f>
        <v>0.35192813175844284</v>
      </c>
      <c r="G52" s="70">
        <f t="shared" si="46"/>
        <v>0.37664947596073867</v>
      </c>
      <c r="H52" s="70">
        <f>H13/(SUM($H$11:$H$14))</f>
        <v>0.34561304275494925</v>
      </c>
      <c r="I52" s="70">
        <f t="shared" si="40"/>
        <v>0.37677591083014472</v>
      </c>
      <c r="J52" s="126">
        <f>LN(Table1[[#This Row],[2025]]/Table1[[#This Row],[2024]])</f>
        <v>8.6330834069901413E-2</v>
      </c>
      <c r="K52" s="127">
        <f>LN(Table1[[#This Row],[2025]]/Table1[[#This Row],[2023]])</f>
        <v>3.3562678616786041E-4</v>
      </c>
      <c r="L52" s="128" t="e">
        <f>LN(Table1[[#This Row],[2025]]/Table1[[#This Row],[2019]])</f>
        <v>#VALUE!</v>
      </c>
      <c r="N52" s="68" t="s">
        <v>94</v>
      </c>
      <c r="O52" s="72">
        <f>O43/O45</f>
        <v>1.4411560766515381</v>
      </c>
      <c r="P52" s="72">
        <f t="shared" ref="P52:T52" si="47">P43/P45</f>
        <v>1.6089641254254645</v>
      </c>
      <c r="Q52" s="72">
        <f t="shared" si="47"/>
        <v>1.6976306465899025</v>
      </c>
      <c r="R52" s="72">
        <f t="shared" si="47"/>
        <v>1.8238720668242019</v>
      </c>
      <c r="S52" s="72">
        <f t="shared" si="47"/>
        <v>1.7643192488262911</v>
      </c>
      <c r="T52" s="72">
        <f t="shared" si="47"/>
        <v>1.8216337565779945</v>
      </c>
      <c r="U52" s="72">
        <f t="shared" ref="U52" si="48">U43/U45</f>
        <v>1.7595966020079044</v>
      </c>
      <c r="V52" s="141">
        <f>LN(Table2[[#This Row],[2025]]/Table2[[#This Row],[2024]])</f>
        <v>-3.4649187500437204E-2</v>
      </c>
      <c r="W52" s="142">
        <f>LN(Table2[[#This Row],[2025]]/Table2[[#This Row],[2023]])</f>
        <v>-2.680341895593916E-3</v>
      </c>
      <c r="X52" s="143">
        <f>LN(Table2[[#This Row],[2025]]/Table2[[#This Row],[2019]])</f>
        <v>0.19963895687485669</v>
      </c>
    </row>
    <row r="53" spans="2:24" ht="25.5" x14ac:dyDescent="0.2">
      <c r="B53" s="74" t="s">
        <v>92</v>
      </c>
      <c r="C53" s="69" t="s">
        <v>79</v>
      </c>
      <c r="D53" s="69" t="s">
        <v>79</v>
      </c>
      <c r="E53" s="69" t="s">
        <v>79</v>
      </c>
      <c r="F53" s="70">
        <f t="shared" ref="F53:G53" si="49">F14/(SUM($H$11:$H$14))</f>
        <v>8.1983031109632343E-2</v>
      </c>
      <c r="G53" s="70">
        <f t="shared" si="49"/>
        <v>9.0746963899517558E-2</v>
      </c>
      <c r="H53" s="70">
        <f>H14/(SUM($H$11:$H$14))</f>
        <v>9.8000332723340536E-2</v>
      </c>
      <c r="I53" s="70">
        <f t="shared" si="40"/>
        <v>0.10195308600898353</v>
      </c>
      <c r="J53" s="158">
        <f>LN(Table1[[#This Row],[2025]]/Table1[[#This Row],[2024]])</f>
        <v>3.9541892589591544E-2</v>
      </c>
      <c r="K53" s="159">
        <f>LN(Table1[[#This Row],[2025]]/Table1[[#This Row],[2023]])</f>
        <v>0.11643774945791965</v>
      </c>
      <c r="L53" s="160" t="e">
        <f>LN(Table1[[#This Row],[2025]]/Table1[[#This Row],[2019]])</f>
        <v>#VALUE!</v>
      </c>
      <c r="N53" s="68" t="s">
        <v>95</v>
      </c>
      <c r="O53" s="72">
        <f>(O30+O34+O35+O39+O41+O40+O33)/O45</f>
        <v>1.1381429652042361</v>
      </c>
      <c r="P53" s="72">
        <f t="shared" ref="P53:T53" si="50">(P30+P34+P35+P39+P41+P40+P33)/P45</f>
        <v>1.1958191511792524</v>
      </c>
      <c r="Q53" s="72">
        <f t="shared" si="50"/>
        <v>1.2490589016829052</v>
      </c>
      <c r="R53" s="72">
        <f t="shared" si="50"/>
        <v>1.3213167005550366</v>
      </c>
      <c r="S53" s="72">
        <f t="shared" si="50"/>
        <v>1.2914350970688999</v>
      </c>
      <c r="T53" s="72">
        <f t="shared" si="50"/>
        <v>1.3576739245884226</v>
      </c>
      <c r="U53" s="72">
        <f t="shared" ref="U53" si="51">(U30+U34+U35+U39+U41+U40+U33)/U45</f>
        <v>1.3334620451551356</v>
      </c>
      <c r="V53" s="162">
        <f>LN(Table2[[#This Row],[2025]]/Table2[[#This Row],[2024]])</f>
        <v>-1.7994284203862718E-2</v>
      </c>
      <c r="W53" s="163">
        <f>LN(Table2[[#This Row],[2025]]/Table2[[#This Row],[2023]])</f>
        <v>3.2024523282956047E-2</v>
      </c>
      <c r="X53" s="164">
        <f>LN(Table2[[#This Row],[2025]]/Table2[[#This Row],[2019]])</f>
        <v>0.15838064537077143</v>
      </c>
    </row>
    <row r="54" spans="2:24" x14ac:dyDescent="0.2">
      <c r="B54" s="78" t="s">
        <v>93</v>
      </c>
      <c r="C54" s="79">
        <f>((C11+C15)-C27)/(C11+C15)</f>
        <v>0.18257323618482205</v>
      </c>
      <c r="D54" s="79">
        <f t="shared" ref="D54:H54" si="52">((D11+D15)-D27)/(D11+D15)</f>
        <v>0.18680902550082662</v>
      </c>
      <c r="E54" s="79">
        <f t="shared" si="52"/>
        <v>0.15676754731861198</v>
      </c>
      <c r="F54" s="79">
        <f t="shared" si="52"/>
        <v>0.15772219173334104</v>
      </c>
      <c r="G54" s="79">
        <f t="shared" si="52"/>
        <v>0.16316104757994493</v>
      </c>
      <c r="H54" s="79">
        <f t="shared" si="52"/>
        <v>0.1511096323407087</v>
      </c>
      <c r="I54" s="79">
        <f t="shared" ref="I54" si="53">((I11+I15)-I27)/(I11+I15)</f>
        <v>0.11293643099093924</v>
      </c>
      <c r="J54" s="154">
        <f>LN(Table1[[#This Row],[2025]]/Table1[[#This Row],[2024]])</f>
        <v>-0.29118051255025551</v>
      </c>
      <c r="K54" s="154">
        <f>LN(Table1[[#This Row],[2025]]/Table1[[#This Row],[2023]])</f>
        <v>-0.36791263218203979</v>
      </c>
      <c r="L54" s="154">
        <f>LN(Table1[[#This Row],[2025]]/Table1[[#This Row],[2019]])</f>
        <v>-0.48032628387385085</v>
      </c>
      <c r="N54" s="78" t="s">
        <v>96</v>
      </c>
      <c r="O54" s="80">
        <f t="shared" ref="O54:T54" si="54">C24/O26</f>
        <v>1.3454998515228591</v>
      </c>
      <c r="P54" s="80">
        <f t="shared" si="54"/>
        <v>1.4069964786699762</v>
      </c>
      <c r="Q54" s="80">
        <f t="shared" si="54"/>
        <v>1.422522060332444</v>
      </c>
      <c r="R54" s="80">
        <f t="shared" si="54"/>
        <v>1.5237126843887441</v>
      </c>
      <c r="S54" s="80">
        <f t="shared" si="54"/>
        <v>1.5729656286721505</v>
      </c>
      <c r="T54" s="80">
        <f t="shared" si="54"/>
        <v>1.5143512220995987</v>
      </c>
      <c r="U54" s="80">
        <f t="shared" ref="U54" si="55">I24/U26</f>
        <v>1.6389698256704035</v>
      </c>
      <c r="V54" s="161">
        <f>LN(Table2[[#This Row],[2025]]/Table2[[#This Row],[2024]])</f>
        <v>7.9080778380905145E-2</v>
      </c>
      <c r="W54" s="142">
        <f>LN(Table2[[#This Row],[2025]]/Table2[[#This Row],[2023]])</f>
        <v>4.1105116359981639E-2</v>
      </c>
      <c r="X54" s="143">
        <f>LN(Table2[[#This Row],[2025]]/Table2[[#This Row],[2019]])</f>
        <v>0.19730230855111167</v>
      </c>
    </row>
    <row r="55" spans="2:24" x14ac:dyDescent="0.2">
      <c r="B55" s="86" t="s">
        <v>106</v>
      </c>
      <c r="C55" s="87">
        <v>94173</v>
      </c>
      <c r="D55" s="87">
        <v>104109</v>
      </c>
      <c r="E55" s="87">
        <v>117373</v>
      </c>
      <c r="F55" s="87">
        <v>133229</v>
      </c>
      <c r="G55" s="87">
        <v>142854</v>
      </c>
      <c r="H55" s="87">
        <v>144166</v>
      </c>
      <c r="I55" s="87">
        <v>144166</v>
      </c>
      <c r="J55" s="126">
        <f>LN(Table1[[#This Row],[2025]]/Table1[[#This Row],[2024]])</f>
        <v>0</v>
      </c>
      <c r="K55" s="127">
        <f>LN(Table1[[#This Row],[2025]]/Table1[[#This Row],[2023]])</f>
        <v>9.1422837308553963E-3</v>
      </c>
      <c r="L55" s="128">
        <f>LN(Table1[[#This Row],[2025]]/Table1[[#This Row],[2019]])</f>
        <v>0.42583189712174774</v>
      </c>
      <c r="N55" s="68" t="s">
        <v>97</v>
      </c>
      <c r="O55" s="72">
        <f>O26/O45</f>
        <v>2.4411560766515379</v>
      </c>
      <c r="P55" s="72">
        <f t="shared" ref="P55:T55" si="56">P26/P45</f>
        <v>2.6089641254254645</v>
      </c>
      <c r="Q55" s="72">
        <f t="shared" si="56"/>
        <v>2.6976306465899027</v>
      </c>
      <c r="R55" s="72">
        <f t="shared" si="56"/>
        <v>2.8238720668242019</v>
      </c>
      <c r="S55" s="72">
        <f t="shared" si="56"/>
        <v>2.7643192488262911</v>
      </c>
      <c r="T55" s="72">
        <f t="shared" si="56"/>
        <v>2.8216337565779943</v>
      </c>
      <c r="U55" s="72">
        <f t="shared" ref="U55" si="57">U26/U45</f>
        <v>2.7595966020079046</v>
      </c>
      <c r="V55" s="141">
        <f>LN(Table2[[#This Row],[2025]]/Table2[[#This Row],[2024]])</f>
        <v>-2.2231553143947105E-2</v>
      </c>
      <c r="W55" s="142">
        <f>LN(Table2[[#This Row],[2025]]/Table2[[#This Row],[2023]])</f>
        <v>-1.7098913511935363E-3</v>
      </c>
      <c r="X55" s="143">
        <f>LN(Table2[[#This Row],[2025]]/Table2[[#This Row],[2019]])</f>
        <v>0.12261278135125084</v>
      </c>
    </row>
    <row r="56" spans="2:24" x14ac:dyDescent="0.2">
      <c r="B56" s="86" t="s">
        <v>107</v>
      </c>
      <c r="C56" s="88">
        <f t="shared" ref="C56:H56" si="58">C55/O14</f>
        <v>18.782010370961309</v>
      </c>
      <c r="D56" s="88">
        <f t="shared" si="58"/>
        <v>19.72134874029172</v>
      </c>
      <c r="E56" s="88">
        <f t="shared" si="58"/>
        <v>20.660623129730681</v>
      </c>
      <c r="F56" s="88">
        <f t="shared" si="58"/>
        <v>18.809685161654667</v>
      </c>
      <c r="G56" s="88">
        <f t="shared" si="58"/>
        <v>18.078208048595293</v>
      </c>
      <c r="H56" s="88">
        <f t="shared" si="58"/>
        <v>17.996005492447885</v>
      </c>
      <c r="I56" s="88">
        <f t="shared" ref="I56" si="59">I55/U14</f>
        <v>14.312121512955425</v>
      </c>
      <c r="J56" s="154">
        <f>LN(Table1[[#This Row],[2025]]/Table1[[#This Row],[2024]])</f>
        <v>-0.22904297972756446</v>
      </c>
      <c r="K56" s="127">
        <f>LN(Table1[[#This Row],[2025]]/Table1[[#This Row],[2023]])</f>
        <v>-0.23360040124048975</v>
      </c>
      <c r="L56" s="128">
        <f>LN(Table1[[#This Row],[2025]]/Table1[[#This Row],[2019]])</f>
        <v>-0.27179268010269475</v>
      </c>
      <c r="N56" s="68" t="s">
        <v>98</v>
      </c>
      <c r="O56" s="77">
        <f t="shared" ref="O56:T56" si="60">C43*O54*O55</f>
        <v>0.15150655572365104</v>
      </c>
      <c r="P56" s="77">
        <f t="shared" si="60"/>
        <v>0.13771499141540405</v>
      </c>
      <c r="Q56" s="77">
        <f t="shared" si="60"/>
        <v>0.16870571302037202</v>
      </c>
      <c r="R56" s="77">
        <f t="shared" si="60"/>
        <v>0.16178490960048361</v>
      </c>
      <c r="S56" s="77">
        <f t="shared" si="60"/>
        <v>0.15203654358583935</v>
      </c>
      <c r="T56" s="77">
        <f t="shared" si="60"/>
        <v>0.14413653261236903</v>
      </c>
      <c r="U56" s="77">
        <f t="shared" ref="U56" si="61">I43*U54*U55</f>
        <v>0.1285831099804661</v>
      </c>
      <c r="V56" s="161">
        <f>LN(Table2[[#This Row],[2025]]/Table2[[#This Row],[2024]])</f>
        <v>-0.11418552796814067</v>
      </c>
      <c r="W56" s="142">
        <f>LN(Table2[[#This Row],[2025]]/Table2[[#This Row],[2023]])</f>
        <v>-0.16754544473279151</v>
      </c>
      <c r="X56" s="143">
        <f>LN(Table2[[#This Row],[2025]]/Table2[[#This Row],[2019]])</f>
        <v>-0.16405343057100016</v>
      </c>
    </row>
    <row r="57" spans="2:24" x14ac:dyDescent="0.2">
      <c r="B57" s="146" t="s">
        <v>87</v>
      </c>
      <c r="C57" s="122">
        <f>(C34+C30+C31)*(1-(C35/(C34+C30)))</f>
        <v>5833.8638051388689</v>
      </c>
      <c r="D57" s="122">
        <f t="shared" ref="D57:I57" si="62">(D34+D30+D31)*(1-(D35/(D34+D30)))</f>
        <v>5667.7880419382263</v>
      </c>
      <c r="E57" s="122">
        <f t="shared" si="62"/>
        <v>7262.7047118023784</v>
      </c>
      <c r="F57" s="122">
        <f t="shared" si="62"/>
        <v>7350.6214649153953</v>
      </c>
      <c r="G57" s="122">
        <f t="shared" si="62"/>
        <v>7731.5300171526587</v>
      </c>
      <c r="H57" s="122">
        <f t="shared" si="62"/>
        <v>7612.6486962262079</v>
      </c>
      <c r="I57" s="122">
        <f t="shared" si="62"/>
        <v>7609.790433925049</v>
      </c>
      <c r="J57" s="126">
        <f>LN(Table1[[#This Row],[2025]]/Table1[[#This Row],[2024]])</f>
        <v>-3.7553276584797345E-4</v>
      </c>
      <c r="K57" s="127">
        <f>LN(Table1[[#This Row],[2025]]/Table1[[#This Row],[2023]])</f>
        <v>-1.5871142129178673E-2</v>
      </c>
      <c r="L57" s="128">
        <f>LN(Table1[[#This Row],[2025]]/Table1[[#This Row],[2019]])</f>
        <v>0.26575610709484848</v>
      </c>
      <c r="N57" s="119" t="s">
        <v>126</v>
      </c>
      <c r="O57" s="120">
        <f t="shared" ref="O57:T57" si="63">C24/O45</f>
        <v>3.2845751386787696</v>
      </c>
      <c r="P57" s="120">
        <f t="shared" si="63"/>
        <v>3.6708033374499234</v>
      </c>
      <c r="Q57" s="120">
        <f t="shared" si="63"/>
        <v>3.8374391054030115</v>
      </c>
      <c r="R57" s="120">
        <f t="shared" si="63"/>
        <v>4.3027696873110957</v>
      </c>
      <c r="S57" s="120">
        <f t="shared" si="63"/>
        <v>4.3481791650805732</v>
      </c>
      <c r="T57" s="120">
        <f t="shared" si="63"/>
        <v>4.2729445275913678</v>
      </c>
      <c r="U57" s="120">
        <f t="shared" ref="U57" si="64">I24/U45</f>
        <v>4.5228955617135327</v>
      </c>
      <c r="V57" s="141">
        <f>LN(Table2[[#This Row],[2025]]/Table2[[#This Row],[2024]])</f>
        <v>5.6849225236957915E-2</v>
      </c>
      <c r="W57" s="142">
        <f>LN(Table2[[#This Row],[2025]]/Table2[[#This Row],[2023]])</f>
        <v>3.939522500878806E-2</v>
      </c>
      <c r="X57" s="143">
        <f>LN(Table2[[#This Row],[2025]]/Table2[[#This Row],[2019]])</f>
        <v>0.31991508990236223</v>
      </c>
    </row>
    <row r="58" spans="2:24" x14ac:dyDescent="0.2">
      <c r="N58" s="146" t="s">
        <v>128</v>
      </c>
      <c r="O58" s="122">
        <f>O19-O38+O22+O23</f>
        <v>39134</v>
      </c>
      <c r="P58" s="122">
        <f t="shared" ref="P58:U58" si="65">P19-P38+P22+P23</f>
        <v>41472</v>
      </c>
      <c r="Q58" s="122">
        <f t="shared" si="65"/>
        <v>44384</v>
      </c>
      <c r="R58" s="122">
        <f t="shared" si="65"/>
        <v>44620</v>
      </c>
      <c r="S58" s="122">
        <f t="shared" si="65"/>
        <v>47914</v>
      </c>
      <c r="T58" s="122">
        <f t="shared" si="65"/>
        <v>51290</v>
      </c>
      <c r="U58" s="122">
        <f t="shared" si="65"/>
        <v>54989</v>
      </c>
      <c r="V58" s="161">
        <f>LN(Table2[[#This Row],[2025]]/Table2[[#This Row],[2024]])</f>
        <v>6.9637363828626828E-2</v>
      </c>
      <c r="W58" s="161">
        <f>LN(Table2[[#This Row],[2025]]/Table2[[#This Row],[2023]])</f>
        <v>0.13772542794300655</v>
      </c>
      <c r="X58" s="161">
        <f>LN(Table2[[#This Row],[2025]]/Table2[[#This Row],[2019]])</f>
        <v>0.34014151087389694</v>
      </c>
    </row>
  </sheetData>
  <pageMargins left="0.25" right="0.25" top="0.75" bottom="0.75" header="0.3" footer="0.3"/>
  <pageSetup paperSize="3" scale="75" orientation="landscape"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49CBD-D20C-47C9-870D-42F47DA51E8F}">
  <dimension ref="B1:U95"/>
  <sheetViews>
    <sheetView topLeftCell="D78" zoomScale="115" zoomScaleNormal="115" workbookViewId="0">
      <selection activeCell="O95" sqref="O95"/>
    </sheetView>
  </sheetViews>
  <sheetFormatPr defaultColWidth="10.7109375" defaultRowHeight="12.75" x14ac:dyDescent="0.2"/>
  <cols>
    <col min="1" max="1" width="10.7109375" style="15"/>
    <col min="2" max="2" width="24" style="15" bestFit="1" customWidth="1"/>
    <col min="3" max="3" width="11.28515625" style="24" bestFit="1" customWidth="1"/>
    <col min="4" max="4" width="10.85546875" style="24" bestFit="1" customWidth="1"/>
    <col min="5" max="8" width="10.7109375" style="24"/>
    <col min="9" max="12" width="10.7109375" style="15"/>
    <col min="13" max="13" width="24.140625" style="15" customWidth="1"/>
    <col min="14" max="16384" width="10.7109375" style="15"/>
  </cols>
  <sheetData>
    <row r="1" spans="2:21" x14ac:dyDescent="0.2">
      <c r="B1" s="5" t="s">
        <v>101</v>
      </c>
      <c r="C1" s="15"/>
      <c r="D1" s="15"/>
      <c r="E1" s="15"/>
      <c r="F1" s="15"/>
      <c r="G1" s="15"/>
      <c r="H1" s="15"/>
      <c r="I1" s="28"/>
    </row>
    <row r="2" spans="2:21" x14ac:dyDescent="0.2">
      <c r="B2" s="4"/>
      <c r="C2" s="107">
        <v>2019</v>
      </c>
      <c r="D2" s="107">
        <v>2020</v>
      </c>
      <c r="E2" s="107">
        <f>D2+1</f>
        <v>2021</v>
      </c>
      <c r="F2" s="107">
        <f t="shared" ref="F2:H2" si="0">E2+1</f>
        <v>2022</v>
      </c>
      <c r="G2" s="107">
        <f t="shared" si="0"/>
        <v>2023</v>
      </c>
      <c r="H2" s="107">
        <f t="shared" si="0"/>
        <v>2024</v>
      </c>
      <c r="I2" s="108" t="s">
        <v>99</v>
      </c>
      <c r="J2" s="109" t="s">
        <v>100</v>
      </c>
      <c r="K2" s="115"/>
      <c r="L2" s="115"/>
    </row>
    <row r="3" spans="2:21" x14ac:dyDescent="0.2">
      <c r="B3" s="78" t="s">
        <v>102</v>
      </c>
      <c r="C3" s="85">
        <f>LN(Statements!C24/92105)</f>
        <v>0.12350765100997037</v>
      </c>
      <c r="D3" s="85">
        <f>LN(Statements!D24/Statements!C24)</f>
        <v>0.15649340452375296</v>
      </c>
      <c r="E3" s="85">
        <f>LN(Statements!E24/Statements!D24)</f>
        <v>0.12894314631787088</v>
      </c>
      <c r="F3" s="85">
        <f>LN(Statements!F24/Statements!E24)</f>
        <v>0.12178942211099883</v>
      </c>
      <c r="G3" s="85">
        <f>LN(Statements!G24/Statements!F24)</f>
        <v>8.998703196912429E-2</v>
      </c>
      <c r="H3" s="85">
        <f>LN(Statements!H24/Statements!G24)</f>
        <v>3.2561990999548582E-2</v>
      </c>
      <c r="I3" s="100">
        <f>AVERAGE(C3:H3)</f>
        <v>0.10888044115521099</v>
      </c>
      <c r="J3" s="101">
        <f>_xlfn.STDEV.S(C3:H3)</f>
        <v>4.2968756606318576E-2</v>
      </c>
      <c r="K3" s="165"/>
      <c r="L3" s="165"/>
    </row>
    <row r="4" spans="2:21" x14ac:dyDescent="0.2">
      <c r="B4" s="68" t="s">
        <v>103</v>
      </c>
      <c r="C4" s="81">
        <f>LN(Statements!C48/(5068+753+358+11))</f>
        <v>0.13306682592559896</v>
      </c>
      <c r="D4" s="81">
        <f>LN(Statements!D48/Statements!C48)</f>
        <v>4.8042364585285033E-2</v>
      </c>
      <c r="E4" s="81">
        <f>LN(Statements!E48/Statements!D48)</f>
        <v>0.21352744145970021</v>
      </c>
      <c r="F4" s="81">
        <f>LN(Statements!F48/Statements!E48)</f>
        <v>3.5863756312276532E-3</v>
      </c>
      <c r="G4" s="81">
        <f>LN(Statements!G48/Statements!F48)</f>
        <v>4.372513151171771E-2</v>
      </c>
      <c r="H4" s="81">
        <f>LN(Statements!H48/Statements!G48)</f>
        <v>4.0416656913762018E-3</v>
      </c>
      <c r="I4" s="102">
        <f t="shared" ref="I4:I5" si="1">AVERAGE(C4:H4)</f>
        <v>7.4331634134150962E-2</v>
      </c>
      <c r="J4" s="102">
        <f t="shared" ref="J4:J5" si="2">_xlfn.STDEV.S(C4:H4)</f>
        <v>8.2944258984345945E-2</v>
      </c>
      <c r="K4" s="84"/>
      <c r="L4" s="84"/>
    </row>
    <row r="5" spans="2:21" x14ac:dyDescent="0.2">
      <c r="B5" s="68" t="s">
        <v>104</v>
      </c>
      <c r="C5" s="81">
        <f>LN(Statements!C49/((5068+753)*(1-(1318/5068))))</f>
        <v>0.2275560136520059</v>
      </c>
      <c r="D5" s="81">
        <f>LN(Statements!D49/Statements!C49)</f>
        <v>-4.4384806464999989E-2</v>
      </c>
      <c r="E5" s="81">
        <f>LN(Statements!E49/Statements!D49)</f>
        <v>0.26236134104409692</v>
      </c>
      <c r="F5" s="81">
        <f>LN(Statements!F49/Statements!E49)</f>
        <v>-2.6761282347493035E-2</v>
      </c>
      <c r="G5" s="81">
        <f>LN(Statements!G49/Statements!F49)</f>
        <v>3.6521054060594055E-2</v>
      </c>
      <c r="H5" s="81">
        <f>LN(Statements!H49/Statements!G49)</f>
        <v>1.1036382498692964E-2</v>
      </c>
      <c r="I5" s="102">
        <f t="shared" si="1"/>
        <v>7.7721450407149464E-2</v>
      </c>
      <c r="J5" s="102">
        <f t="shared" si="2"/>
        <v>0.13305129530333398</v>
      </c>
      <c r="K5" s="84"/>
      <c r="L5" s="84"/>
    </row>
    <row r="6" spans="2:21" x14ac:dyDescent="0.2">
      <c r="B6" s="86" t="s">
        <v>117</v>
      </c>
      <c r="C6" s="81">
        <f>LN(Statements!C55/85421)</f>
        <v>9.7541544088912135E-2</v>
      </c>
      <c r="D6" s="81">
        <f>LN(Statements!D55/Statements!C55)</f>
        <v>0.10030491092136057</v>
      </c>
      <c r="E6" s="81">
        <f>LN(Statements!E55/Statements!D55)</f>
        <v>0.11991847076434536</v>
      </c>
      <c r="F6" s="81">
        <f>LN(Statements!F55/Statements!E55)</f>
        <v>0.12671255414730975</v>
      </c>
      <c r="G6" s="81">
        <f>LN(Statements!G55/Statements!F55)</f>
        <v>6.9753677557876509E-2</v>
      </c>
      <c r="H6" s="81">
        <f>LN(Statements!H55/Statements!G55)</f>
        <v>9.1422837308553963E-3</v>
      </c>
      <c r="I6" s="102">
        <f t="shared" ref="I6" si="3">AVERAGE(C6:H6)</f>
        <v>8.7228906868443271E-2</v>
      </c>
      <c r="J6" s="102">
        <f t="shared" ref="J6" si="4">_xlfn.STDEV.S(C6:H6)</f>
        <v>4.3145805615535104E-2</v>
      </c>
      <c r="K6" s="84"/>
      <c r="L6" s="84"/>
    </row>
    <row r="8" spans="2:21" x14ac:dyDescent="0.2">
      <c r="B8" s="93" t="s">
        <v>110</v>
      </c>
      <c r="C8" s="92">
        <v>2019</v>
      </c>
      <c r="D8" s="92">
        <v>2020</v>
      </c>
      <c r="E8" s="92">
        <f>D8+1</f>
        <v>2021</v>
      </c>
      <c r="F8" s="92">
        <f t="shared" ref="F8" si="5">E8+1</f>
        <v>2022</v>
      </c>
      <c r="G8" s="92">
        <f t="shared" ref="G8" si="6">F8+1</f>
        <v>2023</v>
      </c>
      <c r="H8" s="92">
        <f t="shared" ref="H8" si="7">G8+1</f>
        <v>2024</v>
      </c>
      <c r="I8" s="82"/>
      <c r="J8" s="83"/>
      <c r="K8" s="83"/>
      <c r="L8" s="83"/>
    </row>
    <row r="9" spans="2:21" x14ac:dyDescent="0.2">
      <c r="B9" s="96" t="s">
        <v>111</v>
      </c>
      <c r="I9" s="84"/>
      <c r="J9" s="99"/>
      <c r="K9" s="165"/>
      <c r="L9" s="165"/>
    </row>
    <row r="10" spans="2:21" x14ac:dyDescent="0.2">
      <c r="B10" s="94" t="s">
        <v>105</v>
      </c>
      <c r="C10" s="24">
        <v>39714</v>
      </c>
      <c r="D10" s="24">
        <v>42627</v>
      </c>
      <c r="E10" s="24">
        <v>41154</v>
      </c>
      <c r="F10" s="24">
        <v>39916</v>
      </c>
      <c r="G10" s="24">
        <v>44237</v>
      </c>
      <c r="H10" s="24">
        <v>45996</v>
      </c>
      <c r="I10" s="84"/>
      <c r="J10" s="84"/>
      <c r="K10" s="84"/>
      <c r="L10" s="84"/>
      <c r="M10" s="110" t="s">
        <v>111</v>
      </c>
      <c r="N10" s="107">
        <v>2019</v>
      </c>
      <c r="O10" s="107">
        <v>2020</v>
      </c>
      <c r="P10" s="107">
        <f>O10+1</f>
        <v>2021</v>
      </c>
      <c r="Q10" s="107">
        <f t="shared" ref="Q10" si="8">P10+1</f>
        <v>2022</v>
      </c>
      <c r="R10" s="107">
        <f t="shared" ref="R10" si="9">Q10+1</f>
        <v>2023</v>
      </c>
      <c r="S10" s="107">
        <f t="shared" ref="S10" si="10">R10+1</f>
        <v>2024</v>
      </c>
      <c r="T10" s="108" t="s">
        <v>99</v>
      </c>
      <c r="U10" s="109" t="s">
        <v>100</v>
      </c>
    </row>
    <row r="11" spans="2:21" x14ac:dyDescent="0.2">
      <c r="B11" s="94" t="s">
        <v>116</v>
      </c>
      <c r="C11" s="24">
        <v>153566</v>
      </c>
      <c r="D11" s="24">
        <v>160401</v>
      </c>
      <c r="E11" s="24">
        <v>174078</v>
      </c>
      <c r="F11" s="24">
        <v>180518</v>
      </c>
      <c r="G11" s="24">
        <v>195265</v>
      </c>
      <c r="H11" s="24">
        <v>247121</v>
      </c>
      <c r="I11" s="84"/>
      <c r="J11" s="84"/>
      <c r="K11" s="84"/>
      <c r="L11" s="84"/>
      <c r="M11" s="111" t="s">
        <v>102</v>
      </c>
      <c r="N11" s="103" t="s">
        <v>79</v>
      </c>
      <c r="O11" s="85">
        <f>LN(D11/C11)</f>
        <v>4.3546487782489665E-2</v>
      </c>
      <c r="P11" s="85">
        <f>LN(E11/D11)</f>
        <v>8.1826544804045595E-2</v>
      </c>
      <c r="Q11" s="85">
        <f>LN(F11/E11)</f>
        <v>3.6327021161627629E-2</v>
      </c>
      <c r="R11" s="85">
        <f>LN(G11/F11)</f>
        <v>7.8527114560186601E-2</v>
      </c>
      <c r="S11" s="85">
        <f>LN(H11/G11)</f>
        <v>0.23552048486636185</v>
      </c>
      <c r="T11" s="100">
        <f>AVERAGE(O11:S11)</f>
        <v>9.5149530634942275E-2</v>
      </c>
      <c r="U11" s="101">
        <f>_xlfn.STDEV.S(O11:S11)</f>
        <v>8.1056728764215047E-2</v>
      </c>
    </row>
    <row r="12" spans="2:21" x14ac:dyDescent="0.2">
      <c r="B12" s="94" t="s">
        <v>36</v>
      </c>
      <c r="C12" s="24">
        <v>145489</v>
      </c>
      <c r="D12" s="24">
        <v>152248</v>
      </c>
      <c r="E12" s="24">
        <v>166143</v>
      </c>
      <c r="F12" s="24">
        <v>172068</v>
      </c>
      <c r="G12" s="24">
        <v>186729</v>
      </c>
      <c r="H12" s="24">
        <v>237704</v>
      </c>
      <c r="M12" s="112" t="s">
        <v>103</v>
      </c>
      <c r="N12" s="81" t="s">
        <v>79</v>
      </c>
      <c r="O12" s="81">
        <f>LN(D15/C15)</f>
        <v>-8.4261340263528453E-2</v>
      </c>
      <c r="P12" s="81">
        <f>LN(E15/D15)</f>
        <v>-2.0132232670744436E-2</v>
      </c>
      <c r="Q12" s="81">
        <f>LN(F15/E15)</f>
        <v>3.8802439224238518E-2</v>
      </c>
      <c r="R12" s="81">
        <f>LN(G15/F15)</f>
        <v>2.8045083900900304E-3</v>
      </c>
      <c r="S12" s="81">
        <f>LN(H15/G15)</f>
        <v>7.127579397488891E-2</v>
      </c>
      <c r="T12" s="102">
        <f t="shared" ref="T12:T13" si="11">AVERAGE(O12:S12)</f>
        <v>1.6978337309889152E-3</v>
      </c>
      <c r="U12" s="105">
        <f t="shared" ref="U12:U13" si="12">_xlfn.STDEV.S(O12:S12)</f>
        <v>5.9339279617796822E-2</v>
      </c>
    </row>
    <row r="13" spans="2:21" x14ac:dyDescent="0.2">
      <c r="B13" s="94" t="s">
        <v>45</v>
      </c>
      <c r="C13" s="24">
        <v>5120</v>
      </c>
      <c r="D13" s="24">
        <v>8489</v>
      </c>
      <c r="E13" s="24">
        <v>5415</v>
      </c>
      <c r="F13" s="24">
        <v>6782</v>
      </c>
      <c r="G13" s="24">
        <v>5372</v>
      </c>
      <c r="H13" s="24">
        <v>3778</v>
      </c>
      <c r="M13" s="112" t="s">
        <v>117</v>
      </c>
      <c r="N13" s="81" t="s">
        <v>79</v>
      </c>
      <c r="O13" s="81">
        <f>LN(D10/C10)</f>
        <v>7.0784084959207266E-2</v>
      </c>
      <c r="P13" s="81">
        <f>LN(E10/D10)</f>
        <v>-3.5166727578808614E-2</v>
      </c>
      <c r="Q13" s="81">
        <f>LN(F10/E10)</f>
        <v>-3.0543881723173249E-2</v>
      </c>
      <c r="R13" s="81">
        <f>LN(G10/F10)</f>
        <v>0.10278429695777958</v>
      </c>
      <c r="S13" s="81">
        <f>LN(H10/G10)</f>
        <v>3.899289320657278E-2</v>
      </c>
      <c r="T13" s="102">
        <f t="shared" si="11"/>
        <v>2.9370133164315554E-2</v>
      </c>
      <c r="U13" s="105">
        <f t="shared" si="12"/>
        <v>6.1139283472473056E-2</v>
      </c>
    </row>
    <row r="14" spans="2:21" x14ac:dyDescent="0.2">
      <c r="B14" s="94" t="s">
        <v>75</v>
      </c>
      <c r="C14" s="24">
        <v>45344</v>
      </c>
      <c r="D14" s="24">
        <v>50328</v>
      </c>
      <c r="E14" s="24">
        <v>47130</v>
      </c>
      <c r="F14" s="24">
        <v>44885</v>
      </c>
      <c r="G14" s="24">
        <v>46244</v>
      </c>
      <c r="H14" s="24">
        <v>41243</v>
      </c>
      <c r="M14" s="5"/>
      <c r="N14" s="81"/>
      <c r="O14" s="81"/>
      <c r="P14" s="81"/>
      <c r="Q14" s="81"/>
      <c r="R14" s="81"/>
      <c r="S14" s="81"/>
      <c r="T14" s="104"/>
      <c r="U14" s="104"/>
    </row>
    <row r="15" spans="2:21" x14ac:dyDescent="0.2">
      <c r="B15" s="95" t="s">
        <v>86</v>
      </c>
      <c r="C15" s="24">
        <f>(C11-C12)+2949</f>
        <v>11026</v>
      </c>
      <c r="D15" s="24">
        <f>(D11-D12)+1982</f>
        <v>10135</v>
      </c>
      <c r="E15" s="24">
        <f>(E11-E12)+1998</f>
        <v>9933</v>
      </c>
      <c r="F15" s="24">
        <f>(F11-F12)+1876</f>
        <v>10326</v>
      </c>
      <c r="G15" s="24">
        <f>(G11-G12)+1819</f>
        <v>10355</v>
      </c>
      <c r="H15" s="24">
        <f>(H11-H12)+1703</f>
        <v>11120</v>
      </c>
      <c r="M15" s="5"/>
    </row>
    <row r="16" spans="2:21" ht="13.5" thickBot="1" x14ac:dyDescent="0.25">
      <c r="B16" s="97" t="s">
        <v>98</v>
      </c>
      <c r="C16" s="98">
        <f t="shared" ref="C16:G16" si="13">C13/C14</f>
        <v>0.11291460832745237</v>
      </c>
      <c r="D16" s="98">
        <f t="shared" si="13"/>
        <v>0.16867350182800828</v>
      </c>
      <c r="E16" s="98">
        <f t="shared" si="13"/>
        <v>0.11489497135582431</v>
      </c>
      <c r="F16" s="98">
        <f t="shared" si="13"/>
        <v>0.1510972485240058</v>
      </c>
      <c r="G16" s="98">
        <f t="shared" si="13"/>
        <v>0.11616642158982787</v>
      </c>
      <c r="H16" s="98">
        <f>H13/H14</f>
        <v>9.1603423611279489E-2</v>
      </c>
      <c r="M16" s="5"/>
    </row>
    <row r="17" spans="2:21" x14ac:dyDescent="0.2">
      <c r="B17" s="96" t="s">
        <v>112</v>
      </c>
      <c r="M17" s="5"/>
    </row>
    <row r="18" spans="2:21" x14ac:dyDescent="0.2">
      <c r="B18" s="94" t="s">
        <v>105</v>
      </c>
      <c r="C18" s="24">
        <v>16208</v>
      </c>
      <c r="D18" s="24">
        <v>18299</v>
      </c>
      <c r="E18" s="24">
        <v>26855</v>
      </c>
      <c r="F18" s="24">
        <v>30883</v>
      </c>
      <c r="G18" s="24">
        <v>32529</v>
      </c>
      <c r="H18" s="24">
        <v>38627</v>
      </c>
      <c r="M18" s="110" t="s">
        <v>112</v>
      </c>
      <c r="N18" s="107">
        <v>2019</v>
      </c>
      <c r="O18" s="107">
        <v>2020</v>
      </c>
      <c r="P18" s="107">
        <f>O18+1</f>
        <v>2021</v>
      </c>
      <c r="Q18" s="107">
        <f t="shared" ref="Q18" si="14">P18+1</f>
        <v>2022</v>
      </c>
      <c r="R18" s="107">
        <f t="shared" ref="R18" si="15">Q18+1</f>
        <v>2023</v>
      </c>
      <c r="S18" s="107">
        <f t="shared" ref="S18" si="16">R18+1</f>
        <v>2024</v>
      </c>
      <c r="T18" s="108" t="s">
        <v>99</v>
      </c>
      <c r="U18" s="109" t="s">
        <v>100</v>
      </c>
    </row>
    <row r="19" spans="2:21" x14ac:dyDescent="0.2">
      <c r="B19" s="94" t="s">
        <v>116</v>
      </c>
      <c r="C19" s="24">
        <v>16829</v>
      </c>
      <c r="D19" s="24">
        <v>19423</v>
      </c>
      <c r="E19" s="24">
        <v>27771</v>
      </c>
      <c r="F19" s="24">
        <v>31974</v>
      </c>
      <c r="G19" s="24">
        <v>34072</v>
      </c>
      <c r="H19" s="24">
        <v>40650</v>
      </c>
      <c r="M19" s="111" t="s">
        <v>102</v>
      </c>
      <c r="N19" s="85">
        <f>LN(C19/18890)</f>
        <v>-0.11552909278248193</v>
      </c>
      <c r="O19" s="85">
        <f t="shared" ref="O19" si="17">LN(D19/C19)</f>
        <v>0.14335434211905956</v>
      </c>
      <c r="P19" s="85">
        <f t="shared" ref="P19" si="18">LN(E19/D19)</f>
        <v>0.35753437990318815</v>
      </c>
      <c r="Q19" s="85">
        <f t="shared" ref="Q19" si="19">LN(F19/E19)</f>
        <v>0.14093076178951636</v>
      </c>
      <c r="R19" s="85">
        <f t="shared" ref="R19" si="20">LN(G19/F19)</f>
        <v>6.3552860078212148E-2</v>
      </c>
      <c r="S19" s="85">
        <f>LN(H19/G19)</f>
        <v>0.1765229033729073</v>
      </c>
      <c r="T19" s="100">
        <f>AVERAGE(O19:S19)</f>
        <v>0.17637904945257671</v>
      </c>
      <c r="U19" s="101">
        <f>_xlfn.STDEV.S(O19:S19)</f>
        <v>0.10942375867021306</v>
      </c>
    </row>
    <row r="20" spans="2:21" x14ac:dyDescent="0.2">
      <c r="B20" s="94" t="s">
        <v>36</v>
      </c>
      <c r="C20" s="24">
        <v>15785</v>
      </c>
      <c r="D20" s="24">
        <v>18345</v>
      </c>
      <c r="E20" s="24">
        <v>26751</v>
      </c>
      <c r="F20" s="24">
        <v>30801</v>
      </c>
      <c r="G20" s="24">
        <v>32499</v>
      </c>
      <c r="H20" s="24">
        <v>38943</v>
      </c>
      <c r="M20" s="112" t="s">
        <v>103</v>
      </c>
      <c r="N20" s="81">
        <f>LN(C23/(18890-17744+99+46))</f>
        <v>-0.13054812981863623</v>
      </c>
      <c r="O20" s="81">
        <f t="shared" ref="O20" si="21">LN(D23/C23)</f>
        <v>2.871010588243136E-2</v>
      </c>
      <c r="P20" s="81">
        <f t="shared" ref="P20" si="22">LN(E23/D23)</f>
        <v>-1.294795818855499E-2</v>
      </c>
      <c r="Q20" s="81">
        <f t="shared" ref="Q20" si="23">LN(F23/E23)</f>
        <v>0.15873244748587331</v>
      </c>
      <c r="R20" s="81">
        <f t="shared" ref="R20" si="24">LN(G23/F23)</f>
        <v>0.2568177482611691</v>
      </c>
      <c r="S20" s="81">
        <f>LN(H23/G23)</f>
        <v>8.1981546740397884E-2</v>
      </c>
      <c r="T20" s="102">
        <f t="shared" ref="T20:T21" si="25">AVERAGE(O20:S20)</f>
        <v>0.10265877803626333</v>
      </c>
      <c r="U20" s="105">
        <f t="shared" ref="U20:U21" si="26">_xlfn.STDEV.S(O20:S20)</f>
        <v>0.10743616241084733</v>
      </c>
    </row>
    <row r="21" spans="2:21" x14ac:dyDescent="0.2">
      <c r="B21" s="94" t="s">
        <v>45</v>
      </c>
      <c r="C21" s="24">
        <v>737</v>
      </c>
      <c r="D21" s="24">
        <v>673</v>
      </c>
      <c r="E21" s="24">
        <v>659</v>
      </c>
      <c r="F21" s="24">
        <v>792</v>
      </c>
      <c r="G21" s="24">
        <v>1091</v>
      </c>
      <c r="H21" s="24">
        <v>1179</v>
      </c>
      <c r="M21" s="112" t="s">
        <v>117</v>
      </c>
      <c r="N21" s="81">
        <f>LN(C18/17612)</f>
        <v>-8.3075540387179805E-2</v>
      </c>
      <c r="O21" s="81">
        <f t="shared" ref="O21" si="27">LN(D18/C18)</f>
        <v>0.12134146603922262</v>
      </c>
      <c r="P21" s="81">
        <f t="shared" ref="P21" si="28">LN(E18/D18)</f>
        <v>0.38360560981187253</v>
      </c>
      <c r="Q21" s="81">
        <f t="shared" ref="Q21" si="29">LN(F18/E18)</f>
        <v>0.13975384733943938</v>
      </c>
      <c r="R21" s="81">
        <f t="shared" ref="R21" si="30">LN(G18/F18)</f>
        <v>5.192612846129268E-2</v>
      </c>
      <c r="S21" s="81">
        <f>LN(H18/G18)</f>
        <v>0.17181951465449546</v>
      </c>
      <c r="T21" s="102">
        <f t="shared" si="25"/>
        <v>0.17368931326126452</v>
      </c>
      <c r="U21" s="105">
        <f t="shared" si="26"/>
        <v>0.12528620617719496</v>
      </c>
    </row>
    <row r="22" spans="2:21" x14ac:dyDescent="0.2">
      <c r="B22" s="94" t="s">
        <v>75</v>
      </c>
      <c r="C22" s="24">
        <v>1960</v>
      </c>
      <c r="D22" s="24">
        <v>2096</v>
      </c>
      <c r="E22" s="24">
        <v>2630</v>
      </c>
      <c r="F22" s="24">
        <v>2964</v>
      </c>
      <c r="G22" s="24">
        <v>4215</v>
      </c>
      <c r="H22" s="24">
        <v>4496</v>
      </c>
      <c r="M22" s="5"/>
    </row>
    <row r="23" spans="2:21" x14ac:dyDescent="0.2">
      <c r="B23" s="95" t="s">
        <v>86</v>
      </c>
      <c r="C23" s="23">
        <f>C19-C20+89</f>
        <v>1133</v>
      </c>
      <c r="D23" s="23">
        <f>D19-D20+88</f>
        <v>1166</v>
      </c>
      <c r="E23" s="23">
        <f>E19-E20+131</f>
        <v>1151</v>
      </c>
      <c r="F23" s="23">
        <f>F19-F20+176</f>
        <v>1349</v>
      </c>
      <c r="G23" s="23">
        <f>G19-G20+171</f>
        <v>1744</v>
      </c>
      <c r="H23" s="23">
        <f>H19-H20+186</f>
        <v>1893</v>
      </c>
      <c r="M23" s="5"/>
    </row>
    <row r="24" spans="2:21" ht="13.5" thickBot="1" x14ac:dyDescent="0.25">
      <c r="B24" s="97" t="s">
        <v>98</v>
      </c>
      <c r="C24" s="98">
        <f t="shared" ref="C24:G24" si="31">C21/C22</f>
        <v>0.37602040816326532</v>
      </c>
      <c r="D24" s="98">
        <f t="shared" si="31"/>
        <v>0.32108778625954199</v>
      </c>
      <c r="E24" s="98">
        <f t="shared" si="31"/>
        <v>0.2505703422053232</v>
      </c>
      <c r="F24" s="98">
        <f t="shared" si="31"/>
        <v>0.26720647773279355</v>
      </c>
      <c r="G24" s="98">
        <f t="shared" si="31"/>
        <v>0.25883748517200472</v>
      </c>
      <c r="H24" s="98">
        <f>H21/H22</f>
        <v>0.26223309608540923</v>
      </c>
      <c r="M24" s="5"/>
    </row>
    <row r="25" spans="2:21" x14ac:dyDescent="0.2">
      <c r="B25" s="96" t="s">
        <v>113</v>
      </c>
      <c r="M25" s="5"/>
    </row>
    <row r="26" spans="2:21" x14ac:dyDescent="0.2">
      <c r="B26" s="94" t="s">
        <v>105</v>
      </c>
      <c r="C26" s="24">
        <v>189699</v>
      </c>
      <c r="D26" s="24">
        <v>201478</v>
      </c>
      <c r="E26" s="24">
        <v>226233</v>
      </c>
      <c r="F26" s="24">
        <v>257157</v>
      </c>
      <c r="G26" s="24">
        <v>290827</v>
      </c>
      <c r="H26" s="24">
        <v>308810</v>
      </c>
      <c r="M26" s="110" t="s">
        <v>113</v>
      </c>
      <c r="N26" s="107">
        <v>2019</v>
      </c>
      <c r="O26" s="107">
        <v>2020</v>
      </c>
      <c r="P26" s="107">
        <f>O26+1</f>
        <v>2021</v>
      </c>
      <c r="Q26" s="107">
        <f t="shared" ref="Q26" si="32">P26+1</f>
        <v>2022</v>
      </c>
      <c r="R26" s="107">
        <f t="shared" ref="R26" si="33">Q26+1</f>
        <v>2023</v>
      </c>
      <c r="S26" s="107">
        <f t="shared" ref="S26" si="34">R26+1</f>
        <v>2024</v>
      </c>
      <c r="T26" s="108" t="s">
        <v>99</v>
      </c>
      <c r="U26" s="109" t="s">
        <v>100</v>
      </c>
    </row>
    <row r="27" spans="2:21" x14ac:dyDescent="0.2">
      <c r="B27" s="94" t="s">
        <v>116</v>
      </c>
      <c r="C27" s="24">
        <v>242155</v>
      </c>
      <c r="D27" s="24">
        <v>257141</v>
      </c>
      <c r="E27" s="24">
        <v>287597</v>
      </c>
      <c r="F27" s="24">
        <v>324162</v>
      </c>
      <c r="G27" s="24">
        <v>371622</v>
      </c>
      <c r="H27" s="24">
        <v>400278</v>
      </c>
      <c r="M27" s="111" t="s">
        <v>102</v>
      </c>
      <c r="N27" s="85">
        <f>LN(C27/226247)</f>
        <v>6.7950694170902215E-2</v>
      </c>
      <c r="O27" s="85">
        <f t="shared" ref="O27" si="35">LN(D27/C27)</f>
        <v>6.0046555586120987E-2</v>
      </c>
      <c r="P27" s="85">
        <f t="shared" ref="P27" si="36">LN(E27/D27)</f>
        <v>0.11193562205746556</v>
      </c>
      <c r="Q27" s="85">
        <f t="shared" ref="Q27" si="37">LN(F27/E27)</f>
        <v>0.11968319619587478</v>
      </c>
      <c r="R27" s="85">
        <f t="shared" ref="R27" si="38">LN(G27/F27)</f>
        <v>0.13663381779781236</v>
      </c>
      <c r="S27" s="85">
        <f>LN(H27/G27)</f>
        <v>7.4282097075531697E-2</v>
      </c>
      <c r="T27" s="100">
        <f>AVERAGE(O27:S27)</f>
        <v>0.10051625774256108</v>
      </c>
      <c r="U27" s="101">
        <f>_xlfn.STDEV.S(O27:S27)</f>
        <v>3.2125844478817979E-2</v>
      </c>
    </row>
    <row r="28" spans="2:21" x14ac:dyDescent="0.2">
      <c r="B28" s="94" t="s">
        <v>36</v>
      </c>
      <c r="C28" s="24">
        <v>222470</v>
      </c>
      <c r="D28" s="24">
        <v>234736</v>
      </c>
      <c r="E28" s="24">
        <v>263627</v>
      </c>
      <c r="F28" s="24">
        <v>295727</v>
      </c>
      <c r="G28" s="24">
        <v>339264</v>
      </c>
      <c r="H28" s="24">
        <v>367991</v>
      </c>
      <c r="M28" s="112" t="s">
        <v>103</v>
      </c>
      <c r="N28" s="81">
        <f>LN(C31/(226247-208903+2428))</f>
        <v>0.12501735279339343</v>
      </c>
      <c r="O28" s="81">
        <f t="shared" ref="O28" si="39">LN(D31/C31)</f>
        <v>0.12136213222900984</v>
      </c>
      <c r="P28" s="81">
        <f t="shared" ref="P28" si="40">LN(E31/D31)</f>
        <v>6.7890640808764724E-2</v>
      </c>
      <c r="Q28" s="81">
        <f t="shared" ref="Q28" si="41">LN(F31/E31)</f>
        <v>0.16202939219310783</v>
      </c>
      <c r="R28" s="81">
        <f t="shared" ref="R28" si="42">LN(G31/F31)</f>
        <v>0.13207753276412196</v>
      </c>
      <c r="S28" s="81">
        <f>LN(H31/G31)</f>
        <v>1.5402390415011717E-3</v>
      </c>
      <c r="T28" s="102">
        <f t="shared" ref="T28:T29" si="43">AVERAGE(O28:S28)</f>
        <v>9.6979987407301099E-2</v>
      </c>
      <c r="U28" s="105">
        <f t="shared" ref="U28:U29" si="44">_xlfn.STDEV.S(O28:S28)</f>
        <v>6.3270623896136843E-2</v>
      </c>
    </row>
    <row r="29" spans="2:21" x14ac:dyDescent="0.2">
      <c r="B29" s="94" t="s">
        <v>45</v>
      </c>
      <c r="C29" s="24">
        <v>14239</v>
      </c>
      <c r="D29" s="24">
        <v>15769</v>
      </c>
      <c r="E29" s="24">
        <v>17732</v>
      </c>
      <c r="F29" s="24">
        <v>20639</v>
      </c>
      <c r="G29" s="24">
        <v>23144</v>
      </c>
      <c r="H29" s="24">
        <v>15242</v>
      </c>
      <c r="M29" s="112" t="s">
        <v>117</v>
      </c>
      <c r="N29" s="81">
        <f>LN(C26/178087)</f>
        <v>6.3166410514998828E-2</v>
      </c>
      <c r="O29" s="81">
        <f t="shared" ref="O29" si="45">LN(D26/C26)</f>
        <v>6.0241588838815814E-2</v>
      </c>
      <c r="P29" s="81">
        <f t="shared" ref="P29" si="46">LN(E26/D26)</f>
        <v>0.11588524735087471</v>
      </c>
      <c r="Q29" s="81">
        <f t="shared" ref="Q29" si="47">LN(F26/E26)</f>
        <v>0.12812135168101965</v>
      </c>
      <c r="R29" s="81">
        <f t="shared" ref="R29" si="48">LN(G26/F26)</f>
        <v>0.12304179535056489</v>
      </c>
      <c r="S29" s="81">
        <f>LN(H26/G26)</f>
        <v>5.9997612378915571E-2</v>
      </c>
      <c r="T29" s="102">
        <f t="shared" si="43"/>
        <v>9.7457519120038125E-2</v>
      </c>
      <c r="U29" s="105">
        <f t="shared" si="44"/>
        <v>3.4360868240877508E-2</v>
      </c>
    </row>
    <row r="30" spans="2:21" x14ac:dyDescent="0.2">
      <c r="B30" s="94" t="s">
        <v>75</v>
      </c>
      <c r="C30" s="24">
        <v>60436</v>
      </c>
      <c r="D30" s="24">
        <v>68329</v>
      </c>
      <c r="E30" s="24">
        <v>75045</v>
      </c>
      <c r="F30" s="24">
        <v>81450</v>
      </c>
      <c r="G30" s="24">
        <v>94421</v>
      </c>
      <c r="H30" s="24">
        <v>98268</v>
      </c>
      <c r="M30" s="5"/>
    </row>
    <row r="31" spans="2:21" x14ac:dyDescent="0.2">
      <c r="B31" s="95" t="s">
        <v>86</v>
      </c>
      <c r="C31" s="24">
        <f>C27-C28+2720</f>
        <v>22405</v>
      </c>
      <c r="D31" s="24">
        <f>D27-D28+2891</f>
        <v>25296</v>
      </c>
      <c r="E31" s="24">
        <f>E27-E28+3103</f>
        <v>27073</v>
      </c>
      <c r="F31" s="24">
        <f>F27-F28+3400</f>
        <v>31835</v>
      </c>
      <c r="G31" s="24">
        <f>G27-G28+3972</f>
        <v>36330</v>
      </c>
      <c r="H31" s="24">
        <f>H27-H28+4099</f>
        <v>36386</v>
      </c>
      <c r="M31" s="5"/>
    </row>
    <row r="32" spans="2:21" ht="13.5" thickBot="1" x14ac:dyDescent="0.25">
      <c r="B32" s="97" t="s">
        <v>98</v>
      </c>
      <c r="C32" s="98">
        <f t="shared" ref="C32:G32" si="49">C29/C30</f>
        <v>0.2356046065259117</v>
      </c>
      <c r="D32" s="98">
        <f t="shared" si="49"/>
        <v>0.2307804885187841</v>
      </c>
      <c r="E32" s="98">
        <f t="shared" si="49"/>
        <v>0.23628489572922912</v>
      </c>
      <c r="F32" s="98">
        <f t="shared" si="49"/>
        <v>0.25339472068753838</v>
      </c>
      <c r="G32" s="98">
        <f t="shared" si="49"/>
        <v>0.24511496383219836</v>
      </c>
      <c r="H32" s="98">
        <f>H29/H30</f>
        <v>0.15510644360320755</v>
      </c>
    </row>
    <row r="33" spans="2:21" x14ac:dyDescent="0.2">
      <c r="B33" s="96" t="s">
        <v>114</v>
      </c>
    </row>
    <row r="34" spans="2:21" x14ac:dyDescent="0.2">
      <c r="B34" s="94" t="s">
        <v>105</v>
      </c>
      <c r="C34" s="24">
        <v>67439</v>
      </c>
      <c r="D34" s="24">
        <v>100055</v>
      </c>
      <c r="E34" s="24">
        <v>112319</v>
      </c>
      <c r="F34" s="24">
        <v>127131</v>
      </c>
      <c r="G34" s="24">
        <v>135636</v>
      </c>
      <c r="H34" s="24">
        <v>142303</v>
      </c>
      <c r="M34" s="110" t="s">
        <v>114</v>
      </c>
      <c r="N34" s="107">
        <v>2019</v>
      </c>
      <c r="O34" s="107">
        <v>2020</v>
      </c>
      <c r="P34" s="107">
        <f>O34+1</f>
        <v>2021</v>
      </c>
      <c r="Q34" s="107">
        <f t="shared" ref="Q34" si="50">P34+1</f>
        <v>2022</v>
      </c>
      <c r="R34" s="107">
        <f t="shared" ref="R34" si="51">Q34+1</f>
        <v>2023</v>
      </c>
      <c r="S34" s="107">
        <f t="shared" ref="S34" si="52">R34+1</f>
        <v>2024</v>
      </c>
      <c r="T34" s="108" t="s">
        <v>99</v>
      </c>
      <c r="U34" s="109" t="s">
        <v>100</v>
      </c>
    </row>
    <row r="35" spans="2:21" x14ac:dyDescent="0.2">
      <c r="B35" s="94" t="s">
        <v>116</v>
      </c>
      <c r="C35" s="24">
        <v>74639</v>
      </c>
      <c r="D35" s="24">
        <v>111115</v>
      </c>
      <c r="E35" s="24">
        <v>125982</v>
      </c>
      <c r="F35" s="24">
        <v>144547</v>
      </c>
      <c r="G35" s="24">
        <v>153999</v>
      </c>
      <c r="H35" s="24">
        <v>163071</v>
      </c>
      <c r="M35" s="78" t="s">
        <v>102</v>
      </c>
      <c r="N35" s="85">
        <f>LN(C35/60116)</f>
        <v>0.21638712973547627</v>
      </c>
      <c r="O35" s="85">
        <f t="shared" ref="O35" si="53">LN(D35/C35)</f>
        <v>0.39790254222610782</v>
      </c>
      <c r="P35" s="85">
        <f t="shared" ref="P35" si="54">LN(E35/D35)</f>
        <v>0.12557333857013539</v>
      </c>
      <c r="Q35" s="85">
        <f t="shared" ref="Q35" si="55">LN(F35/E35)</f>
        <v>0.13746567457908151</v>
      </c>
      <c r="R35" s="85">
        <f t="shared" ref="R35" si="56">LN(G35/F35)</f>
        <v>6.3341394703403872E-2</v>
      </c>
      <c r="S35" s="85">
        <f>LN(H35/G35)</f>
        <v>5.7239579904137118E-2</v>
      </c>
      <c r="T35" s="100">
        <f>AVERAGE(O35:S35)</f>
        <v>0.15630450599657314</v>
      </c>
      <c r="U35" s="101">
        <f>_xlfn.STDEV.S(O35:S35)</f>
        <v>0.13975417433259554</v>
      </c>
    </row>
    <row r="36" spans="2:21" x14ac:dyDescent="0.2">
      <c r="B36" s="94" t="s">
        <v>36</v>
      </c>
      <c r="C36" s="24">
        <v>72858</v>
      </c>
      <c r="D36" s="24">
        <v>108033</v>
      </c>
      <c r="E36" s="24">
        <v>124198</v>
      </c>
      <c r="F36" s="24">
        <v>143229</v>
      </c>
      <c r="G36" s="24">
        <v>151069</v>
      </c>
      <c r="H36" s="24">
        <v>159896</v>
      </c>
      <c r="M36" s="68" t="s">
        <v>103</v>
      </c>
      <c r="N36" s="81">
        <f>LN(C40/(60116-58658+211))</f>
        <v>0.32502287985400413</v>
      </c>
      <c r="O36" s="81">
        <f>LN(D40/C40)</f>
        <v>0.61857289923479875</v>
      </c>
      <c r="P36" s="81">
        <f>LN(E40/D40)</f>
        <v>-0.31830798614283468</v>
      </c>
      <c r="Q36" s="81">
        <f>LN(F40/E40)</f>
        <v>-0.12627522844255751</v>
      </c>
      <c r="R36" s="81">
        <f>LN(G40/F40)</f>
        <v>0.42930856676869783</v>
      </c>
      <c r="S36" s="81">
        <f>LN(H40/G40)</f>
        <v>4.4688533022987746E-2</v>
      </c>
      <c r="T36" s="102">
        <f t="shared" ref="T36:T37" si="57">AVERAGE(O36:S36)</f>
        <v>0.12959735688821844</v>
      </c>
      <c r="U36" s="105">
        <f t="shared" ref="U36:U37" si="58">_xlfn.STDEV.S(O36:S36)</f>
        <v>0.38801526224845539</v>
      </c>
    </row>
    <row r="37" spans="2:21" x14ac:dyDescent="0.2">
      <c r="B37" s="94" t="s">
        <v>45</v>
      </c>
      <c r="C37" s="24">
        <v>1309</v>
      </c>
      <c r="D37" s="24">
        <v>1794</v>
      </c>
      <c r="E37" s="24">
        <v>1336</v>
      </c>
      <c r="F37" s="24">
        <v>1202</v>
      </c>
      <c r="G37" s="24">
        <v>2699</v>
      </c>
      <c r="H37" s="24">
        <v>3294</v>
      </c>
      <c r="M37" s="86" t="s">
        <v>117</v>
      </c>
      <c r="N37" s="81">
        <f>LN(C34/53629)</f>
        <v>0.22913351904748655</v>
      </c>
      <c r="O37" s="81">
        <f t="shared" ref="O37:P37" si="59">LN(D34/C34)</f>
        <v>0.39449654920511767</v>
      </c>
      <c r="P37" s="81">
        <f t="shared" si="59"/>
        <v>0.1156230023104378</v>
      </c>
      <c r="Q37" s="81">
        <f t="shared" ref="Q37" si="60">LN(F34/E34)</f>
        <v>0.12387501379110376</v>
      </c>
      <c r="R37" s="81">
        <f t="shared" ref="R37" si="61">LN(G34/F34)</f>
        <v>6.4756776101525873E-2</v>
      </c>
      <c r="S37" s="81">
        <f>LN(H34/G34)</f>
        <v>4.7983760097645989E-2</v>
      </c>
      <c r="T37" s="102">
        <f t="shared" si="57"/>
        <v>0.1493470203011662</v>
      </c>
      <c r="U37" s="105">
        <f t="shared" si="58"/>
        <v>0.14081410082069046</v>
      </c>
    </row>
    <row r="38" spans="2:21" x14ac:dyDescent="0.2">
      <c r="B38" s="94" t="s">
        <v>75</v>
      </c>
      <c r="C38" s="24">
        <v>12659</v>
      </c>
      <c r="D38" s="24">
        <v>25885</v>
      </c>
      <c r="E38" s="24">
        <v>26940</v>
      </c>
      <c r="F38" s="24">
        <v>24181</v>
      </c>
      <c r="G38" s="24">
        <v>25937</v>
      </c>
      <c r="H38" s="24">
        <v>26500</v>
      </c>
    </row>
    <row r="39" spans="2:21" x14ac:dyDescent="0.2">
      <c r="B39" s="94" t="s">
        <v>51</v>
      </c>
      <c r="C39" s="24">
        <v>6247</v>
      </c>
      <c r="D39" s="24">
        <v>9696</v>
      </c>
      <c r="E39" s="24">
        <v>12238</v>
      </c>
      <c r="F39" s="24">
        <v>13272</v>
      </c>
      <c r="G39" s="24">
        <v>15532</v>
      </c>
      <c r="H39" s="24">
        <v>19713</v>
      </c>
    </row>
    <row r="40" spans="2:21" x14ac:dyDescent="0.2">
      <c r="B40" s="95" t="s">
        <v>86</v>
      </c>
      <c r="C40" s="24">
        <f>C35-C36+258+271</f>
        <v>2310</v>
      </c>
      <c r="D40" s="24">
        <f>D35-D36+487+719</f>
        <v>4288</v>
      </c>
      <c r="E40" s="24">
        <f>E35-E36+565+770</f>
        <v>3119</v>
      </c>
      <c r="F40" s="24">
        <f>F35-F36+614+817</f>
        <v>2749</v>
      </c>
      <c r="G40" s="24">
        <f>G35-G36+575+718</f>
        <v>4223</v>
      </c>
      <c r="H40" s="24">
        <f>H35-H36+549+692</f>
        <v>4416</v>
      </c>
    </row>
    <row r="41" spans="2:21" x14ac:dyDescent="0.2">
      <c r="B41" s="95" t="s">
        <v>98</v>
      </c>
      <c r="C41" s="81">
        <f t="shared" ref="C41:G41" si="62">C37/C38</f>
        <v>0.10340469231376886</v>
      </c>
      <c r="D41" s="81">
        <f t="shared" si="62"/>
        <v>6.9306548193934711E-2</v>
      </c>
      <c r="E41" s="81">
        <f t="shared" si="62"/>
        <v>4.9591685226429101E-2</v>
      </c>
      <c r="F41" s="81">
        <f t="shared" si="62"/>
        <v>4.970844878210165E-2</v>
      </c>
      <c r="G41" s="81">
        <f t="shared" si="62"/>
        <v>0.10405983729806839</v>
      </c>
      <c r="H41" s="81">
        <f>H37/H38</f>
        <v>0.12430188679245283</v>
      </c>
    </row>
    <row r="42" spans="2:21" x14ac:dyDescent="0.2">
      <c r="B42" s="95" t="s">
        <v>107</v>
      </c>
      <c r="C42" s="58">
        <f>(C34*0.94)/C39</f>
        <v>10.147696494317271</v>
      </c>
      <c r="D42" s="58">
        <f t="shared" ref="D42:H42" si="63">(D34*0.94)/D39</f>
        <v>9.7000515676567662</v>
      </c>
      <c r="E42" s="58">
        <f t="shared" si="63"/>
        <v>8.6272152312469359</v>
      </c>
      <c r="F42" s="58">
        <f t="shared" si="63"/>
        <v>9.0041546112115736</v>
      </c>
      <c r="G42" s="58">
        <f t="shared" si="63"/>
        <v>8.2087200618078811</v>
      </c>
      <c r="H42" s="58">
        <f t="shared" si="63"/>
        <v>6.7856145690660972</v>
      </c>
    </row>
    <row r="43" spans="2:21" x14ac:dyDescent="0.2">
      <c r="O43" s="106"/>
    </row>
    <row r="46" spans="2:21" x14ac:dyDescent="0.2">
      <c r="B46" s="5" t="s">
        <v>124</v>
      </c>
    </row>
    <row r="47" spans="2:21" x14ac:dyDescent="0.2">
      <c r="B47" s="93"/>
      <c r="C47" s="92">
        <v>2019</v>
      </c>
      <c r="D47" s="92">
        <v>2020</v>
      </c>
      <c r="E47" s="92">
        <f>D47+1</f>
        <v>2021</v>
      </c>
      <c r="F47" s="92">
        <f t="shared" ref="F47" si="64">E47+1</f>
        <v>2022</v>
      </c>
      <c r="G47" s="92">
        <f t="shared" ref="G47" si="65">F47+1</f>
        <v>2023</v>
      </c>
      <c r="H47" s="92">
        <f t="shared" ref="H47" si="66">G47+1</f>
        <v>2024</v>
      </c>
      <c r="I47" s="108" t="s">
        <v>99</v>
      </c>
      <c r="J47" s="109" t="s">
        <v>100</v>
      </c>
      <c r="K47" s="115"/>
      <c r="L47" s="115"/>
    </row>
    <row r="48" spans="2:21" x14ac:dyDescent="0.2">
      <c r="B48" s="112" t="s">
        <v>123</v>
      </c>
      <c r="C48" s="81">
        <f>C13/C11</f>
        <v>3.3340713439172734E-2</v>
      </c>
      <c r="D48" s="81">
        <f t="shared" ref="D48:H48" si="67">D13/D11</f>
        <v>5.2923610201931412E-2</v>
      </c>
      <c r="E48" s="81">
        <f t="shared" si="67"/>
        <v>3.1106745252128355E-2</v>
      </c>
      <c r="F48" s="81">
        <f t="shared" si="67"/>
        <v>3.756966064325995E-2</v>
      </c>
      <c r="G48" s="81">
        <f t="shared" si="67"/>
        <v>2.751133075563977E-2</v>
      </c>
      <c r="H48" s="81">
        <f t="shared" si="67"/>
        <v>1.5288057267492442E-2</v>
      </c>
      <c r="I48" s="100">
        <f>AVERAGE(C48:H48)</f>
        <v>3.2956686259937445E-2</v>
      </c>
      <c r="J48" s="101">
        <f>_xlfn.STDEV.S(C48:H48)</f>
        <v>1.2372224456533101E-2</v>
      </c>
      <c r="K48" s="165"/>
      <c r="L48" s="165"/>
    </row>
    <row r="49" spans="2:16" x14ac:dyDescent="0.2">
      <c r="B49" s="112" t="s">
        <v>120</v>
      </c>
      <c r="C49" s="81">
        <f>C21/C19</f>
        <v>4.3793451779666051E-2</v>
      </c>
      <c r="D49" s="81">
        <f t="shared" ref="D49:H49" si="68">D21/D19</f>
        <v>3.46496421768007E-2</v>
      </c>
      <c r="E49" s="81">
        <f t="shared" si="68"/>
        <v>2.372979006877678E-2</v>
      </c>
      <c r="F49" s="81">
        <f t="shared" si="68"/>
        <v>2.4770125727153314E-2</v>
      </c>
      <c r="G49" s="81">
        <f t="shared" si="68"/>
        <v>3.2020427330359237E-2</v>
      </c>
      <c r="H49" s="81">
        <f t="shared" si="68"/>
        <v>2.900369003690037E-2</v>
      </c>
      <c r="I49" s="102">
        <f t="shared" ref="I49:I51" si="69">AVERAGE(C49:H49)</f>
        <v>3.1327854519942744E-2</v>
      </c>
      <c r="J49" s="102">
        <f t="shared" ref="J49:J51" si="70">_xlfn.STDEV.S(C49:H49)</f>
        <v>7.3897385101868085E-3</v>
      </c>
      <c r="K49" s="84"/>
      <c r="L49" s="84"/>
      <c r="N49" s="113"/>
    </row>
    <row r="50" spans="2:16" x14ac:dyDescent="0.2">
      <c r="B50" s="112" t="s">
        <v>121</v>
      </c>
      <c r="C50" s="81">
        <f>C29/C27</f>
        <v>5.8801181061716667E-2</v>
      </c>
      <c r="D50" s="81">
        <f t="shared" ref="D50:H50" si="71">D29/D27</f>
        <v>6.1324331786840686E-2</v>
      </c>
      <c r="E50" s="81">
        <f t="shared" si="71"/>
        <v>6.1655719635462125E-2</v>
      </c>
      <c r="F50" s="81">
        <f t="shared" si="71"/>
        <v>6.3668782892504369E-2</v>
      </c>
      <c r="G50" s="81">
        <f t="shared" si="71"/>
        <v>6.2278336589330019E-2</v>
      </c>
      <c r="H50" s="81">
        <f t="shared" si="71"/>
        <v>3.8078535417884571E-2</v>
      </c>
      <c r="I50" s="102">
        <f t="shared" si="69"/>
        <v>5.7634481230623071E-2</v>
      </c>
      <c r="J50" s="102">
        <f t="shared" si="70"/>
        <v>9.7114339796096939E-3</v>
      </c>
      <c r="K50" s="84"/>
      <c r="L50" s="84"/>
    </row>
    <row r="51" spans="2:16" x14ac:dyDescent="0.2">
      <c r="B51" s="112" t="s">
        <v>122</v>
      </c>
      <c r="C51" s="81">
        <f>C37/C35</f>
        <v>1.7537748362116318E-2</v>
      </c>
      <c r="D51" s="81">
        <f t="shared" ref="D51:H51" si="72">D37/D35</f>
        <v>1.6145434909778159E-2</v>
      </c>
      <c r="E51" s="81">
        <f t="shared" si="72"/>
        <v>1.0604689558825865E-2</v>
      </c>
      <c r="F51" s="81">
        <f t="shared" si="72"/>
        <v>8.3156343611420509E-3</v>
      </c>
      <c r="G51" s="81">
        <f t="shared" si="72"/>
        <v>1.7526087831739166E-2</v>
      </c>
      <c r="H51" s="81">
        <f t="shared" si="72"/>
        <v>2.0199790275401513E-2</v>
      </c>
      <c r="I51" s="102">
        <f t="shared" si="69"/>
        <v>1.5054897549833844E-2</v>
      </c>
      <c r="J51" s="102">
        <f t="shared" si="70"/>
        <v>4.5859032250180811E-3</v>
      </c>
      <c r="K51" s="84"/>
      <c r="L51" s="84"/>
    </row>
    <row r="52" spans="2:16" x14ac:dyDescent="0.2">
      <c r="B52" s="117" t="s">
        <v>101</v>
      </c>
      <c r="C52" s="118">
        <f>Statements!C43</f>
        <v>4.6126682851467669E-2</v>
      </c>
      <c r="D52" s="118">
        <f>Statements!D43</f>
        <v>3.7516308762831609E-2</v>
      </c>
      <c r="E52" s="118">
        <f>Statements!E43</f>
        <v>4.3963098406653252E-2</v>
      </c>
      <c r="F52" s="118">
        <f>Statements!F43</f>
        <v>3.7600178805198121E-2</v>
      </c>
      <c r="G52" s="118">
        <f>Statements!G43</f>
        <v>3.4965565542196798E-2</v>
      </c>
      <c r="H52" s="118">
        <f>Statements!H43</f>
        <v>3.373236691505048E-2</v>
      </c>
      <c r="I52" s="102">
        <f t="shared" ref="I52" si="73">AVERAGE(C52:H52)</f>
        <v>3.8984033547232982E-2</v>
      </c>
      <c r="J52" s="102">
        <f t="shared" ref="J52" si="74">_xlfn.STDEV.S(C52:H52)</f>
        <v>4.9720394903997921E-3</v>
      </c>
      <c r="K52" s="84"/>
      <c r="L52" s="84"/>
    </row>
    <row r="53" spans="2:16" x14ac:dyDescent="0.2">
      <c r="B53" s="113"/>
      <c r="C53" s="116">
        <v>3.5191590621514016E-2</v>
      </c>
      <c r="D53" s="116">
        <v>3.5191590621514016E-2</v>
      </c>
      <c r="E53" s="116">
        <v>3.5191590621514016E-2</v>
      </c>
      <c r="F53" s="116">
        <v>3.5191590621514016E-2</v>
      </c>
      <c r="G53" s="116">
        <v>3.5191590621514016E-2</v>
      </c>
      <c r="H53" s="116">
        <v>3.5191590621514016E-2</v>
      </c>
    </row>
    <row r="61" spans="2:16" x14ac:dyDescent="0.2">
      <c r="O61" s="114" t="s">
        <v>99</v>
      </c>
      <c r="P61" s="115" t="s">
        <v>100</v>
      </c>
    </row>
    <row r="62" spans="2:16" x14ac:dyDescent="0.2">
      <c r="O62" s="84">
        <f>AVERAGE(C48:H52)</f>
        <v>3.5191590621514016E-2</v>
      </c>
      <c r="P62" s="81">
        <f>_xlfn.STDEV.S(C48:H52)</f>
        <v>1.5973655884295657E-2</v>
      </c>
    </row>
    <row r="79" spans="2:12" x14ac:dyDescent="0.2">
      <c r="B79" s="5" t="s">
        <v>125</v>
      </c>
    </row>
    <row r="80" spans="2:12" x14ac:dyDescent="0.2">
      <c r="B80" s="93"/>
      <c r="C80" s="92">
        <v>2019</v>
      </c>
      <c r="D80" s="92">
        <v>2020</v>
      </c>
      <c r="E80" s="92">
        <f>D80+1</f>
        <v>2021</v>
      </c>
      <c r="F80" s="92">
        <f t="shared" ref="F80" si="75">E80+1</f>
        <v>2022</v>
      </c>
      <c r="G80" s="92">
        <f t="shared" ref="G80" si="76">F80+1</f>
        <v>2023</v>
      </c>
      <c r="H80" s="92">
        <f t="shared" ref="H80" si="77">G80+1</f>
        <v>2024</v>
      </c>
      <c r="I80" s="108" t="s">
        <v>99</v>
      </c>
      <c r="J80" s="109" t="s">
        <v>100</v>
      </c>
      <c r="K80" s="115"/>
      <c r="L80" s="115"/>
    </row>
    <row r="81" spans="2:16" x14ac:dyDescent="0.2">
      <c r="B81" s="112" t="s">
        <v>123</v>
      </c>
      <c r="C81" s="81">
        <f>C15/C11</f>
        <v>7.1799747339905975E-2</v>
      </c>
      <c r="D81" s="81">
        <f t="shared" ref="D81:H81" si="78">D15/D11</f>
        <v>6.3185391612271741E-2</v>
      </c>
      <c r="E81" s="81">
        <f t="shared" si="78"/>
        <v>5.7060627994347364E-2</v>
      </c>
      <c r="F81" s="81">
        <f t="shared" si="78"/>
        <v>5.7202051872943416E-2</v>
      </c>
      <c r="G81" s="81">
        <f t="shared" si="78"/>
        <v>5.3030497016874505E-2</v>
      </c>
      <c r="H81" s="81">
        <f t="shared" si="78"/>
        <v>4.4998199262709364E-2</v>
      </c>
      <c r="I81" s="100">
        <f>AVERAGE(C81:H81)</f>
        <v>5.78794191831754E-2</v>
      </c>
      <c r="J81" s="101">
        <f>_xlfn.STDEV.S(C81:H81)</f>
        <v>9.0829069983956474E-3</v>
      </c>
      <c r="K81" s="165"/>
      <c r="L81" s="165"/>
    </row>
    <row r="82" spans="2:16" x14ac:dyDescent="0.2">
      <c r="B82" s="112" t="s">
        <v>120</v>
      </c>
      <c r="C82" s="81">
        <f>C23/C19</f>
        <v>6.7324261691128415E-2</v>
      </c>
      <c r="D82" s="81">
        <f t="shared" ref="D82:H82" si="79">D23/D19</f>
        <v>6.0031920918498689E-2</v>
      </c>
      <c r="E82" s="81">
        <f t="shared" si="79"/>
        <v>4.1446112851535773E-2</v>
      </c>
      <c r="F82" s="81">
        <f t="shared" si="79"/>
        <v>4.2190529805466941E-2</v>
      </c>
      <c r="G82" s="81">
        <f t="shared" si="79"/>
        <v>5.1185724348438599E-2</v>
      </c>
      <c r="H82" s="81">
        <f t="shared" si="79"/>
        <v>4.6568265682656824E-2</v>
      </c>
      <c r="I82" s="102">
        <f t="shared" ref="I82:I85" si="80">AVERAGE(C82:H82)</f>
        <v>5.1457802549620874E-2</v>
      </c>
      <c r="J82" s="102">
        <f t="shared" ref="J82:J85" si="81">_xlfn.STDEV.S(C82:H82)</f>
        <v>1.0347539838424399E-2</v>
      </c>
      <c r="K82" s="84"/>
      <c r="L82" s="84"/>
    </row>
    <row r="83" spans="2:16" x14ac:dyDescent="0.2">
      <c r="B83" s="112" t="s">
        <v>121</v>
      </c>
      <c r="C83" s="81">
        <f>C31/C27</f>
        <v>9.2523383783114116E-2</v>
      </c>
      <c r="D83" s="81">
        <f t="shared" ref="D83:H83" si="82">D31/D27</f>
        <v>9.8374043812538642E-2</v>
      </c>
      <c r="E83" s="81">
        <f t="shared" si="82"/>
        <v>9.4135196125133436E-2</v>
      </c>
      <c r="F83" s="81">
        <f t="shared" si="82"/>
        <v>9.8207069304853747E-2</v>
      </c>
      <c r="G83" s="81">
        <f t="shared" si="82"/>
        <v>9.7760627734633579E-2</v>
      </c>
      <c r="H83" s="81">
        <f t="shared" si="82"/>
        <v>9.0901823232853174E-2</v>
      </c>
      <c r="I83" s="102">
        <f t="shared" si="80"/>
        <v>9.5317023998854444E-2</v>
      </c>
      <c r="J83" s="102">
        <f t="shared" si="81"/>
        <v>3.2361727955010039E-3</v>
      </c>
      <c r="K83" s="84"/>
      <c r="L83" s="84"/>
    </row>
    <row r="84" spans="2:16" x14ac:dyDescent="0.2">
      <c r="B84" s="112" t="s">
        <v>122</v>
      </c>
      <c r="C84" s="81">
        <f>C40/C35</f>
        <v>3.0948967697852329E-2</v>
      </c>
      <c r="D84" s="81">
        <f t="shared" ref="D84:H84" si="83">D40/D35</f>
        <v>3.8590649327273546E-2</v>
      </c>
      <c r="E84" s="81">
        <f t="shared" si="83"/>
        <v>2.4757505040402597E-2</v>
      </c>
      <c r="F84" s="81">
        <f t="shared" si="83"/>
        <v>1.9018035656222544E-2</v>
      </c>
      <c r="G84" s="81">
        <f t="shared" si="83"/>
        <v>2.7422255988675252E-2</v>
      </c>
      <c r="H84" s="81">
        <f t="shared" si="83"/>
        <v>2.7080228857368875E-2</v>
      </c>
      <c r="I84" s="102">
        <f t="shared" si="80"/>
        <v>2.7969607094632528E-2</v>
      </c>
      <c r="J84" s="102">
        <f t="shared" si="81"/>
        <v>6.5302671525354541E-3</v>
      </c>
      <c r="K84" s="84"/>
      <c r="L84" s="84"/>
    </row>
    <row r="85" spans="2:16" x14ac:dyDescent="0.2">
      <c r="B85" s="117" t="s">
        <v>101</v>
      </c>
      <c r="C85" s="118">
        <f>Statements!C48/Statements!C24</f>
        <v>6.7851419688522541E-2</v>
      </c>
      <c r="D85" s="118">
        <f>Statements!D48/Statements!D24</f>
        <v>6.0877842237849457E-2</v>
      </c>
      <c r="E85" s="118">
        <f>Statements!E48/Statements!E24</f>
        <v>6.6251199157524213E-2</v>
      </c>
      <c r="F85" s="118">
        <f>Statements!F48/Statements!F24</f>
        <v>5.8865225581915134E-2</v>
      </c>
      <c r="G85" s="118">
        <f>Statements!G48/Statements!G24</f>
        <v>5.6204038753355903E-2</v>
      </c>
      <c r="H85" s="118">
        <f>Statements!H48/Statements!H24</f>
        <v>5.4623723949359076E-2</v>
      </c>
      <c r="I85" s="102">
        <f t="shared" si="80"/>
        <v>6.0778908228087715E-2</v>
      </c>
      <c r="J85" s="102">
        <f t="shared" si="81"/>
        <v>5.3376788925312028E-3</v>
      </c>
      <c r="K85" s="84"/>
      <c r="L85" s="84"/>
    </row>
    <row r="86" spans="2:16" x14ac:dyDescent="0.2">
      <c r="C86" s="116">
        <v>5.8680552210874197E-2</v>
      </c>
      <c r="D86" s="116">
        <v>5.8680552210874197E-2</v>
      </c>
      <c r="E86" s="116">
        <v>5.8680552210874197E-2</v>
      </c>
      <c r="F86" s="116">
        <v>5.8680552210874197E-2</v>
      </c>
      <c r="G86" s="116">
        <v>5.8680552210874197E-2</v>
      </c>
      <c r="H86" s="116">
        <v>5.8680552210874197E-2</v>
      </c>
    </row>
    <row r="94" spans="2:16" x14ac:dyDescent="0.2">
      <c r="O94" s="114" t="s">
        <v>99</v>
      </c>
      <c r="P94" s="115" t="s">
        <v>100</v>
      </c>
    </row>
    <row r="95" spans="2:16" x14ac:dyDescent="0.2">
      <c r="O95" s="84">
        <f>AVERAGE(C81:H85)</f>
        <v>5.8680552210874197E-2</v>
      </c>
      <c r="P95" s="81">
        <f>_xlfn.STDEV.S(C81:H85)</f>
        <v>2.3052811509985841E-2</v>
      </c>
    </row>
  </sheetData>
  <pageMargins left="0.7" right="0.7" top="0.75" bottom="0.75" header="0.3" footer="0.3"/>
  <pageSetup paperSize="5"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62EB5-D16A-4954-8B3E-69D15147001F}">
  <dimension ref="B4:F16"/>
  <sheetViews>
    <sheetView showGridLines="0" zoomScale="145" zoomScaleNormal="145" workbookViewId="0">
      <selection activeCell="C21" sqref="C21"/>
    </sheetView>
  </sheetViews>
  <sheetFormatPr defaultColWidth="10.7109375" defaultRowHeight="15" x14ac:dyDescent="0.2"/>
  <cols>
    <col min="1" max="1" width="10.7109375" style="16"/>
    <col min="2" max="2" width="19.7109375" style="16" customWidth="1"/>
    <col min="3" max="3" width="10.7109375" style="16"/>
    <col min="4" max="4" width="12.7109375" style="16" customWidth="1"/>
    <col min="5" max="16384" width="10.7109375" style="16"/>
  </cols>
  <sheetData>
    <row r="4" spans="2:6" ht="20.25" x14ac:dyDescent="0.3">
      <c r="B4" s="147" t="s">
        <v>129</v>
      </c>
      <c r="C4" s="148" t="s">
        <v>130</v>
      </c>
      <c r="D4" s="149" t="s">
        <v>127</v>
      </c>
      <c r="F4" s="17" t="s">
        <v>20</v>
      </c>
    </row>
    <row r="5" spans="2:6" x14ac:dyDescent="0.2">
      <c r="B5" s="16" t="s">
        <v>131</v>
      </c>
      <c r="D5" s="150">
        <f>((Statements!I24/Statements!C24)^(1/7))-1</f>
        <v>9.6912496985507968E-2</v>
      </c>
    </row>
    <row r="6" spans="2:6" x14ac:dyDescent="0.2">
      <c r="B6" s="16" t="s">
        <v>132</v>
      </c>
      <c r="D6" s="150">
        <f>(Statements!I34+Statements!I30+Statements!I31)/Statements!I24</f>
        <v>4.3892027620841177E-2</v>
      </c>
      <c r="F6" s="16" t="s">
        <v>21</v>
      </c>
    </row>
    <row r="7" spans="2:6" x14ac:dyDescent="0.2">
      <c r="B7" s="16" t="s">
        <v>98</v>
      </c>
      <c r="D7" s="150">
        <f>Statements!I36/Statements!U45</f>
        <v>0.1285831099804661</v>
      </c>
      <c r="F7" s="32" t="s">
        <v>24</v>
      </c>
    </row>
    <row r="8" spans="2:6" x14ac:dyDescent="0.2">
      <c r="B8" s="16" t="s">
        <v>133</v>
      </c>
      <c r="D8" s="150">
        <f>Statements!I57/Statements!U58</f>
        <v>0.13838750357207893</v>
      </c>
      <c r="F8" s="32" t="s">
        <v>25</v>
      </c>
    </row>
    <row r="9" spans="2:6" x14ac:dyDescent="0.2">
      <c r="B9" s="16" t="s">
        <v>134</v>
      </c>
      <c r="D9" s="151">
        <f>Statements!U47/(Statements!I34+Statements!I31+Statements!I30)</f>
        <v>3.6665903890160183</v>
      </c>
      <c r="F9" s="32" t="s">
        <v>26</v>
      </c>
    </row>
    <row r="10" spans="2:6" x14ac:dyDescent="0.2">
      <c r="B10" s="16" t="s">
        <v>135</v>
      </c>
      <c r="D10" s="152">
        <f>_xlfn.STDEV.S(Statements!C39:I39)</f>
        <v>3.3412956511767717</v>
      </c>
    </row>
    <row r="11" spans="2:6" x14ac:dyDescent="0.2">
      <c r="B11" s="16" t="s">
        <v>136</v>
      </c>
      <c r="D11" s="152">
        <f>Statements!U49</f>
        <v>11.410989931350114</v>
      </c>
      <c r="F11" s="16" t="s">
        <v>23</v>
      </c>
    </row>
    <row r="12" spans="2:6" x14ac:dyDescent="0.2">
      <c r="B12" s="16" t="s">
        <v>137</v>
      </c>
      <c r="D12" s="153" t="s">
        <v>138</v>
      </c>
      <c r="F12" s="16" t="s">
        <v>22</v>
      </c>
    </row>
    <row r="14" spans="2:6" x14ac:dyDescent="0.2">
      <c r="F14" s="16" t="s">
        <v>115</v>
      </c>
    </row>
    <row r="15" spans="2:6" x14ac:dyDescent="0.2">
      <c r="F15" s="91" t="s">
        <v>118</v>
      </c>
    </row>
    <row r="16" spans="2:6" x14ac:dyDescent="0.2">
      <c r="F16" s="32" t="s">
        <v>119</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scriptIds xmlns="http://schemas.microsoft.com/office/extensibility/maker/v1.0" id="script-ids-node-id">
  <scriptId id="ms-officescript%3A%2F%2Fonedrive_business_itemlink%2F015GZNGIFWWM75CB5U5JDIZ463SE5DI453:ms-officescript%3A%2F%2Fonedrive_business_sharinglink%2Fu!aHR0cHM6Ly9zamVjY2QtbXkuc2hhcmVwb2ludC5jb20vOnU6L2cvcGVyc29uYWwvYWJnbzY0NzZfc3R1X2V2Y19lZHUvRWJhelA5RUh0T3BHalBQYmtUbzBjN3NCcFR0RHZRTGdlNjlZOWVEaWtxVDAydw"/>
</scriptIds>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9CC3DFF-8066-43A7-80F7-D82830EC8647}">
  <ds:schemaRefs>
    <ds:schemaRef ds:uri="http://schemas.microsoft.com/office/extensibility/maker/v1.0"/>
  </ds:schemaRefs>
</ds:datastoreItem>
</file>

<file path=customXml/itemProps2.xml><?xml version="1.0" encoding="utf-8"?>
<ds:datastoreItem xmlns:ds="http://schemas.openxmlformats.org/officeDocument/2006/customXml" ds:itemID="{80F213C5-F071-4E9E-9963-FC20199506E0}">
  <ds:schemaRefs>
    <ds:schemaRef ds:uri="http://purl.org/dc/terms/"/>
    <ds:schemaRef ds:uri="http://www.w3.org/XML/1998/namespace"/>
    <ds:schemaRef ds:uri="http://purl.org/dc/dcmitype/"/>
    <ds:schemaRef ds:uri="http://schemas.microsoft.com/office/2006/metadata/properties"/>
    <ds:schemaRef ds:uri="http://purl.org/dc/elements/1.1/"/>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69CA9D73-4B12-4830-B86F-A2C93BFFF30D}">
  <ds:schemaRefs>
    <ds:schemaRef ds:uri="http://schemas.microsoft.com/sharepoint/v3/contenttype/forms"/>
  </ds:schemaRefs>
</ds:datastoreItem>
</file>

<file path=customXml/itemProps4.xml><?xml version="1.0" encoding="utf-8"?>
<ds:datastoreItem xmlns:ds="http://schemas.openxmlformats.org/officeDocument/2006/customXml" ds:itemID="{F17312E7-BDAF-44C5-9DBF-26FD12E4B8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Statements</vt:lpstr>
      <vt:lpstr>Analysis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cp:lastPrinted>2026-06-29T21:26:58Z</cp:lastPrinted>
  <dcterms:created xsi:type="dcterms:W3CDTF">2025-02-19T20:24:26Z</dcterms:created>
  <dcterms:modified xsi:type="dcterms:W3CDTF">2026-06-29T22:01:28Z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y fmtid="{D5CDD505-2E9C-101B-9397-08002B2CF9AE}" pid="3" name="MSIP_Label_bc50c7b0-9e53-455f-9b3f-deab1aa8a41e_Enabled">
    <vt:lpwstr>true</vt:lpwstr>
  </property>
  <property fmtid="{D5CDD505-2E9C-101B-9397-08002B2CF9AE}" pid="4" name="MSIP_Label_bc50c7b0-9e53-455f-9b3f-deab1aa8a41e_SetDate">
    <vt:lpwstr>2025-06-20T18:35:59Z</vt:lpwstr>
  </property>
  <property fmtid="{D5CDD505-2E9C-101B-9397-08002B2CF9AE}" pid="5" name="MSIP_Label_bc50c7b0-9e53-455f-9b3f-deab1aa8a41e_Method">
    <vt:lpwstr>Standard</vt:lpwstr>
  </property>
  <property fmtid="{D5CDD505-2E9C-101B-9397-08002B2CF9AE}" pid="6" name="MSIP_Label_bc50c7b0-9e53-455f-9b3f-deab1aa8a41e_Name">
    <vt:lpwstr>defa4170-0d19-0005-0004-bc88714345d2</vt:lpwstr>
  </property>
  <property fmtid="{D5CDD505-2E9C-101B-9397-08002B2CF9AE}" pid="7" name="MSIP_Label_bc50c7b0-9e53-455f-9b3f-deab1aa8a41e_SiteId">
    <vt:lpwstr>7cc8e357-468d-472c-a6fc-c5600e789b55</vt:lpwstr>
  </property>
  <property fmtid="{D5CDD505-2E9C-101B-9397-08002B2CF9AE}" pid="8" name="MSIP_Label_bc50c7b0-9e53-455f-9b3f-deab1aa8a41e_ActionId">
    <vt:lpwstr>ee67d891-9c3e-44d0-a65b-82553e022ac4</vt:lpwstr>
  </property>
  <property fmtid="{D5CDD505-2E9C-101B-9397-08002B2CF9AE}" pid="9" name="MSIP_Label_bc50c7b0-9e53-455f-9b3f-deab1aa8a41e_ContentBits">
    <vt:lpwstr>0</vt:lpwstr>
  </property>
  <property fmtid="{D5CDD505-2E9C-101B-9397-08002B2CF9AE}" pid="10" name="MSIP_Label_bc50c7b0-9e53-455f-9b3f-deab1aa8a41e_Tag">
    <vt:lpwstr>10, 3, 0, 1</vt:lpwstr>
  </property>
</Properties>
</file>