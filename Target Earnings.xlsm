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544" documentId="8_{97D51EBE-E608-4272-B348-2C1DB2338763}" xr6:coauthVersionLast="47" xr6:coauthVersionMax="47" xr10:uidLastSave="{C61F1919-1C86-4D40-9B4A-BA7FA3FE5BA9}"/>
  <bookViews>
    <workbookView xWindow="-98" yWindow="-98" windowWidth="21795" windowHeight="12975"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61" i="1" l="1"/>
  <c r="AF61" i="1"/>
  <c r="AH61" i="1"/>
  <c r="AJ61" i="1"/>
  <c r="AK61" i="1"/>
  <c r="AL62" i="1"/>
  <c r="AK62" i="1"/>
  <c r="AJ62" i="1"/>
  <c r="AI61" i="1"/>
  <c r="AI62" i="1" s="1"/>
  <c r="AL60" i="1"/>
  <c r="AJ60" i="1"/>
  <c r="AI60" i="1"/>
  <c r="AL59" i="1"/>
  <c r="AJ59" i="1"/>
  <c r="AI59" i="1"/>
  <c r="AL58" i="1"/>
  <c r="AJ58" i="1"/>
  <c r="AI58" i="1"/>
  <c r="AL57" i="1"/>
  <c r="AJ57" i="1"/>
  <c r="AI57" i="1"/>
  <c r="AL56" i="1"/>
  <c r="AJ56" i="1"/>
  <c r="AI56" i="1"/>
  <c r="AL55" i="1"/>
  <c r="AJ55" i="1"/>
  <c r="AI55" i="1"/>
  <c r="AL54" i="1"/>
  <c r="AJ54" i="1"/>
  <c r="AI54" i="1"/>
  <c r="AL53" i="1"/>
  <c r="AI53" i="1"/>
  <c r="AL51" i="1"/>
  <c r="AI51" i="1"/>
  <c r="AL46" i="1"/>
  <c r="AK46" i="1"/>
  <c r="AK51" i="1" s="1"/>
  <c r="AJ46" i="1"/>
  <c r="AJ51" i="1" s="1"/>
  <c r="AJ53" i="1" s="1"/>
  <c r="AI46" i="1"/>
  <c r="AL39" i="1"/>
  <c r="AJ39" i="1"/>
  <c r="AI39" i="1"/>
  <c r="AL35" i="1"/>
  <c r="AK35" i="1"/>
  <c r="AK39" i="1" s="1"/>
  <c r="AL28" i="1"/>
  <c r="AL26" i="1"/>
  <c r="AL23" i="1"/>
  <c r="AL21" i="1"/>
  <c r="AK21" i="1"/>
  <c r="AL14" i="1"/>
  <c r="AK14" i="1"/>
  <c r="AK57" i="1" s="1"/>
  <c r="AJ35" i="1"/>
  <c r="AL9" i="1"/>
  <c r="AK9" i="1"/>
  <c r="AJ9" i="1"/>
  <c r="AI9" i="1"/>
  <c r="AL8" i="1"/>
  <c r="AK8" i="1"/>
  <c r="AJ8" i="1"/>
  <c r="AI8" i="1"/>
  <c r="AL7" i="1"/>
  <c r="AK7" i="1"/>
  <c r="AJ7" i="1"/>
  <c r="AI7" i="1"/>
  <c r="AJ23" i="1"/>
  <c r="AJ26" i="1" s="1"/>
  <c r="AJ28" i="1" s="1"/>
  <c r="AJ21" i="1"/>
  <c r="AJ14" i="1"/>
  <c r="AI50" i="1"/>
  <c r="AI49" i="1"/>
  <c r="AI48" i="1"/>
  <c r="AI47" i="1"/>
  <c r="AI45" i="1"/>
  <c r="AI44" i="1"/>
  <c r="AI43" i="1"/>
  <c r="AI38" i="1"/>
  <c r="AI37" i="1"/>
  <c r="AI36" i="1"/>
  <c r="AI34" i="1"/>
  <c r="AI33" i="1"/>
  <c r="AI32" i="1"/>
  <c r="AI27" i="1"/>
  <c r="AI25" i="1"/>
  <c r="AI24" i="1"/>
  <c r="AI20" i="1"/>
  <c r="AI19" i="1"/>
  <c r="AI16" i="1"/>
  <c r="AI14" i="1"/>
  <c r="AI13" i="1"/>
  <c r="AI12" i="1"/>
  <c r="AI6" i="1"/>
  <c r="AI5" i="1"/>
  <c r="AH62" i="1"/>
  <c r="D61" i="1"/>
  <c r="D62" i="1" s="1"/>
  <c r="F61" i="1"/>
  <c r="F62" i="1" s="1"/>
  <c r="G61" i="1"/>
  <c r="G62" i="1" s="1"/>
  <c r="H61" i="1"/>
  <c r="H62" i="1" s="1"/>
  <c r="J61" i="1"/>
  <c r="J62" i="1" s="1"/>
  <c r="K61" i="1"/>
  <c r="L61" i="1"/>
  <c r="P61" i="1"/>
  <c r="R61" i="1"/>
  <c r="T61" i="1"/>
  <c r="T62" i="1" s="1"/>
  <c r="X61" i="1"/>
  <c r="X62" i="1" s="1"/>
  <c r="Z61" i="1"/>
  <c r="AA61" i="1" s="1"/>
  <c r="AB61" i="1"/>
  <c r="AC61" i="1" s="1"/>
  <c r="M6" i="1"/>
  <c r="M12" i="1"/>
  <c r="M13" i="1"/>
  <c r="M16" i="1"/>
  <c r="M19" i="1"/>
  <c r="M20" i="1"/>
  <c r="M24" i="1"/>
  <c r="M25" i="1"/>
  <c r="M27" i="1"/>
  <c r="M32" i="1"/>
  <c r="M33" i="1"/>
  <c r="M34" i="1"/>
  <c r="M36" i="1"/>
  <c r="M37" i="1"/>
  <c r="M38" i="1"/>
  <c r="M43" i="1"/>
  <c r="M44" i="1"/>
  <c r="M45" i="1"/>
  <c r="M47" i="1"/>
  <c r="M48" i="1"/>
  <c r="M49" i="1"/>
  <c r="M50" i="1"/>
  <c r="M5" i="1"/>
  <c r="O6" i="1"/>
  <c r="O32" i="1"/>
  <c r="O33" i="1"/>
  <c r="O34" i="1"/>
  <c r="O36" i="1"/>
  <c r="O37" i="1"/>
  <c r="O38" i="1"/>
  <c r="O43" i="1"/>
  <c r="O44" i="1"/>
  <c r="O45" i="1"/>
  <c r="O47" i="1"/>
  <c r="O48" i="1"/>
  <c r="O49" i="1"/>
  <c r="O50" i="1"/>
  <c r="O5" i="1"/>
  <c r="Q6" i="1"/>
  <c r="Q12" i="1"/>
  <c r="Q13" i="1"/>
  <c r="Q16" i="1"/>
  <c r="Q19" i="1"/>
  <c r="Q20" i="1"/>
  <c r="Q24" i="1"/>
  <c r="Q25" i="1"/>
  <c r="Q27" i="1"/>
  <c r="Q32" i="1"/>
  <c r="Q33" i="1"/>
  <c r="Q34" i="1"/>
  <c r="Q36" i="1"/>
  <c r="Q37" i="1"/>
  <c r="Q38" i="1"/>
  <c r="Q43" i="1"/>
  <c r="Q44" i="1"/>
  <c r="Q45" i="1"/>
  <c r="Q47" i="1"/>
  <c r="Q48" i="1"/>
  <c r="Q49" i="1"/>
  <c r="Q50" i="1"/>
  <c r="Q5" i="1"/>
  <c r="S6" i="1"/>
  <c r="S12" i="1"/>
  <c r="S13" i="1"/>
  <c r="S16" i="1"/>
  <c r="S19" i="1"/>
  <c r="S20" i="1"/>
  <c r="S24" i="1"/>
  <c r="S25" i="1"/>
  <c r="S27" i="1"/>
  <c r="S32" i="1"/>
  <c r="S33" i="1"/>
  <c r="S34" i="1"/>
  <c r="S36" i="1"/>
  <c r="S37" i="1"/>
  <c r="S38" i="1"/>
  <c r="S43" i="1"/>
  <c r="S44" i="1"/>
  <c r="S45" i="1"/>
  <c r="S47" i="1"/>
  <c r="S48" i="1"/>
  <c r="S49" i="1"/>
  <c r="S50" i="1"/>
  <c r="S5" i="1"/>
  <c r="U6" i="1"/>
  <c r="U12" i="1"/>
  <c r="U13" i="1"/>
  <c r="U16" i="1"/>
  <c r="U19" i="1"/>
  <c r="U20" i="1"/>
  <c r="U24" i="1"/>
  <c r="U25" i="1"/>
  <c r="U27" i="1"/>
  <c r="U32" i="1"/>
  <c r="U33" i="1"/>
  <c r="U34" i="1"/>
  <c r="U36" i="1"/>
  <c r="U37" i="1"/>
  <c r="U38" i="1"/>
  <c r="U43" i="1"/>
  <c r="U44" i="1"/>
  <c r="U45" i="1"/>
  <c r="U47" i="1"/>
  <c r="U48" i="1"/>
  <c r="U49" i="1"/>
  <c r="U50" i="1"/>
  <c r="U5" i="1"/>
  <c r="W6" i="1"/>
  <c r="W32" i="1"/>
  <c r="W33" i="1"/>
  <c r="W34" i="1"/>
  <c r="W36" i="1"/>
  <c r="W37" i="1"/>
  <c r="W38" i="1"/>
  <c r="W43" i="1"/>
  <c r="W44" i="1"/>
  <c r="W45" i="1"/>
  <c r="W47" i="1"/>
  <c r="W48" i="1"/>
  <c r="W49" i="1"/>
  <c r="W50" i="1"/>
  <c r="W5" i="1"/>
  <c r="Y6" i="1"/>
  <c r="Y12" i="1"/>
  <c r="Y13" i="1"/>
  <c r="Y16" i="1"/>
  <c r="Y19" i="1"/>
  <c r="Y20" i="1"/>
  <c r="Y24" i="1"/>
  <c r="Y25" i="1"/>
  <c r="Y27" i="1"/>
  <c r="Y32" i="1"/>
  <c r="Y33" i="1"/>
  <c r="Y34" i="1"/>
  <c r="Y36" i="1"/>
  <c r="Y37" i="1"/>
  <c r="Y38" i="1"/>
  <c r="Y43" i="1"/>
  <c r="Y44" i="1"/>
  <c r="Y45" i="1"/>
  <c r="Y47" i="1"/>
  <c r="Y48" i="1"/>
  <c r="Y49" i="1"/>
  <c r="Y50" i="1"/>
  <c r="Y5" i="1"/>
  <c r="AA12" i="1"/>
  <c r="AA13" i="1"/>
  <c r="AA16" i="1"/>
  <c r="AA19" i="1"/>
  <c r="AA20" i="1"/>
  <c r="AA24" i="1"/>
  <c r="AA25" i="1"/>
  <c r="AA27" i="1"/>
  <c r="AA32" i="1"/>
  <c r="AA33" i="1"/>
  <c r="AA34" i="1"/>
  <c r="AA36" i="1"/>
  <c r="AA37" i="1"/>
  <c r="AA38" i="1"/>
  <c r="AA43" i="1"/>
  <c r="AA44" i="1"/>
  <c r="AA45" i="1"/>
  <c r="AA47" i="1"/>
  <c r="AA48" i="1"/>
  <c r="AA49" i="1"/>
  <c r="AA50" i="1"/>
  <c r="AA6" i="1"/>
  <c r="AA5" i="1"/>
  <c r="AC6" i="1"/>
  <c r="AC12" i="1"/>
  <c r="AC13" i="1"/>
  <c r="AC16" i="1"/>
  <c r="AC19" i="1"/>
  <c r="AC20" i="1"/>
  <c r="AC24" i="1"/>
  <c r="AC25" i="1"/>
  <c r="AC27" i="1"/>
  <c r="AC32" i="1"/>
  <c r="AC33" i="1"/>
  <c r="AC34" i="1"/>
  <c r="AC36" i="1"/>
  <c r="AC37" i="1"/>
  <c r="AC38" i="1"/>
  <c r="AC43" i="1"/>
  <c r="AC44" i="1"/>
  <c r="AC45" i="1"/>
  <c r="AC47" i="1"/>
  <c r="AC48" i="1"/>
  <c r="AC49" i="1"/>
  <c r="AC50" i="1"/>
  <c r="AC5" i="1"/>
  <c r="AE6" i="1"/>
  <c r="AE32" i="1"/>
  <c r="AE33" i="1"/>
  <c r="AE34" i="1"/>
  <c r="AE36" i="1"/>
  <c r="AE37" i="1"/>
  <c r="AE38" i="1"/>
  <c r="AE43" i="1"/>
  <c r="AE44" i="1"/>
  <c r="AE45" i="1"/>
  <c r="AE47" i="1"/>
  <c r="AE48" i="1"/>
  <c r="AE49" i="1"/>
  <c r="AE50" i="1"/>
  <c r="AE5" i="1"/>
  <c r="AG5" i="1"/>
  <c r="AG6" i="1"/>
  <c r="AG13" i="1"/>
  <c r="AG16" i="1"/>
  <c r="AG19" i="1"/>
  <c r="AG20" i="1"/>
  <c r="AG24" i="1"/>
  <c r="AG25" i="1"/>
  <c r="AG27" i="1"/>
  <c r="AG32" i="1"/>
  <c r="AG33" i="1"/>
  <c r="AG34" i="1"/>
  <c r="AG36" i="1"/>
  <c r="AG37" i="1"/>
  <c r="AG38" i="1"/>
  <c r="AG43" i="1"/>
  <c r="AG44" i="1"/>
  <c r="AG45" i="1"/>
  <c r="AG47" i="1"/>
  <c r="AG48" i="1"/>
  <c r="AG49" i="1"/>
  <c r="AG50" i="1"/>
  <c r="AG12" i="1"/>
  <c r="AD27" i="1"/>
  <c r="AD25" i="1"/>
  <c r="AD24" i="1"/>
  <c r="AD20" i="1"/>
  <c r="AD19" i="1"/>
  <c r="AD16" i="1"/>
  <c r="AD61" i="1" s="1"/>
  <c r="AD13" i="1"/>
  <c r="AD12" i="1"/>
  <c r="V27" i="1"/>
  <c r="V25" i="1"/>
  <c r="V24" i="1"/>
  <c r="V20" i="1"/>
  <c r="V19" i="1"/>
  <c r="V16" i="1"/>
  <c r="V61" i="1" s="1"/>
  <c r="V13" i="1"/>
  <c r="V12" i="1"/>
  <c r="N27" i="1"/>
  <c r="N25" i="1"/>
  <c r="N24" i="1"/>
  <c r="N20" i="1"/>
  <c r="N19" i="1"/>
  <c r="N16" i="1"/>
  <c r="N61" i="1" s="1"/>
  <c r="N13" i="1"/>
  <c r="N12" i="1"/>
  <c r="I27" i="1"/>
  <c r="I25" i="1"/>
  <c r="I24" i="1"/>
  <c r="I20" i="1"/>
  <c r="I19" i="1"/>
  <c r="I16" i="1"/>
  <c r="I61" i="1" s="1"/>
  <c r="I62" i="1" s="1"/>
  <c r="I13" i="1"/>
  <c r="I12" i="1"/>
  <c r="E27" i="1"/>
  <c r="E25" i="1"/>
  <c r="E24" i="1"/>
  <c r="E20" i="1"/>
  <c r="E19" i="1"/>
  <c r="E16" i="1"/>
  <c r="E61" i="1" s="1"/>
  <c r="E62" i="1" s="1"/>
  <c r="E13" i="1"/>
  <c r="E12" i="1"/>
  <c r="E14" i="1" s="1"/>
  <c r="C46" i="1"/>
  <c r="C51" i="1" s="1"/>
  <c r="D46" i="1"/>
  <c r="D51" i="1" s="1"/>
  <c r="E46" i="1"/>
  <c r="E51" i="1" s="1"/>
  <c r="F46" i="1"/>
  <c r="F51" i="1" s="1"/>
  <c r="G46" i="1"/>
  <c r="G51" i="1" s="1"/>
  <c r="H46" i="1"/>
  <c r="H51" i="1" s="1"/>
  <c r="I46" i="1"/>
  <c r="I51" i="1" s="1"/>
  <c r="J46" i="1"/>
  <c r="J51" i="1" s="1"/>
  <c r="K46" i="1"/>
  <c r="K51" i="1" s="1"/>
  <c r="L46" i="1"/>
  <c r="L51" i="1" s="1"/>
  <c r="N46" i="1"/>
  <c r="N51" i="1" s="1"/>
  <c r="P46" i="1"/>
  <c r="P51" i="1" s="1"/>
  <c r="R46" i="1"/>
  <c r="R51" i="1" s="1"/>
  <c r="T46" i="1"/>
  <c r="T51" i="1" s="1"/>
  <c r="V46" i="1"/>
  <c r="V51" i="1" s="1"/>
  <c r="X46" i="1"/>
  <c r="X51" i="1" s="1"/>
  <c r="Z46" i="1"/>
  <c r="Z51" i="1" s="1"/>
  <c r="AB46" i="1"/>
  <c r="AB51" i="1" s="1"/>
  <c r="AD46" i="1"/>
  <c r="AD51" i="1" s="1"/>
  <c r="AF46" i="1"/>
  <c r="AF51" i="1" s="1"/>
  <c r="AH46" i="1"/>
  <c r="AH51" i="1" s="1"/>
  <c r="C35" i="1"/>
  <c r="C39" i="1" s="1"/>
  <c r="D35" i="1"/>
  <c r="D39" i="1" s="1"/>
  <c r="E35" i="1"/>
  <c r="E39" i="1" s="1"/>
  <c r="F35" i="1"/>
  <c r="F39" i="1" s="1"/>
  <c r="G35" i="1"/>
  <c r="G39" i="1" s="1"/>
  <c r="H35" i="1"/>
  <c r="H39" i="1" s="1"/>
  <c r="I35" i="1"/>
  <c r="I39" i="1" s="1"/>
  <c r="J35" i="1"/>
  <c r="J39" i="1" s="1"/>
  <c r="K35" i="1"/>
  <c r="K39" i="1" s="1"/>
  <c r="L35" i="1"/>
  <c r="L39" i="1" s="1"/>
  <c r="N35" i="1"/>
  <c r="N39" i="1" s="1"/>
  <c r="P35" i="1"/>
  <c r="P39" i="1" s="1"/>
  <c r="R35" i="1"/>
  <c r="R39" i="1" s="1"/>
  <c r="T35" i="1"/>
  <c r="T39" i="1" s="1"/>
  <c r="V35" i="1"/>
  <c r="V39" i="1" s="1"/>
  <c r="X35" i="1"/>
  <c r="X39" i="1" s="1"/>
  <c r="Z35" i="1"/>
  <c r="Z39" i="1" s="1"/>
  <c r="AB35" i="1"/>
  <c r="AD35" i="1"/>
  <c r="AD39" i="1" s="1"/>
  <c r="AF35" i="1"/>
  <c r="AF39" i="1" s="1"/>
  <c r="AH35" i="1"/>
  <c r="AH39" i="1" s="1"/>
  <c r="C21" i="1"/>
  <c r="D21" i="1"/>
  <c r="F21" i="1"/>
  <c r="G21" i="1"/>
  <c r="H21" i="1"/>
  <c r="J21" i="1"/>
  <c r="K21" i="1"/>
  <c r="L21" i="1"/>
  <c r="P21" i="1"/>
  <c r="R21" i="1"/>
  <c r="T21" i="1"/>
  <c r="X21" i="1"/>
  <c r="Z21" i="1"/>
  <c r="AB21" i="1"/>
  <c r="AF21" i="1"/>
  <c r="AH21" i="1"/>
  <c r="AI21" i="1" s="1"/>
  <c r="C14" i="1"/>
  <c r="C57" i="1" s="1"/>
  <c r="D14" i="1"/>
  <c r="D57" i="1" s="1"/>
  <c r="F14" i="1"/>
  <c r="F57" i="1" s="1"/>
  <c r="G14" i="1"/>
  <c r="G57" i="1" s="1"/>
  <c r="H14" i="1"/>
  <c r="H57" i="1" s="1"/>
  <c r="J14" i="1"/>
  <c r="J57" i="1" s="1"/>
  <c r="K14" i="1"/>
  <c r="L14" i="1"/>
  <c r="P14" i="1"/>
  <c r="R14" i="1"/>
  <c r="R57" i="1" s="1"/>
  <c r="T14" i="1"/>
  <c r="T57" i="1" s="1"/>
  <c r="X14" i="1"/>
  <c r="X23" i="1" s="1"/>
  <c r="Z14" i="1"/>
  <c r="Z57" i="1" s="1"/>
  <c r="AA57" i="1" s="1"/>
  <c r="AB14" i="1"/>
  <c r="AB57" i="1" s="1"/>
  <c r="AF14" i="1"/>
  <c r="AF57" i="1" s="1"/>
  <c r="AH14" i="1"/>
  <c r="AH57" i="1" s="1"/>
  <c r="AH9" i="1"/>
  <c r="AF9" i="1"/>
  <c r="AD9" i="1"/>
  <c r="AB9" i="1"/>
  <c r="Z9" i="1"/>
  <c r="X9" i="1"/>
  <c r="V9" i="1"/>
  <c r="T9" i="1"/>
  <c r="R9" i="1"/>
  <c r="P9" i="1"/>
  <c r="N9" i="1"/>
  <c r="L9" i="1"/>
  <c r="K9" i="1"/>
  <c r="J9" i="1"/>
  <c r="I9" i="1"/>
  <c r="H9" i="1"/>
  <c r="G9" i="1"/>
  <c r="F9" i="1"/>
  <c r="E9" i="1"/>
  <c r="D9" i="1"/>
  <c r="C9" i="1"/>
  <c r="AH8" i="1"/>
  <c r="AF8" i="1"/>
  <c r="AD8" i="1"/>
  <c r="AB8" i="1"/>
  <c r="Z8" i="1"/>
  <c r="X8" i="1"/>
  <c r="V8" i="1"/>
  <c r="T8" i="1"/>
  <c r="R8" i="1"/>
  <c r="P8" i="1"/>
  <c r="N8" i="1"/>
  <c r="L8" i="1"/>
  <c r="M8" i="1" s="1"/>
  <c r="K8" i="1"/>
  <c r="J8" i="1"/>
  <c r="I8" i="1"/>
  <c r="H8" i="1"/>
  <c r="G8" i="1"/>
  <c r="F8" i="1"/>
  <c r="E8" i="1"/>
  <c r="D8" i="1"/>
  <c r="C8" i="1"/>
  <c r="AH7" i="1"/>
  <c r="C7" i="1"/>
  <c r="D7" i="1"/>
  <c r="E7" i="1"/>
  <c r="F7" i="1"/>
  <c r="G7" i="1"/>
  <c r="H7" i="1"/>
  <c r="I7" i="1"/>
  <c r="J7" i="1"/>
  <c r="K7" i="1"/>
  <c r="L7" i="1"/>
  <c r="N7" i="1"/>
  <c r="P7" i="1"/>
  <c r="R7" i="1"/>
  <c r="T7" i="1"/>
  <c r="V7" i="1"/>
  <c r="X7" i="1"/>
  <c r="Z7" i="1"/>
  <c r="AB7" i="1"/>
  <c r="AD7" i="1"/>
  <c r="AF7" i="1"/>
  <c r="B9" i="1"/>
  <c r="B8" i="1"/>
  <c r="B46" i="1"/>
  <c r="B51" i="1" s="1"/>
  <c r="B35" i="1"/>
  <c r="B39" i="1" s="1"/>
  <c r="B7" i="1"/>
  <c r="B21" i="1"/>
  <c r="B14" i="1"/>
  <c r="B57" i="1" s="1"/>
  <c r="A4" i="1" a="1"/>
  <c r="A4" i="1" s="1"/>
  <c r="AD1" i="1"/>
  <c r="AB1" i="1" s="1"/>
  <c r="Z1" i="1" s="1"/>
  <c r="X1" i="1" s="1"/>
  <c r="V1" i="1" s="1"/>
  <c r="T1" i="1" s="1"/>
  <c r="R1" i="1" s="1"/>
  <c r="P1" i="1" s="1"/>
  <c r="N1" i="1" s="1"/>
  <c r="L1" i="1" s="1"/>
  <c r="K1" i="1" s="1"/>
  <c r="J1" i="1" s="1"/>
  <c r="I1" i="1" s="1"/>
  <c r="H1" i="1" s="1"/>
  <c r="G1" i="1" s="1"/>
  <c r="F1" i="1" s="1"/>
  <c r="E1" i="1" s="1"/>
  <c r="D1" i="1" s="1"/>
  <c r="C1" i="1" s="1"/>
  <c r="B1" i="1" s="1"/>
  <c r="AK54" i="1" l="1"/>
  <c r="AK58" i="1"/>
  <c r="AK53" i="1"/>
  <c r="AK59" i="1"/>
  <c r="AK60" i="1"/>
  <c r="AK23" i="1"/>
  <c r="AK26" i="1" s="1"/>
  <c r="AK28" i="1" s="1"/>
  <c r="AI35" i="1"/>
  <c r="M61" i="1"/>
  <c r="AC57" i="1"/>
  <c r="AB60" i="1"/>
  <c r="E58" i="1"/>
  <c r="AE61" i="1"/>
  <c r="S61" i="1"/>
  <c r="Q61" i="1"/>
  <c r="O27" i="1"/>
  <c r="T60" i="1"/>
  <c r="AC60" i="1" s="1"/>
  <c r="AG61" i="1"/>
  <c r="V60" i="1"/>
  <c r="B60" i="1"/>
  <c r="X60" i="1"/>
  <c r="K60" i="1"/>
  <c r="Z60" i="1"/>
  <c r="J60" i="1"/>
  <c r="I60" i="1"/>
  <c r="AD60" i="1"/>
  <c r="W61" i="1"/>
  <c r="H60" i="1"/>
  <c r="AF60" i="1"/>
  <c r="AH60" i="1"/>
  <c r="F60" i="1"/>
  <c r="G60" i="1"/>
  <c r="Q14" i="1"/>
  <c r="Q21" i="1"/>
  <c r="E60" i="1"/>
  <c r="M14" i="1"/>
  <c r="D60" i="1"/>
  <c r="C60" i="1"/>
  <c r="K58" i="1"/>
  <c r="P60" i="1"/>
  <c r="Q60" i="1" s="1"/>
  <c r="L60" i="1"/>
  <c r="N60" i="1"/>
  <c r="B58" i="1"/>
  <c r="X58" i="1"/>
  <c r="R60" i="1"/>
  <c r="J58" i="1"/>
  <c r="T58" i="1"/>
  <c r="Q8" i="1"/>
  <c r="H58" i="1"/>
  <c r="AF58" i="1"/>
  <c r="G58" i="1"/>
  <c r="AB59" i="1"/>
  <c r="F58" i="1"/>
  <c r="M9" i="1"/>
  <c r="D58" i="1"/>
  <c r="C58" i="1"/>
  <c r="L58" i="1"/>
  <c r="R58" i="1"/>
  <c r="S58" i="1" s="1"/>
  <c r="P58" i="1"/>
  <c r="AH58" i="1"/>
  <c r="Y61" i="1"/>
  <c r="U61" i="1"/>
  <c r="Z58" i="1"/>
  <c r="O13" i="1"/>
  <c r="P57" i="1"/>
  <c r="Q57" i="1" s="1"/>
  <c r="AB62" i="1"/>
  <c r="AC62" i="1" s="1"/>
  <c r="X57" i="1"/>
  <c r="Z62" i="1"/>
  <c r="O20" i="1"/>
  <c r="L62" i="1"/>
  <c r="M62" i="1" s="1"/>
  <c r="O24" i="1"/>
  <c r="K62" i="1"/>
  <c r="L57" i="1"/>
  <c r="M57" i="1" s="1"/>
  <c r="K57" i="1"/>
  <c r="E57" i="1"/>
  <c r="V62" i="1"/>
  <c r="O61" i="1"/>
  <c r="N62" i="1"/>
  <c r="O62" i="1" s="1"/>
  <c r="AD62" i="1"/>
  <c r="M51" i="1"/>
  <c r="B59" i="1"/>
  <c r="X59" i="1"/>
  <c r="R62" i="1"/>
  <c r="O8" i="1"/>
  <c r="K59" i="1"/>
  <c r="Z59" i="1"/>
  <c r="P62" i="1"/>
  <c r="Q62" i="1" s="1"/>
  <c r="J59" i="1"/>
  <c r="I59" i="1"/>
  <c r="AD59" i="1"/>
  <c r="AE59" i="1" s="1"/>
  <c r="H59" i="1"/>
  <c r="AF59" i="1"/>
  <c r="Y21" i="1"/>
  <c r="O19" i="1"/>
  <c r="G59" i="1"/>
  <c r="AH59" i="1"/>
  <c r="F59" i="1"/>
  <c r="E59" i="1"/>
  <c r="AF62" i="1"/>
  <c r="AG62" i="1" s="1"/>
  <c r="S7" i="1"/>
  <c r="M21" i="1"/>
  <c r="S39" i="1"/>
  <c r="D59" i="1"/>
  <c r="Q7" i="1"/>
  <c r="Q39" i="1"/>
  <c r="C59" i="1"/>
  <c r="L59" i="1"/>
  <c r="M59" i="1" s="1"/>
  <c r="M7" i="1"/>
  <c r="N59" i="1"/>
  <c r="P59" i="1"/>
  <c r="R59" i="1"/>
  <c r="O39" i="1"/>
  <c r="Q51" i="1"/>
  <c r="T59" i="1"/>
  <c r="U59" i="1" s="1"/>
  <c r="M39" i="1"/>
  <c r="O51" i="1"/>
  <c r="V59" i="1"/>
  <c r="O25" i="1"/>
  <c r="M35" i="1"/>
  <c r="O9" i="1"/>
  <c r="S14" i="1"/>
  <c r="O7" i="1"/>
  <c r="O12" i="1"/>
  <c r="M46" i="1"/>
  <c r="O16" i="1"/>
  <c r="O35" i="1"/>
  <c r="S8" i="1"/>
  <c r="Q9" i="1"/>
  <c r="S21" i="1"/>
  <c r="O46" i="1"/>
  <c r="S51" i="1"/>
  <c r="W13" i="1"/>
  <c r="Q35" i="1"/>
  <c r="I14" i="1"/>
  <c r="AA7" i="1"/>
  <c r="U14" i="1"/>
  <c r="U21" i="1"/>
  <c r="W19" i="1"/>
  <c r="Q46" i="1"/>
  <c r="S9" i="1"/>
  <c r="W8" i="1"/>
  <c r="S35" i="1"/>
  <c r="Y8" i="1"/>
  <c r="W24" i="1"/>
  <c r="W27" i="1"/>
  <c r="U51" i="1"/>
  <c r="S46" i="1"/>
  <c r="W7" i="1"/>
  <c r="W20" i="1"/>
  <c r="Y7" i="1"/>
  <c r="Y39" i="1"/>
  <c r="U7" i="1"/>
  <c r="U39" i="1"/>
  <c r="W25" i="1"/>
  <c r="U46" i="1"/>
  <c r="U9" i="1"/>
  <c r="U8" i="1"/>
  <c r="W9" i="1"/>
  <c r="Y9" i="1"/>
  <c r="W39" i="1"/>
  <c r="Y51" i="1"/>
  <c r="W51" i="1"/>
  <c r="AC9" i="1"/>
  <c r="W16" i="1"/>
  <c r="E21" i="1"/>
  <c r="U35" i="1"/>
  <c r="AE39" i="1"/>
  <c r="W12" i="1"/>
  <c r="AC7" i="1"/>
  <c r="AA14" i="1"/>
  <c r="AA21" i="1"/>
  <c r="AC35" i="1"/>
  <c r="W35" i="1"/>
  <c r="AC21" i="1"/>
  <c r="W46" i="1"/>
  <c r="AC51" i="1"/>
  <c r="I21" i="1"/>
  <c r="Y14" i="1"/>
  <c r="Y35" i="1"/>
  <c r="AA51" i="1"/>
  <c r="AA9" i="1"/>
  <c r="AE19" i="1"/>
  <c r="Y46" i="1"/>
  <c r="AE7" i="1"/>
  <c r="AE9" i="1"/>
  <c r="AH23" i="1"/>
  <c r="AG14" i="1"/>
  <c r="AB23" i="1"/>
  <c r="AB26" i="1" s="1"/>
  <c r="AB28" i="1" s="1"/>
  <c r="AG21" i="1"/>
  <c r="AA8" i="1"/>
  <c r="AA39" i="1"/>
  <c r="AE24" i="1"/>
  <c r="AA46" i="1"/>
  <c r="AC8" i="1"/>
  <c r="AG39" i="1"/>
  <c r="AE8" i="1"/>
  <c r="AG8" i="1"/>
  <c r="AA35" i="1"/>
  <c r="E23" i="1"/>
  <c r="E26" i="1" s="1"/>
  <c r="E28" i="1" s="1"/>
  <c r="AE12" i="1"/>
  <c r="AE25" i="1"/>
  <c r="D23" i="1"/>
  <c r="D26" i="1" s="1"/>
  <c r="D28" i="1" s="1"/>
  <c r="AE16" i="1"/>
  <c r="AC14" i="1"/>
  <c r="N21" i="1"/>
  <c r="AE27" i="1"/>
  <c r="AE13" i="1"/>
  <c r="V21" i="1"/>
  <c r="AC46" i="1"/>
  <c r="B23" i="1"/>
  <c r="B26" i="1" s="1"/>
  <c r="B28" i="1" s="1"/>
  <c r="AE51" i="1"/>
  <c r="AE20" i="1"/>
  <c r="AE35" i="1"/>
  <c r="AD21" i="1"/>
  <c r="AB39" i="1"/>
  <c r="AC39" i="1" s="1"/>
  <c r="AE46" i="1"/>
  <c r="AG9" i="1"/>
  <c r="B54" i="1"/>
  <c r="AG51" i="1"/>
  <c r="AH53" i="1"/>
  <c r="AG35" i="1"/>
  <c r="AF54" i="1"/>
  <c r="AG7" i="1"/>
  <c r="V14" i="1"/>
  <c r="D54" i="1"/>
  <c r="Z54" i="1"/>
  <c r="AA54" i="1" s="1"/>
  <c r="AH54" i="1"/>
  <c r="N14" i="1"/>
  <c r="P23" i="1"/>
  <c r="AG46" i="1"/>
  <c r="L23" i="1"/>
  <c r="B53" i="1"/>
  <c r="AF23" i="1"/>
  <c r="C23" i="1"/>
  <c r="C26" i="1" s="1"/>
  <c r="C28" i="1" s="1"/>
  <c r="H23" i="1"/>
  <c r="H26" i="1" s="1"/>
  <c r="H28" i="1" s="1"/>
  <c r="AF53" i="1"/>
  <c r="AD54" i="1"/>
  <c r="AD53" i="1"/>
  <c r="AD14" i="1"/>
  <c r="AB54" i="1"/>
  <c r="Z53" i="1"/>
  <c r="Z23" i="1"/>
  <c r="X53" i="1"/>
  <c r="X54" i="1"/>
  <c r="X26" i="1"/>
  <c r="V53" i="1"/>
  <c r="V54" i="1"/>
  <c r="T53" i="1"/>
  <c r="T54" i="1"/>
  <c r="T23" i="1"/>
  <c r="R53" i="1"/>
  <c r="R54" i="1"/>
  <c r="R23" i="1"/>
  <c r="P53" i="1"/>
  <c r="P54" i="1"/>
  <c r="N54" i="1"/>
  <c r="N53" i="1"/>
  <c r="L54" i="1"/>
  <c r="M54" i="1" s="1"/>
  <c r="L53" i="1"/>
  <c r="K53" i="1"/>
  <c r="K54" i="1"/>
  <c r="K23" i="1"/>
  <c r="J53" i="1"/>
  <c r="J54" i="1"/>
  <c r="J23" i="1"/>
  <c r="J26" i="1" s="1"/>
  <c r="J28" i="1" s="1"/>
  <c r="I53" i="1"/>
  <c r="I54" i="1"/>
  <c r="H53" i="1"/>
  <c r="H54" i="1"/>
  <c r="G53" i="1"/>
  <c r="G54" i="1"/>
  <c r="G23" i="1"/>
  <c r="G26" i="1" s="1"/>
  <c r="G28" i="1" s="1"/>
  <c r="F53" i="1"/>
  <c r="F54" i="1"/>
  <c r="F23" i="1"/>
  <c r="F26" i="1" s="1"/>
  <c r="F28" i="1" s="1"/>
  <c r="E54" i="1"/>
  <c r="E53" i="1"/>
  <c r="D53" i="1"/>
  <c r="C53" i="1"/>
  <c r="C54" i="1"/>
  <c r="AK56" i="1" l="1"/>
  <c r="AK55" i="1"/>
  <c r="AG54" i="1"/>
  <c r="Q59" i="1"/>
  <c r="AH26" i="1"/>
  <c r="AI23" i="1"/>
  <c r="AE60" i="1"/>
  <c r="M58" i="1"/>
  <c r="U60" i="1"/>
  <c r="M60" i="1"/>
  <c r="W60" i="1"/>
  <c r="O60" i="1"/>
  <c r="Y60" i="1"/>
  <c r="O59" i="1"/>
  <c r="S60" i="1"/>
  <c r="AG60" i="1"/>
  <c r="U58" i="1"/>
  <c r="Y58" i="1"/>
  <c r="S62" i="1"/>
  <c r="AA60" i="1"/>
  <c r="AC54" i="1"/>
  <c r="Y59" i="1"/>
  <c r="Q54" i="1"/>
  <c r="S59" i="1"/>
  <c r="Y57" i="1"/>
  <c r="AE54" i="1"/>
  <c r="AE62" i="1"/>
  <c r="AG58" i="1"/>
  <c r="S54" i="1"/>
  <c r="AA58" i="1"/>
  <c r="V57" i="1"/>
  <c r="V58" i="1"/>
  <c r="AC59" i="1"/>
  <c r="AG59" i="1"/>
  <c r="W62" i="1"/>
  <c r="AD57" i="1"/>
  <c r="AD58" i="1"/>
  <c r="U54" i="1"/>
  <c r="AA62" i="1"/>
  <c r="W54" i="1"/>
  <c r="AB58" i="1"/>
  <c r="AC58" i="1" s="1"/>
  <c r="I57" i="1"/>
  <c r="I58" i="1"/>
  <c r="U57" i="1"/>
  <c r="AG57" i="1"/>
  <c r="W59" i="1"/>
  <c r="AA59" i="1"/>
  <c r="Q58" i="1"/>
  <c r="S57" i="1"/>
  <c r="Y54" i="1"/>
  <c r="O14" i="1"/>
  <c r="N58" i="1"/>
  <c r="O58" i="1" s="1"/>
  <c r="Y62" i="1"/>
  <c r="M53" i="1"/>
  <c r="U62" i="1"/>
  <c r="N57" i="1"/>
  <c r="G55" i="1"/>
  <c r="G56" i="1"/>
  <c r="AB55" i="1"/>
  <c r="AB56" i="1"/>
  <c r="B55" i="1"/>
  <c r="B56" i="1"/>
  <c r="H55" i="1"/>
  <c r="H56" i="1"/>
  <c r="C55" i="1"/>
  <c r="C56" i="1"/>
  <c r="D55" i="1"/>
  <c r="D56" i="1"/>
  <c r="J55" i="1"/>
  <c r="J56" i="1"/>
  <c r="F55" i="1"/>
  <c r="F56" i="1"/>
  <c r="E55" i="1"/>
  <c r="E56" i="1"/>
  <c r="M23" i="1"/>
  <c r="K26" i="1"/>
  <c r="U53" i="1"/>
  <c r="L26" i="1"/>
  <c r="M26" i="1" s="1"/>
  <c r="I23" i="1"/>
  <c r="I26" i="1" s="1"/>
  <c r="I28" i="1" s="1"/>
  <c r="O54" i="1"/>
  <c r="Q53" i="1"/>
  <c r="O53" i="1"/>
  <c r="O21" i="1"/>
  <c r="Q23" i="1"/>
  <c r="S23" i="1"/>
  <c r="P26" i="1"/>
  <c r="Q26" i="1" s="1"/>
  <c r="S53" i="1"/>
  <c r="U23" i="1"/>
  <c r="R26" i="1"/>
  <c r="W53" i="1"/>
  <c r="Y53" i="1"/>
  <c r="AA23" i="1"/>
  <c r="W21" i="1"/>
  <c r="W14" i="1"/>
  <c r="AA53" i="1"/>
  <c r="Y23" i="1"/>
  <c r="V23" i="1"/>
  <c r="AC23" i="1"/>
  <c r="X28" i="1"/>
  <c r="X56" i="1" s="1"/>
  <c r="N23" i="1"/>
  <c r="AE14" i="1"/>
  <c r="AB53" i="1"/>
  <c r="AC53" i="1" s="1"/>
  <c r="Z26" i="1"/>
  <c r="AE21" i="1"/>
  <c r="AE53" i="1"/>
  <c r="AF26" i="1"/>
  <c r="AG23" i="1"/>
  <c r="AD23" i="1"/>
  <c r="AG53" i="1"/>
  <c r="T26" i="1"/>
  <c r="AE58" i="1" l="1"/>
  <c r="AH28" i="1"/>
  <c r="AI26" i="1"/>
  <c r="AE57" i="1"/>
  <c r="W58" i="1"/>
  <c r="W57" i="1"/>
  <c r="U26" i="1"/>
  <c r="O57" i="1"/>
  <c r="S26" i="1"/>
  <c r="I55" i="1"/>
  <c r="I56" i="1"/>
  <c r="O23" i="1"/>
  <c r="K28" i="1"/>
  <c r="AA26" i="1"/>
  <c r="L28" i="1"/>
  <c r="P28" i="1"/>
  <c r="Y26" i="1"/>
  <c r="R28" i="1"/>
  <c r="W23" i="1"/>
  <c r="V26" i="1"/>
  <c r="AE23" i="1"/>
  <c r="N26" i="1"/>
  <c r="O26" i="1" s="1"/>
  <c r="X55" i="1"/>
  <c r="T28" i="1"/>
  <c r="AC26" i="1"/>
  <c r="Z28" i="1"/>
  <c r="AD26" i="1"/>
  <c r="AF28" i="1"/>
  <c r="AF56" i="1" s="1"/>
  <c r="AG56" i="1" s="1"/>
  <c r="AG26" i="1"/>
  <c r="AI28" i="1" l="1"/>
  <c r="AH55" i="1"/>
  <c r="AH56" i="1"/>
  <c r="Q28" i="1"/>
  <c r="P56" i="1"/>
  <c r="K56" i="1"/>
  <c r="AA28" i="1"/>
  <c r="Z56" i="1"/>
  <c r="S28" i="1"/>
  <c r="R56" i="1"/>
  <c r="S56" i="1" s="1"/>
  <c r="M28" i="1"/>
  <c r="L56" i="1"/>
  <c r="M56" i="1" s="1"/>
  <c r="U28" i="1"/>
  <c r="T56" i="1"/>
  <c r="K55" i="1"/>
  <c r="AE26" i="1"/>
  <c r="L55" i="1"/>
  <c r="M55" i="1" s="1"/>
  <c r="P55" i="1"/>
  <c r="Q55" i="1" s="1"/>
  <c r="Y28" i="1"/>
  <c r="R55" i="1"/>
  <c r="W26" i="1"/>
  <c r="V28" i="1"/>
  <c r="V56" i="1" s="1"/>
  <c r="N28" i="1"/>
  <c r="Z55" i="1"/>
  <c r="AA55" i="1" s="1"/>
  <c r="T55" i="1"/>
  <c r="AC28" i="1"/>
  <c r="AF55" i="1"/>
  <c r="AG55" i="1" s="1"/>
  <c r="AG28" i="1"/>
  <c r="AD28" i="1"/>
  <c r="AD56" i="1" s="1"/>
  <c r="AE56" i="1" s="1"/>
  <c r="U56" i="1" l="1"/>
  <c r="AC56" i="1"/>
  <c r="U55" i="1"/>
  <c r="AC55" i="1"/>
  <c r="AA56" i="1"/>
  <c r="Q56" i="1"/>
  <c r="Y56" i="1"/>
  <c r="S55" i="1"/>
  <c r="Y55" i="1"/>
  <c r="O28" i="1"/>
  <c r="N56" i="1"/>
  <c r="O56" i="1" s="1"/>
  <c r="W28" i="1"/>
  <c r="AE28" i="1"/>
  <c r="V55" i="1"/>
  <c r="N55" i="1"/>
  <c r="O55" i="1" s="1"/>
  <c r="AD55" i="1"/>
  <c r="W55" i="1" l="1"/>
  <c r="W56" i="1"/>
  <c r="AE55"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<sst xmlns="http://schemas.openxmlformats.org/spreadsheetml/2006/main" count="155" uniqueCount="82">
  <si>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</si>
  <si>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</si>
  <si>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</si>
  <si>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</si>
  <si>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</si>
  <si>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</si>
  <si>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</si>
  <si>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</si>
  <si>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</si>
  <si>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</si>
  <si>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</si>
  <si>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</si>
  <si>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</si>
  <si>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</si>
  <si>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</si>
  <si>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</si>
  <si>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</si>
  <si>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</si>
  <si>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</si>
  <si>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</si>
  <si>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</si>
  <si>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</si>
  <si>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</si>
  <si>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</si>
  <si>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Price</t>
  </si>
  <si>
    <t>Shares outstanding</t>
  </si>
  <si>
    <t>Market cap</t>
  </si>
  <si>
    <t>Cash</t>
  </si>
  <si>
    <t>Debt</t>
  </si>
  <si>
    <t>Revenue</t>
  </si>
  <si>
    <t>Sales</t>
  </si>
  <si>
    <t>Other</t>
  </si>
  <si>
    <t>Total revenue</t>
  </si>
  <si>
    <t>Cost of sales</t>
  </si>
  <si>
    <t>Operating expenses</t>
  </si>
  <si>
    <t>Selling, general &amp; administrative expenses</t>
  </si>
  <si>
    <t>Depreciation &amp; amortization</t>
  </si>
  <si>
    <t>Total operating expenses</t>
  </si>
  <si>
    <t>Income from operations</t>
  </si>
  <si>
    <t>Interest expense</t>
  </si>
  <si>
    <t>Other income (expense)</t>
  </si>
  <si>
    <t>Income before income taxes</t>
  </si>
  <si>
    <t>Income taxes</t>
  </si>
  <si>
    <t>Net income (loss)</t>
  </si>
  <si>
    <t xml:space="preserve">Assets </t>
  </si>
  <si>
    <t>Current assets</t>
  </si>
  <si>
    <t>Inventory</t>
  </si>
  <si>
    <t>Total current assets</t>
  </si>
  <si>
    <t>Property &amp; equipment, net</t>
  </si>
  <si>
    <t>Operating lease assets</t>
  </si>
  <si>
    <t>Total assets</t>
  </si>
  <si>
    <t>Liabilities</t>
  </si>
  <si>
    <t>Current liabilities</t>
  </si>
  <si>
    <t>Accounts payable</t>
  </si>
  <si>
    <t>Accrued &amp; other</t>
  </si>
  <si>
    <t>Current portion of long-term debt</t>
  </si>
  <si>
    <t>Total current liabilities</t>
  </si>
  <si>
    <t>Long-term debt</t>
  </si>
  <si>
    <t>Operating lease liabilities</t>
  </si>
  <si>
    <t>Deferred income taxes</t>
  </si>
  <si>
    <t>Total liabilities</t>
  </si>
  <si>
    <t>Equity</t>
  </si>
  <si>
    <t>Enterprise value</t>
  </si>
  <si>
    <t>EPS</t>
  </si>
  <si>
    <t>% Change</t>
  </si>
  <si>
    <t>Y/Y</t>
  </si>
  <si>
    <t>Net profit margin</t>
  </si>
  <si>
    <t>Current ratio</t>
  </si>
  <si>
    <t>Inventory turnover ratio</t>
  </si>
  <si>
    <t>Total quarterly turnover</t>
  </si>
  <si>
    <t>XXXXXXXXX</t>
  </si>
  <si>
    <t>Cost of sales to revenue</t>
  </si>
  <si>
    <t>ROE</t>
  </si>
  <si>
    <t>Quick ratio</t>
  </si>
  <si>
    <t>Q&amp;Y</t>
  </si>
  <si>
    <t>Net income</t>
  </si>
  <si>
    <t>Q323</t>
  </si>
  <si>
    <t>Q423</t>
  </si>
  <si>
    <t>Q124</t>
  </si>
  <si>
    <t>Q224</t>
  </si>
  <si>
    <t>Q324</t>
  </si>
  <si>
    <t>Q424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</si>
</sst>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_);_(* \(#,##0\);_(* &quot;-&quot;??_);_(@_)"/>
    <numFmt numFmtId="165" formatCode="_([$$-409]* #,##0.00_);_([$$-409]* \(#,##0.00\);_([$$-409]* &quot;-&quot;??_);_(@_)"/>
    <numFmt numFmtId="166" formatCode="_(* #,##0.0_);_(* \(#,##0.0\);_(* &quot;-&quot;??_);_(@_)"/>
    <numFmt numFmtId="167" formatCode="0.0%"/>
    <numFmt numFmtId="168" formatCode="_(* #,##0.000_);_(* \(#,##0.000\);_(* &quot;-&quot;??_);_(@_)"/>
  </numFmts>
  <fonts count="11"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cellStyleXfs>
  <cellXfs count="32">
    <xf numFmtId="0" fontId="0" fillId="0" borderId="0" xfId="0"/>
    <xf numFmtId="14" fontId="6" fillId="2" borderId="0" xfId="0" applyNumberFormat="1" applyFont="1" applyFill="1" applyAlignment="1">
      <alignment horizontal="center" vertical="center"/>
    </xf>
    <xf numFmtId="0" fontId="7" fillId="0" borderId="0" xfId="0" applyFont="1"/>
    <xf numFmtId="0" fontId="6" fillId="2" borderId="0" xfId="0" applyFont="1" applyFill="1" applyAlignment="1">
      <alignment horizontal="center" vertical="center"/>
    </xf>
    <xf numFmtId="0" fontId="6" fillId="2" borderId="0" xfId="0" applyFont="1" applyFill="1" applyAlignment="1">
      <alignment vertical="center"/>
    </xf>
    <xf numFmtId="164" fontId="7" fillId="0" borderId="0" xfId="1" applyNumberFormat="1" applyFont="1"/>
    <xf numFmtId="0" fontId="5" fillId="0" borderId="0" xfId="0" applyFont="1" applyAlignment="1">
      <alignment horizontal="left"/>
    </xf>
    <xf numFmtId="165" fontId="7" fillId="0" borderId="0" xfId="0" applyNumberFormat="1" applyFont="1"/>
    <xf numFmtId="0" fontId="5" fillId="0" borderId="0" xfId="0" applyFont="1"/>
    <xf numFmtId="0" fontId="9" fillId="0" borderId="0" xfId="0" applyFont="1"/>
    <xf numFmtId="0" fontId="5" fillId="0" borderId="0" xfId="0" applyFont="1" applyAlignment="1">
      <alignment horizontal="left" indent="1"/>
    </xf>
    <xf numFmtId="164" fontId="9" fillId="0" borderId="0" xfId="1" applyNumberFormat="1" applyFont="1"/>
    <xf numFmtId="0" fontId="9" fillId="0" borderId="0" xfId="0" applyFont="1" applyAlignment="1">
      <alignment horizontal="left" indent="2"/>
    </xf>
    <xf numFmtId="44" fontId="7" fillId="0" borderId="0" xfId="2" applyFont="1"/>
    <xf numFmtId="0" fontId="4" fillId="0" borderId="0" xfId="0" applyFont="1"/>
    <xf numFmtId="0" fontId="4" fillId="0" borderId="0" xfId="0" applyFont="1" applyAlignment="1">
      <alignment horizontal="left" indent="1"/>
    </xf>
    <xf numFmtId="0" fontId="9" fillId="0" borderId="0" xfId="0" applyFont="1" applyAlignment="1">
      <alignment horizontal="left"/>
    </xf>
    <xf numFmtId="0" fontId="9" fillId="0" borderId="0" xfId="0" applyFont="1" applyAlignment="1">
      <alignment horizontal="left" indent="1"/>
    </xf>
    <xf numFmtId="0" fontId="4" fillId="0" borderId="0" xfId="0" applyFont="1" applyAlignment="1">
      <alignment horizontal="left" indent="2"/>
    </xf>
    <xf numFmtId="0" fontId="9" fillId="0" borderId="0" xfId="0" applyFont="1" applyAlignment="1">
      <alignment horizontal="left" indent="3"/>
    </xf>
    <xf numFmtId="166" fontId="7" fillId="0" borderId="0" xfId="1" applyNumberFormat="1" applyFont="1"/>
    <xf numFmtId="43" fontId="7" fillId="0" borderId="0" xfId="1" applyFont="1"/>
    <xf numFmtId="167" fontId="7" fillId="0" borderId="0" xfId="3" applyNumberFormat="1" applyFont="1"/>
    <xf numFmtId="167" fontId="10" fillId="0" borderId="0" xfId="3" applyNumberFormat="1" applyFont="1" applyAlignment="1">
      <alignment horizontal="center"/>
    </xf>
    <xf numFmtId="168" fontId="7" fillId="0" borderId="0" xfId="1" applyNumberFormat="1" applyFont="1"/>
    <xf numFmtId="164" fontId="4" fillId="0" borderId="0" xfId="1" applyNumberFormat="1" applyFont="1"/>
    <xf numFmtId="0" fontId="3" fillId="0" borderId="0" xfId="0" applyFont="1"/>
    <xf numFmtId="168" fontId="3" fillId="0" borderId="0" xfId="1" applyNumberFormat="1" applyFont="1" applyAlignment="1">
      <alignment horizontal="center"/>
    </xf>
    <xf numFmtId="164" fontId="2" fillId="0" borderId="0" xfId="1" applyNumberFormat="1" applyFont="1"/>
    <xf numFmtId="10" fontId="7" fillId="0" borderId="0" xfId="3" applyNumberFormat="1" applyFont="1"/>
    <xf numFmtId="0" fontId="6" fillId="2" borderId="0" xfId="0" applyFont="1" applyFill="1" applyAlignment="1">
      <alignment horizontal="center"/>
    </xf>
    <xf numFmtId="164" fontId="1" fillId="0" borderId="0" xfId="1" applyNumberFormat="1" applyFont="1"/>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REVENUE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Sheet1!$C$66</c:f>
              <c:strCache>
                <c:ptCount val="1"/>
                <c:pt idx="0">
                  <c:v> Total revenue </c:v>
                </c:pt>
              </c:strCache>
            </c:strRef>
          </c:tx>
          <c:spPr>
            <a:ln w="38100" cap="rnd">
              <a:solidFill>
                <a:srgbClr val="FF0000"/>
              </a:solidFill>
              <a:prstDash val="solid"/>
              <a:round/>
              <a:headEnd type="none"/>
              <a:extLst>
                <a:ext uri="{C807C97D-BFC1-408E-A445-0C87EB9F89A2}">
                  <ask:lineSketchStyleProps xmlns:ask="http://schemas.microsoft.com/office/drawing/2018/sketchyshapes">
                    <ask:type>
                      <ask:lineSketchNone/>
                    </ask:type>
                  </ask:lineSketchStyleProps>
                </a:ext>
              </a:extLst>
            </a:ln>
            <a:effectLst/>
          </c:spPr>
          <c:marker>
            <c:symbol val="circle"/>
            <c:size val="5"/>
            <c:spPr>
              <a:solidFill>
                <a:srgbClr val="C00000"/>
              </a:solidFill>
              <a:ln w="31750">
                <a:solidFill>
                  <a:srgbClr val="FF0000"/>
                </a:solidFill>
              </a:ln>
              <a:effectLst/>
            </c:spPr>
          </c:marker>
          <c:dLbls>
            <c:dLbl>
              <c:idx val="4"/>
              <c:layout>
                <c:manualLayout>
                  <c:x val="-3.227177634362785E-2"/>
                  <c:y val="2.961530696236934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84-4C32-BDF6-A706A7CC926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Sheet1!$B$67:$B$87</c:f>
              <c:strCache>
                <c:ptCount val="21"/>
                <c:pt idx="0">
                  <c:v> Q118 </c:v>
                </c:pt>
                <c:pt idx="1">
                  <c:v> Q218 </c:v>
                </c:pt>
                <c:pt idx="2">
                  <c:v> Q318 </c:v>
                </c:pt>
                <c:pt idx="3">
                  <c:v> Q418 </c:v>
                </c:pt>
                <c:pt idx="4">
                  <c:v> Q119 </c:v>
                </c:pt>
                <c:pt idx="5">
                  <c:v> Q219 </c:v>
                </c:pt>
                <c:pt idx="6">
                  <c:v> Q319 </c:v>
                </c:pt>
                <c:pt idx="7">
                  <c:v> Q419 </c:v>
                </c:pt>
                <c:pt idx="8">
                  <c:v> Q120 </c:v>
                </c:pt>
                <c:pt idx="9">
                  <c:v> Q220 </c:v>
                </c:pt>
                <c:pt idx="10">
                  <c:v> Q320 </c:v>
                </c:pt>
                <c:pt idx="11">
                  <c:v> Q420 </c:v>
                </c:pt>
                <c:pt idx="12">
                  <c:v> Q121 </c:v>
                </c:pt>
                <c:pt idx="13">
                  <c:v> Q221 </c:v>
                </c:pt>
                <c:pt idx="14">
                  <c:v> Q321 </c:v>
                </c:pt>
                <c:pt idx="15">
                  <c:v> Q421 </c:v>
                </c:pt>
                <c:pt idx="16">
                  <c:v> Q122 </c:v>
                </c:pt>
                <c:pt idx="17">
                  <c:v> Q222 </c:v>
                </c:pt>
                <c:pt idx="18">
                  <c:v> Q322 </c:v>
                </c:pt>
                <c:pt idx="19">
                  <c:v> Q422 </c:v>
                </c:pt>
                <c:pt idx="20">
                  <c:v> Q123 </c:v>
                </c:pt>
              </c:strCache>
            </c:strRef>
          </c:cat>
          <c:val>
            <c:numRef>
              <c:f>Sheet1!$C$67:$C$87</c:f>
              <c:numCache>
                <c:formatCode>_(* #,##0_);_(* \(#,##0\);_(* "-"??_);_(@_)</c:formatCode>
                <c:ptCount val="21"/>
                <c:pt idx="0">
                  <c:v>16781</c:v>
                </c:pt>
                <c:pt idx="1">
                  <c:v>17776</c:v>
                </c:pt>
                <c:pt idx="2">
                  <c:v>17821</c:v>
                </c:pt>
                <c:pt idx="3">
                  <c:v>22978</c:v>
                </c:pt>
                <c:pt idx="4">
                  <c:v>17627</c:v>
                </c:pt>
                <c:pt idx="5">
                  <c:v>18422</c:v>
                </c:pt>
                <c:pt idx="6">
                  <c:v>18665</c:v>
                </c:pt>
                <c:pt idx="7">
                  <c:v>23398</c:v>
                </c:pt>
                <c:pt idx="8">
                  <c:v>19615</c:v>
                </c:pt>
                <c:pt idx="9">
                  <c:v>22975</c:v>
                </c:pt>
                <c:pt idx="10">
                  <c:v>22632</c:v>
                </c:pt>
                <c:pt idx="11">
                  <c:v>28339</c:v>
                </c:pt>
                <c:pt idx="12">
                  <c:v>24197</c:v>
                </c:pt>
                <c:pt idx="13">
                  <c:v>25160</c:v>
                </c:pt>
                <c:pt idx="14">
                  <c:v>25652</c:v>
                </c:pt>
                <c:pt idx="15">
                  <c:v>30996</c:v>
                </c:pt>
                <c:pt idx="16">
                  <c:v>25170</c:v>
                </c:pt>
                <c:pt idx="17">
                  <c:v>26037</c:v>
                </c:pt>
                <c:pt idx="18">
                  <c:v>26518</c:v>
                </c:pt>
                <c:pt idx="19">
                  <c:v>31395</c:v>
                </c:pt>
                <c:pt idx="20">
                  <c:v>25322</c:v>
                </c:pt>
              </c:numCache>
            </c:numRef>
          </c:val>
          <c:smooth val="0"/>
          <c:extLst>
            <c:ext xmlns:c16="http://schemas.microsoft.com/office/drawing/2014/chart" uri="{C3380CC4-5D6E-409C-BE32-E72D297353CC}">
              <c16:uniqueId val="{00000000-FC7B-4C62-8DC5-30FC62A0D084}"/>
            </c:ext>
          </c:extLst>
        </c:ser>
        <c:dLbls>
          <c:dLblPos val="t"/>
          <c:showLegendKey val="0"/>
          <c:showVal val="1"/>
          <c:showCatName val="0"/>
          <c:showSerName val="0"/>
          <c:showPercent val="0"/>
          <c:showBubbleSize val="0"/>
        </c:dLbls>
        <c:upDownBars>
          <c:gapWidth val="117"/>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929970527"/>
        <c:axId val="929970111"/>
      </c:lineChart>
      <c:catAx>
        <c:axId val="929970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970111"/>
        <c:crosses val="autoZero"/>
        <c:auto val="1"/>
        <c:lblAlgn val="ctr"/>
        <c:lblOffset val="100"/>
        <c:noMultiLvlLbl val="0"/>
      </c:catAx>
      <c:valAx>
        <c:axId val="92997011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970527"/>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NET INCOME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Sheet1!$C$90</c:f>
              <c:strCache>
                <c:ptCount val="1"/>
                <c:pt idx="0">
                  <c:v> Net income </c:v>
                </c:pt>
              </c:strCache>
            </c:strRef>
          </c:tx>
          <c:spPr>
            <a:ln w="38100" cap="rnd">
              <a:solidFill>
                <a:srgbClr val="FF0000"/>
              </a:solidFill>
              <a:prstDash val="solid"/>
              <a:round/>
              <a:headEnd type="none"/>
              <a:extLst>
                <a:ext uri="{C807C97D-BFC1-408E-A445-0C87EB9F89A2}">
                  <ask:lineSketchStyleProps xmlns:ask="http://schemas.microsoft.com/office/drawing/2018/sketchyshapes">
                    <ask:type>
                      <ask:lineSketchNone/>
                    </ask:type>
                  </ask:lineSketchStyleProps>
                </a:ext>
              </a:extLst>
            </a:ln>
            <a:effectLst/>
          </c:spPr>
          <c:marker>
            <c:symbol val="circle"/>
            <c:size val="5"/>
            <c:spPr>
              <a:solidFill>
                <a:srgbClr val="FF0000"/>
              </a:solidFill>
              <a:ln w="31750">
                <a:solidFill>
                  <a:srgbClr val="FF0000"/>
                </a:solidFill>
              </a:ln>
              <a:effectLst/>
            </c:spPr>
          </c:marker>
          <c:dLbls>
            <c:dLbl>
              <c:idx val="4"/>
              <c:layout>
                <c:manualLayout>
                  <c:x val="-3.227177634362785E-2"/>
                  <c:y val="2.961530696236934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84-4C32-BDF6-A706A7CC926D}"/>
                </c:ext>
              </c:extLst>
            </c:dLbl>
            <c:dLbl>
              <c:idx val="8"/>
              <c:layout>
                <c:manualLayout>
                  <c:x val="-2.4931502903700879E-2"/>
                  <c:y val="3.79409176226857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82E-4EDF-A77E-E817C66C7E83}"/>
                </c:ext>
              </c:extLst>
            </c:dLbl>
            <c:dLbl>
              <c:idx val="17"/>
              <c:layout>
                <c:manualLayout>
                  <c:x val="-2.3407345000942208E-2"/>
                  <c:y val="3.134678639947442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82E-4EDF-A77E-E817C66C7E83}"/>
                </c:ext>
              </c:extLst>
            </c:dLbl>
            <c:spPr>
              <a:noFill/>
              <a:ln>
                <a:noFill/>
              </a:ln>
              <a:effectLst/>
            </c:spPr>
            <c:txPr>
              <a:bodyPr rot="0" spcFirstLastPara="1" vertOverflow="ellipsis" vert="horz" wrap="square" lIns="38100" tIns="19050" rIns="38100" bIns="19050" anchor="ctr" anchorCtr="1">
                <a:spAutoFit/>
              </a:bodyPr>
              <a:lstStyle/>
              <a:p>
                <a:pPr>
                  <a:defRPr sz="900" b="1" i="0" u="sng"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Sheet1!$B$91:$B$111</c:f>
              <c:strCache>
                <c:ptCount val="21"/>
                <c:pt idx="0">
                  <c:v> Q118 </c:v>
                </c:pt>
                <c:pt idx="1">
                  <c:v> Q218 </c:v>
                </c:pt>
                <c:pt idx="2">
                  <c:v> Q318 </c:v>
                </c:pt>
                <c:pt idx="3">
                  <c:v> Q418 </c:v>
                </c:pt>
                <c:pt idx="4">
                  <c:v> Q119 </c:v>
                </c:pt>
                <c:pt idx="5">
                  <c:v> Q219 </c:v>
                </c:pt>
                <c:pt idx="6">
                  <c:v> Q319 </c:v>
                </c:pt>
                <c:pt idx="7">
                  <c:v> Q419 </c:v>
                </c:pt>
                <c:pt idx="8">
                  <c:v> Q120 </c:v>
                </c:pt>
                <c:pt idx="9">
                  <c:v> Q220 </c:v>
                </c:pt>
                <c:pt idx="10">
                  <c:v> Q320 </c:v>
                </c:pt>
                <c:pt idx="11">
                  <c:v> Q420 </c:v>
                </c:pt>
                <c:pt idx="12">
                  <c:v> Q121 </c:v>
                </c:pt>
                <c:pt idx="13">
                  <c:v> Q221 </c:v>
                </c:pt>
                <c:pt idx="14">
                  <c:v> Q321 </c:v>
                </c:pt>
                <c:pt idx="15">
                  <c:v> Q421 </c:v>
                </c:pt>
                <c:pt idx="16">
                  <c:v> Q122 </c:v>
                </c:pt>
                <c:pt idx="17">
                  <c:v> Q222 </c:v>
                </c:pt>
                <c:pt idx="18">
                  <c:v> Q322 </c:v>
                </c:pt>
                <c:pt idx="19">
                  <c:v> Q422 </c:v>
                </c:pt>
                <c:pt idx="20">
                  <c:v> Q123 </c:v>
                </c:pt>
              </c:strCache>
            </c:strRef>
          </c:cat>
          <c:val>
            <c:numRef>
              <c:f>Sheet1!$C$91:$C$111</c:f>
              <c:numCache>
                <c:formatCode>_(* #,##0_);_(* \(#,##0\);_(* "-"??_);_(@_)</c:formatCode>
                <c:ptCount val="21"/>
                <c:pt idx="0">
                  <c:v>717</c:v>
                </c:pt>
                <c:pt idx="1">
                  <c:v>799</c:v>
                </c:pt>
                <c:pt idx="2">
                  <c:v>616</c:v>
                </c:pt>
                <c:pt idx="3">
                  <c:v>798</c:v>
                </c:pt>
                <c:pt idx="4">
                  <c:v>792</c:v>
                </c:pt>
                <c:pt idx="5">
                  <c:v>938</c:v>
                </c:pt>
                <c:pt idx="6">
                  <c:v>706</c:v>
                </c:pt>
                <c:pt idx="7">
                  <c:v>833</c:v>
                </c:pt>
                <c:pt idx="8">
                  <c:v>284</c:v>
                </c:pt>
                <c:pt idx="9">
                  <c:v>1690</c:v>
                </c:pt>
                <c:pt idx="10">
                  <c:v>1014</c:v>
                </c:pt>
                <c:pt idx="11">
                  <c:v>1380</c:v>
                </c:pt>
                <c:pt idx="12">
                  <c:v>2097</c:v>
                </c:pt>
                <c:pt idx="13">
                  <c:v>1817</c:v>
                </c:pt>
                <c:pt idx="14">
                  <c:v>1488</c:v>
                </c:pt>
                <c:pt idx="15">
                  <c:v>1544</c:v>
                </c:pt>
                <c:pt idx="16">
                  <c:v>1009</c:v>
                </c:pt>
                <c:pt idx="17">
                  <c:v>183</c:v>
                </c:pt>
                <c:pt idx="18">
                  <c:v>712</c:v>
                </c:pt>
                <c:pt idx="19">
                  <c:v>876</c:v>
                </c:pt>
                <c:pt idx="20">
                  <c:v>950</c:v>
                </c:pt>
              </c:numCache>
            </c:numRef>
          </c:val>
          <c:smooth val="0"/>
          <c:extLst>
            <c:ext xmlns:c16="http://schemas.microsoft.com/office/drawing/2014/chart" uri="{C3380CC4-5D6E-409C-BE32-E72D297353CC}">
              <c16:uniqueId val="{00000000-FC7B-4C62-8DC5-30FC62A0D084}"/>
            </c:ext>
          </c:extLst>
        </c:ser>
        <c:dLbls>
          <c:dLblPos val="t"/>
          <c:showLegendKey val="0"/>
          <c:showVal val="1"/>
          <c:showCatName val="0"/>
          <c:showSerName val="0"/>
          <c:showPercent val="0"/>
          <c:showBubbleSize val="0"/>
        </c:dLbls>
        <c:upDownBars>
          <c:gapWidth val="117"/>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929970527"/>
        <c:axId val="929970111"/>
      </c:lineChart>
      <c:catAx>
        <c:axId val="929970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970111"/>
        <c:crosses val="autoZero"/>
        <c:auto val="1"/>
        <c:lblAlgn val="ctr"/>
        <c:lblOffset val="100"/>
        <c:noMultiLvlLbl val="0"/>
      </c:catAx>
      <c:valAx>
        <c:axId val="92997011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9970527"/>
        <c:crosses val="autoZero"/>
        <c:crossBetween val="between"/>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842010</xdr:colOff>
      <xdr:row>62</xdr:row>
      <xdr:rowOff>148590</xdr:rowOff>
    </xdr:from>
    <xdr:to>
      <xdr:col>12</xdr:col>
      <xdr:colOff>7620</xdr:colOff>
      <xdr:row>87</xdr:row>
      <xdr:rowOff>0</xdr:rowOff>
    </xdr:to>
    <xdr:graphicFrame macro="">
      <xdr:nvGraphicFramePr>
        <xdr:cNvPr id="2" name="Chart 1">
          <a:extLst>
            <a:ext uri="{FF2B5EF4-FFF2-40B4-BE49-F238E27FC236}">
              <a16:creationId xmlns:a16="http://schemas.microsoft.com/office/drawing/2014/main" id="{659D6692-BC3A-163E-7B3D-8EF4F473E4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842010</xdr:colOff>
      <xdr:row>86</xdr:row>
      <xdr:rowOff>156210</xdr:rowOff>
    </xdr:from>
    <xdr:to>
      <xdr:col>12</xdr:col>
      <xdr:colOff>7620</xdr:colOff>
      <xdr:row>111</xdr:row>
      <xdr:rowOff>7620</xdr:rowOff>
    </xdr:to>
    <xdr:graphicFrame macro="">
      <xdr:nvGraphicFramePr>
        <xdr:cNvPr id="3" name="Chart 2">
          <a:extLst>
            <a:ext uri="{FF2B5EF4-FFF2-40B4-BE49-F238E27FC236}">
              <a16:creationId xmlns:a16="http://schemas.microsoft.com/office/drawing/2014/main" id="{EA6DB0D1-B78B-A718-EFFE-3E15A1928E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https://www.bing.com/financeapi/forcetrigger?t=a246z2&amp;q=XNYS%3aTGT&amp;form=skydnc</v>
    <v>Learn more on Bing</v>
  </rv>
  <rv s="1">
    <v>en-US</v>
    <v>a246z2</v>
    <v>268435456</v>
    <v>1</v>
    <v>Powered by Refinitiv</v>
    <v>0</v>
    <v>TARGET CORPORATION (XNYS:TGT)</v>
    <v>2</v>
    <v>3</v>
    <v>Finance</v>
    <v>4</v>
    <v>175.5299</v>
    <v>102.93</v>
    <v>1.1185</v>
    <v>-1.63</v>
    <v>-1.1900000000000001E-4</v>
    <v>-9.6039999999999997E-3</v>
    <v>-0.02</v>
    <v>USD</v>
    <v>Target Corporation (Target) is a general merchandise retailer selling products to its guests through its stores and digital channels. The Company sells an assortment of general merchandise and food. The Company’s product categories include apparel and accessories, beauty and household essentials, food and beverage, hardlines, and home furnishing and decor. Its general merchandise stores offer an edited food assortment, including perishables, dry grocery, dairy and frozen items. The Company operates over 1,948 stores and has stores of approximately 170,000 square feet, which offer a full line of food items comparable to traditional supermarkets. Its small-format stores has over 50,000 square feet and offer curated general merchandise and food assortments. Its brands include Art Class, Smartly, Auden, JoyLab, Smith &amp; Hawken, Ava &amp; Viv, Kindfull, Sonia Kashuk, Casaluna, Market Pantry, Threshold, Cat &amp; Jack, Mondo Llama, Universal Thread, Cloud Island, More Than Magic, up &amp; up, and others.</v>
    <v>440000</v>
    <v>New York Stock Exchange</v>
    <v>XNYS</v>
    <v>XNYS</v>
    <v>1000 Nicollet Mall, MINNEAPOLIS, MN, 55403 US</v>
    <v>170.58</v>
    <v>Diversified Retail</v>
    <v>Stock</v>
    <v>45362.833823020315</v>
    <v>0</v>
    <v>166.68</v>
    <v>77603017986</v>
    <v>TARGET CORPORATION</v>
    <v>TARGET CORPORATION</v>
    <v>170.11</v>
    <v>21.622800000000002</v>
    <v>169.72</v>
    <v>168.09</v>
    <v>168.07</v>
    <v>461675400</v>
    <v>TGT</v>
    <v>TARGET CORPORATION (XNYS:TGT)</v>
    <v>3051551</v>
    <v>4612388</v>
    <v>1902</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U111"/>
  <sheetViews>
    <sheetView tabSelected="1" topLeftCell="A47" zoomScale="125" zoomScaleNormal="125" workbookViewId="0">
      <pane xSplit="1" topLeftCell="X1" activePane="topRight" state="frozen"/>
      <selection pane="topRight" activeCell="AK61" sqref="AK61"/>
    </sheetView>
  </sheetViews>
  <sheetFormatPr defaultColWidth="8.86328125" defaultRowHeight="12.75" x14ac:dyDescent="0.35"/>
  <cols>
    <col min="1" max="1" width="40.1328125" style="2" customWidth="1"/>
    <col min="2" max="12" width="12.73046875" style="5" customWidth="1"/>
    <col min="13" max="13" width="10.73046875" style="5" hidden="1" customWidth="1"/>
    <col min="14" max="14" width="12.73046875" style="5" customWidth="1"/>
    <col min="15" max="15" width="10.73046875" style="5" hidden="1" customWidth="1"/>
    <col min="16" max="16" width="12.73046875" style="5" customWidth="1"/>
    <col min="17" max="17" width="10.73046875" style="5" hidden="1" customWidth="1"/>
    <col min="18" max="18" width="12.73046875" style="5" customWidth="1"/>
    <col min="19" max="19" width="10.73046875" style="5" hidden="1" customWidth="1"/>
    <col min="20" max="20" width="12.73046875" style="5" customWidth="1"/>
    <col min="21" max="21" width="10.73046875" style="5" hidden="1" customWidth="1"/>
    <col min="22" max="22" width="12.73046875" style="5" customWidth="1"/>
    <col min="23" max="23" width="10.73046875" style="5" hidden="1" customWidth="1"/>
    <col min="24" max="24" width="12.73046875" style="5" customWidth="1"/>
    <col min="25" max="25" width="10.73046875" style="5" hidden="1" customWidth="1"/>
    <col min="26" max="26" width="12.73046875" style="5" customWidth="1"/>
    <col min="27" max="27" width="10.73046875" style="5" hidden="1" customWidth="1"/>
    <col min="28" max="28" width="12.73046875" style="5" customWidth="1"/>
    <col min="29" max="29" width="10.73046875" style="5" hidden="1" customWidth="1"/>
    <col min="30" max="30" width="12.73046875" style="5" customWidth="1"/>
    <col min="31" max="31" width="10.73046875" style="5" hidden="1" customWidth="1"/>
    <col min="32" max="32" width="12.73046875" style="5" customWidth="1"/>
    <col min="33" max="33" width="10.73046875" style="5" hidden="1" customWidth="1"/>
    <col min="34" max="34" width="12.73046875" style="5" customWidth="1"/>
    <col min="35" max="35" width="10.73046875" style="5" hidden="1" customWidth="1"/>
    <col min="36" max="211" width="12.73046875" style="5" customWidth="1"/>
    <col min="212" max="16384" width="8.86328125" style="5"/>
  </cols>
  <sheetData>
    <row r="1" spans="1:47" s="30" customFormat="1" ht="15" customHeight="1" x14ac:dyDescent="0.4">
      <c r="A1" s="4" t="s">
        <v>1</v>
      </c>
      <c r="B1" s="1">
        <f t="shared" ref="B1:J1" si="0">C1-91</f>
        <v>43225</v>
      </c>
      <c r="C1" s="1">
        <f t="shared" si="0"/>
        <v>43316</v>
      </c>
      <c r="D1" s="1">
        <f t="shared" si="0"/>
        <v>43407</v>
      </c>
      <c r="E1" s="1">
        <f t="shared" si="0"/>
        <v>43498</v>
      </c>
      <c r="F1" s="1">
        <f t="shared" si="0"/>
        <v>43589</v>
      </c>
      <c r="G1" s="1">
        <f t="shared" si="0"/>
        <v>43680</v>
      </c>
      <c r="H1" s="1">
        <f t="shared" si="0"/>
        <v>43771</v>
      </c>
      <c r="I1" s="1">
        <f t="shared" si="0"/>
        <v>43862</v>
      </c>
      <c r="J1" s="1">
        <f t="shared" si="0"/>
        <v>43953</v>
      </c>
      <c r="K1" s="1">
        <f>L1-91</f>
        <v>44044</v>
      </c>
      <c r="L1" s="1">
        <f>N1-91</f>
        <v>44135</v>
      </c>
      <c r="M1" s="1" t="s">
        <v>64</v>
      </c>
      <c r="N1" s="1">
        <f>P1-91</f>
        <v>44226</v>
      </c>
      <c r="O1" s="1" t="s">
        <v>64</v>
      </c>
      <c r="P1" s="1">
        <f>R1-91</f>
        <v>44317</v>
      </c>
      <c r="Q1" s="1" t="s">
        <v>64</v>
      </c>
      <c r="R1" s="1">
        <f>T1-91</f>
        <v>44408</v>
      </c>
      <c r="S1" s="1" t="s">
        <v>64</v>
      </c>
      <c r="T1" s="1">
        <f>V1-91</f>
        <v>44499</v>
      </c>
      <c r="U1" s="1" t="s">
        <v>64</v>
      </c>
      <c r="V1" s="1">
        <f>X1-91</f>
        <v>44590</v>
      </c>
      <c r="W1" s="1" t="s">
        <v>64</v>
      </c>
      <c r="X1" s="1">
        <f>Z1-91</f>
        <v>44681</v>
      </c>
      <c r="Y1" s="1" t="s">
        <v>64</v>
      </c>
      <c r="Z1" s="1">
        <f>AB1-91</f>
        <v>44772</v>
      </c>
      <c r="AA1" s="1" t="s">
        <v>64</v>
      </c>
      <c r="AB1" s="1">
        <f>AD1-91</f>
        <v>44863</v>
      </c>
      <c r="AC1" s="1" t="s">
        <v>64</v>
      </c>
      <c r="AD1" s="1">
        <f>AF1-91</f>
        <v>44954</v>
      </c>
      <c r="AE1" s="1" t="s">
        <v>64</v>
      </c>
      <c r="AF1" s="1">
        <v>45045</v>
      </c>
      <c r="AG1" s="1" t="s">
        <v>64</v>
      </c>
      <c r="AH1" s="1">
        <v>45136</v>
      </c>
      <c r="AI1" s="1" t="s">
        <v>64</v>
      </c>
      <c r="AJ1" s="1">
        <v>45227</v>
      </c>
      <c r="AK1" s="1">
        <v>45320</v>
      </c>
      <c r="AL1" s="3"/>
      <c r="AM1" s="3"/>
      <c r="AN1" s="3"/>
      <c r="AO1" s="3"/>
      <c r="AP1" s="3"/>
      <c r="AQ1" s="3"/>
      <c r="AR1" s="3"/>
      <c r="AS1" s="3"/>
      <c r="AT1" s="3"/>
      <c r="AU1" s="3"/>
    </row>
    <row r="2" spans="1:47" s="30" customFormat="1" ht="15" customHeight="1" x14ac:dyDescent="0.4">
      <c r="A2" s="4" t="s">
        <v>0</v>
      </c>
      <c r="B2" s="3" t="s">
        <v>2</v>
      </c>
      <c r="C2" s="3" t="s">
        <v>3</v>
      </c>
      <c r="D2" s="3" t="s">
        <v>4</v>
      </c>
      <c r="E2" s="3" t="s">
        <v>5</v>
      </c>
      <c r="F2" s="3" t="s">
        <v>6</v>
      </c>
      <c r="G2" s="3" t="s">
        <v>7</v>
      </c>
      <c r="H2" s="3" t="s">
        <v>8</v>
      </c>
      <c r="I2" s="3" t="s">
        <v>9</v>
      </c>
      <c r="J2" s="3" t="s">
        <v>10</v>
      </c>
      <c r="K2" s="3" t="s">
        <v>11</v>
      </c>
      <c r="L2" s="3" t="s">
        <v>12</v>
      </c>
      <c r="M2" s="3" t="s">
        <v>65</v>
      </c>
      <c r="N2" s="3" t="s">
        <v>13</v>
      </c>
      <c r="O2" s="3" t="s">
        <v>65</v>
      </c>
      <c r="P2" s="3" t="s">
        <v>14</v>
      </c>
      <c r="Q2" s="3" t="s">
        <v>65</v>
      </c>
      <c r="R2" s="3" t="s">
        <v>15</v>
      </c>
      <c r="S2" s="3" t="s">
        <v>65</v>
      </c>
      <c r="T2" s="3" t="s">
        <v>16</v>
      </c>
      <c r="U2" s="3" t="s">
        <v>65</v>
      </c>
      <c r="V2" s="3" t="s">
        <v>17</v>
      </c>
      <c r="W2" s="3" t="s">
        <v>65</v>
      </c>
      <c r="X2" s="3" t="s">
        <v>18</v>
      </c>
      <c r="Y2" s="3" t="s">
        <v>65</v>
      </c>
      <c r="Z2" s="3" t="s">
        <v>19</v>
      </c>
      <c r="AA2" s="3" t="s">
        <v>65</v>
      </c>
      <c r="AB2" s="3" t="s">
        <v>20</v>
      </c>
      <c r="AC2" s="3" t="s">
        <v>65</v>
      </c>
      <c r="AD2" s="3" t="s">
        <v>21</v>
      </c>
      <c r="AE2" s="3" t="s">
        <v>65</v>
      </c>
      <c r="AF2" s="3" t="s">
        <v>22</v>
      </c>
      <c r="AG2" s="3" t="s">
        <v>65</v>
      </c>
      <c r="AH2" s="3" t="s">
        <v>23</v>
      </c>
      <c r="AI2" s="3" t="s">
        <v>65</v>
      </c>
      <c r="AJ2" s="3" t="s">
        <v>76</v>
      </c>
      <c r="AK2" s="3" t="s">
        <v>77</v>
      </c>
      <c r="AL2" s="3" t="s">
        <v>78</v>
      </c>
      <c r="AM2" s="3" t="s">
        <v>79</v>
      </c>
      <c r="AN2" s="3" t="s">
        <v>80</v>
      </c>
      <c r="AO2" s="3" t="s">
        <v>81</v>
      </c>
      <c r="AP2" s="3"/>
      <c r="AQ2" s="3"/>
      <c r="AR2" s="3"/>
      <c r="AS2" s="3"/>
      <c r="AT2" s="3"/>
      <c r="AU2" s="3"/>
    </row>
    <row r="3" spans="1:47" x14ac:dyDescent="0.35">
      <c r="A3" s="6" t="e" vm="1">
        <v>#VALUE!</v>
      </c>
    </row>
    <row r="4" spans="1:47" x14ac:dyDescent="0.35">
      <c r="A4" s="7" cm="1">
        <f t="array" ref="A4">_FV(A3,"Price")</f>
        <v>168.09</v>
      </c>
      <c r="AF4" s="29"/>
    </row>
    <row r="5" spans="1:47" s="13" customFormat="1" x14ac:dyDescent="0.35">
      <c r="A5" s="8" t="s">
        <v>24</v>
      </c>
      <c r="B5" s="13">
        <v>62.81</v>
      </c>
      <c r="C5" s="13">
        <v>72.64</v>
      </c>
      <c r="D5" s="13">
        <v>75.849999999999994</v>
      </c>
      <c r="E5" s="13">
        <v>64.48</v>
      </c>
      <c r="F5" s="13">
        <v>69.430000000000007</v>
      </c>
      <c r="G5" s="13">
        <v>75.19</v>
      </c>
      <c r="H5" s="13">
        <v>100.19</v>
      </c>
      <c r="I5" s="13">
        <v>103.51</v>
      </c>
      <c r="J5" s="13">
        <v>101.74</v>
      </c>
      <c r="K5" s="13">
        <v>117.44</v>
      </c>
      <c r="L5" s="13">
        <v>144.56</v>
      </c>
      <c r="M5" s="23">
        <f>(L5-H5)/H5</f>
        <v>0.44285856871943313</v>
      </c>
      <c r="N5" s="13">
        <v>172.77</v>
      </c>
      <c r="O5" s="23">
        <f>(N5-I5)/I5</f>
        <v>0.66911409525649701</v>
      </c>
      <c r="P5" s="13">
        <v>198.31</v>
      </c>
      <c r="Q5" s="23">
        <f>(P5-J5)/J5</f>
        <v>0.94918419500688045</v>
      </c>
      <c r="R5" s="13">
        <v>250.65</v>
      </c>
      <c r="S5" s="23">
        <f>(R5-K5)/K5</f>
        <v>1.134281335149864</v>
      </c>
      <c r="T5" s="13">
        <v>250.12</v>
      </c>
      <c r="U5" s="23">
        <f>(T5-L5)/L5</f>
        <v>0.73021582733812951</v>
      </c>
      <c r="V5" s="13">
        <v>210.41</v>
      </c>
      <c r="W5" s="23">
        <f>(V5-N5)/N5</f>
        <v>0.2178618973201365</v>
      </c>
      <c r="X5" s="13">
        <v>221.99</v>
      </c>
      <c r="Y5" s="23">
        <f>(X5-P5)/P5</f>
        <v>0.1194090061015582</v>
      </c>
      <c r="Z5" s="13">
        <v>159.29</v>
      </c>
      <c r="AA5" s="23">
        <f>(Z5-R5)/R5</f>
        <v>-0.36449231996808301</v>
      </c>
      <c r="AB5" s="13">
        <v>164.34</v>
      </c>
      <c r="AC5" s="23">
        <f>(AB5-T5)/T5</f>
        <v>-0.34295538141691989</v>
      </c>
      <c r="AD5" s="13">
        <v>166.37</v>
      </c>
      <c r="AE5" s="23">
        <f>(AD5-V5)/V5</f>
        <v>-0.20930564136685514</v>
      </c>
      <c r="AF5" s="13">
        <v>156.68</v>
      </c>
      <c r="AG5" s="23">
        <f>(AF5-X5)/X5</f>
        <v>-0.29420244155142122</v>
      </c>
      <c r="AH5" s="13">
        <v>135</v>
      </c>
      <c r="AI5" s="23">
        <f>(AH5-Z5)/Z5</f>
        <v>-0.15248917069495885</v>
      </c>
      <c r="AJ5" s="13">
        <v>107.23</v>
      </c>
      <c r="AK5" s="13">
        <v>141.52000000000001</v>
      </c>
    </row>
    <row r="6" spans="1:47" s="20" customFormat="1" x14ac:dyDescent="0.35">
      <c r="A6" s="6" t="s">
        <v>25</v>
      </c>
      <c r="B6" s="20">
        <v>541</v>
      </c>
      <c r="C6" s="20">
        <v>536.29999999999995</v>
      </c>
      <c r="D6" s="20">
        <v>531.20000000000005</v>
      </c>
      <c r="E6" s="20">
        <v>533.20000000000005</v>
      </c>
      <c r="F6" s="20">
        <v>519.5</v>
      </c>
      <c r="G6" s="20">
        <v>516.1</v>
      </c>
      <c r="H6" s="20">
        <v>514.79999999999995</v>
      </c>
      <c r="I6" s="20">
        <v>515.6</v>
      </c>
      <c r="J6" s="20">
        <v>505.8</v>
      </c>
      <c r="K6" s="20">
        <v>504.4</v>
      </c>
      <c r="L6" s="20">
        <v>505.4</v>
      </c>
      <c r="M6" s="23">
        <f>(L6-H6)/H6</f>
        <v>-1.8259518259518218E-2</v>
      </c>
      <c r="N6" s="20">
        <v>505.4</v>
      </c>
      <c r="O6" s="23">
        <f>(N6-I6)/I6</f>
        <v>-1.9782777346780536E-2</v>
      </c>
      <c r="P6" s="20">
        <v>503.4</v>
      </c>
      <c r="Q6" s="23">
        <f>(P6-J6)/J6</f>
        <v>-4.744958481613353E-3</v>
      </c>
      <c r="R6" s="20">
        <v>497.5</v>
      </c>
      <c r="S6" s="23">
        <f>(R6-K6)/K6</f>
        <v>-1.3679619349722397E-2</v>
      </c>
      <c r="T6" s="20">
        <v>489.4</v>
      </c>
      <c r="U6" s="23">
        <f>(T6-L6)/L6</f>
        <v>-3.1658092599920855E-2</v>
      </c>
      <c r="V6" s="20">
        <v>492.7</v>
      </c>
      <c r="W6" s="23">
        <f>(V6-N6)/N6</f>
        <v>-2.5128611001187157E-2</v>
      </c>
      <c r="X6" s="20">
        <v>467.8</v>
      </c>
      <c r="Y6" s="23">
        <f>(X6-P6)/P6</f>
        <v>-7.0719110051648729E-2</v>
      </c>
      <c r="Z6" s="20">
        <v>463.6</v>
      </c>
      <c r="AA6" s="23">
        <f>(Z6-R6)/R6</f>
        <v>-6.81407035175879E-2</v>
      </c>
      <c r="AB6" s="20">
        <v>462.5</v>
      </c>
      <c r="AC6" s="23">
        <f>(AB6-T6)/T6</f>
        <v>-5.4965263588066977E-2</v>
      </c>
      <c r="AD6" s="20">
        <v>464.7</v>
      </c>
      <c r="AE6" s="23">
        <f>(AD6-V6)/V6</f>
        <v>-5.6829713821798258E-2</v>
      </c>
      <c r="AF6" s="20">
        <v>462.9</v>
      </c>
      <c r="AG6" s="23">
        <f>(AF6-X6)/X6</f>
        <v>-1.047456177853791E-2</v>
      </c>
      <c r="AH6" s="20">
        <v>462.5</v>
      </c>
      <c r="AI6" s="23">
        <f>(AH6-Z6)/Z6</f>
        <v>-2.3727351164797728E-3</v>
      </c>
      <c r="AJ6" s="20">
        <v>476.6</v>
      </c>
      <c r="AK6" s="20">
        <v>463.1</v>
      </c>
    </row>
    <row r="7" spans="1:47" x14ac:dyDescent="0.35">
      <c r="A7" s="8" t="s">
        <v>26</v>
      </c>
      <c r="B7" s="5">
        <f>B5*B6</f>
        <v>33980.21</v>
      </c>
      <c r="C7" s="5">
        <f t="shared" ref="C7:AF7" si="1">C5*C6</f>
        <v>38956.831999999995</v>
      </c>
      <c r="D7" s="5">
        <f t="shared" si="1"/>
        <v>40291.519999999997</v>
      </c>
      <c r="E7" s="5">
        <f t="shared" si="1"/>
        <v>34380.736000000004</v>
      </c>
      <c r="F7" s="5">
        <f t="shared" si="1"/>
        <v>36068.885000000002</v>
      </c>
      <c r="G7" s="5">
        <f t="shared" si="1"/>
        <v>38805.559000000001</v>
      </c>
      <c r="H7" s="5">
        <f t="shared" si="1"/>
        <v>51577.811999999991</v>
      </c>
      <c r="I7" s="5">
        <f t="shared" si="1"/>
        <v>53369.756000000008</v>
      </c>
      <c r="J7" s="5">
        <f t="shared" si="1"/>
        <v>51460.091999999997</v>
      </c>
      <c r="K7" s="5">
        <f t="shared" si="1"/>
        <v>59236.735999999997</v>
      </c>
      <c r="L7" s="5">
        <f t="shared" si="1"/>
        <v>73060.623999999996</v>
      </c>
      <c r="M7" s="23">
        <f>(L7-H7)/H7</f>
        <v>0.41651266633799838</v>
      </c>
      <c r="N7" s="5">
        <f t="shared" si="1"/>
        <v>87317.957999999999</v>
      </c>
      <c r="O7" s="23">
        <f>(N7-I7)/I7</f>
        <v>0.63609438274366448</v>
      </c>
      <c r="P7" s="5">
        <f t="shared" si="1"/>
        <v>99829.254000000001</v>
      </c>
      <c r="Q7" s="23">
        <f>(P7-J7)/J7</f>
        <v>0.93993539692855599</v>
      </c>
      <c r="R7" s="5">
        <f t="shared" si="1"/>
        <v>124698.375</v>
      </c>
      <c r="S7" s="23">
        <f>(R7-K7)/K7</f>
        <v>1.1050851788997964</v>
      </c>
      <c r="T7" s="5">
        <f t="shared" si="1"/>
        <v>122408.728</v>
      </c>
      <c r="U7" s="23">
        <f>(T7-L7)/L7</f>
        <v>0.67544049445841048</v>
      </c>
      <c r="V7" s="5">
        <f t="shared" si="1"/>
        <v>103669.007</v>
      </c>
      <c r="W7" s="23">
        <f>(V7-N7)/N7</f>
        <v>0.1872587194492111</v>
      </c>
      <c r="X7" s="5">
        <f t="shared" si="1"/>
        <v>103846.92200000001</v>
      </c>
      <c r="Y7" s="23">
        <f>(X7-P7)/P7</f>
        <v>4.0245397406255337E-2</v>
      </c>
      <c r="Z7" s="5">
        <f t="shared" si="1"/>
        <v>73846.843999999997</v>
      </c>
      <c r="AA7" s="23">
        <f>(Z7-R7)/R7</f>
        <v>-0.40779626037628802</v>
      </c>
      <c r="AB7" s="5">
        <f t="shared" si="1"/>
        <v>76007.25</v>
      </c>
      <c r="AC7" s="23">
        <f>(AB7-T7)/T7</f>
        <v>-0.37907001206645985</v>
      </c>
      <c r="AD7" s="5">
        <f t="shared" si="1"/>
        <v>77312.138999999996</v>
      </c>
      <c r="AE7" s="23">
        <f>(AD7-V7)/V7</f>
        <v>-0.25424057548848716</v>
      </c>
      <c r="AF7" s="5">
        <f t="shared" si="1"/>
        <v>72527.172000000006</v>
      </c>
      <c r="AG7" s="23">
        <f>(AF7-X7)/X7</f>
        <v>-0.30159536168053203</v>
      </c>
      <c r="AH7" s="5">
        <f>AH5*AH6</f>
        <v>62437.5</v>
      </c>
      <c r="AI7" s="5">
        <f t="shared" ref="AI7:AL7" si="2">AI5*AI6</f>
        <v>3.6181641019080715E-4</v>
      </c>
      <c r="AJ7" s="5">
        <f t="shared" si="2"/>
        <v>51105.818000000007</v>
      </c>
      <c r="AK7" s="5">
        <f t="shared" si="2"/>
        <v>65537.912000000011</v>
      </c>
      <c r="AL7" s="5">
        <f t="shared" si="2"/>
        <v>0</v>
      </c>
    </row>
    <row r="8" spans="1:47" x14ac:dyDescent="0.35">
      <c r="A8" s="8" t="s">
        <v>27</v>
      </c>
      <c r="B8" s="5">
        <f>B32</f>
        <v>1060</v>
      </c>
      <c r="C8" s="5">
        <f t="shared" ref="C8:AH8" si="3">C32</f>
        <v>1180</v>
      </c>
      <c r="D8" s="5">
        <f t="shared" si="3"/>
        <v>825</v>
      </c>
      <c r="E8" s="5">
        <f t="shared" si="3"/>
        <v>1556</v>
      </c>
      <c r="F8" s="5">
        <f t="shared" si="3"/>
        <v>1173</v>
      </c>
      <c r="G8" s="5">
        <f t="shared" si="3"/>
        <v>1656</v>
      </c>
      <c r="H8" s="5">
        <f t="shared" si="3"/>
        <v>969</v>
      </c>
      <c r="I8" s="5">
        <f t="shared" si="3"/>
        <v>2577</v>
      </c>
      <c r="J8" s="5">
        <f t="shared" si="3"/>
        <v>4566</v>
      </c>
      <c r="K8" s="5">
        <f t="shared" si="3"/>
        <v>7284</v>
      </c>
      <c r="L8" s="5">
        <f t="shared" si="3"/>
        <v>5996</v>
      </c>
      <c r="M8" s="23">
        <f>(L8-H8)/H8</f>
        <v>5.1878224974200204</v>
      </c>
      <c r="N8" s="5">
        <f t="shared" si="3"/>
        <v>8511</v>
      </c>
      <c r="O8" s="23">
        <f>(N8-I8)/I8</f>
        <v>2.3026775320139699</v>
      </c>
      <c r="P8" s="5">
        <f t="shared" si="3"/>
        <v>7816</v>
      </c>
      <c r="Q8" s="23">
        <f>(P8-J8)/J8</f>
        <v>0.71178274200613223</v>
      </c>
      <c r="R8" s="5">
        <f t="shared" si="3"/>
        <v>7368</v>
      </c>
      <c r="S8" s="23">
        <f>(R8-K8)/K8</f>
        <v>1.1532125205930808E-2</v>
      </c>
      <c r="T8" s="5">
        <f t="shared" si="3"/>
        <v>5753</v>
      </c>
      <c r="U8" s="23">
        <f>(T8-L8)/L8</f>
        <v>-4.0527018012008004E-2</v>
      </c>
      <c r="V8" s="5">
        <f t="shared" si="3"/>
        <v>5911</v>
      </c>
      <c r="W8" s="23">
        <f>(V8-N8)/N8</f>
        <v>-0.30548701680178592</v>
      </c>
      <c r="X8" s="5">
        <f t="shared" si="3"/>
        <v>1112</v>
      </c>
      <c r="Y8" s="23">
        <f>(X8-P8)/P8</f>
        <v>-0.85772773797338797</v>
      </c>
      <c r="Z8" s="5">
        <f t="shared" si="3"/>
        <v>1117</v>
      </c>
      <c r="AA8" s="23">
        <f>(Z8-R8)/R8</f>
        <v>-0.84839847991313788</v>
      </c>
      <c r="AB8" s="5">
        <f t="shared" si="3"/>
        <v>954</v>
      </c>
      <c r="AC8" s="23">
        <f>(AB8-T8)/T8</f>
        <v>-0.83417347470884751</v>
      </c>
      <c r="AD8" s="5">
        <f t="shared" si="3"/>
        <v>2229</v>
      </c>
      <c r="AE8" s="23">
        <f>(AD8-V8)/V8</f>
        <v>-0.62290644560987984</v>
      </c>
      <c r="AF8" s="5">
        <f t="shared" si="3"/>
        <v>1321</v>
      </c>
      <c r="AG8" s="23">
        <f>(AF8-X8)/X8</f>
        <v>0.18794964028776978</v>
      </c>
      <c r="AH8" s="5">
        <f t="shared" si="3"/>
        <v>1617</v>
      </c>
      <c r="AI8" s="5">
        <f t="shared" ref="AI8:AL8" si="4">AI32</f>
        <v>0.44762757385854968</v>
      </c>
      <c r="AJ8" s="5">
        <f t="shared" si="4"/>
        <v>1910</v>
      </c>
      <c r="AK8" s="5">
        <f t="shared" si="4"/>
        <v>3805</v>
      </c>
      <c r="AL8" s="5">
        <f t="shared" si="4"/>
        <v>0</v>
      </c>
    </row>
    <row r="9" spans="1:47" x14ac:dyDescent="0.35">
      <c r="A9" s="8" t="s">
        <v>28</v>
      </c>
      <c r="B9" s="5">
        <f>B45+B47</f>
        <v>11390</v>
      </c>
      <c r="C9" s="5">
        <f t="shared" ref="C9:AH9" si="5">C45+C47</f>
        <v>11152</v>
      </c>
      <c r="D9" s="5">
        <f t="shared" si="5"/>
        <v>11639</v>
      </c>
      <c r="E9" s="5">
        <f t="shared" si="5"/>
        <v>11275</v>
      </c>
      <c r="F9" s="5">
        <f t="shared" si="5"/>
        <v>12413</v>
      </c>
      <c r="G9" s="5">
        <f t="shared" si="5"/>
        <v>11518</v>
      </c>
      <c r="H9" s="5">
        <f t="shared" si="5"/>
        <v>11672</v>
      </c>
      <c r="I9" s="5">
        <f t="shared" si="5"/>
        <v>11499</v>
      </c>
      <c r="J9" s="5">
        <f t="shared" si="5"/>
        <v>14241</v>
      </c>
      <c r="K9" s="5">
        <f t="shared" si="5"/>
        <v>14297</v>
      </c>
      <c r="L9" s="5">
        <f t="shared" si="5"/>
        <v>12621</v>
      </c>
      <c r="M9" s="23">
        <f>(L9-H9)/H9</f>
        <v>8.1305688827964365E-2</v>
      </c>
      <c r="N9" s="5">
        <f t="shared" si="5"/>
        <v>12680</v>
      </c>
      <c r="O9" s="23">
        <f>(N9-I9)/I9</f>
        <v>0.10270458300721802</v>
      </c>
      <c r="P9" s="5">
        <f t="shared" si="5"/>
        <v>12682</v>
      </c>
      <c r="Q9" s="23">
        <f>(P9-J9)/J9</f>
        <v>-0.10947264939259883</v>
      </c>
      <c r="R9" s="5">
        <f t="shared" si="5"/>
        <v>12779</v>
      </c>
      <c r="S9" s="23">
        <f>(R9-K9)/K9</f>
        <v>-0.10617612086451703</v>
      </c>
      <c r="T9" s="5">
        <f t="shared" si="5"/>
        <v>12762</v>
      </c>
      <c r="U9" s="23">
        <f>(T9-L9)/L9</f>
        <v>1.1171856429759925E-2</v>
      </c>
      <c r="V9" s="5">
        <f t="shared" si="5"/>
        <v>13720</v>
      </c>
      <c r="W9" s="23">
        <f>(V9-N9)/N9</f>
        <v>8.2018927444794956E-2</v>
      </c>
      <c r="X9" s="5">
        <f t="shared" si="5"/>
        <v>14468</v>
      </c>
      <c r="Y9" s="23">
        <f>(X9-P9)/P9</f>
        <v>0.14082952215738842</v>
      </c>
      <c r="Z9" s="5">
        <f t="shared" si="5"/>
        <v>15102</v>
      </c>
      <c r="AA9" s="23">
        <f>(Z9-R9)/R9</f>
        <v>0.18178261209797325</v>
      </c>
      <c r="AB9" s="5">
        <f t="shared" si="5"/>
        <v>16444</v>
      </c>
      <c r="AC9" s="23">
        <f>(AB9-T9)/T9</f>
        <v>0.28851277229274408</v>
      </c>
      <c r="AD9" s="5">
        <f t="shared" si="5"/>
        <v>16139</v>
      </c>
      <c r="AE9" s="23">
        <f>(AD9-V9)/V9</f>
        <v>0.17631195335276967</v>
      </c>
      <c r="AF9" s="5">
        <f t="shared" si="5"/>
        <v>16210</v>
      </c>
      <c r="AG9" s="23">
        <f>(AF9-X9)/X9</f>
        <v>0.12040364943323197</v>
      </c>
      <c r="AH9" s="5">
        <f t="shared" si="5"/>
        <v>16032</v>
      </c>
      <c r="AI9" s="5">
        <f t="shared" ref="AI9:AL9" si="6">AI45+AI47</f>
        <v>-0.21979817252950404</v>
      </c>
      <c r="AJ9" s="5">
        <f t="shared" si="6"/>
        <v>15995</v>
      </c>
      <c r="AK9" s="5">
        <f t="shared" si="6"/>
        <v>16038</v>
      </c>
      <c r="AL9" s="5">
        <f t="shared" si="6"/>
        <v>0</v>
      </c>
    </row>
    <row r="10" spans="1:47" x14ac:dyDescent="0.35">
      <c r="M10" s="23"/>
      <c r="O10" s="23"/>
      <c r="Q10" s="23"/>
      <c r="S10" s="23"/>
      <c r="U10" s="23"/>
      <c r="W10" s="23"/>
      <c r="Y10" s="23"/>
      <c r="AA10" s="23"/>
      <c r="AC10" s="23"/>
      <c r="AE10" s="23"/>
      <c r="AG10" s="23"/>
      <c r="AI10" s="23"/>
    </row>
    <row r="11" spans="1:47" ht="13.15" x14ac:dyDescent="0.4">
      <c r="A11" s="9" t="s">
        <v>29</v>
      </c>
      <c r="M11" s="23"/>
      <c r="O11" s="23"/>
      <c r="Q11" s="23"/>
      <c r="S11" s="23"/>
      <c r="U11" s="23"/>
      <c r="W11" s="23"/>
      <c r="Y11" s="23"/>
      <c r="AA11" s="23"/>
      <c r="AC11" s="23"/>
      <c r="AE11" s="23"/>
      <c r="AG11" s="23"/>
      <c r="AI11" s="23"/>
    </row>
    <row r="12" spans="1:47" x14ac:dyDescent="0.35">
      <c r="A12" s="10" t="s">
        <v>30</v>
      </c>
      <c r="B12" s="5">
        <v>16556</v>
      </c>
      <c r="C12" s="5">
        <v>17552</v>
      </c>
      <c r="D12" s="5">
        <v>17590</v>
      </c>
      <c r="E12" s="5">
        <f>74433-D12-C12-B12</f>
        <v>22735</v>
      </c>
      <c r="F12" s="5">
        <v>17401</v>
      </c>
      <c r="G12" s="5">
        <v>18183</v>
      </c>
      <c r="H12" s="5">
        <v>18414</v>
      </c>
      <c r="I12" s="5">
        <f>77130-H12-G12-F12</f>
        <v>23132</v>
      </c>
      <c r="J12" s="5">
        <v>19371</v>
      </c>
      <c r="K12" s="5">
        <v>22696</v>
      </c>
      <c r="L12" s="5">
        <v>22336</v>
      </c>
      <c r="M12" s="23">
        <f>(L12-H12)/H12</f>
        <v>0.21299011621592268</v>
      </c>
      <c r="N12" s="5">
        <f>92400-L12-K12-J12</f>
        <v>27997</v>
      </c>
      <c r="O12" s="23">
        <f>(N12-I12)/I12</f>
        <v>0.21031471554556458</v>
      </c>
      <c r="P12" s="5">
        <v>23879</v>
      </c>
      <c r="Q12" s="23">
        <f>(P12-J12)/J12</f>
        <v>0.23271901295751382</v>
      </c>
      <c r="R12" s="5">
        <v>24826</v>
      </c>
      <c r="S12" s="23">
        <f>(R12-K12)/K12</f>
        <v>9.3849136411702505E-2</v>
      </c>
      <c r="T12" s="5">
        <v>25290</v>
      </c>
      <c r="U12" s="23">
        <f>(T12-L12)/L12</f>
        <v>0.13225286532951289</v>
      </c>
      <c r="V12" s="5">
        <f>104611-T12-R12-P12</f>
        <v>30616</v>
      </c>
      <c r="W12" s="23">
        <f>(V12-N12)/N12</f>
        <v>9.354573704325464E-2</v>
      </c>
      <c r="X12" s="5">
        <v>24830</v>
      </c>
      <c r="Y12" s="23">
        <f>(X12-P12)/P12</f>
        <v>3.9825788349595881E-2</v>
      </c>
      <c r="Z12" s="5">
        <v>25653</v>
      </c>
      <c r="AA12" s="23">
        <f>(Z12-R12)/R12</f>
        <v>3.3311850479336179E-2</v>
      </c>
      <c r="AB12" s="5">
        <v>26122</v>
      </c>
      <c r="AC12" s="23">
        <f>(AB12-T12)/T12</f>
        <v>3.2898378805852113E-2</v>
      </c>
      <c r="AD12" s="5">
        <f>107588-AB12-Z12-X12</f>
        <v>30983</v>
      </c>
      <c r="AE12" s="23">
        <f>(AD12-V12)/V12</f>
        <v>1.1987196237261563E-2</v>
      </c>
      <c r="AF12" s="5">
        <v>24948</v>
      </c>
      <c r="AG12" s="23">
        <f>(AF12-X12)/X12</f>
        <v>4.7523157470801452E-3</v>
      </c>
      <c r="AH12" s="5">
        <v>24384</v>
      </c>
      <c r="AI12" s="23">
        <f>(AH12-Z12)/Z12</f>
        <v>-4.9467898491404518E-2</v>
      </c>
      <c r="AJ12" s="5">
        <v>25004</v>
      </c>
      <c r="AK12" s="5">
        <v>31467</v>
      </c>
    </row>
    <row r="13" spans="1:47" x14ac:dyDescent="0.35">
      <c r="A13" s="10" t="s">
        <v>31</v>
      </c>
      <c r="B13" s="5">
        <v>225</v>
      </c>
      <c r="C13" s="5">
        <v>224</v>
      </c>
      <c r="D13" s="5">
        <v>231</v>
      </c>
      <c r="E13" s="5">
        <f>923-D13-C13-B13</f>
        <v>243</v>
      </c>
      <c r="F13" s="5">
        <v>226</v>
      </c>
      <c r="G13" s="5">
        <v>239</v>
      </c>
      <c r="H13" s="5">
        <v>251</v>
      </c>
      <c r="I13" s="5">
        <f>982-H13-G13-F13</f>
        <v>266</v>
      </c>
      <c r="J13" s="5">
        <v>244</v>
      </c>
      <c r="K13" s="5">
        <v>279</v>
      </c>
      <c r="L13" s="5">
        <v>296</v>
      </c>
      <c r="M13" s="23">
        <f>(L13-H13)/H13</f>
        <v>0.17928286852589642</v>
      </c>
      <c r="N13" s="5">
        <f>1161-L13-K13-J13</f>
        <v>342</v>
      </c>
      <c r="O13" s="23">
        <f>(N13-I13)/I13</f>
        <v>0.2857142857142857</v>
      </c>
      <c r="P13" s="5">
        <v>318</v>
      </c>
      <c r="Q13" s="23">
        <f>(P13-J13)/J13</f>
        <v>0.30327868852459017</v>
      </c>
      <c r="R13" s="5">
        <v>334</v>
      </c>
      <c r="S13" s="23">
        <f>(R13-K13)/K13</f>
        <v>0.1971326164874552</v>
      </c>
      <c r="T13" s="5">
        <v>362</v>
      </c>
      <c r="U13" s="23">
        <f>(T13-L13)/L13</f>
        <v>0.22297297297297297</v>
      </c>
      <c r="V13" s="5">
        <f>1394-T13-R13-P13</f>
        <v>380</v>
      </c>
      <c r="W13" s="23">
        <f>(V13-N13)/N13</f>
        <v>0.1111111111111111</v>
      </c>
      <c r="X13" s="5">
        <v>340</v>
      </c>
      <c r="Y13" s="23">
        <f>(X13-P13)/P13</f>
        <v>6.9182389937106917E-2</v>
      </c>
      <c r="Z13" s="5">
        <v>384</v>
      </c>
      <c r="AA13" s="23">
        <f>(Z13-R13)/R13</f>
        <v>0.1497005988023952</v>
      </c>
      <c r="AB13" s="5">
        <v>396</v>
      </c>
      <c r="AC13" s="23">
        <f>(AB13-T13)/T13</f>
        <v>9.3922651933701654E-2</v>
      </c>
      <c r="AD13" s="5">
        <f>1532-AB13-Z13-X13</f>
        <v>412</v>
      </c>
      <c r="AE13" s="23">
        <f>(AD13-V13)/V13</f>
        <v>8.4210526315789472E-2</v>
      </c>
      <c r="AF13" s="5">
        <v>374</v>
      </c>
      <c r="AG13" s="23">
        <f>(AF13-X13)/X13</f>
        <v>0.1</v>
      </c>
      <c r="AH13" s="5">
        <v>389</v>
      </c>
      <c r="AI13" s="23">
        <f>(AH13-Z13)/Z13</f>
        <v>1.3020833333333334E-2</v>
      </c>
      <c r="AJ13" s="5">
        <v>394</v>
      </c>
      <c r="AK13" s="5">
        <v>452</v>
      </c>
    </row>
    <row r="14" spans="1:47" s="11" customFormat="1" ht="13.15" x14ac:dyDescent="0.4">
      <c r="A14" s="12" t="s">
        <v>32</v>
      </c>
      <c r="B14" s="11">
        <f>SUM(B12:B13)</f>
        <v>16781</v>
      </c>
      <c r="C14" s="11">
        <f t="shared" ref="C14:AL14" si="7">SUM(C12:C13)</f>
        <v>17776</v>
      </c>
      <c r="D14" s="11">
        <f t="shared" si="7"/>
        <v>17821</v>
      </c>
      <c r="E14" s="11">
        <f t="shared" si="7"/>
        <v>22978</v>
      </c>
      <c r="F14" s="11">
        <f t="shared" si="7"/>
        <v>17627</v>
      </c>
      <c r="G14" s="11">
        <f t="shared" si="7"/>
        <v>18422</v>
      </c>
      <c r="H14" s="11">
        <f t="shared" si="7"/>
        <v>18665</v>
      </c>
      <c r="I14" s="11">
        <f t="shared" si="7"/>
        <v>23398</v>
      </c>
      <c r="J14" s="11">
        <f t="shared" si="7"/>
        <v>19615</v>
      </c>
      <c r="K14" s="11">
        <f t="shared" si="7"/>
        <v>22975</v>
      </c>
      <c r="L14" s="11">
        <f t="shared" si="7"/>
        <v>22632</v>
      </c>
      <c r="M14" s="23">
        <f>(L14-H14)/H14</f>
        <v>0.21253683364586123</v>
      </c>
      <c r="N14" s="11">
        <f t="shared" si="7"/>
        <v>28339</v>
      </c>
      <c r="O14" s="23">
        <f>(N14-I14)/I14</f>
        <v>0.21117189503376357</v>
      </c>
      <c r="P14" s="11">
        <f t="shared" si="7"/>
        <v>24197</v>
      </c>
      <c r="Q14" s="23">
        <f>(P14-J14)/J14</f>
        <v>0.2335967371909253</v>
      </c>
      <c r="R14" s="11">
        <f t="shared" si="7"/>
        <v>25160</v>
      </c>
      <c r="S14" s="23">
        <f>(R14-K14)/K14</f>
        <v>9.5103373231773661E-2</v>
      </c>
      <c r="T14" s="11">
        <f t="shared" si="7"/>
        <v>25652</v>
      </c>
      <c r="U14" s="23">
        <f>(T14-L14)/L14</f>
        <v>0.13343937787203958</v>
      </c>
      <c r="V14" s="11">
        <f t="shared" si="7"/>
        <v>30996</v>
      </c>
      <c r="W14" s="23">
        <f>(V14-N14)/N14</f>
        <v>9.375771904442641E-2</v>
      </c>
      <c r="X14" s="11">
        <f t="shared" si="7"/>
        <v>25170</v>
      </c>
      <c r="Y14" s="23">
        <f>(X14-P14)/P14</f>
        <v>4.0211596478902344E-2</v>
      </c>
      <c r="Z14" s="11">
        <f t="shared" si="7"/>
        <v>26037</v>
      </c>
      <c r="AA14" s="23">
        <f>(Z14-R14)/R14</f>
        <v>3.4856915739268683E-2</v>
      </c>
      <c r="AB14" s="11">
        <f t="shared" si="7"/>
        <v>26518</v>
      </c>
      <c r="AC14" s="23">
        <f>(AB14-T14)/T14</f>
        <v>3.3759550912209571E-2</v>
      </c>
      <c r="AD14" s="11">
        <f t="shared" si="7"/>
        <v>31395</v>
      </c>
      <c r="AE14" s="23">
        <f>(AD14-V14)/V14</f>
        <v>1.2872628726287264E-2</v>
      </c>
      <c r="AF14" s="11">
        <f t="shared" si="7"/>
        <v>25322</v>
      </c>
      <c r="AG14" s="23">
        <f>(AF14-X14)/X14</f>
        <v>6.0389352403655144E-3</v>
      </c>
      <c r="AH14" s="11">
        <f t="shared" si="7"/>
        <v>24773</v>
      </c>
      <c r="AI14" s="23">
        <f>(AH14-Z14)/Z14</f>
        <v>-4.8546299496869838E-2</v>
      </c>
      <c r="AJ14" s="11">
        <f t="shared" si="7"/>
        <v>25398</v>
      </c>
      <c r="AK14" s="11">
        <f t="shared" si="7"/>
        <v>31919</v>
      </c>
      <c r="AL14" s="11">
        <f t="shared" si="7"/>
        <v>0</v>
      </c>
    </row>
    <row r="15" spans="1:47" x14ac:dyDescent="0.35">
      <c r="M15" s="23"/>
      <c r="O15" s="23"/>
      <c r="Q15" s="23"/>
      <c r="S15" s="23"/>
      <c r="U15" s="23"/>
      <c r="W15" s="23"/>
      <c r="Y15" s="23"/>
      <c r="AA15" s="23"/>
      <c r="AC15" s="23"/>
      <c r="AE15" s="23"/>
      <c r="AG15" s="23"/>
      <c r="AI15" s="23"/>
    </row>
    <row r="16" spans="1:47" x14ac:dyDescent="0.35">
      <c r="A16" s="8" t="s">
        <v>33</v>
      </c>
      <c r="B16" s="5">
        <v>11625</v>
      </c>
      <c r="C16" s="5">
        <v>12239</v>
      </c>
      <c r="D16" s="5">
        <v>12535</v>
      </c>
      <c r="E16" s="5">
        <f>53299-D16-C16-B16</f>
        <v>16900</v>
      </c>
      <c r="F16" s="5">
        <v>12248</v>
      </c>
      <c r="G16" s="5">
        <v>12625</v>
      </c>
      <c r="H16" s="5">
        <v>12935</v>
      </c>
      <c r="I16" s="5">
        <f>54864-H16-G16-F16</f>
        <v>17056</v>
      </c>
      <c r="J16" s="5">
        <v>14510</v>
      </c>
      <c r="K16" s="5">
        <v>15673</v>
      </c>
      <c r="L16" s="5">
        <v>15509</v>
      </c>
      <c r="M16" s="23">
        <f>(L16-H16)/H16</f>
        <v>0.19899497487437187</v>
      </c>
      <c r="N16" s="5">
        <f>66177-L16-K16-J16</f>
        <v>20485</v>
      </c>
      <c r="O16" s="23">
        <f>(N16-I16)/I16</f>
        <v>0.20104362101313319</v>
      </c>
      <c r="P16" s="5">
        <v>16716</v>
      </c>
      <c r="Q16" s="23">
        <f>(P16-J16)/J16</f>
        <v>0.1520330806340455</v>
      </c>
      <c r="R16" s="5">
        <v>17280</v>
      </c>
      <c r="S16" s="23">
        <f>(R16-K16)/K16</f>
        <v>0.10253301856696229</v>
      </c>
      <c r="T16" s="5">
        <v>18206</v>
      </c>
      <c r="U16" s="23">
        <f>(T16-L16)/L16</f>
        <v>0.17389902637178412</v>
      </c>
      <c r="V16" s="5">
        <f>74963-T16-R16-P16</f>
        <v>22761</v>
      </c>
      <c r="W16" s="23">
        <f>(V16-N16)/N16</f>
        <v>0.11110568708811325</v>
      </c>
      <c r="X16" s="5">
        <v>18461</v>
      </c>
      <c r="Y16" s="23">
        <f>(X16-P16)/P16</f>
        <v>0.10439100263220866</v>
      </c>
      <c r="Z16" s="5">
        <v>20142</v>
      </c>
      <c r="AA16" s="23">
        <f>(Z16-R16)/R16</f>
        <v>0.16562499999999999</v>
      </c>
      <c r="AB16" s="5">
        <v>19680</v>
      </c>
      <c r="AC16" s="23">
        <f>(AB16-T16)/T16</f>
        <v>8.0962320114248046E-2</v>
      </c>
      <c r="AD16" s="5">
        <f>82229-AB16-Z16-X16</f>
        <v>23946</v>
      </c>
      <c r="AE16" s="23">
        <f>(AD16-V16)/V16</f>
        <v>5.2062738895479112E-2</v>
      </c>
      <c r="AF16" s="5">
        <v>18386</v>
      </c>
      <c r="AG16" s="23">
        <f>(AF16-X16)/X16</f>
        <v>-4.0626184930393806E-3</v>
      </c>
      <c r="AH16" s="5">
        <v>17798</v>
      </c>
      <c r="AI16" s="23">
        <f>(AH16-Z16)/Z16</f>
        <v>-0.11637374640055605</v>
      </c>
      <c r="AJ16" s="5">
        <v>18149</v>
      </c>
      <c r="AK16" s="5">
        <v>23403</v>
      </c>
    </row>
    <row r="17" spans="1:38" x14ac:dyDescent="0.35">
      <c r="M17" s="23"/>
      <c r="O17" s="23"/>
      <c r="Q17" s="23"/>
      <c r="S17" s="23"/>
      <c r="U17" s="23"/>
      <c r="W17" s="23"/>
      <c r="Y17" s="23"/>
      <c r="AA17" s="23"/>
      <c r="AC17" s="23"/>
      <c r="AE17" s="23"/>
      <c r="AG17" s="23"/>
      <c r="AI17" s="23"/>
    </row>
    <row r="18" spans="1:38" ht="13.15" x14ac:dyDescent="0.4">
      <c r="A18" s="9" t="s">
        <v>34</v>
      </c>
      <c r="M18" s="23"/>
      <c r="O18" s="23"/>
      <c r="Q18" s="23"/>
      <c r="S18" s="23"/>
      <c r="U18" s="23"/>
      <c r="W18" s="23"/>
      <c r="Y18" s="23"/>
      <c r="AA18" s="23"/>
      <c r="AC18" s="23"/>
      <c r="AE18" s="23"/>
      <c r="AG18" s="23"/>
      <c r="AI18" s="23"/>
    </row>
    <row r="19" spans="1:38" x14ac:dyDescent="0.35">
      <c r="A19" s="10" t="s">
        <v>35</v>
      </c>
      <c r="B19" s="5">
        <v>3545</v>
      </c>
      <c r="C19" s="5">
        <v>3865</v>
      </c>
      <c r="D19" s="5">
        <v>3937</v>
      </c>
      <c r="E19" s="5">
        <f>15723-D19-C19-B19</f>
        <v>4376</v>
      </c>
      <c r="F19" s="5">
        <v>3663</v>
      </c>
      <c r="G19" s="5">
        <v>3912</v>
      </c>
      <c r="H19" s="5">
        <v>4153</v>
      </c>
      <c r="I19" s="5">
        <f>16233-H19-G19-F19</f>
        <v>4505</v>
      </c>
      <c r="J19" s="5">
        <v>4060</v>
      </c>
      <c r="K19" s="5">
        <v>4460</v>
      </c>
      <c r="L19" s="5">
        <v>4647</v>
      </c>
      <c r="M19" s="23">
        <f>(L19-H19)/H19</f>
        <v>0.11895015651336384</v>
      </c>
      <c r="N19" s="5">
        <f>18615-L19-K19-J19</f>
        <v>5448</v>
      </c>
      <c r="O19" s="23">
        <f>(N19-I19)/I19</f>
        <v>0.20932297447280798</v>
      </c>
      <c r="P19" s="5">
        <v>4509</v>
      </c>
      <c r="Q19" s="23">
        <f>(P19-J19)/J19</f>
        <v>0.11059113300492611</v>
      </c>
      <c r="R19" s="5">
        <v>4849</v>
      </c>
      <c r="S19" s="23">
        <f>(R19-K19)/K19</f>
        <v>8.721973094170403E-2</v>
      </c>
      <c r="T19" s="5">
        <v>4859</v>
      </c>
      <c r="U19" s="23">
        <f>(T19-L19)/L19</f>
        <v>4.5620830643425869E-2</v>
      </c>
      <c r="V19" s="5">
        <f>19752-T19-R19-P19</f>
        <v>5535</v>
      </c>
      <c r="W19" s="23">
        <f>(V19-N19)/N19</f>
        <v>1.5969162995594713E-2</v>
      </c>
      <c r="X19" s="5">
        <v>4762</v>
      </c>
      <c r="Y19" s="23">
        <f>(X19-P19)/P19</f>
        <v>5.6110002217786649E-2</v>
      </c>
      <c r="Z19" s="5">
        <v>5002</v>
      </c>
      <c r="AA19" s="23">
        <f>(Z19-R19)/R19</f>
        <v>3.1552897504640132E-2</v>
      </c>
      <c r="AB19" s="5">
        <v>5219</v>
      </c>
      <c r="AC19" s="23">
        <f>(AB19-T19)/T19</f>
        <v>7.4089318789874459E-2</v>
      </c>
      <c r="AD19" s="5">
        <f>20658-AB19-Z19-X19</f>
        <v>5675</v>
      </c>
      <c r="AE19" s="23">
        <f>(AD19-V19)/V19</f>
        <v>2.5293586269196026E-2</v>
      </c>
      <c r="AF19" s="5">
        <v>5025</v>
      </c>
      <c r="AG19" s="23">
        <f>(AF19-X19)/X19</f>
        <v>5.5228895422091556E-2</v>
      </c>
      <c r="AH19" s="5">
        <v>5184</v>
      </c>
      <c r="AI19" s="23">
        <f>(AH19-Z19)/Z19</f>
        <v>3.6385445821671331E-2</v>
      </c>
      <c r="AJ19" s="5">
        <v>5316</v>
      </c>
      <c r="AK19" s="5">
        <v>6029</v>
      </c>
    </row>
    <row r="20" spans="1:38" x14ac:dyDescent="0.35">
      <c r="A20" s="10" t="s">
        <v>36</v>
      </c>
      <c r="B20" s="5">
        <v>570</v>
      </c>
      <c r="C20" s="5">
        <v>539</v>
      </c>
      <c r="D20" s="5">
        <v>530</v>
      </c>
      <c r="E20" s="5">
        <f>2224-D20-C20-B20</f>
        <v>585</v>
      </c>
      <c r="F20" s="5">
        <v>581</v>
      </c>
      <c r="G20" s="5">
        <v>561</v>
      </c>
      <c r="H20" s="5">
        <v>575</v>
      </c>
      <c r="I20" s="5">
        <f>2357-H20-G20-F20</f>
        <v>640</v>
      </c>
      <c r="J20" s="5">
        <v>577</v>
      </c>
      <c r="K20" s="5">
        <v>542</v>
      </c>
      <c r="L20" s="5">
        <v>541</v>
      </c>
      <c r="M20" s="23">
        <f>(L20-H20)/H20</f>
        <v>-5.9130434782608696E-2</v>
      </c>
      <c r="N20" s="5">
        <f>2230-L20-K20-J20</f>
        <v>570</v>
      </c>
      <c r="O20" s="23">
        <f>(N20-I20)/I20</f>
        <v>-0.109375</v>
      </c>
      <c r="P20" s="5">
        <v>598</v>
      </c>
      <c r="Q20" s="23">
        <f>(P20-J20)/J20</f>
        <v>3.6395147313691506E-2</v>
      </c>
      <c r="R20" s="5">
        <v>564</v>
      </c>
      <c r="S20" s="23">
        <f>(R20-K20)/K20</f>
        <v>4.0590405904059039E-2</v>
      </c>
      <c r="T20" s="5">
        <v>577</v>
      </c>
      <c r="U20" s="23">
        <f>(T20-L20)/L20</f>
        <v>6.6543438077634007E-2</v>
      </c>
      <c r="V20" s="5">
        <f>2344-T20-R20-P20</f>
        <v>605</v>
      </c>
      <c r="W20" s="23">
        <f>(V20-N20)/N20</f>
        <v>6.1403508771929821E-2</v>
      </c>
      <c r="X20" s="5">
        <v>601</v>
      </c>
      <c r="Y20" s="23">
        <f>(X20-P20)/P20</f>
        <v>5.016722408026756E-3</v>
      </c>
      <c r="Z20" s="5">
        <v>572</v>
      </c>
      <c r="AA20" s="23">
        <f>(Z20-R20)/R20</f>
        <v>1.4184397163120567E-2</v>
      </c>
      <c r="AB20" s="5">
        <v>597</v>
      </c>
      <c r="AC20" s="23">
        <f>(AB20-T20)/T20</f>
        <v>3.4662045060658578E-2</v>
      </c>
      <c r="AD20" s="5">
        <f>2385-AB20-Z20-X20</f>
        <v>615</v>
      </c>
      <c r="AE20" s="23">
        <f>(AD20-V20)/V20</f>
        <v>1.6528925619834711E-2</v>
      </c>
      <c r="AF20" s="5">
        <v>583</v>
      </c>
      <c r="AG20" s="23">
        <f>(AF20-X20)/X20</f>
        <v>-2.9950083194675542E-2</v>
      </c>
      <c r="AH20" s="5">
        <v>594</v>
      </c>
      <c r="AI20" s="23">
        <f>(AH20-Z20)/Z20</f>
        <v>3.8461538461538464E-2</v>
      </c>
      <c r="AJ20" s="5">
        <v>616</v>
      </c>
      <c r="AK20" s="5">
        <v>622</v>
      </c>
    </row>
    <row r="21" spans="1:38" s="11" customFormat="1" ht="13.15" x14ac:dyDescent="0.4">
      <c r="A21" s="12" t="s">
        <v>37</v>
      </c>
      <c r="B21" s="11">
        <f>SUM(B19:B20)</f>
        <v>4115</v>
      </c>
      <c r="C21" s="11">
        <f t="shared" ref="C21:AL21" si="8">SUM(C19:C20)</f>
        <v>4404</v>
      </c>
      <c r="D21" s="11">
        <f t="shared" si="8"/>
        <v>4467</v>
      </c>
      <c r="E21" s="11">
        <f t="shared" si="8"/>
        <v>4961</v>
      </c>
      <c r="F21" s="11">
        <f t="shared" si="8"/>
        <v>4244</v>
      </c>
      <c r="G21" s="11">
        <f t="shared" si="8"/>
        <v>4473</v>
      </c>
      <c r="H21" s="11">
        <f t="shared" si="8"/>
        <v>4728</v>
      </c>
      <c r="I21" s="11">
        <f t="shared" si="8"/>
        <v>5145</v>
      </c>
      <c r="J21" s="11">
        <f t="shared" si="8"/>
        <v>4637</v>
      </c>
      <c r="K21" s="11">
        <f t="shared" si="8"/>
        <v>5002</v>
      </c>
      <c r="L21" s="11">
        <f t="shared" si="8"/>
        <v>5188</v>
      </c>
      <c r="M21" s="23">
        <f>(L21-H21)/H21</f>
        <v>9.7292724196277491E-2</v>
      </c>
      <c r="N21" s="11">
        <f t="shared" si="8"/>
        <v>6018</v>
      </c>
      <c r="O21" s="23">
        <f>(N21-I21)/I21</f>
        <v>0.16967930029154518</v>
      </c>
      <c r="P21" s="11">
        <f t="shared" si="8"/>
        <v>5107</v>
      </c>
      <c r="Q21" s="23">
        <f>(P21-J21)/J21</f>
        <v>0.10135863704981669</v>
      </c>
      <c r="R21" s="11">
        <f t="shared" si="8"/>
        <v>5413</v>
      </c>
      <c r="S21" s="23">
        <f>(R21-K21)/K21</f>
        <v>8.2167133146741303E-2</v>
      </c>
      <c r="T21" s="11">
        <f t="shared" si="8"/>
        <v>5436</v>
      </c>
      <c r="U21" s="23">
        <f>(T21-L21)/L21</f>
        <v>4.7802621434078645E-2</v>
      </c>
      <c r="V21" s="11">
        <f t="shared" si="8"/>
        <v>6140</v>
      </c>
      <c r="W21" s="23">
        <f>(V21-N21)/N21</f>
        <v>2.0272515785975408E-2</v>
      </c>
      <c r="X21" s="11">
        <f t="shared" si="8"/>
        <v>5363</v>
      </c>
      <c r="Y21" s="23">
        <f>(X21-P21)/P21</f>
        <v>5.0127276287448598E-2</v>
      </c>
      <c r="Z21" s="11">
        <f t="shared" si="8"/>
        <v>5574</v>
      </c>
      <c r="AA21" s="23">
        <f>(Z21-R21)/R21</f>
        <v>2.9743210788841679E-2</v>
      </c>
      <c r="AB21" s="11">
        <f t="shared" si="8"/>
        <v>5816</v>
      </c>
      <c r="AC21" s="23">
        <f>(AB21-T21)/T21</f>
        <v>6.9904341427520236E-2</v>
      </c>
      <c r="AD21" s="11">
        <f t="shared" si="8"/>
        <v>6290</v>
      </c>
      <c r="AE21" s="23">
        <f>(AD21-V21)/V21</f>
        <v>2.4429967426710098E-2</v>
      </c>
      <c r="AF21" s="11">
        <f t="shared" si="8"/>
        <v>5608</v>
      </c>
      <c r="AG21" s="23">
        <f>(AF21-X21)/X21</f>
        <v>4.5683386164460188E-2</v>
      </c>
      <c r="AH21" s="11">
        <f t="shared" si="8"/>
        <v>5778</v>
      </c>
      <c r="AI21" s="23">
        <f>(AH21-Z21)/Z21</f>
        <v>3.6598493003229281E-2</v>
      </c>
      <c r="AJ21" s="11">
        <f t="shared" si="8"/>
        <v>5932</v>
      </c>
      <c r="AK21" s="11">
        <f t="shared" si="8"/>
        <v>6651</v>
      </c>
      <c r="AL21" s="11">
        <f t="shared" si="8"/>
        <v>0</v>
      </c>
    </row>
    <row r="22" spans="1:38" x14ac:dyDescent="0.35">
      <c r="M22" s="23"/>
      <c r="O22" s="23"/>
      <c r="Q22" s="23"/>
      <c r="S22" s="23"/>
      <c r="U22" s="23"/>
      <c r="W22" s="23"/>
      <c r="Y22" s="23"/>
      <c r="AA22" s="23"/>
      <c r="AC22" s="23"/>
      <c r="AE22" s="23"/>
      <c r="AG22" s="23"/>
      <c r="AI22" s="23"/>
    </row>
    <row r="23" spans="1:38" x14ac:dyDescent="0.35">
      <c r="A23" s="8" t="s">
        <v>38</v>
      </c>
      <c r="B23" s="5">
        <f>B14-B16-B21</f>
        <v>1041</v>
      </c>
      <c r="C23" s="5">
        <f t="shared" ref="C23:AL23" si="9">C14-C16-C21</f>
        <v>1133</v>
      </c>
      <c r="D23" s="5">
        <f t="shared" si="9"/>
        <v>819</v>
      </c>
      <c r="E23" s="5">
        <f t="shared" si="9"/>
        <v>1117</v>
      </c>
      <c r="F23" s="5">
        <f t="shared" si="9"/>
        <v>1135</v>
      </c>
      <c r="G23" s="5">
        <f t="shared" si="9"/>
        <v>1324</v>
      </c>
      <c r="H23" s="5">
        <f t="shared" si="9"/>
        <v>1002</v>
      </c>
      <c r="I23" s="5">
        <f t="shared" si="9"/>
        <v>1197</v>
      </c>
      <c r="J23" s="5">
        <f t="shared" si="9"/>
        <v>468</v>
      </c>
      <c r="K23" s="5">
        <f t="shared" si="9"/>
        <v>2300</v>
      </c>
      <c r="L23" s="5">
        <f t="shared" si="9"/>
        <v>1935</v>
      </c>
      <c r="M23" s="23">
        <f t="shared" ref="M23:M28" si="10">(L23-H23)/H23</f>
        <v>0.93113772455089816</v>
      </c>
      <c r="N23" s="5">
        <f t="shared" si="9"/>
        <v>1836</v>
      </c>
      <c r="O23" s="23">
        <f t="shared" ref="O23:O28" si="11">(N23-I23)/I23</f>
        <v>0.53383458646616544</v>
      </c>
      <c r="P23" s="5">
        <f t="shared" si="9"/>
        <v>2374</v>
      </c>
      <c r="Q23" s="23">
        <f t="shared" ref="Q23:Q28" si="12">(P23-J23)/J23</f>
        <v>4.0726495726495724</v>
      </c>
      <c r="R23" s="5">
        <f t="shared" si="9"/>
        <v>2467</v>
      </c>
      <c r="S23" s="23">
        <f t="shared" ref="S23:S28" si="13">(R23-K23)/K23</f>
        <v>7.2608695652173913E-2</v>
      </c>
      <c r="T23" s="5">
        <f t="shared" si="9"/>
        <v>2010</v>
      </c>
      <c r="U23" s="23">
        <f t="shared" ref="U23:U28" si="14">(T23-L23)/L23</f>
        <v>3.875968992248062E-2</v>
      </c>
      <c r="V23" s="5">
        <f t="shared" si="9"/>
        <v>2095</v>
      </c>
      <c r="W23" s="23">
        <f t="shared" ref="W23:W28" si="15">(V23-N23)/N23</f>
        <v>0.14106753812636166</v>
      </c>
      <c r="X23" s="5">
        <f t="shared" si="9"/>
        <v>1346</v>
      </c>
      <c r="Y23" s="23">
        <f t="shared" ref="Y23:Y28" si="16">(X23-P23)/P23</f>
        <v>-0.43302443133951135</v>
      </c>
      <c r="Z23" s="5">
        <f t="shared" si="9"/>
        <v>321</v>
      </c>
      <c r="AA23" s="23">
        <f t="shared" ref="AA23:AA28" si="17">(Z23-R23)/R23</f>
        <v>-0.86988244831779493</v>
      </c>
      <c r="AB23" s="5">
        <f t="shared" si="9"/>
        <v>1022</v>
      </c>
      <c r="AC23" s="23">
        <f t="shared" ref="AC23:AC28" si="18">(AB23-T23)/T23</f>
        <v>-0.49154228855721394</v>
      </c>
      <c r="AD23" s="5">
        <f t="shared" si="9"/>
        <v>1159</v>
      </c>
      <c r="AE23" s="23">
        <f t="shared" ref="AE23:AE28" si="19">(AD23-V23)/V23</f>
        <v>-0.44677804295942719</v>
      </c>
      <c r="AF23" s="5">
        <f t="shared" si="9"/>
        <v>1328</v>
      </c>
      <c r="AG23" s="23">
        <f t="shared" ref="AG23:AI28" si="20">(AF23-X23)/X23</f>
        <v>-1.3372956909361069E-2</v>
      </c>
      <c r="AH23" s="5">
        <f t="shared" si="9"/>
        <v>1197</v>
      </c>
      <c r="AI23" s="23">
        <f t="shared" si="20"/>
        <v>2.7289719626168223</v>
      </c>
      <c r="AJ23" s="5">
        <f t="shared" si="9"/>
        <v>1317</v>
      </c>
      <c r="AK23" s="5">
        <f t="shared" si="9"/>
        <v>1865</v>
      </c>
      <c r="AL23" s="5">
        <f t="shared" si="9"/>
        <v>0</v>
      </c>
    </row>
    <row r="24" spans="1:38" x14ac:dyDescent="0.35">
      <c r="A24" s="8" t="s">
        <v>39</v>
      </c>
      <c r="B24" s="5">
        <v>121</v>
      </c>
      <c r="C24" s="5">
        <v>115</v>
      </c>
      <c r="D24" s="5">
        <v>115</v>
      </c>
      <c r="E24" s="5">
        <f>461-D24-C24-B24</f>
        <v>110</v>
      </c>
      <c r="F24" s="5">
        <v>126</v>
      </c>
      <c r="G24" s="5">
        <v>120</v>
      </c>
      <c r="H24" s="5">
        <v>113</v>
      </c>
      <c r="I24" s="5">
        <f>477-H24-G24-F24</f>
        <v>118</v>
      </c>
      <c r="J24" s="5">
        <v>117</v>
      </c>
      <c r="K24" s="5">
        <v>122</v>
      </c>
      <c r="L24" s="5">
        <v>632</v>
      </c>
      <c r="M24" s="23">
        <f t="shared" si="10"/>
        <v>4.5929203539823007</v>
      </c>
      <c r="N24" s="5">
        <f>977-L24-K24-J24</f>
        <v>106</v>
      </c>
      <c r="O24" s="23">
        <f t="shared" si="11"/>
        <v>-0.10169491525423729</v>
      </c>
      <c r="P24" s="5">
        <v>108</v>
      </c>
      <c r="Q24" s="23">
        <f t="shared" si="12"/>
        <v>-7.6923076923076927E-2</v>
      </c>
      <c r="R24" s="5">
        <v>104</v>
      </c>
      <c r="S24" s="23">
        <f t="shared" si="13"/>
        <v>-0.14754098360655737</v>
      </c>
      <c r="T24" s="5">
        <v>105</v>
      </c>
      <c r="U24" s="23">
        <f t="shared" si="14"/>
        <v>-0.83386075949367089</v>
      </c>
      <c r="V24" s="5">
        <f>421-T24-R24-P24</f>
        <v>104</v>
      </c>
      <c r="W24" s="23">
        <f t="shared" si="15"/>
        <v>-1.8867924528301886E-2</v>
      </c>
      <c r="X24" s="5">
        <v>112</v>
      </c>
      <c r="Y24" s="23">
        <f t="shared" si="16"/>
        <v>3.7037037037037035E-2</v>
      </c>
      <c r="Z24" s="5">
        <v>112</v>
      </c>
      <c r="AA24" s="23">
        <f t="shared" si="17"/>
        <v>7.6923076923076927E-2</v>
      </c>
      <c r="AB24" s="5">
        <v>125</v>
      </c>
      <c r="AC24" s="23">
        <f t="shared" si="18"/>
        <v>0.19047619047619047</v>
      </c>
      <c r="AD24" s="5">
        <f>478-AB24-Z24-X24</f>
        <v>129</v>
      </c>
      <c r="AE24" s="23">
        <f t="shared" si="19"/>
        <v>0.24038461538461539</v>
      </c>
      <c r="AF24" s="5">
        <v>147</v>
      </c>
      <c r="AG24" s="23">
        <f t="shared" si="20"/>
        <v>0.3125</v>
      </c>
      <c r="AH24" s="5">
        <v>141</v>
      </c>
      <c r="AI24" s="23">
        <f t="shared" si="20"/>
        <v>0.25892857142857145</v>
      </c>
      <c r="AJ24" s="5">
        <v>107</v>
      </c>
      <c r="AK24" s="5">
        <v>107</v>
      </c>
    </row>
    <row r="25" spans="1:38" x14ac:dyDescent="0.35">
      <c r="A25" s="8" t="s">
        <v>40</v>
      </c>
      <c r="B25" s="5">
        <v>-7</v>
      </c>
      <c r="C25" s="5">
        <v>-4</v>
      </c>
      <c r="D25" s="5">
        <v>-9</v>
      </c>
      <c r="E25" s="5">
        <f>-27-D25-C25-B25</f>
        <v>-7</v>
      </c>
      <c r="F25" s="5">
        <v>-12</v>
      </c>
      <c r="G25" s="5">
        <v>-13</v>
      </c>
      <c r="H25" s="5">
        <v>-12</v>
      </c>
      <c r="I25" s="5">
        <f>-9-H25-G25-F25</f>
        <v>28</v>
      </c>
      <c r="J25" s="5">
        <v>22</v>
      </c>
      <c r="K25" s="5">
        <v>-11</v>
      </c>
      <c r="L25" s="5">
        <v>5</v>
      </c>
      <c r="M25" s="23">
        <f t="shared" si="10"/>
        <v>-1.4166666666666667</v>
      </c>
      <c r="N25" s="5">
        <f>16-L25-K25-J25</f>
        <v>0</v>
      </c>
      <c r="O25" s="23">
        <f t="shared" si="11"/>
        <v>-1</v>
      </c>
      <c r="P25" s="5">
        <v>-343</v>
      </c>
      <c r="Q25" s="23">
        <f t="shared" si="12"/>
        <v>-16.59090909090909</v>
      </c>
      <c r="R25" s="5">
        <v>-7</v>
      </c>
      <c r="S25" s="23">
        <f t="shared" si="13"/>
        <v>-0.36363636363636365</v>
      </c>
      <c r="T25" s="5">
        <v>-6</v>
      </c>
      <c r="U25" s="23">
        <f t="shared" si="14"/>
        <v>-2.2000000000000002</v>
      </c>
      <c r="V25" s="5">
        <f>-382-T25-R25-P25</f>
        <v>-26</v>
      </c>
      <c r="W25" s="23" t="e">
        <f t="shared" si="15"/>
        <v>#DIV/0!</v>
      </c>
      <c r="X25" s="5">
        <v>-15</v>
      </c>
      <c r="Y25" s="23">
        <f t="shared" si="16"/>
        <v>-0.95626822157434399</v>
      </c>
      <c r="Z25" s="5">
        <v>-8</v>
      </c>
      <c r="AA25" s="23">
        <f t="shared" si="17"/>
        <v>0.14285714285714285</v>
      </c>
      <c r="AB25" s="5">
        <v>-12</v>
      </c>
      <c r="AC25" s="23">
        <f t="shared" si="18"/>
        <v>1</v>
      </c>
      <c r="AD25" s="5">
        <f>-48-AB25-Z25-X25</f>
        <v>-13</v>
      </c>
      <c r="AE25" s="23">
        <f t="shared" si="19"/>
        <v>-0.5</v>
      </c>
      <c r="AF25" s="5">
        <v>-23</v>
      </c>
      <c r="AG25" s="23">
        <f t="shared" si="20"/>
        <v>0.53333333333333333</v>
      </c>
      <c r="AH25" s="5">
        <v>-16</v>
      </c>
      <c r="AI25" s="23">
        <f t="shared" si="20"/>
        <v>1</v>
      </c>
      <c r="AJ25" s="5">
        <v>-25</v>
      </c>
      <c r="AK25" s="5">
        <v>-28</v>
      </c>
    </row>
    <row r="26" spans="1:38" x14ac:dyDescent="0.35">
      <c r="A26" s="10" t="s">
        <v>41</v>
      </c>
      <c r="B26" s="5">
        <f>B23-B24-B25</f>
        <v>927</v>
      </c>
      <c r="C26" s="5">
        <f t="shared" ref="C26:AL26" si="21">C23-C24-C25</f>
        <v>1022</v>
      </c>
      <c r="D26" s="5">
        <f t="shared" si="21"/>
        <v>713</v>
      </c>
      <c r="E26" s="5">
        <f t="shared" si="21"/>
        <v>1014</v>
      </c>
      <c r="F26" s="5">
        <f t="shared" si="21"/>
        <v>1021</v>
      </c>
      <c r="G26" s="5">
        <f t="shared" si="21"/>
        <v>1217</v>
      </c>
      <c r="H26" s="5">
        <f t="shared" si="21"/>
        <v>901</v>
      </c>
      <c r="I26" s="5">
        <f t="shared" si="21"/>
        <v>1051</v>
      </c>
      <c r="J26" s="5">
        <f t="shared" si="21"/>
        <v>329</v>
      </c>
      <c r="K26" s="5">
        <f t="shared" si="21"/>
        <v>2189</v>
      </c>
      <c r="L26" s="5">
        <f t="shared" si="21"/>
        <v>1298</v>
      </c>
      <c r="M26" s="23">
        <f t="shared" si="10"/>
        <v>0.44062153163152051</v>
      </c>
      <c r="N26" s="5">
        <f t="shared" si="21"/>
        <v>1730</v>
      </c>
      <c r="O26" s="23">
        <f t="shared" si="11"/>
        <v>0.64605137963843962</v>
      </c>
      <c r="P26" s="5">
        <f t="shared" si="21"/>
        <v>2609</v>
      </c>
      <c r="Q26" s="23">
        <f t="shared" si="12"/>
        <v>6.9300911854103342</v>
      </c>
      <c r="R26" s="5">
        <f t="shared" si="21"/>
        <v>2370</v>
      </c>
      <c r="S26" s="23">
        <f t="shared" si="13"/>
        <v>8.2686158063042484E-2</v>
      </c>
      <c r="T26" s="5">
        <f t="shared" si="21"/>
        <v>1911</v>
      </c>
      <c r="U26" s="23">
        <f t="shared" si="14"/>
        <v>0.47226502311248075</v>
      </c>
      <c r="V26" s="5">
        <f t="shared" si="21"/>
        <v>2017</v>
      </c>
      <c r="W26" s="23">
        <f t="shared" si="15"/>
        <v>0.16589595375722543</v>
      </c>
      <c r="X26" s="5">
        <f t="shared" si="21"/>
        <v>1249</v>
      </c>
      <c r="Y26" s="23">
        <f t="shared" si="16"/>
        <v>-0.52127251820620923</v>
      </c>
      <c r="Z26" s="5">
        <f t="shared" si="21"/>
        <v>217</v>
      </c>
      <c r="AA26" s="23">
        <f t="shared" si="17"/>
        <v>-0.90843881856540087</v>
      </c>
      <c r="AB26" s="5">
        <f t="shared" si="21"/>
        <v>909</v>
      </c>
      <c r="AC26" s="23">
        <f t="shared" si="18"/>
        <v>-0.52433281004709575</v>
      </c>
      <c r="AD26" s="5">
        <f t="shared" si="21"/>
        <v>1043</v>
      </c>
      <c r="AE26" s="23">
        <f t="shared" si="19"/>
        <v>-0.48289538919186914</v>
      </c>
      <c r="AF26" s="5">
        <f t="shared" si="21"/>
        <v>1204</v>
      </c>
      <c r="AG26" s="23">
        <f t="shared" si="20"/>
        <v>-3.6028823058446756E-2</v>
      </c>
      <c r="AH26" s="5">
        <f t="shared" si="21"/>
        <v>1072</v>
      </c>
      <c r="AI26" s="23">
        <f t="shared" si="20"/>
        <v>3.9400921658986174</v>
      </c>
      <c r="AJ26" s="5">
        <f t="shared" si="21"/>
        <v>1235</v>
      </c>
      <c r="AK26" s="5">
        <f t="shared" si="21"/>
        <v>1786</v>
      </c>
      <c r="AL26" s="5">
        <f t="shared" si="21"/>
        <v>0</v>
      </c>
    </row>
    <row r="27" spans="1:38" x14ac:dyDescent="0.35">
      <c r="A27" s="10" t="s">
        <v>42</v>
      </c>
      <c r="B27" s="5">
        <v>210</v>
      </c>
      <c r="C27" s="5">
        <v>223</v>
      </c>
      <c r="D27" s="5">
        <v>97</v>
      </c>
      <c r="E27" s="5">
        <f>746-D27-C27-B27</f>
        <v>216</v>
      </c>
      <c r="F27" s="5">
        <v>229</v>
      </c>
      <c r="G27" s="5">
        <v>279</v>
      </c>
      <c r="H27" s="5">
        <v>195</v>
      </c>
      <c r="I27" s="5">
        <f>921-H27-G27-F27</f>
        <v>218</v>
      </c>
      <c r="J27" s="5">
        <v>45</v>
      </c>
      <c r="K27" s="5">
        <v>499</v>
      </c>
      <c r="L27" s="5">
        <v>284</v>
      </c>
      <c r="M27" s="23">
        <f t="shared" si="10"/>
        <v>0.4564102564102564</v>
      </c>
      <c r="N27" s="5">
        <f>1178-L27-K27-J27</f>
        <v>350</v>
      </c>
      <c r="O27" s="23">
        <f t="shared" si="11"/>
        <v>0.60550458715596334</v>
      </c>
      <c r="P27" s="5">
        <v>512</v>
      </c>
      <c r="Q27" s="23">
        <f t="shared" si="12"/>
        <v>10.377777777777778</v>
      </c>
      <c r="R27" s="5">
        <v>553</v>
      </c>
      <c r="S27" s="23">
        <f t="shared" si="13"/>
        <v>0.10821643286573146</v>
      </c>
      <c r="T27" s="5">
        <v>423</v>
      </c>
      <c r="U27" s="23">
        <f t="shared" si="14"/>
        <v>0.48943661971830987</v>
      </c>
      <c r="V27" s="5">
        <f>1961-T27-R27-P27</f>
        <v>473</v>
      </c>
      <c r="W27" s="23">
        <f t="shared" si="15"/>
        <v>0.35142857142857142</v>
      </c>
      <c r="X27" s="5">
        <v>240</v>
      </c>
      <c r="Y27" s="23">
        <f t="shared" si="16"/>
        <v>-0.53125</v>
      </c>
      <c r="Z27" s="5">
        <v>34</v>
      </c>
      <c r="AA27" s="23">
        <f t="shared" si="17"/>
        <v>-0.93851717902350817</v>
      </c>
      <c r="AB27" s="5">
        <v>197</v>
      </c>
      <c r="AC27" s="23">
        <f t="shared" si="18"/>
        <v>-0.5342789598108747</v>
      </c>
      <c r="AD27" s="5">
        <f>638-AB27-Z27-X27</f>
        <v>167</v>
      </c>
      <c r="AE27" s="23">
        <f t="shared" si="19"/>
        <v>-0.64693446088794926</v>
      </c>
      <c r="AF27" s="5">
        <v>254</v>
      </c>
      <c r="AG27" s="23">
        <f t="shared" si="20"/>
        <v>5.8333333333333334E-2</v>
      </c>
      <c r="AH27" s="5">
        <v>237</v>
      </c>
      <c r="AI27" s="23">
        <f t="shared" si="20"/>
        <v>5.9705882352941178</v>
      </c>
      <c r="AJ27" s="5">
        <v>264</v>
      </c>
      <c r="AK27" s="5">
        <v>404</v>
      </c>
    </row>
    <row r="28" spans="1:38" s="11" customFormat="1" ht="13.15" x14ac:dyDescent="0.4">
      <c r="A28" s="12" t="s">
        <v>43</v>
      </c>
      <c r="B28" s="11">
        <f>B26-B27</f>
        <v>717</v>
      </c>
      <c r="C28" s="11">
        <f t="shared" ref="C28:AL28" si="22">C26-C27</f>
        <v>799</v>
      </c>
      <c r="D28" s="11">
        <f t="shared" si="22"/>
        <v>616</v>
      </c>
      <c r="E28" s="11">
        <f t="shared" si="22"/>
        <v>798</v>
      </c>
      <c r="F28" s="11">
        <f t="shared" si="22"/>
        <v>792</v>
      </c>
      <c r="G28" s="11">
        <f t="shared" si="22"/>
        <v>938</v>
      </c>
      <c r="H28" s="11">
        <f t="shared" si="22"/>
        <v>706</v>
      </c>
      <c r="I28" s="11">
        <f t="shared" si="22"/>
        <v>833</v>
      </c>
      <c r="J28" s="11">
        <f t="shared" si="22"/>
        <v>284</v>
      </c>
      <c r="K28" s="11">
        <f t="shared" si="22"/>
        <v>1690</v>
      </c>
      <c r="L28" s="11">
        <f t="shared" si="22"/>
        <v>1014</v>
      </c>
      <c r="M28" s="23">
        <f t="shared" si="10"/>
        <v>0.43626062322946174</v>
      </c>
      <c r="N28" s="11">
        <f t="shared" si="22"/>
        <v>1380</v>
      </c>
      <c r="O28" s="23">
        <f t="shared" si="11"/>
        <v>0.65666266506602644</v>
      </c>
      <c r="P28" s="11">
        <f t="shared" si="22"/>
        <v>2097</v>
      </c>
      <c r="Q28" s="23">
        <f t="shared" si="12"/>
        <v>6.3838028169014081</v>
      </c>
      <c r="R28" s="11">
        <f t="shared" si="22"/>
        <v>1817</v>
      </c>
      <c r="S28" s="23">
        <f t="shared" si="13"/>
        <v>7.5147928994082847E-2</v>
      </c>
      <c r="T28" s="11">
        <f t="shared" si="22"/>
        <v>1488</v>
      </c>
      <c r="U28" s="23">
        <f t="shared" si="14"/>
        <v>0.46745562130177515</v>
      </c>
      <c r="V28" s="11">
        <f t="shared" si="22"/>
        <v>1544</v>
      </c>
      <c r="W28" s="23">
        <f t="shared" si="15"/>
        <v>0.11884057971014493</v>
      </c>
      <c r="X28" s="11">
        <f t="shared" si="22"/>
        <v>1009</v>
      </c>
      <c r="Y28" s="23">
        <f t="shared" si="16"/>
        <v>-0.51883643299952309</v>
      </c>
      <c r="Z28" s="11">
        <f t="shared" si="22"/>
        <v>183</v>
      </c>
      <c r="AA28" s="23">
        <f t="shared" si="17"/>
        <v>-0.89928453494771599</v>
      </c>
      <c r="AB28" s="11">
        <f t="shared" si="22"/>
        <v>712</v>
      </c>
      <c r="AC28" s="23">
        <f t="shared" si="18"/>
        <v>-0.521505376344086</v>
      </c>
      <c r="AD28" s="11">
        <f t="shared" si="22"/>
        <v>876</v>
      </c>
      <c r="AE28" s="23">
        <f t="shared" si="19"/>
        <v>-0.43264248704663211</v>
      </c>
      <c r="AF28" s="11">
        <f t="shared" si="22"/>
        <v>950</v>
      </c>
      <c r="AG28" s="23">
        <f t="shared" si="20"/>
        <v>-5.8473736372646183E-2</v>
      </c>
      <c r="AH28" s="11">
        <f t="shared" si="22"/>
        <v>835</v>
      </c>
      <c r="AI28" s="23">
        <f t="shared" si="20"/>
        <v>3.5628415300546448</v>
      </c>
      <c r="AJ28" s="11">
        <f t="shared" si="22"/>
        <v>971</v>
      </c>
      <c r="AK28" s="11">
        <f t="shared" si="22"/>
        <v>1382</v>
      </c>
      <c r="AL28" s="11">
        <f t="shared" si="22"/>
        <v>0</v>
      </c>
    </row>
    <row r="29" spans="1:38" x14ac:dyDescent="0.35">
      <c r="M29" s="23"/>
      <c r="O29" s="23"/>
      <c r="Q29" s="23"/>
      <c r="S29" s="23"/>
      <c r="U29" s="23"/>
      <c r="W29" s="23"/>
      <c r="Y29" s="23"/>
      <c r="AA29" s="23"/>
      <c r="AC29" s="23"/>
      <c r="AE29" s="23"/>
      <c r="AG29" s="23"/>
      <c r="AI29" s="23"/>
    </row>
    <row r="30" spans="1:38" ht="13.15" x14ac:dyDescent="0.4">
      <c r="A30" s="16" t="s">
        <v>44</v>
      </c>
      <c r="M30" s="23"/>
      <c r="O30" s="23"/>
      <c r="Q30" s="23"/>
      <c r="S30" s="23"/>
      <c r="U30" s="23"/>
      <c r="W30" s="23"/>
      <c r="Y30" s="23"/>
      <c r="AA30" s="23"/>
      <c r="AC30" s="23"/>
      <c r="AE30" s="23"/>
      <c r="AG30" s="23"/>
      <c r="AI30" s="23"/>
    </row>
    <row r="31" spans="1:38" ht="13.15" x14ac:dyDescent="0.4">
      <c r="A31" s="17" t="s">
        <v>45</v>
      </c>
      <c r="M31" s="23"/>
      <c r="O31" s="23"/>
      <c r="Q31" s="23"/>
      <c r="S31" s="23"/>
      <c r="U31" s="23"/>
      <c r="W31" s="23"/>
      <c r="Y31" s="23"/>
      <c r="AA31" s="23"/>
      <c r="AC31" s="23"/>
      <c r="AE31" s="23"/>
      <c r="AG31" s="23"/>
      <c r="AI31" s="23"/>
    </row>
    <row r="32" spans="1:38" x14ac:dyDescent="0.35">
      <c r="A32" s="18" t="s">
        <v>27</v>
      </c>
      <c r="B32" s="5">
        <v>1060</v>
      </c>
      <c r="C32" s="5">
        <v>1180</v>
      </c>
      <c r="D32" s="5">
        <v>825</v>
      </c>
      <c r="E32" s="5">
        <v>1556</v>
      </c>
      <c r="F32" s="5">
        <v>1173</v>
      </c>
      <c r="G32" s="5">
        <v>1656</v>
      </c>
      <c r="H32" s="5">
        <v>969</v>
      </c>
      <c r="I32" s="5">
        <v>2577</v>
      </c>
      <c r="J32" s="5">
        <v>4566</v>
      </c>
      <c r="K32" s="5">
        <v>7284</v>
      </c>
      <c r="L32" s="5">
        <v>5996</v>
      </c>
      <c r="M32" s="23">
        <f t="shared" ref="M32:M39" si="23">(L32-H32)/H32</f>
        <v>5.1878224974200204</v>
      </c>
      <c r="N32" s="5">
        <v>8511</v>
      </c>
      <c r="O32" s="23">
        <f t="shared" ref="O32:O39" si="24">(N32-I32)/I32</f>
        <v>2.3026775320139699</v>
      </c>
      <c r="P32" s="5">
        <v>7816</v>
      </c>
      <c r="Q32" s="23">
        <f t="shared" ref="Q32:Q39" si="25">(P32-J32)/J32</f>
        <v>0.71178274200613223</v>
      </c>
      <c r="R32" s="5">
        <v>7368</v>
      </c>
      <c r="S32" s="23">
        <f t="shared" ref="S32:S39" si="26">(R32-K32)/K32</f>
        <v>1.1532125205930808E-2</v>
      </c>
      <c r="T32" s="5">
        <v>5753</v>
      </c>
      <c r="U32" s="23">
        <f t="shared" ref="U32:U39" si="27">(T32-L32)/L32</f>
        <v>-4.0527018012008004E-2</v>
      </c>
      <c r="V32" s="5">
        <v>5911</v>
      </c>
      <c r="W32" s="23">
        <f t="shared" ref="W32:W39" si="28">(V32-N32)/N32</f>
        <v>-0.30548701680178592</v>
      </c>
      <c r="X32" s="5">
        <v>1112</v>
      </c>
      <c r="Y32" s="23">
        <f t="shared" ref="Y32:Y39" si="29">(X32-P32)/P32</f>
        <v>-0.85772773797338797</v>
      </c>
      <c r="Z32" s="5">
        <v>1117</v>
      </c>
      <c r="AA32" s="23">
        <f t="shared" ref="AA32:AA39" si="30">(Z32-R32)/R32</f>
        <v>-0.84839847991313788</v>
      </c>
      <c r="AB32" s="5">
        <v>954</v>
      </c>
      <c r="AC32" s="23">
        <f t="shared" ref="AC32:AC39" si="31">(AB32-T32)/T32</f>
        <v>-0.83417347470884751</v>
      </c>
      <c r="AD32" s="5">
        <v>2229</v>
      </c>
      <c r="AE32" s="23">
        <f t="shared" ref="AE32:AE39" si="32">(AD32-V32)/V32</f>
        <v>-0.62290644560987984</v>
      </c>
      <c r="AF32" s="5">
        <v>1321</v>
      </c>
      <c r="AG32" s="23">
        <f t="shared" ref="AG32:AI39" si="33">(AF32-X32)/X32</f>
        <v>0.18794964028776978</v>
      </c>
      <c r="AH32" s="5">
        <v>1617</v>
      </c>
      <c r="AI32" s="23">
        <f t="shared" si="33"/>
        <v>0.44762757385854968</v>
      </c>
      <c r="AJ32" s="5">
        <v>1910</v>
      </c>
      <c r="AK32" s="5">
        <v>3805</v>
      </c>
    </row>
    <row r="33" spans="1:38" x14ac:dyDescent="0.35">
      <c r="A33" s="18" t="s">
        <v>46</v>
      </c>
      <c r="B33" s="5">
        <v>8652</v>
      </c>
      <c r="C33" s="5">
        <v>9112</v>
      </c>
      <c r="D33" s="5">
        <v>12393</v>
      </c>
      <c r="E33" s="5">
        <v>9497</v>
      </c>
      <c r="F33" s="5">
        <v>9060</v>
      </c>
      <c r="G33" s="5">
        <v>9122</v>
      </c>
      <c r="H33" s="5">
        <v>11396</v>
      </c>
      <c r="I33" s="5">
        <v>8992</v>
      </c>
      <c r="J33" s="5">
        <v>8584</v>
      </c>
      <c r="K33" s="5">
        <v>8876</v>
      </c>
      <c r="L33" s="5">
        <v>12712</v>
      </c>
      <c r="M33" s="23">
        <f t="shared" si="23"/>
        <v>0.11547911547911548</v>
      </c>
      <c r="N33" s="5">
        <v>10653</v>
      </c>
      <c r="O33" s="23">
        <f t="shared" si="24"/>
        <v>0.18471975088967971</v>
      </c>
      <c r="P33" s="5">
        <v>10539</v>
      </c>
      <c r="Q33" s="23">
        <f t="shared" si="25"/>
        <v>0.22774930102516308</v>
      </c>
      <c r="R33" s="5">
        <v>11259</v>
      </c>
      <c r="S33" s="23">
        <f t="shared" si="26"/>
        <v>0.26847679134745378</v>
      </c>
      <c r="T33" s="5">
        <v>14958</v>
      </c>
      <c r="U33" s="23">
        <f t="shared" si="27"/>
        <v>0.17668344870988043</v>
      </c>
      <c r="V33" s="5">
        <v>13902</v>
      </c>
      <c r="W33" s="23">
        <f t="shared" si="28"/>
        <v>0.30498451140523797</v>
      </c>
      <c r="X33" s="5">
        <v>15083</v>
      </c>
      <c r="Y33" s="23">
        <f t="shared" si="29"/>
        <v>0.43116045165575484</v>
      </c>
      <c r="Z33" s="5">
        <v>15320</v>
      </c>
      <c r="AA33" s="23">
        <f t="shared" si="30"/>
        <v>0.36068922639666046</v>
      </c>
      <c r="AB33" s="5">
        <v>17117</v>
      </c>
      <c r="AC33" s="23">
        <f t="shared" si="31"/>
        <v>0.14433747827249632</v>
      </c>
      <c r="AD33" s="5">
        <v>13499</v>
      </c>
      <c r="AE33" s="23">
        <f t="shared" si="32"/>
        <v>-2.8988634728815996E-2</v>
      </c>
      <c r="AF33" s="5">
        <v>12616</v>
      </c>
      <c r="AG33" s="23">
        <f t="shared" si="33"/>
        <v>-0.16356162567128554</v>
      </c>
      <c r="AH33" s="5">
        <v>12684</v>
      </c>
      <c r="AI33" s="23">
        <f t="shared" si="33"/>
        <v>-0.17206266318537858</v>
      </c>
      <c r="AJ33" s="5">
        <v>14731</v>
      </c>
      <c r="AK33" s="5">
        <v>11886</v>
      </c>
    </row>
    <row r="34" spans="1:38" x14ac:dyDescent="0.35">
      <c r="A34" s="18" t="s">
        <v>31</v>
      </c>
      <c r="B34" s="5">
        <v>1164</v>
      </c>
      <c r="C34" s="5">
        <v>1211</v>
      </c>
      <c r="D34" s="5">
        <v>1421</v>
      </c>
      <c r="E34" s="5">
        <v>1466</v>
      </c>
      <c r="F34" s="5">
        <v>1374</v>
      </c>
      <c r="G34" s="5">
        <v>1341</v>
      </c>
      <c r="H34" s="5">
        <v>1440</v>
      </c>
      <c r="I34" s="5">
        <v>1333</v>
      </c>
      <c r="J34" s="5">
        <v>1465</v>
      </c>
      <c r="K34" s="5">
        <v>1463</v>
      </c>
      <c r="L34" s="5">
        <v>1601</v>
      </c>
      <c r="M34" s="23">
        <f t="shared" si="23"/>
        <v>0.11180555555555556</v>
      </c>
      <c r="N34" s="5">
        <v>1592</v>
      </c>
      <c r="O34" s="23">
        <f t="shared" si="24"/>
        <v>0.1942985746436609</v>
      </c>
      <c r="P34" s="5">
        <v>1576</v>
      </c>
      <c r="Q34" s="23">
        <f t="shared" si="25"/>
        <v>7.5767918088737202E-2</v>
      </c>
      <c r="R34" s="5">
        <v>1604</v>
      </c>
      <c r="S34" s="23">
        <f t="shared" si="26"/>
        <v>9.6377306903622686E-2</v>
      </c>
      <c r="T34" s="5">
        <v>1865</v>
      </c>
      <c r="U34" s="23">
        <f t="shared" si="27"/>
        <v>0.16489693941286696</v>
      </c>
      <c r="V34" s="5">
        <v>1760</v>
      </c>
      <c r="W34" s="23">
        <f t="shared" si="28"/>
        <v>0.10552763819095477</v>
      </c>
      <c r="X34" s="5">
        <v>1758</v>
      </c>
      <c r="Y34" s="23">
        <f t="shared" si="29"/>
        <v>0.11548223350253807</v>
      </c>
      <c r="Z34" s="5">
        <v>2016</v>
      </c>
      <c r="AA34" s="23">
        <f t="shared" si="30"/>
        <v>0.256857855361596</v>
      </c>
      <c r="AB34" s="5">
        <v>2322</v>
      </c>
      <c r="AC34" s="23">
        <f t="shared" si="31"/>
        <v>0.2450402144772118</v>
      </c>
      <c r="AD34" s="5">
        <v>2118</v>
      </c>
      <c r="AE34" s="23">
        <f t="shared" si="32"/>
        <v>0.2034090909090909</v>
      </c>
      <c r="AF34" s="5">
        <v>1836</v>
      </c>
      <c r="AG34" s="23">
        <f t="shared" si="33"/>
        <v>4.4368600682593858E-2</v>
      </c>
      <c r="AH34" s="5">
        <v>1797</v>
      </c>
      <c r="AI34" s="23">
        <f t="shared" si="33"/>
        <v>-0.10863095238095238</v>
      </c>
      <c r="AJ34" s="5">
        <v>1958</v>
      </c>
      <c r="AK34" s="5">
        <v>1807</v>
      </c>
    </row>
    <row r="35" spans="1:38" s="11" customFormat="1" ht="13.15" x14ac:dyDescent="0.4">
      <c r="A35" s="19" t="s">
        <v>47</v>
      </c>
      <c r="B35" s="11">
        <f>SUM(B32:B34)</f>
        <v>10876</v>
      </c>
      <c r="C35" s="11">
        <f t="shared" ref="C35:AL35" si="34">SUM(C32:C34)</f>
        <v>11503</v>
      </c>
      <c r="D35" s="11">
        <f t="shared" si="34"/>
        <v>14639</v>
      </c>
      <c r="E35" s="11">
        <f t="shared" si="34"/>
        <v>12519</v>
      </c>
      <c r="F35" s="11">
        <f t="shared" si="34"/>
        <v>11607</v>
      </c>
      <c r="G35" s="11">
        <f t="shared" si="34"/>
        <v>12119</v>
      </c>
      <c r="H35" s="11">
        <f t="shared" si="34"/>
        <v>13805</v>
      </c>
      <c r="I35" s="11">
        <f t="shared" si="34"/>
        <v>12902</v>
      </c>
      <c r="J35" s="11">
        <f t="shared" si="34"/>
        <v>14615</v>
      </c>
      <c r="K35" s="11">
        <f t="shared" si="34"/>
        <v>17623</v>
      </c>
      <c r="L35" s="11">
        <f t="shared" si="34"/>
        <v>20309</v>
      </c>
      <c r="M35" s="23">
        <f t="shared" si="23"/>
        <v>0.47113364722926476</v>
      </c>
      <c r="N35" s="11">
        <f t="shared" si="34"/>
        <v>20756</v>
      </c>
      <c r="O35" s="23">
        <f t="shared" si="24"/>
        <v>0.60874283056890399</v>
      </c>
      <c r="P35" s="11">
        <f t="shared" si="34"/>
        <v>19931</v>
      </c>
      <c r="Q35" s="23">
        <f t="shared" si="25"/>
        <v>0.36373588778652072</v>
      </c>
      <c r="R35" s="11">
        <f t="shared" si="34"/>
        <v>20231</v>
      </c>
      <c r="S35" s="23">
        <f t="shared" si="26"/>
        <v>0.14798842421835101</v>
      </c>
      <c r="T35" s="11">
        <f t="shared" si="34"/>
        <v>22576</v>
      </c>
      <c r="U35" s="23">
        <f t="shared" si="27"/>
        <v>0.11162538775912158</v>
      </c>
      <c r="V35" s="11">
        <f t="shared" si="34"/>
        <v>21573</v>
      </c>
      <c r="W35" s="23">
        <f t="shared" si="28"/>
        <v>3.9362112160339177E-2</v>
      </c>
      <c r="X35" s="11">
        <f t="shared" si="34"/>
        <v>17953</v>
      </c>
      <c r="Y35" s="23">
        <f t="shared" si="29"/>
        <v>-9.9242386232502131E-2</v>
      </c>
      <c r="Z35" s="11">
        <f t="shared" si="34"/>
        <v>18453</v>
      </c>
      <c r="AA35" s="23">
        <f t="shared" si="30"/>
        <v>-8.7884929069250162E-2</v>
      </c>
      <c r="AB35" s="11">
        <f t="shared" si="34"/>
        <v>20393</v>
      </c>
      <c r="AC35" s="23">
        <f t="shared" si="31"/>
        <v>-9.669560595322467E-2</v>
      </c>
      <c r="AD35" s="11">
        <f t="shared" si="34"/>
        <v>17846</v>
      </c>
      <c r="AE35" s="23">
        <f t="shared" si="32"/>
        <v>-0.1727622491076809</v>
      </c>
      <c r="AF35" s="11">
        <f t="shared" si="34"/>
        <v>15773</v>
      </c>
      <c r="AG35" s="23">
        <f t="shared" si="33"/>
        <v>-0.1214281735643068</v>
      </c>
      <c r="AH35" s="11">
        <f t="shared" si="34"/>
        <v>16098</v>
      </c>
      <c r="AI35" s="23">
        <f t="shared" si="33"/>
        <v>-0.12762152495529183</v>
      </c>
      <c r="AJ35" s="11">
        <f t="shared" si="34"/>
        <v>18599</v>
      </c>
      <c r="AK35" s="11">
        <f t="shared" si="34"/>
        <v>17498</v>
      </c>
      <c r="AL35" s="11">
        <f t="shared" si="34"/>
        <v>0</v>
      </c>
    </row>
    <row r="36" spans="1:38" x14ac:dyDescent="0.35">
      <c r="A36" s="15" t="s">
        <v>48</v>
      </c>
      <c r="B36" s="5">
        <v>24767</v>
      </c>
      <c r="C36" s="5">
        <v>25172</v>
      </c>
      <c r="D36" s="5">
        <v>25607</v>
      </c>
      <c r="E36" s="5">
        <v>25533</v>
      </c>
      <c r="F36" s="5">
        <v>25706</v>
      </c>
      <c r="G36" s="5">
        <v>26012</v>
      </c>
      <c r="H36" s="5">
        <v>26384</v>
      </c>
      <c r="I36" s="5">
        <v>26283</v>
      </c>
      <c r="J36" s="5">
        <v>26589</v>
      </c>
      <c r="K36" s="5">
        <v>26739</v>
      </c>
      <c r="L36" s="5">
        <v>26773</v>
      </c>
      <c r="M36" s="23">
        <f t="shared" si="23"/>
        <v>1.4743784111582777E-2</v>
      </c>
      <c r="N36" s="5">
        <v>26879</v>
      </c>
      <c r="O36" s="23">
        <f t="shared" si="24"/>
        <v>2.2676254613248108E-2</v>
      </c>
      <c r="P36" s="5">
        <v>26804</v>
      </c>
      <c r="Q36" s="23">
        <f t="shared" si="25"/>
        <v>8.0860506224378504E-3</v>
      </c>
      <c r="R36" s="5">
        <v>27244</v>
      </c>
      <c r="S36" s="23">
        <f t="shared" si="26"/>
        <v>1.888627098993979E-2</v>
      </c>
      <c r="T36" s="5">
        <v>27915</v>
      </c>
      <c r="U36" s="23">
        <f t="shared" si="27"/>
        <v>4.2654913532289992E-2</v>
      </c>
      <c r="V36" s="5">
        <v>28181</v>
      </c>
      <c r="W36" s="23">
        <f t="shared" si="28"/>
        <v>4.8439302057368204E-2</v>
      </c>
      <c r="X36" s="5">
        <v>28670</v>
      </c>
      <c r="Y36" s="23">
        <f t="shared" si="29"/>
        <v>6.9616475152962251E-2</v>
      </c>
      <c r="Z36" s="5">
        <v>29820</v>
      </c>
      <c r="AA36" s="23">
        <f t="shared" si="30"/>
        <v>9.4552929085303189E-2</v>
      </c>
      <c r="AB36" s="5">
        <v>30921</v>
      </c>
      <c r="AC36" s="23">
        <f t="shared" si="31"/>
        <v>0.107684040838259</v>
      </c>
      <c r="AD36" s="5">
        <v>31512</v>
      </c>
      <c r="AE36" s="23">
        <f t="shared" si="32"/>
        <v>0.11820020581242681</v>
      </c>
      <c r="AF36" s="5">
        <v>32396</v>
      </c>
      <c r="AG36" s="23">
        <f t="shared" si="33"/>
        <v>0.12996163236832928</v>
      </c>
      <c r="AH36" s="5">
        <v>32947</v>
      </c>
      <c r="AI36" s="23">
        <f t="shared" si="33"/>
        <v>0.10486250838363514</v>
      </c>
      <c r="AJ36" s="5">
        <v>33168</v>
      </c>
      <c r="AK36" s="5">
        <v>33096</v>
      </c>
    </row>
    <row r="37" spans="1:38" x14ac:dyDescent="0.35">
      <c r="A37" s="15" t="s">
        <v>49</v>
      </c>
      <c r="B37" s="5">
        <v>1958</v>
      </c>
      <c r="C37" s="5">
        <v>1976</v>
      </c>
      <c r="D37" s="5">
        <v>1997</v>
      </c>
      <c r="E37" s="5">
        <v>1965</v>
      </c>
      <c r="F37" s="5">
        <v>2019</v>
      </c>
      <c r="G37" s="5">
        <v>2062</v>
      </c>
      <c r="H37" s="5">
        <v>2151</v>
      </c>
      <c r="I37" s="5">
        <v>2236</v>
      </c>
      <c r="J37" s="5">
        <v>2235</v>
      </c>
      <c r="K37" s="5">
        <v>2233</v>
      </c>
      <c r="L37" s="5">
        <v>2208</v>
      </c>
      <c r="M37" s="23">
        <f t="shared" si="23"/>
        <v>2.6499302649930265E-2</v>
      </c>
      <c r="N37" s="5">
        <v>2227</v>
      </c>
      <c r="O37" s="23">
        <f t="shared" si="24"/>
        <v>-4.0250447227191417E-3</v>
      </c>
      <c r="P37" s="5">
        <v>2362</v>
      </c>
      <c r="Q37" s="23">
        <f t="shared" si="25"/>
        <v>5.6823266219239374E-2</v>
      </c>
      <c r="R37" s="5">
        <v>2503</v>
      </c>
      <c r="S37" s="23">
        <f t="shared" si="26"/>
        <v>0.12091356918943126</v>
      </c>
      <c r="T37" s="5">
        <v>2539</v>
      </c>
      <c r="U37" s="23">
        <f t="shared" si="27"/>
        <v>0.14990942028985507</v>
      </c>
      <c r="V37" s="5">
        <v>2556</v>
      </c>
      <c r="W37" s="23">
        <f t="shared" si="28"/>
        <v>0.14773237539290526</v>
      </c>
      <c r="X37" s="5">
        <v>2571</v>
      </c>
      <c r="Y37" s="23">
        <f t="shared" si="29"/>
        <v>8.8484335309060122E-2</v>
      </c>
      <c r="Z37" s="5">
        <v>2542</v>
      </c>
      <c r="AA37" s="23">
        <f t="shared" si="30"/>
        <v>1.5581302437075509E-2</v>
      </c>
      <c r="AB37" s="5">
        <v>2596</v>
      </c>
      <c r="AC37" s="23">
        <f t="shared" si="31"/>
        <v>2.2449783379283182E-2</v>
      </c>
      <c r="AD37" s="5">
        <v>2657</v>
      </c>
      <c r="AE37" s="23">
        <f t="shared" si="32"/>
        <v>3.9514866979655713E-2</v>
      </c>
      <c r="AF37" s="5">
        <v>2640</v>
      </c>
      <c r="AG37" s="23">
        <f t="shared" si="33"/>
        <v>2.6837806301050177E-2</v>
      </c>
      <c r="AH37" s="5">
        <v>2840</v>
      </c>
      <c r="AI37" s="23">
        <f t="shared" si="33"/>
        <v>0.11723052714398112</v>
      </c>
      <c r="AJ37" s="5">
        <v>3086</v>
      </c>
      <c r="AK37" s="5">
        <v>3362</v>
      </c>
    </row>
    <row r="38" spans="1:38" x14ac:dyDescent="0.35">
      <c r="A38" s="15" t="s">
        <v>31</v>
      </c>
      <c r="B38" s="5">
        <v>1328</v>
      </c>
      <c r="C38" s="5">
        <v>1345</v>
      </c>
      <c r="D38" s="5">
        <v>1329</v>
      </c>
      <c r="E38" s="5">
        <v>1273</v>
      </c>
      <c r="F38" s="5">
        <v>1287</v>
      </c>
      <c r="G38" s="5">
        <v>1373</v>
      </c>
      <c r="H38" s="5">
        <v>1401</v>
      </c>
      <c r="I38" s="5">
        <v>1358</v>
      </c>
      <c r="J38" s="5">
        <v>1367</v>
      </c>
      <c r="K38" s="5">
        <v>1405</v>
      </c>
      <c r="L38" s="5">
        <v>1371</v>
      </c>
      <c r="M38" s="23">
        <f t="shared" si="23"/>
        <v>-2.1413276231263382E-2</v>
      </c>
      <c r="N38" s="5">
        <v>1386</v>
      </c>
      <c r="O38" s="23">
        <f t="shared" si="24"/>
        <v>2.0618556701030927E-2</v>
      </c>
      <c r="P38" s="5">
        <v>1374</v>
      </c>
      <c r="Q38" s="23">
        <f t="shared" si="25"/>
        <v>5.1207022677395757E-3</v>
      </c>
      <c r="R38" s="5">
        <v>1407</v>
      </c>
      <c r="S38" s="23">
        <f t="shared" si="26"/>
        <v>1.4234875444839859E-3</v>
      </c>
      <c r="T38" s="5">
        <v>1381</v>
      </c>
      <c r="U38" s="23">
        <f t="shared" si="27"/>
        <v>7.2939460247994168E-3</v>
      </c>
      <c r="V38" s="5">
        <v>1501</v>
      </c>
      <c r="W38" s="23">
        <f t="shared" si="28"/>
        <v>8.2972582972582976E-2</v>
      </c>
      <c r="X38" s="5">
        <v>1648</v>
      </c>
      <c r="Y38" s="23">
        <f t="shared" si="29"/>
        <v>0.19941775836972345</v>
      </c>
      <c r="Z38" s="5">
        <v>1655</v>
      </c>
      <c r="AA38" s="23">
        <f t="shared" si="30"/>
        <v>0.17626154939587776</v>
      </c>
      <c r="AB38" s="5">
        <v>1705</v>
      </c>
      <c r="AC38" s="23">
        <f t="shared" si="31"/>
        <v>0.23461259956553221</v>
      </c>
      <c r="AD38" s="5">
        <v>1320</v>
      </c>
      <c r="AE38" s="23">
        <f t="shared" si="32"/>
        <v>-0.12058627581612258</v>
      </c>
      <c r="AF38" s="5">
        <v>1341</v>
      </c>
      <c r="AG38" s="23">
        <f t="shared" si="33"/>
        <v>-0.18628640776699029</v>
      </c>
      <c r="AH38" s="31">
        <v>1321</v>
      </c>
      <c r="AI38" s="23">
        <f t="shared" si="33"/>
        <v>-0.20181268882175227</v>
      </c>
      <c r="AJ38" s="5">
        <v>1376</v>
      </c>
      <c r="AK38" s="5">
        <v>1400</v>
      </c>
    </row>
    <row r="39" spans="1:38" s="11" customFormat="1" ht="13.15" x14ac:dyDescent="0.4">
      <c r="A39" s="19" t="s">
        <v>50</v>
      </c>
      <c r="B39" s="11">
        <f>SUM(B35:B38)</f>
        <v>38929</v>
      </c>
      <c r="C39" s="11">
        <f t="shared" ref="C39:AL39" si="35">SUM(C35:C38)</f>
        <v>39996</v>
      </c>
      <c r="D39" s="11">
        <f t="shared" si="35"/>
        <v>43572</v>
      </c>
      <c r="E39" s="11">
        <f t="shared" si="35"/>
        <v>41290</v>
      </c>
      <c r="F39" s="11">
        <f t="shared" si="35"/>
        <v>40619</v>
      </c>
      <c r="G39" s="11">
        <f t="shared" si="35"/>
        <v>41566</v>
      </c>
      <c r="H39" s="11">
        <f t="shared" si="35"/>
        <v>43741</v>
      </c>
      <c r="I39" s="11">
        <f t="shared" si="35"/>
        <v>42779</v>
      </c>
      <c r="J39" s="11">
        <f t="shared" si="35"/>
        <v>44806</v>
      </c>
      <c r="K39" s="11">
        <f t="shared" si="35"/>
        <v>48000</v>
      </c>
      <c r="L39" s="11">
        <f t="shared" si="35"/>
        <v>50661</v>
      </c>
      <c r="M39" s="23">
        <f t="shared" si="23"/>
        <v>0.15820397338881143</v>
      </c>
      <c r="N39" s="11">
        <f t="shared" si="35"/>
        <v>51248</v>
      </c>
      <c r="O39" s="23">
        <f t="shared" si="24"/>
        <v>0.19797096706327871</v>
      </c>
      <c r="P39" s="11">
        <f t="shared" si="35"/>
        <v>50471</v>
      </c>
      <c r="Q39" s="23">
        <f t="shared" si="25"/>
        <v>0.12643395973753516</v>
      </c>
      <c r="R39" s="11">
        <f t="shared" si="35"/>
        <v>51385</v>
      </c>
      <c r="S39" s="23">
        <f t="shared" si="26"/>
        <v>7.0520833333333338E-2</v>
      </c>
      <c r="T39" s="11">
        <f t="shared" si="35"/>
        <v>54411</v>
      </c>
      <c r="U39" s="23">
        <f t="shared" si="27"/>
        <v>7.4021436608041682E-2</v>
      </c>
      <c r="V39" s="11">
        <f t="shared" si="35"/>
        <v>53811</v>
      </c>
      <c r="W39" s="23">
        <f t="shared" si="28"/>
        <v>5.0011707773961911E-2</v>
      </c>
      <c r="X39" s="11">
        <f t="shared" si="35"/>
        <v>50842</v>
      </c>
      <c r="Y39" s="23">
        <f t="shared" si="29"/>
        <v>7.3507558796140357E-3</v>
      </c>
      <c r="Z39" s="11">
        <f t="shared" si="35"/>
        <v>52470</v>
      </c>
      <c r="AA39" s="23">
        <f t="shared" si="30"/>
        <v>2.1115111413836724E-2</v>
      </c>
      <c r="AB39" s="11">
        <f t="shared" si="35"/>
        <v>55615</v>
      </c>
      <c r="AC39" s="23">
        <f t="shared" si="31"/>
        <v>2.2127878553968867E-2</v>
      </c>
      <c r="AD39" s="11">
        <f t="shared" si="35"/>
        <v>53335</v>
      </c>
      <c r="AE39" s="23">
        <f t="shared" si="32"/>
        <v>-8.8457750274107527E-3</v>
      </c>
      <c r="AF39" s="11">
        <f t="shared" si="35"/>
        <v>52150</v>
      </c>
      <c r="AG39" s="23">
        <f t="shared" si="33"/>
        <v>2.5726761339050393E-2</v>
      </c>
      <c r="AH39" s="11">
        <f t="shared" si="35"/>
        <v>53206</v>
      </c>
      <c r="AI39" s="11">
        <f t="shared" si="35"/>
        <v>-0.10734117824942783</v>
      </c>
      <c r="AJ39" s="11">
        <f t="shared" si="35"/>
        <v>56229</v>
      </c>
      <c r="AK39" s="11">
        <f t="shared" si="35"/>
        <v>55356</v>
      </c>
      <c r="AL39" s="11">
        <f t="shared" si="35"/>
        <v>0</v>
      </c>
    </row>
    <row r="40" spans="1:38" x14ac:dyDescent="0.35">
      <c r="M40" s="23"/>
      <c r="O40" s="23"/>
      <c r="Q40" s="23"/>
      <c r="S40" s="23"/>
      <c r="U40" s="23"/>
      <c r="W40" s="23"/>
      <c r="Y40" s="23"/>
      <c r="AA40" s="23"/>
      <c r="AC40" s="23"/>
      <c r="AE40" s="23"/>
      <c r="AG40" s="23"/>
      <c r="AI40" s="23"/>
    </row>
    <row r="41" spans="1:38" ht="13.15" x14ac:dyDescent="0.4">
      <c r="A41" s="9" t="s">
        <v>51</v>
      </c>
      <c r="M41" s="23"/>
      <c r="O41" s="23"/>
      <c r="Q41" s="23"/>
      <c r="S41" s="23"/>
      <c r="U41" s="23"/>
      <c r="W41" s="23"/>
      <c r="Y41" s="23"/>
      <c r="AA41" s="23"/>
      <c r="AC41" s="23"/>
      <c r="AE41" s="23"/>
      <c r="AG41" s="23"/>
      <c r="AI41" s="23"/>
    </row>
    <row r="42" spans="1:38" ht="13.15" x14ac:dyDescent="0.4">
      <c r="A42" s="17" t="s">
        <v>52</v>
      </c>
      <c r="M42" s="23"/>
      <c r="O42" s="23"/>
      <c r="Q42" s="23"/>
      <c r="S42" s="23"/>
      <c r="U42" s="23"/>
      <c r="W42" s="23"/>
      <c r="Y42" s="23"/>
      <c r="AA42" s="23"/>
      <c r="AC42" s="23"/>
      <c r="AE42" s="23"/>
      <c r="AG42" s="23"/>
      <c r="AI42" s="23"/>
    </row>
    <row r="43" spans="1:38" x14ac:dyDescent="0.35">
      <c r="A43" s="18" t="s">
        <v>53</v>
      </c>
      <c r="B43" s="5">
        <v>8131</v>
      </c>
      <c r="C43" s="5">
        <v>9116</v>
      </c>
      <c r="D43" s="5">
        <v>11959</v>
      </c>
      <c r="E43" s="5">
        <v>9761</v>
      </c>
      <c r="F43" s="5">
        <v>8360</v>
      </c>
      <c r="G43" s="5">
        <v>9152</v>
      </c>
      <c r="H43" s="5">
        <v>11258</v>
      </c>
      <c r="I43" s="5">
        <v>9920</v>
      </c>
      <c r="J43" s="5">
        <v>9625</v>
      </c>
      <c r="K43" s="5">
        <v>10726</v>
      </c>
      <c r="L43" s="5">
        <v>14203</v>
      </c>
      <c r="M43" s="23">
        <f t="shared" ref="M43:M51" si="36">(L43-H43)/H43</f>
        <v>0.26159175697281933</v>
      </c>
      <c r="N43" s="5">
        <v>12859</v>
      </c>
      <c r="O43" s="23">
        <f t="shared" ref="O43:O51" si="37">(N43-I43)/I43</f>
        <v>0.29627016129032258</v>
      </c>
      <c r="P43" s="5">
        <v>11637</v>
      </c>
      <c r="Q43" s="23">
        <f t="shared" ref="Q43:Q51" si="38">(P43-J43)/J43</f>
        <v>0.20903896103896105</v>
      </c>
      <c r="R43" s="5">
        <v>12632</v>
      </c>
      <c r="S43" s="23">
        <f t="shared" ref="S43:S51" si="39">(R43-K43)/K43</f>
        <v>0.17769904903971659</v>
      </c>
      <c r="T43" s="5">
        <v>16250</v>
      </c>
      <c r="U43" s="23">
        <f t="shared" ref="U43:U51" si="40">(T43-L43)/L43</f>
        <v>0.1441244807435049</v>
      </c>
      <c r="V43" s="5">
        <v>15478</v>
      </c>
      <c r="W43" s="23">
        <f t="shared" ref="W43:W51" si="41">(V43-N43)/N43</f>
        <v>0.20367058091608989</v>
      </c>
      <c r="X43" s="5">
        <v>14053</v>
      </c>
      <c r="Y43" s="23">
        <f t="shared" ref="Y43:Y51" si="42">(X43-P43)/P43</f>
        <v>0.20761364612872735</v>
      </c>
      <c r="Z43" s="5">
        <v>14891</v>
      </c>
      <c r="AA43" s="23">
        <f t="shared" ref="AA43:AA51" si="43">(Z43-R43)/R43</f>
        <v>0.17883153894870171</v>
      </c>
      <c r="AB43" s="5">
        <v>15438</v>
      </c>
      <c r="AC43" s="23">
        <f t="shared" ref="AC43:AC51" si="44">(AB43-T43)/T43</f>
        <v>-4.9969230769230766E-2</v>
      </c>
      <c r="AD43" s="5">
        <v>13487</v>
      </c>
      <c r="AE43" s="23">
        <f t="shared" ref="AE43:AE51" si="45">(AD43-V43)/V43</f>
        <v>-0.12863419046388422</v>
      </c>
      <c r="AF43" s="5">
        <v>11935</v>
      </c>
      <c r="AG43" s="23">
        <f t="shared" ref="AG43:AI51" si="46">(AF43-X43)/X43</f>
        <v>-0.15071514979008041</v>
      </c>
      <c r="AH43" s="5">
        <v>12278</v>
      </c>
      <c r="AI43" s="23">
        <f t="shared" si="46"/>
        <v>-0.1754751191995165</v>
      </c>
      <c r="AJ43" s="5">
        <v>14291</v>
      </c>
      <c r="AK43" s="5">
        <v>12098</v>
      </c>
    </row>
    <row r="44" spans="1:38" x14ac:dyDescent="0.35">
      <c r="A44" s="18" t="s">
        <v>54</v>
      </c>
      <c r="B44" s="5">
        <v>3630</v>
      </c>
      <c r="C44" s="5">
        <v>3878</v>
      </c>
      <c r="D44" s="5">
        <v>4096</v>
      </c>
      <c r="E44" s="5">
        <v>4201</v>
      </c>
      <c r="F44" s="5">
        <v>3823</v>
      </c>
      <c r="G44" s="5">
        <v>4059</v>
      </c>
      <c r="H44" s="5">
        <v>4191</v>
      </c>
      <c r="I44" s="5">
        <v>4406</v>
      </c>
      <c r="J44" s="5">
        <v>4619</v>
      </c>
      <c r="K44" s="5">
        <v>5057</v>
      </c>
      <c r="L44" s="5">
        <v>5023</v>
      </c>
      <c r="M44" s="23">
        <f t="shared" si="36"/>
        <v>0.19852063946552134</v>
      </c>
      <c r="N44" s="5">
        <v>6122</v>
      </c>
      <c r="O44" s="23">
        <f t="shared" si="37"/>
        <v>0.38946890603722195</v>
      </c>
      <c r="P44" s="5">
        <v>5788</v>
      </c>
      <c r="Q44" s="23">
        <f t="shared" si="38"/>
        <v>0.25308508335137475</v>
      </c>
      <c r="R44" s="5">
        <v>5600</v>
      </c>
      <c r="S44" s="23">
        <f t="shared" si="39"/>
        <v>0.10737591457385802</v>
      </c>
      <c r="T44" s="5">
        <v>5925</v>
      </c>
      <c r="U44" s="23">
        <f t="shared" si="40"/>
        <v>0.17957395978498905</v>
      </c>
      <c r="V44" s="5">
        <v>6098</v>
      </c>
      <c r="W44" s="23">
        <f t="shared" si="41"/>
        <v>-3.9202874877491013E-3</v>
      </c>
      <c r="X44" s="5">
        <v>5582</v>
      </c>
      <c r="Y44" s="23">
        <f t="shared" si="42"/>
        <v>-3.5590877677954387E-2</v>
      </c>
      <c r="Z44" s="5">
        <v>5905</v>
      </c>
      <c r="AA44" s="23">
        <f t="shared" si="43"/>
        <v>5.4464285714285715E-2</v>
      </c>
      <c r="AB44" s="5">
        <v>6138</v>
      </c>
      <c r="AC44" s="23">
        <f t="shared" si="44"/>
        <v>3.5949367088607596E-2</v>
      </c>
      <c r="AD44" s="5">
        <v>5883</v>
      </c>
      <c r="AE44" s="23">
        <f t="shared" si="45"/>
        <v>-3.5257461462774684E-2</v>
      </c>
      <c r="AF44" s="5">
        <v>5732</v>
      </c>
      <c r="AG44" s="23">
        <f t="shared" si="46"/>
        <v>2.6872088857040486E-2</v>
      </c>
      <c r="AH44" s="5">
        <v>5948</v>
      </c>
      <c r="AI44" s="23">
        <f t="shared" si="46"/>
        <v>7.2819644369178666E-3</v>
      </c>
      <c r="AJ44" s="5">
        <v>6099</v>
      </c>
      <c r="AK44" s="5">
        <v>6090</v>
      </c>
    </row>
    <row r="45" spans="1:38" x14ac:dyDescent="0.35">
      <c r="A45" s="18" t="s">
        <v>55</v>
      </c>
      <c r="B45" s="5">
        <v>283</v>
      </c>
      <c r="C45" s="5">
        <v>1044</v>
      </c>
      <c r="D45" s="5">
        <v>1535</v>
      </c>
      <c r="E45" s="5">
        <v>1052</v>
      </c>
      <c r="F45" s="5">
        <v>1056</v>
      </c>
      <c r="G45" s="5">
        <v>1153</v>
      </c>
      <c r="H45" s="5">
        <v>1159</v>
      </c>
      <c r="I45" s="5">
        <v>161</v>
      </c>
      <c r="J45" s="5">
        <v>168</v>
      </c>
      <c r="K45" s="5">
        <v>109</v>
      </c>
      <c r="L45" s="5">
        <v>131</v>
      </c>
      <c r="M45" s="23">
        <f t="shared" si="36"/>
        <v>-0.88697152717860228</v>
      </c>
      <c r="N45" s="5">
        <v>1144</v>
      </c>
      <c r="O45" s="23">
        <f t="shared" si="37"/>
        <v>6.1055900621118013</v>
      </c>
      <c r="P45" s="5">
        <v>1173</v>
      </c>
      <c r="Q45" s="23">
        <f t="shared" si="38"/>
        <v>5.9821428571428568</v>
      </c>
      <c r="R45" s="5">
        <v>1190</v>
      </c>
      <c r="S45" s="23">
        <f t="shared" si="39"/>
        <v>9.9174311926605512</v>
      </c>
      <c r="T45" s="5">
        <v>1176</v>
      </c>
      <c r="U45" s="23">
        <f t="shared" si="40"/>
        <v>7.9770992366412212</v>
      </c>
      <c r="V45" s="5">
        <v>171</v>
      </c>
      <c r="W45" s="23">
        <f t="shared" si="41"/>
        <v>-0.85052447552447552</v>
      </c>
      <c r="X45" s="5">
        <v>1089</v>
      </c>
      <c r="Y45" s="23">
        <f t="shared" si="42"/>
        <v>-7.1611253196930943E-2</v>
      </c>
      <c r="Z45" s="5">
        <v>1649</v>
      </c>
      <c r="AA45" s="23">
        <f t="shared" si="43"/>
        <v>0.38571428571428573</v>
      </c>
      <c r="AB45" s="5">
        <v>2207</v>
      </c>
      <c r="AC45" s="23">
        <f t="shared" si="44"/>
        <v>0.87670068027210879</v>
      </c>
      <c r="AD45" s="5">
        <v>130</v>
      </c>
      <c r="AE45" s="23">
        <f t="shared" si="45"/>
        <v>-0.23976608187134502</v>
      </c>
      <c r="AF45" s="5">
        <v>200</v>
      </c>
      <c r="AG45" s="23">
        <f t="shared" si="46"/>
        <v>-0.81634527089072539</v>
      </c>
      <c r="AH45" s="5">
        <v>1106</v>
      </c>
      <c r="AI45" s="23">
        <f t="shared" si="46"/>
        <v>-0.32929047907822923</v>
      </c>
      <c r="AJ45" s="5">
        <v>1112</v>
      </c>
      <c r="AK45" s="5">
        <v>1116</v>
      </c>
    </row>
    <row r="46" spans="1:38" s="11" customFormat="1" ht="13.15" x14ac:dyDescent="0.4">
      <c r="A46" s="19" t="s">
        <v>56</v>
      </c>
      <c r="B46" s="11">
        <f>SUM(B43:B45)</f>
        <v>12044</v>
      </c>
      <c r="C46" s="11">
        <f t="shared" ref="C46:AL46" si="47">SUM(C43:C45)</f>
        <v>14038</v>
      </c>
      <c r="D46" s="11">
        <f t="shared" si="47"/>
        <v>17590</v>
      </c>
      <c r="E46" s="11">
        <f t="shared" si="47"/>
        <v>15014</v>
      </c>
      <c r="F46" s="11">
        <f t="shared" si="47"/>
        <v>13239</v>
      </c>
      <c r="G46" s="11">
        <f t="shared" si="47"/>
        <v>14364</v>
      </c>
      <c r="H46" s="11">
        <f t="shared" si="47"/>
        <v>16608</v>
      </c>
      <c r="I46" s="11">
        <f t="shared" si="47"/>
        <v>14487</v>
      </c>
      <c r="J46" s="11">
        <f t="shared" si="47"/>
        <v>14412</v>
      </c>
      <c r="K46" s="11">
        <f t="shared" si="47"/>
        <v>15892</v>
      </c>
      <c r="L46" s="11">
        <f t="shared" si="47"/>
        <v>19357</v>
      </c>
      <c r="M46" s="23">
        <f t="shared" si="36"/>
        <v>0.16552263969171482</v>
      </c>
      <c r="N46" s="11">
        <f t="shared" si="47"/>
        <v>20125</v>
      </c>
      <c r="O46" s="23">
        <f t="shared" si="37"/>
        <v>0.38917650307171947</v>
      </c>
      <c r="P46" s="11">
        <f t="shared" si="47"/>
        <v>18598</v>
      </c>
      <c r="Q46" s="23">
        <f t="shared" si="38"/>
        <v>0.29045240077713019</v>
      </c>
      <c r="R46" s="11">
        <f t="shared" si="47"/>
        <v>19422</v>
      </c>
      <c r="S46" s="23">
        <f t="shared" si="39"/>
        <v>0.22212433929020892</v>
      </c>
      <c r="T46" s="11">
        <f t="shared" si="47"/>
        <v>23351</v>
      </c>
      <c r="U46" s="23">
        <f t="shared" si="40"/>
        <v>0.20633362607842123</v>
      </c>
      <c r="V46" s="11">
        <f t="shared" si="47"/>
        <v>21747</v>
      </c>
      <c r="W46" s="23">
        <f t="shared" si="41"/>
        <v>8.0596273291925466E-2</v>
      </c>
      <c r="X46" s="11">
        <f t="shared" si="47"/>
        <v>20724</v>
      </c>
      <c r="Y46" s="23">
        <f t="shared" si="42"/>
        <v>0.11431336702871277</v>
      </c>
      <c r="Z46" s="11">
        <f t="shared" si="47"/>
        <v>22445</v>
      </c>
      <c r="AA46" s="23">
        <f t="shared" si="43"/>
        <v>0.15564823396148697</v>
      </c>
      <c r="AB46" s="11">
        <f t="shared" si="47"/>
        <v>23783</v>
      </c>
      <c r="AC46" s="23">
        <f t="shared" si="44"/>
        <v>1.8500278360669777E-2</v>
      </c>
      <c r="AD46" s="11">
        <f t="shared" si="47"/>
        <v>19500</v>
      </c>
      <c r="AE46" s="23">
        <f t="shared" si="45"/>
        <v>-0.10332459649606843</v>
      </c>
      <c r="AF46" s="11">
        <f t="shared" si="47"/>
        <v>17867</v>
      </c>
      <c r="AG46" s="23">
        <f t="shared" si="46"/>
        <v>-0.13785948658560124</v>
      </c>
      <c r="AH46" s="11">
        <f t="shared" si="47"/>
        <v>19332</v>
      </c>
      <c r="AI46" s="11">
        <f t="shared" si="47"/>
        <v>-0.49748363384082783</v>
      </c>
      <c r="AJ46" s="11">
        <f t="shared" si="47"/>
        <v>21502</v>
      </c>
      <c r="AK46" s="11">
        <f t="shared" si="47"/>
        <v>19304</v>
      </c>
      <c r="AL46" s="11">
        <f t="shared" si="47"/>
        <v>0</v>
      </c>
    </row>
    <row r="47" spans="1:38" x14ac:dyDescent="0.35">
      <c r="A47" s="15" t="s">
        <v>57</v>
      </c>
      <c r="B47" s="5">
        <v>11107</v>
      </c>
      <c r="C47" s="5">
        <v>10108</v>
      </c>
      <c r="D47" s="5">
        <v>10104</v>
      </c>
      <c r="E47" s="5">
        <v>10223</v>
      </c>
      <c r="F47" s="5">
        <v>11357</v>
      </c>
      <c r="G47" s="5">
        <v>10365</v>
      </c>
      <c r="H47" s="5">
        <v>10513</v>
      </c>
      <c r="I47" s="5">
        <v>11338</v>
      </c>
      <c r="J47" s="5">
        <v>14073</v>
      </c>
      <c r="K47" s="5">
        <v>14188</v>
      </c>
      <c r="L47" s="5">
        <v>12490</v>
      </c>
      <c r="M47" s="23">
        <f t="shared" si="36"/>
        <v>0.18805288690193095</v>
      </c>
      <c r="N47" s="5">
        <v>11536</v>
      </c>
      <c r="O47" s="23">
        <f t="shared" si="37"/>
        <v>1.7463397424589876E-2</v>
      </c>
      <c r="P47" s="5">
        <v>11509</v>
      </c>
      <c r="Q47" s="23">
        <f t="shared" si="38"/>
        <v>-0.18219285155972428</v>
      </c>
      <c r="R47" s="5">
        <v>11589</v>
      </c>
      <c r="S47" s="23">
        <f t="shared" si="39"/>
        <v>-0.18318297152523258</v>
      </c>
      <c r="T47" s="5">
        <v>11586</v>
      </c>
      <c r="U47" s="23">
        <f t="shared" si="40"/>
        <v>-7.2377902321857479E-2</v>
      </c>
      <c r="V47" s="5">
        <v>13549</v>
      </c>
      <c r="W47" s="23">
        <f t="shared" si="41"/>
        <v>0.17449722607489598</v>
      </c>
      <c r="X47" s="5">
        <v>13379</v>
      </c>
      <c r="Y47" s="23">
        <f t="shared" si="42"/>
        <v>0.16248153618906944</v>
      </c>
      <c r="Z47" s="5">
        <v>13453</v>
      </c>
      <c r="AA47" s="23">
        <f t="shared" si="43"/>
        <v>0.1608421779273449</v>
      </c>
      <c r="AB47" s="5">
        <v>14237</v>
      </c>
      <c r="AC47" s="23">
        <f t="shared" si="44"/>
        <v>0.22881063352321768</v>
      </c>
      <c r="AD47" s="5">
        <v>16009</v>
      </c>
      <c r="AE47" s="23">
        <f t="shared" si="45"/>
        <v>0.18156321499741679</v>
      </c>
      <c r="AF47" s="5">
        <v>16010</v>
      </c>
      <c r="AG47" s="23">
        <f t="shared" si="46"/>
        <v>0.19665146871963524</v>
      </c>
      <c r="AH47" s="5">
        <v>14926</v>
      </c>
      <c r="AI47" s="23">
        <f t="shared" si="46"/>
        <v>0.10949230654872519</v>
      </c>
      <c r="AJ47" s="5">
        <v>14883</v>
      </c>
      <c r="AK47" s="5">
        <v>14922</v>
      </c>
    </row>
    <row r="48" spans="1:38" x14ac:dyDescent="0.35">
      <c r="A48" s="15" t="s">
        <v>58</v>
      </c>
      <c r="B48" s="5">
        <v>2007</v>
      </c>
      <c r="C48" s="5">
        <v>2028</v>
      </c>
      <c r="D48" s="5">
        <v>2046</v>
      </c>
      <c r="E48" s="5">
        <v>2004</v>
      </c>
      <c r="F48" s="5">
        <v>2064</v>
      </c>
      <c r="G48" s="5">
        <v>2111</v>
      </c>
      <c r="H48" s="5">
        <v>2208</v>
      </c>
      <c r="I48" s="5">
        <v>2275</v>
      </c>
      <c r="J48" s="5">
        <v>2249</v>
      </c>
      <c r="K48" s="5">
        <v>2241</v>
      </c>
      <c r="L48" s="5">
        <v>2196</v>
      </c>
      <c r="M48" s="23">
        <f t="shared" si="36"/>
        <v>-5.434782608695652E-3</v>
      </c>
      <c r="N48" s="5">
        <v>2218</v>
      </c>
      <c r="O48" s="23">
        <f t="shared" si="37"/>
        <v>-2.5054945054945054E-2</v>
      </c>
      <c r="P48" s="5">
        <v>2337</v>
      </c>
      <c r="Q48" s="23">
        <f t="shared" si="38"/>
        <v>3.9128501556247218E-2</v>
      </c>
      <c r="R48" s="5">
        <v>2462</v>
      </c>
      <c r="S48" s="23">
        <f t="shared" si="39"/>
        <v>9.8616688978134762E-2</v>
      </c>
      <c r="T48" s="5">
        <v>2494</v>
      </c>
      <c r="U48" s="23">
        <f t="shared" si="40"/>
        <v>0.13570127504553733</v>
      </c>
      <c r="V48" s="5">
        <v>2493</v>
      </c>
      <c r="W48" s="23">
        <f t="shared" si="41"/>
        <v>0.12398557258791704</v>
      </c>
      <c r="X48" s="5">
        <v>2581</v>
      </c>
      <c r="Y48" s="23">
        <f t="shared" si="42"/>
        <v>0.10440735986307231</v>
      </c>
      <c r="Z48" s="5">
        <v>2543</v>
      </c>
      <c r="AA48" s="23">
        <f t="shared" si="43"/>
        <v>3.290008123476848E-2</v>
      </c>
      <c r="AB48" s="5">
        <v>2590</v>
      </c>
      <c r="AC48" s="23">
        <f t="shared" si="44"/>
        <v>3.8492381716118684E-2</v>
      </c>
      <c r="AD48" s="5">
        <v>2638</v>
      </c>
      <c r="AE48" s="23">
        <f t="shared" si="45"/>
        <v>5.8162855996791017E-2</v>
      </c>
      <c r="AF48" s="5">
        <v>2621</v>
      </c>
      <c r="AG48" s="23">
        <f t="shared" si="46"/>
        <v>1.5497869043006587E-2</v>
      </c>
      <c r="AH48" s="5">
        <v>2798</v>
      </c>
      <c r="AI48" s="23">
        <f t="shared" si="46"/>
        <v>0.10027526543452615</v>
      </c>
      <c r="AJ48" s="5">
        <v>3031</v>
      </c>
      <c r="AK48" s="5">
        <v>3279</v>
      </c>
    </row>
    <row r="49" spans="1:38" x14ac:dyDescent="0.35">
      <c r="A49" s="15" t="s">
        <v>59</v>
      </c>
      <c r="B49" s="5">
        <v>744</v>
      </c>
      <c r="C49" s="5">
        <v>828</v>
      </c>
      <c r="D49" s="5">
        <v>970</v>
      </c>
      <c r="E49" s="5">
        <v>972</v>
      </c>
      <c r="F49" s="5">
        <v>1034</v>
      </c>
      <c r="G49" s="5">
        <v>1082</v>
      </c>
      <c r="H49" s="5">
        <v>1215</v>
      </c>
      <c r="I49" s="5">
        <v>1122</v>
      </c>
      <c r="J49" s="5">
        <v>1122</v>
      </c>
      <c r="K49" s="5">
        <v>1121</v>
      </c>
      <c r="L49" s="5">
        <v>1171</v>
      </c>
      <c r="M49" s="23">
        <f t="shared" si="36"/>
        <v>-3.6213991769547323E-2</v>
      </c>
      <c r="N49" s="5">
        <v>990</v>
      </c>
      <c r="O49" s="23">
        <f t="shared" si="37"/>
        <v>-0.11764705882352941</v>
      </c>
      <c r="P49" s="5">
        <v>1169</v>
      </c>
      <c r="Q49" s="23">
        <f t="shared" si="38"/>
        <v>4.1889483065953657E-2</v>
      </c>
      <c r="R49" s="5">
        <v>1146</v>
      </c>
      <c r="S49" s="23">
        <f t="shared" si="39"/>
        <v>2.2301516503122211E-2</v>
      </c>
      <c r="T49" s="5">
        <v>1246</v>
      </c>
      <c r="U49" s="23">
        <f t="shared" si="40"/>
        <v>6.4047822374039276E-2</v>
      </c>
      <c r="V49" s="5">
        <v>1566</v>
      </c>
      <c r="W49" s="23">
        <f t="shared" si="41"/>
        <v>0.58181818181818179</v>
      </c>
      <c r="X49" s="5">
        <v>1752</v>
      </c>
      <c r="Y49" s="23">
        <f t="shared" si="42"/>
        <v>0.49871685201026517</v>
      </c>
      <c r="Z49" s="5">
        <v>1862</v>
      </c>
      <c r="AA49" s="23">
        <f t="shared" si="43"/>
        <v>0.62478184991273999</v>
      </c>
      <c r="AB49" s="5">
        <v>2240</v>
      </c>
      <c r="AC49" s="23">
        <f t="shared" si="44"/>
        <v>0.797752808988764</v>
      </c>
      <c r="AD49" s="5">
        <v>2196</v>
      </c>
      <c r="AE49" s="23">
        <f t="shared" si="45"/>
        <v>0.40229885057471265</v>
      </c>
      <c r="AF49" s="5">
        <v>2289</v>
      </c>
      <c r="AG49" s="23">
        <f t="shared" si="46"/>
        <v>0.3065068493150685</v>
      </c>
      <c r="AH49" s="5">
        <v>2334</v>
      </c>
      <c r="AI49" s="23">
        <f t="shared" si="46"/>
        <v>0.25349087003222343</v>
      </c>
      <c r="AJ49" s="5">
        <v>2447</v>
      </c>
      <c r="AK49" s="5">
        <v>2480</v>
      </c>
    </row>
    <row r="50" spans="1:38" x14ac:dyDescent="0.35">
      <c r="A50" s="15" t="s">
        <v>31</v>
      </c>
      <c r="B50" s="5">
        <v>1869</v>
      </c>
      <c r="C50" s="5">
        <v>1827</v>
      </c>
      <c r="D50" s="5">
        <v>1782</v>
      </c>
      <c r="E50" s="5">
        <v>1780</v>
      </c>
      <c r="F50" s="5">
        <v>1808</v>
      </c>
      <c r="G50" s="5">
        <v>1808</v>
      </c>
      <c r="H50" s="5">
        <v>1652</v>
      </c>
      <c r="I50" s="5">
        <v>1724</v>
      </c>
      <c r="J50" s="5">
        <v>1781</v>
      </c>
      <c r="K50" s="5">
        <v>1980</v>
      </c>
      <c r="L50" s="5">
        <v>2128</v>
      </c>
      <c r="M50" s="23">
        <f t="shared" si="36"/>
        <v>0.28813559322033899</v>
      </c>
      <c r="N50" s="5">
        <v>1939</v>
      </c>
      <c r="O50" s="23">
        <f t="shared" si="37"/>
        <v>0.12470997679814386</v>
      </c>
      <c r="P50" s="5">
        <v>1899</v>
      </c>
      <c r="Q50" s="23">
        <f t="shared" si="38"/>
        <v>6.6254912970241442E-2</v>
      </c>
      <c r="R50" s="5">
        <v>1906</v>
      </c>
      <c r="S50" s="23">
        <f t="shared" si="39"/>
        <v>-3.7373737373737372E-2</v>
      </c>
      <c r="T50" s="5">
        <v>1931</v>
      </c>
      <c r="U50" s="23">
        <f t="shared" si="40"/>
        <v>-9.257518796992481E-2</v>
      </c>
      <c r="V50" s="5">
        <v>1629</v>
      </c>
      <c r="W50" s="23">
        <f t="shared" si="41"/>
        <v>-0.15987622485817432</v>
      </c>
      <c r="X50" s="5">
        <v>1632</v>
      </c>
      <c r="Y50" s="23">
        <f t="shared" si="42"/>
        <v>-0.14060031595576619</v>
      </c>
      <c r="Z50" s="5">
        <v>1575</v>
      </c>
      <c r="AA50" s="23">
        <f t="shared" si="43"/>
        <v>-0.17366211962224554</v>
      </c>
      <c r="AB50" s="5">
        <v>1746</v>
      </c>
      <c r="AC50" s="23">
        <f t="shared" si="44"/>
        <v>-9.5805282237182807E-2</v>
      </c>
      <c r="AD50" s="5">
        <v>1760</v>
      </c>
      <c r="AE50" s="23">
        <f t="shared" si="45"/>
        <v>8.0417434008594232E-2</v>
      </c>
      <c r="AF50" s="5">
        <v>1758</v>
      </c>
      <c r="AG50" s="23">
        <f t="shared" si="46"/>
        <v>7.720588235294118E-2</v>
      </c>
      <c r="AH50" s="5">
        <v>1826</v>
      </c>
      <c r="AI50" s="23">
        <f t="shared" si="46"/>
        <v>0.15936507936507938</v>
      </c>
      <c r="AJ50" s="5">
        <v>1852</v>
      </c>
      <c r="AK50" s="5">
        <v>1939</v>
      </c>
    </row>
    <row r="51" spans="1:38" s="11" customFormat="1" ht="13.15" x14ac:dyDescent="0.4">
      <c r="A51" s="19" t="s">
        <v>60</v>
      </c>
      <c r="B51" s="11">
        <f>SUM(B46:B50)</f>
        <v>27771</v>
      </c>
      <c r="C51" s="11">
        <f t="shared" ref="C51:AL51" si="48">SUM(C46:C50)</f>
        <v>28829</v>
      </c>
      <c r="D51" s="11">
        <f t="shared" si="48"/>
        <v>32492</v>
      </c>
      <c r="E51" s="11">
        <f t="shared" si="48"/>
        <v>29993</v>
      </c>
      <c r="F51" s="11">
        <f t="shared" si="48"/>
        <v>29502</v>
      </c>
      <c r="G51" s="11">
        <f t="shared" si="48"/>
        <v>29730</v>
      </c>
      <c r="H51" s="11">
        <f t="shared" si="48"/>
        <v>32196</v>
      </c>
      <c r="I51" s="11">
        <f t="shared" si="48"/>
        <v>30946</v>
      </c>
      <c r="J51" s="11">
        <f t="shared" si="48"/>
        <v>33637</v>
      </c>
      <c r="K51" s="11">
        <f t="shared" si="48"/>
        <v>35422</v>
      </c>
      <c r="L51" s="11">
        <f t="shared" si="48"/>
        <v>37342</v>
      </c>
      <c r="M51" s="23">
        <f t="shared" si="36"/>
        <v>0.15983351969188719</v>
      </c>
      <c r="N51" s="11">
        <f t="shared" si="48"/>
        <v>36808</v>
      </c>
      <c r="O51" s="23">
        <f t="shared" si="37"/>
        <v>0.18942674335940024</v>
      </c>
      <c r="P51" s="11">
        <f t="shared" si="48"/>
        <v>35512</v>
      </c>
      <c r="Q51" s="23">
        <f t="shared" si="38"/>
        <v>5.57421886612956E-2</v>
      </c>
      <c r="R51" s="11">
        <f t="shared" si="48"/>
        <v>36525</v>
      </c>
      <c r="S51" s="23">
        <f t="shared" si="39"/>
        <v>3.1138840268759529E-2</v>
      </c>
      <c r="T51" s="11">
        <f t="shared" si="48"/>
        <v>40608</v>
      </c>
      <c r="U51" s="23">
        <f t="shared" si="40"/>
        <v>8.7461839215896314E-2</v>
      </c>
      <c r="V51" s="11">
        <f t="shared" si="48"/>
        <v>40984</v>
      </c>
      <c r="W51" s="23">
        <f t="shared" si="41"/>
        <v>0.11345359704412085</v>
      </c>
      <c r="X51" s="11">
        <f t="shared" si="48"/>
        <v>40068</v>
      </c>
      <c r="Y51" s="23">
        <f t="shared" si="42"/>
        <v>0.12829466095967559</v>
      </c>
      <c r="Z51" s="11">
        <f t="shared" si="48"/>
        <v>41878</v>
      </c>
      <c r="AA51" s="23">
        <f t="shared" si="43"/>
        <v>0.14655715263518138</v>
      </c>
      <c r="AB51" s="11">
        <f t="shared" si="48"/>
        <v>44596</v>
      </c>
      <c r="AC51" s="23">
        <f t="shared" si="44"/>
        <v>9.8207249802994487E-2</v>
      </c>
      <c r="AD51" s="11">
        <f t="shared" si="48"/>
        <v>42103</v>
      </c>
      <c r="AE51" s="23">
        <f t="shared" si="45"/>
        <v>2.7303337887956275E-2</v>
      </c>
      <c r="AF51" s="11">
        <f t="shared" si="48"/>
        <v>40545</v>
      </c>
      <c r="AG51" s="23">
        <f t="shared" si="46"/>
        <v>1.1904761904761904E-2</v>
      </c>
      <c r="AH51" s="11">
        <f t="shared" si="48"/>
        <v>41216</v>
      </c>
      <c r="AI51" s="11">
        <f t="shared" si="48"/>
        <v>0.12513988753972632</v>
      </c>
      <c r="AJ51" s="11">
        <f t="shared" si="48"/>
        <v>43715</v>
      </c>
      <c r="AK51" s="11">
        <f t="shared" si="48"/>
        <v>41924</v>
      </c>
      <c r="AL51" s="11">
        <f t="shared" si="48"/>
        <v>0</v>
      </c>
    </row>
    <row r="52" spans="1:38" x14ac:dyDescent="0.35">
      <c r="M52" s="23"/>
      <c r="O52" s="23"/>
      <c r="Q52" s="23"/>
      <c r="S52" s="23"/>
      <c r="U52" s="23"/>
      <c r="W52" s="23"/>
      <c r="Y52" s="23"/>
      <c r="AA52" s="23"/>
      <c r="AC52" s="23"/>
      <c r="AE52" s="23"/>
      <c r="AG52" s="23"/>
      <c r="AI52" s="23"/>
    </row>
    <row r="53" spans="1:38" s="11" customFormat="1" ht="13.15" x14ac:dyDescent="0.4">
      <c r="A53" s="9" t="s">
        <v>61</v>
      </c>
      <c r="B53" s="11">
        <f>B39-B51</f>
        <v>11158</v>
      </c>
      <c r="C53" s="11">
        <f t="shared" ref="C53:AL53" si="49">C39-C51</f>
        <v>11167</v>
      </c>
      <c r="D53" s="11">
        <f t="shared" si="49"/>
        <v>11080</v>
      </c>
      <c r="E53" s="11">
        <f t="shared" si="49"/>
        <v>11297</v>
      </c>
      <c r="F53" s="11">
        <f t="shared" si="49"/>
        <v>11117</v>
      </c>
      <c r="G53" s="11">
        <f t="shared" si="49"/>
        <v>11836</v>
      </c>
      <c r="H53" s="11">
        <f t="shared" si="49"/>
        <v>11545</v>
      </c>
      <c r="I53" s="11">
        <f t="shared" si="49"/>
        <v>11833</v>
      </c>
      <c r="J53" s="11">
        <f t="shared" si="49"/>
        <v>11169</v>
      </c>
      <c r="K53" s="11">
        <f t="shared" si="49"/>
        <v>12578</v>
      </c>
      <c r="L53" s="11">
        <f t="shared" si="49"/>
        <v>13319</v>
      </c>
      <c r="M53" s="23">
        <f t="shared" ref="M53:M62" si="50">(L53-H53)/H53</f>
        <v>0.15365959289735817</v>
      </c>
      <c r="N53" s="11">
        <f t="shared" si="49"/>
        <v>14440</v>
      </c>
      <c r="O53" s="23">
        <f>(N53-I53)/I53</f>
        <v>0.22031606524127439</v>
      </c>
      <c r="P53" s="11">
        <f t="shared" si="49"/>
        <v>14959</v>
      </c>
      <c r="Q53" s="23">
        <f t="shared" ref="Q53:Q62" si="51">(P53-J53)/J53</f>
        <v>0.33933207986390901</v>
      </c>
      <c r="R53" s="11">
        <f t="shared" si="49"/>
        <v>14860</v>
      </c>
      <c r="S53" s="23">
        <f t="shared" ref="S53:S62" si="52">(R53-K53)/K53</f>
        <v>0.18142788996660836</v>
      </c>
      <c r="T53" s="11">
        <f t="shared" si="49"/>
        <v>13803</v>
      </c>
      <c r="U53" s="23">
        <f>(T53-L53)/L53</f>
        <v>3.6339064494331406E-2</v>
      </c>
      <c r="V53" s="11">
        <f t="shared" si="49"/>
        <v>12827</v>
      </c>
      <c r="W53" s="23">
        <f>(V53-N53)/N53</f>
        <v>-0.11170360110803323</v>
      </c>
      <c r="X53" s="11">
        <f t="shared" si="49"/>
        <v>10774</v>
      </c>
      <c r="Y53" s="23">
        <f>(X53-P53)/P53</f>
        <v>-0.27976469015308508</v>
      </c>
      <c r="Z53" s="11">
        <f t="shared" si="49"/>
        <v>10592</v>
      </c>
      <c r="AA53" s="23">
        <f>(Z53-R53)/R53</f>
        <v>-0.28721399730820996</v>
      </c>
      <c r="AB53" s="11">
        <f t="shared" si="49"/>
        <v>11019</v>
      </c>
      <c r="AC53" s="23">
        <f>(AB53-T53)/T53</f>
        <v>-0.20169528363399261</v>
      </c>
      <c r="AD53" s="11">
        <f t="shared" si="49"/>
        <v>11232</v>
      </c>
      <c r="AE53" s="23">
        <f>(AD53-V53)/V53</f>
        <v>-0.12434708037732907</v>
      </c>
      <c r="AF53" s="11">
        <f t="shared" si="49"/>
        <v>11605</v>
      </c>
      <c r="AG53" s="23">
        <f>(AF53-X53)/X53</f>
        <v>7.7130128086133287E-2</v>
      </c>
      <c r="AH53" s="11">
        <f t="shared" si="49"/>
        <v>11990</v>
      </c>
      <c r="AI53" s="11">
        <f t="shared" si="49"/>
        <v>-0.23248106578915417</v>
      </c>
      <c r="AJ53" s="11">
        <f t="shared" si="49"/>
        <v>12514</v>
      </c>
      <c r="AK53" s="11">
        <f t="shared" si="49"/>
        <v>13432</v>
      </c>
      <c r="AL53" s="11">
        <f t="shared" si="49"/>
        <v>0</v>
      </c>
    </row>
    <row r="54" spans="1:38" x14ac:dyDescent="0.35">
      <c r="A54" s="14" t="s">
        <v>62</v>
      </c>
      <c r="B54" s="5">
        <f>B7-B8+B9</f>
        <v>44310.21</v>
      </c>
      <c r="C54" s="5">
        <f t="shared" ref="C54:AH54" si="53">C7-C8+C9</f>
        <v>48928.831999999995</v>
      </c>
      <c r="D54" s="5">
        <f t="shared" si="53"/>
        <v>51105.52</v>
      </c>
      <c r="E54" s="5">
        <f t="shared" si="53"/>
        <v>44099.736000000004</v>
      </c>
      <c r="F54" s="5">
        <f t="shared" si="53"/>
        <v>47308.885000000002</v>
      </c>
      <c r="G54" s="5">
        <f t="shared" si="53"/>
        <v>48667.559000000001</v>
      </c>
      <c r="H54" s="5">
        <f t="shared" si="53"/>
        <v>62280.811999999991</v>
      </c>
      <c r="I54" s="5">
        <f t="shared" si="53"/>
        <v>62291.756000000008</v>
      </c>
      <c r="J54" s="5">
        <f t="shared" si="53"/>
        <v>61135.091999999997</v>
      </c>
      <c r="K54" s="5">
        <f t="shared" si="53"/>
        <v>66249.736000000004</v>
      </c>
      <c r="L54" s="5">
        <f t="shared" si="53"/>
        <v>79685.623999999996</v>
      </c>
      <c r="M54" s="23">
        <f t="shared" si="50"/>
        <v>0.27945705011039368</v>
      </c>
      <c r="N54" s="5">
        <f t="shared" si="53"/>
        <v>91486.957999999999</v>
      </c>
      <c r="O54" s="23">
        <f>(N54-I54)/I54</f>
        <v>0.46868484490949308</v>
      </c>
      <c r="P54" s="5">
        <f t="shared" si="53"/>
        <v>104695.254</v>
      </c>
      <c r="Q54" s="23">
        <f t="shared" si="51"/>
        <v>0.7125230465016722</v>
      </c>
      <c r="R54" s="5">
        <f t="shared" si="53"/>
        <v>130109.375</v>
      </c>
      <c r="S54" s="23">
        <f t="shared" si="52"/>
        <v>0.96392292038718452</v>
      </c>
      <c r="T54" s="5">
        <f t="shared" si="53"/>
        <v>129417.728</v>
      </c>
      <c r="U54" s="23">
        <f t="shared" ref="U54:U62" si="54">(T54-L54)/L54</f>
        <v>0.62410384086344117</v>
      </c>
      <c r="V54" s="5">
        <f t="shared" si="53"/>
        <v>111478.007</v>
      </c>
      <c r="W54" s="23">
        <f t="shared" ref="W54:W62" si="55">(V54-N54)/N54</f>
        <v>0.2185125556366187</v>
      </c>
      <c r="X54" s="5">
        <f t="shared" si="53"/>
        <v>117202.92200000001</v>
      </c>
      <c r="Y54" s="23">
        <f t="shared" ref="Y54:Y62" si="56">(X54-P54)/P54</f>
        <v>0.11946738292454026</v>
      </c>
      <c r="Z54" s="5">
        <f t="shared" si="53"/>
        <v>87831.843999999997</v>
      </c>
      <c r="AA54" s="23">
        <f t="shared" ref="AA54:AA62" si="57">(Z54-R54)/R54</f>
        <v>-0.32493839125735563</v>
      </c>
      <c r="AB54" s="5">
        <f t="shared" si="53"/>
        <v>91497.25</v>
      </c>
      <c r="AC54" s="23">
        <f t="shared" ref="AC54:AC62" si="58">(AB54-T54)/T54</f>
        <v>-0.29300837362868865</v>
      </c>
      <c r="AD54" s="5">
        <f t="shared" si="53"/>
        <v>91222.138999999996</v>
      </c>
      <c r="AE54" s="23">
        <f t="shared" ref="AE54:AE62" si="59">(AD54-V54)/V54</f>
        <v>-0.18170281784818779</v>
      </c>
      <c r="AF54" s="5">
        <f t="shared" si="53"/>
        <v>87416.172000000006</v>
      </c>
      <c r="AG54" s="23">
        <f t="shared" ref="AG54:AG62" si="60">(AF54-X54)/X54</f>
        <v>-0.25414682067397604</v>
      </c>
      <c r="AH54" s="5">
        <f t="shared" si="53"/>
        <v>76852.5</v>
      </c>
      <c r="AI54" s="5">
        <f t="shared" ref="AI54:AL54" si="61">AI7-AI8+AI9</f>
        <v>-0.6670639299778629</v>
      </c>
      <c r="AJ54" s="5">
        <f t="shared" si="61"/>
        <v>65190.818000000007</v>
      </c>
      <c r="AK54" s="5">
        <f t="shared" si="61"/>
        <v>77770.912000000011</v>
      </c>
      <c r="AL54" s="5">
        <f t="shared" si="61"/>
        <v>0</v>
      </c>
    </row>
    <row r="55" spans="1:38" x14ac:dyDescent="0.35">
      <c r="A55" s="14" t="s">
        <v>63</v>
      </c>
      <c r="B55" s="21">
        <f>B28/B6</f>
        <v>1.3253234750462106</v>
      </c>
      <c r="C55" s="21">
        <f t="shared" ref="C55:AH55" si="62">C28/C6</f>
        <v>1.4898377773634162</v>
      </c>
      <c r="D55" s="21">
        <f t="shared" si="62"/>
        <v>1.1596385542168675</v>
      </c>
      <c r="E55" s="21">
        <f t="shared" si="62"/>
        <v>1.4966241560390097</v>
      </c>
      <c r="F55" s="21">
        <f t="shared" si="62"/>
        <v>1.5245428296438883</v>
      </c>
      <c r="G55" s="21">
        <f t="shared" si="62"/>
        <v>1.8174772330943614</v>
      </c>
      <c r="H55" s="21">
        <f t="shared" si="62"/>
        <v>1.3714063714063716</v>
      </c>
      <c r="I55" s="21">
        <f t="shared" si="62"/>
        <v>1.6155934833204033</v>
      </c>
      <c r="J55" s="21">
        <f t="shared" si="62"/>
        <v>0.56148675365757217</v>
      </c>
      <c r="K55" s="21">
        <f t="shared" si="62"/>
        <v>3.3505154639175259</v>
      </c>
      <c r="L55" s="21">
        <f t="shared" si="62"/>
        <v>2.0063316185199844</v>
      </c>
      <c r="M55" s="23">
        <f t="shared" si="50"/>
        <v>0.46297382041655505</v>
      </c>
      <c r="N55" s="21">
        <f t="shared" si="62"/>
        <v>2.730510486743174</v>
      </c>
      <c r="O55" s="23">
        <f>(N55-I55)/I55</f>
        <v>0.69009748735267773</v>
      </c>
      <c r="P55" s="21">
        <f>P28/P6</f>
        <v>4.1656734207389752</v>
      </c>
      <c r="Q55" s="23">
        <f t="shared" si="51"/>
        <v>6.4190056908794846</v>
      </c>
      <c r="R55" s="21">
        <f t="shared" si="62"/>
        <v>3.6522613065326635</v>
      </c>
      <c r="S55" s="23">
        <f t="shared" si="52"/>
        <v>9.0059528411287212E-2</v>
      </c>
      <c r="T55" s="21">
        <f t="shared" si="62"/>
        <v>3.0404577033101758</v>
      </c>
      <c r="U55" s="23">
        <f t="shared" si="54"/>
        <v>0.51543128525933202</v>
      </c>
      <c r="V55" s="21">
        <f t="shared" si="62"/>
        <v>3.1337527907448752</v>
      </c>
      <c r="W55" s="23">
        <f t="shared" si="55"/>
        <v>0.14768018872642014</v>
      </c>
      <c r="X55" s="21">
        <f t="shared" si="62"/>
        <v>2.1569046601111586</v>
      </c>
      <c r="Y55" s="23">
        <f t="shared" si="56"/>
        <v>-0.48221945355271473</v>
      </c>
      <c r="Z55" s="21">
        <f t="shared" si="62"/>
        <v>0.39473684210526316</v>
      </c>
      <c r="AA55" s="23">
        <f t="shared" si="57"/>
        <v>-0.89191987950062279</v>
      </c>
      <c r="AB55" s="21">
        <f t="shared" si="62"/>
        <v>1.5394594594594595</v>
      </c>
      <c r="AC55" s="23">
        <f t="shared" si="58"/>
        <v>-0.49367509444928798</v>
      </c>
      <c r="AD55" s="21">
        <f t="shared" si="62"/>
        <v>1.8850871530019369</v>
      </c>
      <c r="AE55" s="23">
        <f t="shared" si="59"/>
        <v>-0.39845696872794412</v>
      </c>
      <c r="AF55" s="21">
        <f t="shared" si="62"/>
        <v>2.0522791099589544</v>
      </c>
      <c r="AG55" s="23">
        <f t="shared" si="60"/>
        <v>-4.8507266958573964E-2</v>
      </c>
      <c r="AH55" s="21">
        <f t="shared" si="62"/>
        <v>1.8054054054054054</v>
      </c>
      <c r="AI55" s="21">
        <f t="shared" ref="AI55:AL55" si="63">AI28/AI6</f>
        <v>-1501.5757575757266</v>
      </c>
      <c r="AJ55" s="21">
        <f t="shared" si="63"/>
        <v>2.0373478808224927</v>
      </c>
      <c r="AK55" s="21">
        <f t="shared" si="63"/>
        <v>2.9842366659468795</v>
      </c>
      <c r="AL55" s="21" t="e">
        <f t="shared" si="63"/>
        <v>#DIV/0!</v>
      </c>
    </row>
    <row r="56" spans="1:38" x14ac:dyDescent="0.35">
      <c r="A56" s="14" t="s">
        <v>66</v>
      </c>
      <c r="B56" s="22">
        <f>B28/B14</f>
        <v>4.2726893510517845E-2</v>
      </c>
      <c r="C56" s="22">
        <f t="shared" ref="C56:AF56" si="64">C28/C14</f>
        <v>4.4948244824482446E-2</v>
      </c>
      <c r="D56" s="22">
        <f t="shared" si="64"/>
        <v>3.4565961506088323E-2</v>
      </c>
      <c r="E56" s="22">
        <f t="shared" si="64"/>
        <v>3.4728871094090001E-2</v>
      </c>
      <c r="F56" s="22">
        <f t="shared" si="64"/>
        <v>4.4931071651443805E-2</v>
      </c>
      <c r="G56" s="22">
        <f t="shared" si="64"/>
        <v>5.0917381391814134E-2</v>
      </c>
      <c r="H56" s="22">
        <f t="shared" si="64"/>
        <v>3.7824805786230917E-2</v>
      </c>
      <c r="I56" s="22">
        <f t="shared" si="64"/>
        <v>3.5601333447303186E-2</v>
      </c>
      <c r="J56" s="22">
        <f t="shared" si="64"/>
        <v>1.4478715268926842E-2</v>
      </c>
      <c r="K56" s="22">
        <f t="shared" si="64"/>
        <v>7.3558215451577799E-2</v>
      </c>
      <c r="L56" s="22">
        <f t="shared" si="64"/>
        <v>4.4803817603393428E-2</v>
      </c>
      <c r="M56" s="23">
        <f t="shared" si="50"/>
        <v>0.18450886057696639</v>
      </c>
      <c r="N56" s="22">
        <f t="shared" si="64"/>
        <v>4.8696143124316311E-2</v>
      </c>
      <c r="O56" s="23">
        <f>(N56-I56)/I56</f>
        <v>0.3678179553694515</v>
      </c>
      <c r="P56" s="22">
        <f t="shared" si="64"/>
        <v>8.6663635987932391E-2</v>
      </c>
      <c r="Q56" s="23">
        <f t="shared" si="51"/>
        <v>4.9855888024763866</v>
      </c>
      <c r="R56" s="22">
        <f t="shared" si="64"/>
        <v>7.2217806041335458E-2</v>
      </c>
      <c r="S56" s="23">
        <f t="shared" si="52"/>
        <v>-1.8222429704330047E-2</v>
      </c>
      <c r="T56" s="22">
        <f t="shared" si="64"/>
        <v>5.8007172929985966E-2</v>
      </c>
      <c r="U56" s="23">
        <f t="shared" si="54"/>
        <v>0.2946926407805151</v>
      </c>
      <c r="V56" s="22">
        <f t="shared" si="64"/>
        <v>4.9812879081171761E-2</v>
      </c>
      <c r="W56" s="23">
        <f t="shared" si="55"/>
        <v>2.2932739334294631E-2</v>
      </c>
      <c r="X56" s="22">
        <f t="shared" si="64"/>
        <v>4.0087405641636868E-2</v>
      </c>
      <c r="Y56" s="23">
        <f t="shared" si="56"/>
        <v>-0.53743683628484151</v>
      </c>
      <c r="Z56" s="22">
        <f t="shared" si="64"/>
        <v>7.0284594999423895E-3</v>
      </c>
      <c r="AA56" s="23">
        <f t="shared" si="57"/>
        <v>-0.90267691743613065</v>
      </c>
      <c r="AB56" s="22">
        <f t="shared" si="64"/>
        <v>2.684968700505317E-2</v>
      </c>
      <c r="AC56" s="23">
        <f t="shared" si="58"/>
        <v>-0.53713160547471506</v>
      </c>
      <c r="AD56" s="22">
        <f t="shared" si="64"/>
        <v>2.7902532250358339E-2</v>
      </c>
      <c r="AE56" s="23">
        <f t="shared" si="59"/>
        <v>-0.43985305075640729</v>
      </c>
      <c r="AF56" s="22">
        <f t="shared" si="64"/>
        <v>3.7516783824342467E-2</v>
      </c>
      <c r="AG56" s="23">
        <f t="shared" si="60"/>
        <v>-6.4125422340237936E-2</v>
      </c>
      <c r="AH56" s="22">
        <f>AH28/AH14</f>
        <v>3.3706050942558428E-2</v>
      </c>
      <c r="AI56" s="22">
        <f t="shared" ref="AI56:AL56" si="65">AI28/AI14</f>
        <v>-73.390589333886695</v>
      </c>
      <c r="AJ56" s="22">
        <f t="shared" si="65"/>
        <v>3.8231356799748012E-2</v>
      </c>
      <c r="AK56" s="22">
        <f t="shared" si="65"/>
        <v>4.3297095773677123E-2</v>
      </c>
      <c r="AL56" s="22" t="e">
        <f t="shared" si="65"/>
        <v>#DIV/0!</v>
      </c>
    </row>
    <row r="57" spans="1:38" x14ac:dyDescent="0.35">
      <c r="A57" s="26" t="s">
        <v>71</v>
      </c>
      <c r="B57" s="24">
        <f>B16/B14</f>
        <v>0.69274775043203618</v>
      </c>
      <c r="C57" s="24">
        <f t="shared" ref="C57:AH57" si="66">C16/C14</f>
        <v>0.68851260126012603</v>
      </c>
      <c r="D57" s="24">
        <f t="shared" si="66"/>
        <v>0.70338364850457324</v>
      </c>
      <c r="E57" s="24">
        <f t="shared" si="66"/>
        <v>0.73548611715554013</v>
      </c>
      <c r="F57" s="24">
        <f t="shared" si="66"/>
        <v>0.69484313836727751</v>
      </c>
      <c r="G57" s="24">
        <f t="shared" si="66"/>
        <v>0.68532189773097385</v>
      </c>
      <c r="H57" s="24">
        <f t="shared" si="66"/>
        <v>0.69300830431288507</v>
      </c>
      <c r="I57" s="24">
        <f t="shared" si="66"/>
        <v>0.72895119240960771</v>
      </c>
      <c r="J57" s="24">
        <f t="shared" si="66"/>
        <v>0.73973999490186082</v>
      </c>
      <c r="K57" s="24">
        <f t="shared" si="66"/>
        <v>0.68217627856365615</v>
      </c>
      <c r="L57" s="24">
        <f t="shared" si="66"/>
        <v>0.68526864616472249</v>
      </c>
      <c r="M57" s="23">
        <f t="shared" si="50"/>
        <v>-1.1168204046034363E-2</v>
      </c>
      <c r="N57" s="24">
        <f t="shared" si="66"/>
        <v>0.72285542891421717</v>
      </c>
      <c r="O57" s="23">
        <f>(N57-K57)/K57</f>
        <v>5.9631434907429302E-2</v>
      </c>
      <c r="P57" s="24">
        <f t="shared" si="66"/>
        <v>0.69082944166632232</v>
      </c>
      <c r="Q57" s="23">
        <f t="shared" si="51"/>
        <v>-6.6118573515857176E-2</v>
      </c>
      <c r="R57" s="24">
        <f t="shared" si="66"/>
        <v>0.68680445151033387</v>
      </c>
      <c r="S57" s="23">
        <f t="shared" si="52"/>
        <v>6.7844237510317528E-3</v>
      </c>
      <c r="T57" s="24">
        <f t="shared" si="66"/>
        <v>0.70973023545922342</v>
      </c>
      <c r="U57" s="23">
        <f t="shared" si="54"/>
        <v>3.5696349791291833E-2</v>
      </c>
      <c r="V57" s="24">
        <f t="shared" si="66"/>
        <v>0.73432055749128922</v>
      </c>
      <c r="W57" s="23">
        <f t="shared" si="55"/>
        <v>1.5860887417410045E-2</v>
      </c>
      <c r="X57" s="24">
        <f t="shared" si="66"/>
        <v>0.73345252284465634</v>
      </c>
      <c r="Y57" s="23">
        <f t="shared" si="56"/>
        <v>6.1698414409676251E-2</v>
      </c>
      <c r="Z57" s="24">
        <f t="shared" si="66"/>
        <v>0.77359142758382304</v>
      </c>
      <c r="AA57" s="23">
        <f t="shared" si="57"/>
        <v>0.12636344432922383</v>
      </c>
      <c r="AB57" s="24">
        <f t="shared" si="66"/>
        <v>0.74213741609472816</v>
      </c>
      <c r="AC57" s="23">
        <f t="shared" si="58"/>
        <v>4.5661265388441591E-2</v>
      </c>
      <c r="AD57" s="24">
        <f t="shared" si="66"/>
        <v>0.76273291925465836</v>
      </c>
      <c r="AE57" s="23">
        <f t="shared" si="59"/>
        <v>3.8692041879416106E-2</v>
      </c>
      <c r="AF57" s="24">
        <f t="shared" si="66"/>
        <v>0.72608798673090591</v>
      </c>
      <c r="AG57" s="23">
        <f t="shared" si="60"/>
        <v>-1.0040917284171948E-2</v>
      </c>
      <c r="AH57" s="24">
        <f t="shared" si="66"/>
        <v>0.71844346667743109</v>
      </c>
      <c r="AI57" s="24">
        <f t="shared" ref="AI57:AL57" si="67">AI16/AI14</f>
        <v>2.3971702808791755</v>
      </c>
      <c r="AJ57" s="24">
        <f t="shared" si="67"/>
        <v>0.71458382549807076</v>
      </c>
      <c r="AK57" s="24">
        <f t="shared" si="67"/>
        <v>0.73319966164353523</v>
      </c>
      <c r="AL57" s="24" t="e">
        <f t="shared" si="67"/>
        <v>#DIV/0!</v>
      </c>
    </row>
    <row r="58" spans="1:38" x14ac:dyDescent="0.35">
      <c r="A58" s="26" t="s">
        <v>72</v>
      </c>
      <c r="B58" s="24">
        <f>B14/B39</f>
        <v>0.43106681394333274</v>
      </c>
      <c r="C58" s="24">
        <f t="shared" ref="C58:R58" si="68">C14/C39</f>
        <v>0.44444444444444442</v>
      </c>
      <c r="D58" s="24">
        <f t="shared" si="68"/>
        <v>0.40900119342697144</v>
      </c>
      <c r="E58" s="24">
        <f t="shared" si="68"/>
        <v>0.55650278517800922</v>
      </c>
      <c r="F58" s="24">
        <f t="shared" si="68"/>
        <v>0.43395947709200128</v>
      </c>
      <c r="G58" s="24">
        <f t="shared" si="68"/>
        <v>0.44319876822402926</v>
      </c>
      <c r="H58" s="24">
        <f t="shared" si="68"/>
        <v>0.42671635307834754</v>
      </c>
      <c r="I58" s="24">
        <f t="shared" si="68"/>
        <v>0.546950606606045</v>
      </c>
      <c r="J58" s="24">
        <f t="shared" si="68"/>
        <v>0.43777619068874707</v>
      </c>
      <c r="K58" s="24">
        <f t="shared" si="68"/>
        <v>0.47864583333333333</v>
      </c>
      <c r="L58" s="24">
        <f t="shared" si="68"/>
        <v>0.44673417421685319</v>
      </c>
      <c r="M58" s="23">
        <f t="shared" si="50"/>
        <v>4.6911305353301652E-2</v>
      </c>
      <c r="N58" s="24">
        <f t="shared" si="68"/>
        <v>0.55297767717764601</v>
      </c>
      <c r="O58" s="23">
        <f>(N58-K58)/K58</f>
        <v>0.15529612642119733</v>
      </c>
      <c r="P58" s="24">
        <f t="shared" si="68"/>
        <v>0.4794238275445305</v>
      </c>
      <c r="Q58" s="23">
        <f t="shared" si="51"/>
        <v>9.5134540757595323E-2</v>
      </c>
      <c r="R58" s="24">
        <f t="shared" si="68"/>
        <v>0.48963705361486815</v>
      </c>
      <c r="S58" s="23">
        <f t="shared" si="52"/>
        <v>2.2963158803641841E-2</v>
      </c>
      <c r="T58" s="24">
        <f t="shared" ref="T58:AH58" si="69">T14/T39</f>
        <v>0.47144878792891143</v>
      </c>
      <c r="U58" s="23">
        <f t="shared" si="54"/>
        <v>5.5322863435250204E-2</v>
      </c>
      <c r="V58" s="24">
        <f t="shared" si="69"/>
        <v>0.57601605619668839</v>
      </c>
      <c r="W58" s="23">
        <f t="shared" si="55"/>
        <v>4.1662403329965195E-2</v>
      </c>
      <c r="X58" s="24">
        <f t="shared" si="69"/>
        <v>0.49506313677668068</v>
      </c>
      <c r="Y58" s="23">
        <f t="shared" si="56"/>
        <v>3.2621051215268489E-2</v>
      </c>
      <c r="Z58" s="24">
        <f t="shared" si="69"/>
        <v>0.49622641509433962</v>
      </c>
      <c r="AA58" s="23">
        <f t="shared" si="57"/>
        <v>1.3457644659087517E-2</v>
      </c>
      <c r="AB58" s="24">
        <f t="shared" si="69"/>
        <v>0.47681380922413019</v>
      </c>
      <c r="AC58" s="23">
        <f t="shared" si="58"/>
        <v>1.1379860193908785E-2</v>
      </c>
      <c r="AD58" s="24">
        <f t="shared" si="69"/>
        <v>0.58863785506702915</v>
      </c>
      <c r="AE58" s="23">
        <f t="shared" si="59"/>
        <v>2.1912234449990537E-2</v>
      </c>
      <c r="AF58" s="24">
        <f t="shared" si="69"/>
        <v>0.48556088207094916</v>
      </c>
      <c r="AG58" s="23">
        <f t="shared" si="60"/>
        <v>-1.9194025973333403E-2</v>
      </c>
      <c r="AH58" s="24">
        <f t="shared" si="69"/>
        <v>0.46560538285155811</v>
      </c>
      <c r="AI58" s="24">
        <f t="shared" ref="AI58:AL58" si="70">AI14/AI39</f>
        <v>0.45226166033004772</v>
      </c>
      <c r="AJ58" s="24">
        <f t="shared" si="70"/>
        <v>0.45168863042202423</v>
      </c>
      <c r="AK58" s="24">
        <f t="shared" si="70"/>
        <v>0.57661319459498517</v>
      </c>
      <c r="AL58" s="24" t="e">
        <f t="shared" si="70"/>
        <v>#DIV/0!</v>
      </c>
    </row>
    <row r="59" spans="1:38" x14ac:dyDescent="0.35">
      <c r="A59" s="14" t="s">
        <v>67</v>
      </c>
      <c r="B59" s="24">
        <f>B35/B46</f>
        <v>0.90302225174360673</v>
      </c>
      <c r="C59" s="24">
        <f t="shared" ref="C59:AH59" si="71">C35/C46</f>
        <v>0.81941872061547227</v>
      </c>
      <c r="D59" s="24">
        <f t="shared" si="71"/>
        <v>0.83223422399090397</v>
      </c>
      <c r="E59" s="24">
        <f t="shared" si="71"/>
        <v>0.83382176635140537</v>
      </c>
      <c r="F59" s="24">
        <f t="shared" si="71"/>
        <v>0.87672784953546345</v>
      </c>
      <c r="G59" s="24">
        <f t="shared" si="71"/>
        <v>0.84370648844333052</v>
      </c>
      <c r="H59" s="24">
        <f t="shared" si="71"/>
        <v>0.83122591522157996</v>
      </c>
      <c r="I59" s="24">
        <f t="shared" si="71"/>
        <v>0.89059156485124591</v>
      </c>
      <c r="J59" s="24">
        <f t="shared" si="71"/>
        <v>1.0140854843186233</v>
      </c>
      <c r="K59" s="24">
        <f t="shared" si="71"/>
        <v>1.1089227284168135</v>
      </c>
      <c r="L59" s="24">
        <f t="shared" si="71"/>
        <v>1.0491811747688176</v>
      </c>
      <c r="M59" s="23">
        <f t="shared" si="50"/>
        <v>0.26220941329666947</v>
      </c>
      <c r="N59" s="24">
        <f t="shared" si="71"/>
        <v>1.0313540372670806</v>
      </c>
      <c r="O59" s="23">
        <f>(N59-K59)/K59</f>
        <v>-6.994959086146256E-2</v>
      </c>
      <c r="P59" s="24">
        <f t="shared" si="71"/>
        <v>1.0716743735885579</v>
      </c>
      <c r="Q59" s="23">
        <f t="shared" si="51"/>
        <v>5.6788988857906043E-2</v>
      </c>
      <c r="R59" s="24">
        <f t="shared" si="71"/>
        <v>1.0416537946658428</v>
      </c>
      <c r="S59" s="23">
        <f t="shared" si="52"/>
        <v>-6.0661515926370403E-2</v>
      </c>
      <c r="T59" s="24">
        <f t="shared" si="71"/>
        <v>0.96681084321870581</v>
      </c>
      <c r="U59" s="23">
        <f t="shared" si="54"/>
        <v>-7.8509158885987154E-2</v>
      </c>
      <c r="V59" s="24">
        <f t="shared" si="71"/>
        <v>0.99199889639950334</v>
      </c>
      <c r="W59" s="23">
        <f t="shared" si="55"/>
        <v>-3.8158711214106439E-2</v>
      </c>
      <c r="X59" s="24">
        <f t="shared" si="71"/>
        <v>0.86629029144952707</v>
      </c>
      <c r="Y59" s="23">
        <f t="shared" si="56"/>
        <v>-0.19164784303957128</v>
      </c>
      <c r="Z59" s="24">
        <f t="shared" si="71"/>
        <v>0.82214301626197372</v>
      </c>
      <c r="AA59" s="23">
        <f t="shared" si="57"/>
        <v>-0.21073295132024844</v>
      </c>
      <c r="AB59" s="24">
        <f t="shared" si="71"/>
        <v>0.85746121178993395</v>
      </c>
      <c r="AC59" s="23">
        <f t="shared" si="58"/>
        <v>-0.11310343920505189</v>
      </c>
      <c r="AD59" s="24">
        <f t="shared" si="71"/>
        <v>0.91517948717948716</v>
      </c>
      <c r="AE59" s="23">
        <f t="shared" si="59"/>
        <v>-7.7439006735627494E-2</v>
      </c>
      <c r="AF59" s="24">
        <f t="shared" si="71"/>
        <v>0.88280069401690264</v>
      </c>
      <c r="AG59" s="23">
        <f t="shared" si="60"/>
        <v>1.9058741313779944E-2</v>
      </c>
      <c r="AH59" s="24">
        <f t="shared" si="71"/>
        <v>0.83271260086902543</v>
      </c>
      <c r="AI59" s="24">
        <f t="shared" ref="AI59:AL59" si="72">AI35/AI46</f>
        <v>0.25653411745425364</v>
      </c>
      <c r="AJ59" s="24">
        <f t="shared" si="72"/>
        <v>0.86498930332062129</v>
      </c>
      <c r="AK59" s="24">
        <f t="shared" si="72"/>
        <v>0.90644426025694158</v>
      </c>
      <c r="AL59" s="24" t="e">
        <f t="shared" si="72"/>
        <v>#DIV/0!</v>
      </c>
    </row>
    <row r="60" spans="1:38" x14ac:dyDescent="0.35">
      <c r="A60" s="26" t="s">
        <v>73</v>
      </c>
      <c r="B60" s="24">
        <f>(B35-B33)/B46</f>
        <v>0.18465626037861177</v>
      </c>
      <c r="C60" s="24">
        <f t="shared" ref="C60:AH60" si="73">(C35-C33)/C46</f>
        <v>0.17032340789286224</v>
      </c>
      <c r="D60" s="24">
        <f t="shared" si="73"/>
        <v>0.12768618533257534</v>
      </c>
      <c r="E60" s="24">
        <f t="shared" si="73"/>
        <v>0.20127880644731583</v>
      </c>
      <c r="F60" s="24">
        <f t="shared" si="73"/>
        <v>0.19238613188307274</v>
      </c>
      <c r="G60" s="24">
        <f t="shared" si="73"/>
        <v>0.20864661654135339</v>
      </c>
      <c r="H60" s="24">
        <f t="shared" si="73"/>
        <v>0.14505057803468208</v>
      </c>
      <c r="I60" s="24">
        <f t="shared" si="73"/>
        <v>0.26989714916821977</v>
      </c>
      <c r="J60" s="24">
        <f t="shared" si="73"/>
        <v>0.4184707188454066</v>
      </c>
      <c r="K60" s="24">
        <f t="shared" si="73"/>
        <v>0.55040271834885479</v>
      </c>
      <c r="L60" s="24">
        <f t="shared" si="73"/>
        <v>0.39246784109107818</v>
      </c>
      <c r="M60" s="23">
        <f t="shared" si="50"/>
        <v>1.7057309692157023</v>
      </c>
      <c r="N60" s="24">
        <f t="shared" si="73"/>
        <v>0.50201242236024846</v>
      </c>
      <c r="O60" s="23">
        <f>(N60-K60)/K60</f>
        <v>-8.7917981462322145E-2</v>
      </c>
      <c r="P60" s="24">
        <f t="shared" si="73"/>
        <v>0.50500053769222497</v>
      </c>
      <c r="Q60" s="23">
        <f t="shared" si="51"/>
        <v>0.20677628075283475</v>
      </c>
      <c r="R60" s="24">
        <f t="shared" si="73"/>
        <v>0.46195036556482338</v>
      </c>
      <c r="S60" s="23">
        <f t="shared" si="52"/>
        <v>-0.16070478912127897</v>
      </c>
      <c r="T60" s="24">
        <f t="shared" si="73"/>
        <v>0.32623870498051477</v>
      </c>
      <c r="U60" s="23">
        <f t="shared" si="54"/>
        <v>-0.16875047883272026</v>
      </c>
      <c r="V60" s="24">
        <f t="shared" si="73"/>
        <v>0.35273830873223894</v>
      </c>
      <c r="W60" s="23">
        <f t="shared" si="55"/>
        <v>-0.29735143390712576</v>
      </c>
      <c r="X60" s="24">
        <f t="shared" si="73"/>
        <v>0.13848677861416714</v>
      </c>
      <c r="Y60" s="23">
        <f t="shared" si="56"/>
        <v>-0.72576904720333468</v>
      </c>
      <c r="Z60" s="24">
        <f t="shared" si="73"/>
        <v>0.13958565382044999</v>
      </c>
      <c r="AA60" s="23">
        <f t="shared" si="57"/>
        <v>-0.69783408732715346</v>
      </c>
      <c r="AB60" s="24">
        <f t="shared" si="73"/>
        <v>0.13774544842955053</v>
      </c>
      <c r="AC60" s="23">
        <f t="shared" si="58"/>
        <v>-0.57777711127875631</v>
      </c>
      <c r="AD60" s="24">
        <f t="shared" si="73"/>
        <v>0.22292307692307692</v>
      </c>
      <c r="AE60" s="23">
        <f t="shared" si="59"/>
        <v>-0.36802135916488676</v>
      </c>
      <c r="AF60" s="24">
        <f t="shared" si="73"/>
        <v>0.17669446465551017</v>
      </c>
      <c r="AG60" s="23">
        <f t="shared" si="60"/>
        <v>0.27589410645323797</v>
      </c>
      <c r="AH60" s="24">
        <f t="shared" si="73"/>
        <v>0.17659838609559281</v>
      </c>
      <c r="AI60" s="24">
        <f t="shared" ref="AI60:AL60" si="74">(AI35-AI33)/AI46</f>
        <v>-8.9331859798036872E-2</v>
      </c>
      <c r="AJ60" s="24">
        <f t="shared" si="74"/>
        <v>0.17989024276811461</v>
      </c>
      <c r="AK60" s="24">
        <f t="shared" si="74"/>
        <v>0.29071694985495233</v>
      </c>
      <c r="AL60" s="24" t="e">
        <f t="shared" si="74"/>
        <v>#DIV/0!</v>
      </c>
    </row>
    <row r="61" spans="1:38" x14ac:dyDescent="0.35">
      <c r="A61" s="26" t="s">
        <v>68</v>
      </c>
      <c r="B61" s="27" t="s">
        <v>70</v>
      </c>
      <c r="C61" s="27" t="s">
        <v>70</v>
      </c>
      <c r="D61" s="24">
        <f t="shared" ref="D61:K61" si="75">D16/((D33+B33)/2)</f>
        <v>1.1912568306010929</v>
      </c>
      <c r="E61" s="24">
        <f t="shared" si="75"/>
        <v>1.8163254339298189</v>
      </c>
      <c r="F61" s="24">
        <f t="shared" si="75"/>
        <v>1.1418449634083812</v>
      </c>
      <c r="G61" s="24">
        <f t="shared" si="75"/>
        <v>1.3561415758096569</v>
      </c>
      <c r="H61" s="24">
        <f t="shared" si="75"/>
        <v>1.2646656237778646</v>
      </c>
      <c r="I61" s="24">
        <f t="shared" si="75"/>
        <v>1.8831842773545324</v>
      </c>
      <c r="J61" s="24">
        <f t="shared" si="75"/>
        <v>1.4524524524524525</v>
      </c>
      <c r="K61" s="24">
        <f t="shared" si="75"/>
        <v>1.7543093798970226</v>
      </c>
      <c r="L61" s="24">
        <f>L16/((L33+K33)/2)</f>
        <v>1.436816750046322</v>
      </c>
      <c r="M61" s="23">
        <f t="shared" si="50"/>
        <v>0.13612382833195072</v>
      </c>
      <c r="N61" s="24">
        <f>N16/((N33+L33)/2)</f>
        <v>1.753477423496683</v>
      </c>
      <c r="O61" s="23">
        <f>(N61-I61)/I61</f>
        <v>-6.8876347056199702E-2</v>
      </c>
      <c r="P61" s="24">
        <f>P16/((P33+N33)/2)</f>
        <v>1.57757644394111</v>
      </c>
      <c r="Q61" s="23">
        <f t="shared" si="51"/>
        <v>8.6146703995292104E-2</v>
      </c>
      <c r="R61" s="24">
        <f>R16/((R33+P33)/2)</f>
        <v>1.5854665565648225</v>
      </c>
      <c r="S61" s="23">
        <f t="shared" si="52"/>
        <v>-9.6244610709492501E-2</v>
      </c>
      <c r="T61" s="24">
        <f>T16/((T33+R33)/2)</f>
        <v>1.3888698172941221</v>
      </c>
      <c r="U61" s="23">
        <f t="shared" si="54"/>
        <v>-3.3370249024904666E-2</v>
      </c>
      <c r="V61" s="24">
        <f>V16/((V33+T33)/2)</f>
        <v>1.5773388773388772</v>
      </c>
      <c r="W61" s="23">
        <f t="shared" si="55"/>
        <v>-0.10045099172509475</v>
      </c>
      <c r="X61" s="24">
        <f>X16/((X33+V33)/2)</f>
        <v>1.2738312920476109</v>
      </c>
      <c r="Y61" s="23">
        <f t="shared" si="56"/>
        <v>-0.19253910202581453</v>
      </c>
      <c r="Z61" s="24">
        <f>Z16/((Z33+X33)/2)</f>
        <v>1.3250008222872742</v>
      </c>
      <c r="AA61" s="23">
        <f t="shared" si="57"/>
        <v>-0.16428333552609944</v>
      </c>
      <c r="AB61" s="24">
        <f>AB16/((AB33+Z33)/2)</f>
        <v>1.2134291087338533</v>
      </c>
      <c r="AC61" s="23">
        <f t="shared" si="58"/>
        <v>-0.12631904471944869</v>
      </c>
      <c r="AD61" s="24">
        <f>AD16/((AD33+AB33)/2)</f>
        <v>1.5642801149725634</v>
      </c>
      <c r="AE61" s="23">
        <f t="shared" si="59"/>
        <v>-8.2789833902688435E-3</v>
      </c>
      <c r="AF61" s="24">
        <f>AF16/((AF33+AD33)/2)</f>
        <v>1.408079647712043</v>
      </c>
      <c r="AG61" s="23">
        <f t="shared" si="60"/>
        <v>0.10538943147536869</v>
      </c>
      <c r="AH61" s="24">
        <f>AH16/((AH33+AF33)/2)</f>
        <v>1.4069565217391304</v>
      </c>
      <c r="AI61" s="24">
        <f t="shared" ref="AI61" si="76">AI16/((AI33+AG33)/2)</f>
        <v>0.69347630826716511</v>
      </c>
      <c r="AJ61" s="24">
        <f>AJ16/((AJ33+AH33)/2)</f>
        <v>1.3240196972460332</v>
      </c>
      <c r="AK61" s="24">
        <f>AK16/((AK33+AJ33)/2)</f>
        <v>1.7585002066348574</v>
      </c>
      <c r="AL61" s="24">
        <f>AL16/((AL33+AK33)/2)</f>
        <v>0</v>
      </c>
    </row>
    <row r="62" spans="1:38" x14ac:dyDescent="0.35">
      <c r="A62" s="26" t="s">
        <v>69</v>
      </c>
      <c r="B62" s="27" t="s">
        <v>70</v>
      </c>
      <c r="C62" s="27" t="s">
        <v>70</v>
      </c>
      <c r="D62" s="25">
        <f t="shared" ref="D62:H62" si="77">91/D61</f>
        <v>76.38990825688073</v>
      </c>
      <c r="E62" s="25">
        <f t="shared" si="77"/>
        <v>50.101153846153842</v>
      </c>
      <c r="F62" s="25">
        <f t="shared" si="77"/>
        <v>79.695582952318745</v>
      </c>
      <c r="G62" s="25">
        <f t="shared" si="77"/>
        <v>67.102138613861385</v>
      </c>
      <c r="H62" s="25">
        <f t="shared" si="77"/>
        <v>71.95577889447236</v>
      </c>
      <c r="I62" s="25">
        <f>91/I61</f>
        <v>48.322408536585364</v>
      </c>
      <c r="J62" s="25">
        <f>91/J61</f>
        <v>62.652653342522399</v>
      </c>
      <c r="K62" s="25">
        <f>91/K61</f>
        <v>51.872264403751672</v>
      </c>
      <c r="L62" s="25">
        <f>91/L61</f>
        <v>63.334450963956414</v>
      </c>
      <c r="M62" s="23">
        <f t="shared" si="50"/>
        <v>-0.11981425346197228</v>
      </c>
      <c r="N62" s="25">
        <f>91/N61</f>
        <v>51.896875762753233</v>
      </c>
      <c r="O62" s="23">
        <f>(N62-I62)/I62</f>
        <v>7.3971214068553823E-2</v>
      </c>
      <c r="P62" s="25">
        <f>91/P61</f>
        <v>57.683417085427131</v>
      </c>
      <c r="Q62" s="23">
        <f t="shared" si="51"/>
        <v>-7.931405921355679E-2</v>
      </c>
      <c r="R62" s="25">
        <f>91/R61</f>
        <v>57.396354166666669</v>
      </c>
      <c r="S62" s="23">
        <f t="shared" si="52"/>
        <v>0.10649409325796592</v>
      </c>
      <c r="T62" s="25">
        <f>91/T61</f>
        <v>65.520899703394491</v>
      </c>
      <c r="U62" s="23">
        <f t="shared" si="54"/>
        <v>3.4522265625739512E-2</v>
      </c>
      <c r="V62" s="25">
        <f>91/V61</f>
        <v>57.69210491630421</v>
      </c>
      <c r="W62" s="23">
        <f t="shared" si="55"/>
        <v>0.11166817016199375</v>
      </c>
      <c r="X62" s="25">
        <f>91/X61</f>
        <v>71.438031525919499</v>
      </c>
      <c r="Y62" s="23">
        <f t="shared" si="56"/>
        <v>0.238450063041901</v>
      </c>
      <c r="Z62" s="25">
        <f>91/Z61</f>
        <v>68.679202661106146</v>
      </c>
      <c r="AA62" s="23">
        <f t="shared" si="57"/>
        <v>0.19657779066726977</v>
      </c>
      <c r="AB62" s="25">
        <f>91/AB61</f>
        <v>74.994080284552837</v>
      </c>
      <c r="AC62" s="23">
        <f t="shared" si="58"/>
        <v>0.14458257783458919</v>
      </c>
      <c r="AD62" s="25">
        <f>91/AD61</f>
        <v>58.173724212812161</v>
      </c>
      <c r="AE62" s="23">
        <f t="shared" si="59"/>
        <v>8.3480971478966052E-3</v>
      </c>
      <c r="AF62" s="25">
        <f>91/AF61</f>
        <v>64.627025998041987</v>
      </c>
      <c r="AG62" s="23">
        <f t="shared" si="60"/>
        <v>-9.5341450238677267E-2</v>
      </c>
      <c r="AH62" s="25">
        <f>91/AH61</f>
        <v>64.678615574783677</v>
      </c>
      <c r="AI62" s="25">
        <f t="shared" ref="AI62:AL62" si="78">91/AI61</f>
        <v>131.22294001274201</v>
      </c>
      <c r="AJ62" s="25">
        <f t="shared" si="78"/>
        <v>68.730095322056314</v>
      </c>
      <c r="AK62" s="25">
        <f t="shared" si="78"/>
        <v>51.748643336324406</v>
      </c>
      <c r="AL62" s="25" t="e">
        <f t="shared" si="78"/>
        <v>#DIV/0!</v>
      </c>
    </row>
    <row r="64" spans="1:38" x14ac:dyDescent="0.35">
      <c r="AF64" s="21"/>
    </row>
    <row r="66" spans="2:3" x14ac:dyDescent="0.35">
      <c r="B66" s="28" t="s">
        <v>74</v>
      </c>
      <c r="C66" s="28" t="s">
        <v>32</v>
      </c>
    </row>
    <row r="67" spans="2:3" x14ac:dyDescent="0.35">
      <c r="B67" s="28" t="s">
        <v>2</v>
      </c>
      <c r="C67" s="5">
        <v>16781</v>
      </c>
    </row>
    <row r="68" spans="2:3" x14ac:dyDescent="0.35">
      <c r="B68" s="28" t="s">
        <v>3</v>
      </c>
      <c r="C68" s="5">
        <v>17776</v>
      </c>
    </row>
    <row r="69" spans="2:3" x14ac:dyDescent="0.35">
      <c r="B69" s="28" t="s">
        <v>4</v>
      </c>
      <c r="C69" s="5">
        <v>17821</v>
      </c>
    </row>
    <row r="70" spans="2:3" x14ac:dyDescent="0.35">
      <c r="B70" s="28" t="s">
        <v>5</v>
      </c>
      <c r="C70" s="5">
        <v>22978</v>
      </c>
    </row>
    <row r="71" spans="2:3" x14ac:dyDescent="0.35">
      <c r="B71" s="28" t="s">
        <v>6</v>
      </c>
      <c r="C71" s="5">
        <v>17627</v>
      </c>
    </row>
    <row r="72" spans="2:3" x14ac:dyDescent="0.35">
      <c r="B72" s="28" t="s">
        <v>7</v>
      </c>
      <c r="C72" s="5">
        <v>18422</v>
      </c>
    </row>
    <row r="73" spans="2:3" x14ac:dyDescent="0.35">
      <c r="B73" s="28" t="s">
        <v>8</v>
      </c>
      <c r="C73" s="5">
        <v>18665</v>
      </c>
    </row>
    <row r="74" spans="2:3" x14ac:dyDescent="0.35">
      <c r="B74" s="28" t="s">
        <v>9</v>
      </c>
      <c r="C74" s="5">
        <v>23398</v>
      </c>
    </row>
    <row r="75" spans="2:3" x14ac:dyDescent="0.35">
      <c r="B75" s="28" t="s">
        <v>10</v>
      </c>
      <c r="C75" s="5">
        <v>19615</v>
      </c>
    </row>
    <row r="76" spans="2:3" x14ac:dyDescent="0.35">
      <c r="B76" s="28" t="s">
        <v>11</v>
      </c>
      <c r="C76" s="5">
        <v>22975</v>
      </c>
    </row>
    <row r="77" spans="2:3" x14ac:dyDescent="0.35">
      <c r="B77" s="28" t="s">
        <v>12</v>
      </c>
      <c r="C77" s="5">
        <v>22632</v>
      </c>
    </row>
    <row r="78" spans="2:3" x14ac:dyDescent="0.35">
      <c r="B78" s="28" t="s">
        <v>13</v>
      </c>
      <c r="C78" s="5">
        <v>28339</v>
      </c>
    </row>
    <row r="79" spans="2:3" x14ac:dyDescent="0.35">
      <c r="B79" s="28" t="s">
        <v>14</v>
      </c>
      <c r="C79" s="5">
        <v>24197</v>
      </c>
    </row>
    <row r="80" spans="2:3" x14ac:dyDescent="0.35">
      <c r="B80" s="28" t="s">
        <v>15</v>
      </c>
      <c r="C80" s="5">
        <v>25160</v>
      </c>
    </row>
    <row r="81" spans="2:3" x14ac:dyDescent="0.35">
      <c r="B81" s="28" t="s">
        <v>16</v>
      </c>
      <c r="C81" s="5">
        <v>25652</v>
      </c>
    </row>
    <row r="82" spans="2:3" x14ac:dyDescent="0.35">
      <c r="B82" s="28" t="s">
        <v>17</v>
      </c>
      <c r="C82" s="5">
        <v>30996</v>
      </c>
    </row>
    <row r="83" spans="2:3" x14ac:dyDescent="0.35">
      <c r="B83" s="28" t="s">
        <v>18</v>
      </c>
      <c r="C83" s="5">
        <v>25170</v>
      </c>
    </row>
    <row r="84" spans="2:3" x14ac:dyDescent="0.35">
      <c r="B84" s="28" t="s">
        <v>19</v>
      </c>
      <c r="C84" s="5">
        <v>26037</v>
      </c>
    </row>
    <row r="85" spans="2:3" x14ac:dyDescent="0.35">
      <c r="B85" s="28" t="s">
        <v>20</v>
      </c>
      <c r="C85" s="5">
        <v>26518</v>
      </c>
    </row>
    <row r="86" spans="2:3" x14ac:dyDescent="0.35">
      <c r="B86" s="28" t="s">
        <v>21</v>
      </c>
      <c r="C86" s="5">
        <v>31395</v>
      </c>
    </row>
    <row r="87" spans="2:3" x14ac:dyDescent="0.35">
      <c r="B87" s="28" t="s">
        <v>22</v>
      </c>
      <c r="C87" s="5">
        <v>25322</v>
      </c>
    </row>
    <row r="90" spans="2:3" x14ac:dyDescent="0.35">
      <c r="B90" s="28" t="s">
        <v>74</v>
      </c>
      <c r="C90" s="28" t="s">
        <v>75</v>
      </c>
    </row>
    <row r="91" spans="2:3" x14ac:dyDescent="0.35">
      <c r="B91" s="28" t="s">
        <v>2</v>
      </c>
      <c r="C91" s="5">
        <v>717</v>
      </c>
    </row>
    <row r="92" spans="2:3" x14ac:dyDescent="0.35">
      <c r="B92" s="28" t="s">
        <v>3</v>
      </c>
      <c r="C92" s="5">
        <v>799</v>
      </c>
    </row>
    <row r="93" spans="2:3" x14ac:dyDescent="0.35">
      <c r="B93" s="28" t="s">
        <v>4</v>
      </c>
      <c r="C93" s="5">
        <v>616</v>
      </c>
    </row>
    <row r="94" spans="2:3" x14ac:dyDescent="0.35">
      <c r="B94" s="28" t="s">
        <v>5</v>
      </c>
      <c r="C94" s="5">
        <v>798</v>
      </c>
    </row>
    <row r="95" spans="2:3" x14ac:dyDescent="0.35">
      <c r="B95" s="28" t="s">
        <v>6</v>
      </c>
      <c r="C95" s="5">
        <v>792</v>
      </c>
    </row>
    <row r="96" spans="2:3" x14ac:dyDescent="0.35">
      <c r="B96" s="28" t="s">
        <v>7</v>
      </c>
      <c r="C96" s="5">
        <v>938</v>
      </c>
    </row>
    <row r="97" spans="2:3" x14ac:dyDescent="0.35">
      <c r="B97" s="28" t="s">
        <v>8</v>
      </c>
      <c r="C97" s="5">
        <v>706</v>
      </c>
    </row>
    <row r="98" spans="2:3" x14ac:dyDescent="0.35">
      <c r="B98" s="28" t="s">
        <v>9</v>
      </c>
      <c r="C98" s="5">
        <v>833</v>
      </c>
    </row>
    <row r="99" spans="2:3" x14ac:dyDescent="0.35">
      <c r="B99" s="28" t="s">
        <v>10</v>
      </c>
      <c r="C99" s="5">
        <v>284</v>
      </c>
    </row>
    <row r="100" spans="2:3" x14ac:dyDescent="0.35">
      <c r="B100" s="28" t="s">
        <v>11</v>
      </c>
      <c r="C100" s="5">
        <v>1690</v>
      </c>
    </row>
    <row r="101" spans="2:3" x14ac:dyDescent="0.35">
      <c r="B101" s="28" t="s">
        <v>12</v>
      </c>
      <c r="C101" s="5">
        <v>1014</v>
      </c>
    </row>
    <row r="102" spans="2:3" x14ac:dyDescent="0.35">
      <c r="B102" s="28" t="s">
        <v>13</v>
      </c>
      <c r="C102" s="5">
        <v>1380</v>
      </c>
    </row>
    <row r="103" spans="2:3" x14ac:dyDescent="0.35">
      <c r="B103" s="28" t="s">
        <v>14</v>
      </c>
      <c r="C103" s="5">
        <v>2097</v>
      </c>
    </row>
    <row r="104" spans="2:3" x14ac:dyDescent="0.35">
      <c r="B104" s="28" t="s">
        <v>15</v>
      </c>
      <c r="C104" s="5">
        <v>1817</v>
      </c>
    </row>
    <row r="105" spans="2:3" x14ac:dyDescent="0.35">
      <c r="B105" s="28" t="s">
        <v>16</v>
      </c>
      <c r="C105" s="5">
        <v>1488</v>
      </c>
    </row>
    <row r="106" spans="2:3" x14ac:dyDescent="0.35">
      <c r="B106" s="28" t="s">
        <v>17</v>
      </c>
      <c r="C106" s="5">
        <v>1544</v>
      </c>
    </row>
    <row r="107" spans="2:3" x14ac:dyDescent="0.35">
      <c r="B107" s="28" t="s">
        <v>18</v>
      </c>
      <c r="C107" s="5">
        <v>1009</v>
      </c>
    </row>
    <row r="108" spans="2:3" x14ac:dyDescent="0.35">
      <c r="B108" s="28" t="s">
        <v>19</v>
      </c>
      <c r="C108" s="5">
        <v>183</v>
      </c>
    </row>
    <row r="109" spans="2:3" x14ac:dyDescent="0.35">
      <c r="B109" s="28" t="s">
        <v>20</v>
      </c>
      <c r="C109" s="5">
        <v>712</v>
      </c>
    </row>
    <row r="110" spans="2:3" x14ac:dyDescent="0.35">
      <c r="B110" s="28" t="s">
        <v>21</v>
      </c>
      <c r="C110" s="5">
        <v>876</v>
      </c>
    </row>
    <row r="111" spans="2:3" x14ac:dyDescent="0.35">
      <c r="B111" s="28" t="s">
        <v>22</v>
      </c>
      <c r="C111" s="5">
        <v>950</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AF3359-AA7B-4C3F-BB32-4122371AAA35}">
  <ds:schemaRefs>
    <ds:schemaRef ds:uri="http://www.w3.org/XML/1998/namespace"/>
    <ds:schemaRef ds:uri="http://schemas.microsoft.com/office/2006/metadata/properties"/>
    <ds:schemaRef ds:uri="36567613-e428-4167-ab55-a4f66cede826"/>
    <ds:schemaRef ds:uri="http://purl.org/dc/terms/"/>
    <ds:schemaRef ds:uri="http://schemas.microsoft.com/office/2006/documentManagement/types"/>
    <ds:schemaRef ds:uri="http://purl.org/dc/dcmitype/"/>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1C974B17-DE1B-4009-8DB7-E95764209D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9B4B395-A628-4AF2-9AB1-05807B2F72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Gonzalez Herrera, Abraham</cp:lastModifiedBy>
  <dcterms:created xsi:type="dcterms:W3CDTF">2023-02-21T16:55:27Z</dcterms:created>
  <dcterms:modified xsi:type="dcterms:W3CDTF">2024-03-11T20:00:57Z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